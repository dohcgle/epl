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
    </mc:Choice>
  </mc:AlternateContent>
  <xr:revisionPtr revIDLastSave="0" documentId="13_ncr:1_{05517125-0C06-4446-A929-846D5E664F19}" xr6:coauthVersionLast="47" xr6:coauthVersionMax="47" xr10:uidLastSave="{00000000-0000-0000-0000-000000000000}"/>
  <bookViews>
    <workbookView xWindow="-108" yWindow="-108" windowWidth="23256" windowHeight="12456" tabRatio="915" firstSheet="4" activeTab="7" xr2:uid="{00000000-000D-0000-FFFF-FFFF00000000}"/>
  </bookViews>
  <sheets>
    <sheet name="umumiy_malumot" sheetId="1" r:id="rId1"/>
    <sheet name="muqova" sheetId="9" r:id="rId2"/>
    <sheet name="anketa" sheetId="22" r:id="rId3"/>
    <sheet name="mijoz_anketasi" sheetId="4" r:id="rId4"/>
    <sheet name="kredit_ariza" sheetId="2" r:id="rId5"/>
    <sheet name="majburiyatnoma" sheetId="24" r:id="rId6"/>
    <sheet name="garov_ariza" sheetId="13" r:id="rId7"/>
    <sheet name="xulosa" sheetId="3" r:id="rId8"/>
    <sheet name="qaror" sheetId="23" r:id="rId9"/>
    <sheet name="Данные для послед. Залога" sheetId="21" state="hidden" r:id="rId10"/>
    <sheet name="График аннуитет." sheetId="12" state="hidden" r:id="rId11"/>
    <sheet name="shartnoma" sheetId="19" r:id="rId12"/>
    <sheet name="grafik" sheetId="16" r:id="rId13"/>
    <sheet name="dalolatnoma" sheetId="7" r:id="rId14"/>
    <sheet name="buyruq" sheetId="8" r:id="rId15"/>
    <sheet name="monitoring_1" sheetId="26" r:id="rId16"/>
    <sheet name="monitoring_2" sheetId="27" r:id="rId17"/>
    <sheet name="monitoring_3" sheetId="28" r:id="rId18"/>
    <sheet name="monitoring_4" sheetId="29" r:id="rId19"/>
    <sheet name="График дифференц" sheetId="15" state="hidden" r:id="rId20"/>
    <sheet name="Письмо" sheetId="20" state="hidden" r:id="rId21"/>
  </sheets>
  <externalReferences>
    <externalReference r:id="rId22"/>
  </externalReferences>
  <definedNames>
    <definedName name="mos">'[1]Общие данные'!$C$23:$D$23</definedName>
    <definedName name="mulk">'[1]Общие данные'!$C$24:$W$24</definedName>
    <definedName name="_xlnm.Print_Area" localSheetId="14">buyruq!$A$1:$E$52</definedName>
    <definedName name="_xlnm.Print_Area" localSheetId="13">dalolatnoma!$A$1:$E$63</definedName>
    <definedName name="_xlnm.Print_Area" localSheetId="6">garov_ariza!$A$3:$GB$28</definedName>
    <definedName name="_xlnm.Print_Area" localSheetId="12">grafik!$A$1:$F$74</definedName>
    <definedName name="_xlnm.Print_Area" localSheetId="4">kredit_ariza!$A$1:$D$40</definedName>
    <definedName name="_xlnm.Print_Area" localSheetId="3">mijoz_anketasi!$A$1:$F$36</definedName>
    <definedName name="_xlnm.Print_Area" localSheetId="17">monitoring_3!$A$1:$H$26</definedName>
    <definedName name="_xlnm.Print_Area" localSheetId="1">muqova!$A$1:$G$42</definedName>
    <definedName name="_xlnm.Print_Area" localSheetId="8">qaror!$A$1:$E$39</definedName>
    <definedName name="_xlnm.Print_Area" localSheetId="11">shartnoma!$A$1:$B$135</definedName>
    <definedName name="_xlnm.Print_Area" localSheetId="10">'График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1" l="1"/>
  <c r="C19" i="1"/>
  <c r="C21" i="1" s="1"/>
  <c r="C18" i="1"/>
  <c r="C20" i="1" s="1"/>
  <c r="B40" i="1"/>
  <c r="B33" i="1"/>
  <c r="B82" i="1"/>
  <c r="B136" i="1"/>
  <c r="B137" i="1" s="1"/>
  <c r="B138" i="1" s="1"/>
  <c r="B133" i="1"/>
  <c r="B130" i="1"/>
  <c r="B127" i="1"/>
  <c r="B34" i="1"/>
  <c r="B27" i="1"/>
  <c r="A9" i="24"/>
  <c r="A7" i="24"/>
  <c r="B76" i="1" l="1"/>
  <c r="A71" i="16"/>
  <c r="B115" i="1" l="1"/>
  <c r="B116" i="1" l="1"/>
  <c r="B122" i="1" s="1"/>
  <c r="B114" i="1"/>
  <c r="B120" i="1" s="1"/>
  <c r="B113" i="1"/>
  <c r="B119" i="1" s="1"/>
  <c r="B112" i="1"/>
  <c r="B118" i="1" s="1"/>
  <c r="B111" i="1"/>
  <c r="B117" i="1" s="1"/>
  <c r="A23" i="13"/>
  <c r="B47" i="1" l="1"/>
  <c r="B45" i="1" s="1"/>
  <c r="B49" i="1"/>
  <c r="A70" i="16" l="1"/>
  <c r="A69" i="16"/>
  <c r="B65" i="1" l="1"/>
  <c r="A31" i="4" l="1"/>
  <c r="A57" i="3"/>
  <c r="F133" i="1" l="1"/>
  <c r="F130" i="1"/>
  <c r="J125" i="1"/>
  <c r="I125" i="1"/>
  <c r="C125" i="1"/>
  <c r="C76" i="1"/>
  <c r="B58" i="1"/>
  <c r="A123" i="19" l="1"/>
  <c r="A126" i="19" l="1"/>
  <c r="A129" i="19"/>
  <c r="A73"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C116" i="1"/>
  <c r="C122" i="1" s="1"/>
  <c r="C114" i="1"/>
  <c r="C120" i="1" s="1"/>
  <c r="C113" i="1"/>
  <c r="C119" i="1" s="1"/>
  <c r="C118" i="1"/>
  <c r="C111" i="1"/>
  <c r="C117" i="1" s="1"/>
  <c r="D59" i="7"/>
  <c r="A62" i="7"/>
  <c r="A61" i="7"/>
  <c r="F61" i="7"/>
  <c r="A25" i="7"/>
  <c r="A23" i="7"/>
  <c r="H24" i="27" l="1"/>
  <c r="A9" i="26"/>
  <c r="A9" i="29" s="1"/>
  <c r="A9" i="27" l="1"/>
  <c r="A9" i="28"/>
  <c r="J126" i="1"/>
  <c r="A48" i="3"/>
  <c r="A35" i="3"/>
  <c r="E30" i="3"/>
  <c r="A30" i="3"/>
  <c r="A33" i="3"/>
  <c r="D29" i="7" l="1"/>
  <c r="D30" i="3" s="1"/>
  <c r="G130" i="1"/>
  <c r="D20" i="7"/>
  <c r="E20" i="7"/>
  <c r="G9" i="26" s="1"/>
  <c r="B20" i="7"/>
  <c r="G9" i="28" l="1"/>
  <c r="G9" i="27"/>
  <c r="G9" i="29"/>
  <c r="B29" i="7"/>
  <c r="B30" i="3" s="1"/>
  <c r="C9" i="26"/>
  <c r="C29" i="7"/>
  <c r="C30" i="3" s="1"/>
  <c r="E9" i="26"/>
  <c r="E9" i="29" l="1"/>
  <c r="E9" i="28"/>
  <c r="E9" i="27"/>
  <c r="C9" i="29"/>
  <c r="C9" i="28"/>
  <c r="C9" i="27"/>
  <c r="H24" i="29" l="1"/>
  <c r="H24" i="28"/>
  <c r="A22" i="26"/>
  <c r="H24" i="26"/>
  <c r="E51" i="3"/>
  <c r="A51" i="3"/>
  <c r="A53" i="3"/>
  <c r="A37" i="3"/>
  <c r="A1" i="3"/>
  <c r="D17" i="23"/>
  <c r="E17" i="23" s="1"/>
  <c r="A1" i="23"/>
  <c r="D70" i="16"/>
  <c r="A110" i="1" l="1"/>
  <c r="A109" i="1"/>
  <c r="A108" i="1"/>
  <c r="A107" i="1"/>
  <c r="H9" i="23"/>
  <c r="A7" i="23" s="1"/>
  <c r="A18" i="23" l="1"/>
  <c r="B59" i="1"/>
  <c r="A16" i="4" l="1"/>
  <c r="A17" i="4"/>
  <c r="B119" i="19"/>
  <c r="A24" i="7"/>
  <c r="A34" i="3" s="1"/>
  <c r="B8" i="13"/>
  <c r="A63" i="7" l="1"/>
  <c r="D62" i="7" s="1"/>
  <c r="A19" i="13"/>
  <c r="A51" i="7"/>
  <c r="B6" i="13"/>
  <c r="D2" i="2"/>
  <c r="A82" i="1" l="1"/>
  <c r="A89" i="1"/>
  <c r="A86" i="1"/>
  <c r="A84" i="1"/>
  <c r="A75" i="1"/>
  <c r="A1" i="1"/>
  <c r="A87" i="1"/>
  <c r="A85" i="1"/>
  <c r="A81" i="1"/>
  <c r="A2" i="1"/>
  <c r="A30" i="2"/>
  <c r="H77" i="19"/>
  <c r="A77" i="19" s="1"/>
  <c r="H21" i="19"/>
  <c r="A72" i="19"/>
  <c r="H68" i="19"/>
  <c r="A68" i="19" s="1"/>
  <c r="A55" i="19"/>
  <c r="A5" i="23"/>
  <c r="A15" i="19"/>
  <c r="A12" i="19"/>
  <c r="A33" i="19"/>
  <c r="B32" i="19" s="1"/>
  <c r="A31" i="19" s="1"/>
  <c r="A10" i="3"/>
  <c r="A17" i="2"/>
  <c r="A18" i="2"/>
  <c r="A9" i="19"/>
  <c r="A19" i="19"/>
  <c r="A46" i="19"/>
  <c r="A70" i="19"/>
  <c r="A95" i="19"/>
  <c r="C64" i="1"/>
  <c r="A59" i="16" s="1"/>
  <c r="C21" i="19"/>
  <c r="A51" i="19"/>
  <c r="A62" i="19"/>
  <c r="A73" i="19"/>
  <c r="C39" i="19"/>
  <c r="A39" i="19" s="1"/>
  <c r="A65" i="19"/>
  <c r="C74" i="19"/>
  <c r="A74" i="19" s="1"/>
  <c r="H17" i="19"/>
  <c r="A17" i="19" s="1"/>
  <c r="I21" i="19"/>
  <c r="A42" i="19"/>
  <c r="A59" i="19"/>
  <c r="A91" i="19"/>
  <c r="A20" i="19"/>
  <c r="C54" i="19"/>
  <c r="A54" i="19" s="1"/>
  <c r="A60" i="19"/>
  <c r="A67" i="19"/>
  <c r="A20" i="23"/>
  <c r="D64" i="1"/>
  <c r="A22" i="19" s="1"/>
  <c r="A79" i="1"/>
  <c r="A78" i="1"/>
  <c r="A13" i="2" l="1"/>
  <c r="A16" i="2"/>
  <c r="A21" i="2"/>
  <c r="A14" i="23"/>
  <c r="A4" i="2"/>
  <c r="B26" i="9"/>
  <c r="A22" i="23"/>
  <c r="A14" i="19"/>
  <c r="A15" i="2"/>
  <c r="A24" i="23"/>
  <c r="A21" i="23"/>
  <c r="A40" i="19"/>
  <c r="A23" i="23"/>
  <c r="B25" i="9"/>
  <c r="A21" i="19"/>
  <c r="A13" i="19"/>
  <c r="A14" i="2"/>
  <c r="A26" i="3"/>
  <c r="A61" i="19"/>
  <c r="A23" i="19"/>
  <c r="A11" i="19"/>
  <c r="A22" i="7"/>
  <c r="A18" i="8" l="1"/>
  <c r="A32" i="3"/>
  <c r="H7" i="23"/>
  <c r="A2" i="23" s="1"/>
  <c r="A120" i="19" l="1"/>
  <c r="A65" i="16" s="1"/>
  <c r="A30" i="4"/>
  <c r="B122" i="19"/>
  <c r="D67" i="16" s="1"/>
  <c r="A15" i="4"/>
  <c r="A14" i="4"/>
  <c r="A13" i="4"/>
  <c r="A7" i="3"/>
  <c r="C8" i="15"/>
  <c r="J12" i="15"/>
  <c r="A10" i="4" l="1"/>
  <c r="A9" i="4" s="1"/>
  <c r="D71" i="16"/>
  <c r="B124" i="19"/>
  <c r="D69" i="16" s="1"/>
  <c r="B123" i="19"/>
  <c r="D68" i="16" s="1"/>
  <c r="D64" i="16"/>
  <c r="B117" i="19"/>
  <c r="D63" i="16" s="1"/>
  <c r="A68" i="16" l="1"/>
  <c r="A122" i="19"/>
  <c r="A67" i="16" s="1"/>
  <c r="A121" i="19"/>
  <c r="A66" i="16" s="1"/>
  <c r="A119" i="19"/>
  <c r="A64" i="16" s="1"/>
  <c r="E26" i="8" l="1"/>
  <c r="B24" i="9"/>
  <c r="B2" i="9"/>
  <c r="A22" i="29"/>
  <c r="A22" i="28"/>
  <c r="H5" i="29"/>
  <c r="H5" i="28"/>
  <c r="H5" i="27"/>
  <c r="A22" i="27"/>
  <c r="H22" i="26"/>
  <c r="D2" i="1"/>
  <c r="H5" i="26" s="1"/>
  <c r="A22" i="13"/>
  <c r="A34" i="2"/>
  <c r="A29" i="4"/>
  <c r="A28" i="4"/>
  <c r="A20" i="4"/>
  <c r="A7" i="4"/>
  <c r="A11" i="24"/>
  <c r="A14" i="7"/>
  <c r="A13" i="7"/>
  <c r="A2" i="7"/>
  <c r="A8" i="3"/>
  <c r="A5" i="3"/>
  <c r="A4" i="3"/>
  <c r="A11" i="8"/>
  <c r="A10" i="8"/>
  <c r="A9" i="8"/>
  <c r="A12" i="2"/>
  <c r="A7" i="2"/>
  <c r="B164" i="1"/>
  <c r="I126" i="1"/>
  <c r="G125" i="1"/>
  <c r="B9" i="1"/>
  <c r="B11" i="1" s="1"/>
  <c r="B13" i="1" s="1"/>
  <c r="B8" i="1"/>
  <c r="E21" i="7"/>
  <c r="D21" i="7"/>
  <c r="E10" i="26" s="1"/>
  <c r="B21" i="7"/>
  <c r="C10" i="26" s="1"/>
  <c r="G10" i="26" l="1"/>
  <c r="D30" i="7"/>
  <c r="D31" i="3" s="1"/>
  <c r="E10" i="28"/>
  <c r="E10" i="27"/>
  <c r="E10" i="29"/>
  <c r="C10" i="28"/>
  <c r="C10" i="27"/>
  <c r="C10" i="29"/>
  <c r="C126" i="1"/>
  <c r="A17" i="7" s="1"/>
  <c r="A21" i="7"/>
  <c r="A10" i="26" s="1"/>
  <c r="C137" i="1"/>
  <c r="A6" i="2"/>
  <c r="E30" i="7"/>
  <c r="E31" i="3" s="1"/>
  <c r="A48" i="7"/>
  <c r="A15" i="7"/>
  <c r="F125" i="1"/>
  <c r="A27" i="3"/>
  <c r="B9" i="13"/>
  <c r="A27" i="2"/>
  <c r="A28" i="2"/>
  <c r="G126" i="1"/>
  <c r="F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A25" i="13" s="1"/>
  <c r="A26" i="13" s="1"/>
  <c r="A28" i="13" s="1"/>
  <c r="S124" i="1" l="1"/>
  <c r="S125" i="1" s="1"/>
  <c r="O126" i="1" s="1"/>
  <c r="R124" i="1"/>
  <c r="R125" i="1" s="1"/>
  <c r="O125" i="1" s="1"/>
  <c r="A20" i="13"/>
  <c r="C63" i="7" s="1"/>
  <c r="B24" i="4" l="1"/>
  <c r="B67" i="1" l="1"/>
  <c r="C78" i="1" s="1"/>
  <c r="C79" i="1" s="1"/>
  <c r="C80" i="1" s="1"/>
  <c r="B79" i="1" s="1"/>
  <c r="B80" i="1" s="1"/>
  <c r="B145" i="1" l="1"/>
  <c r="B143" i="1"/>
  <c r="A5" i="19" l="1"/>
  <c r="B20" i="1"/>
  <c r="C115" i="1" l="1"/>
  <c r="C121" i="1" s="1"/>
  <c r="B121" i="1"/>
  <c r="B121" i="19"/>
  <c r="D65"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20" i="3" l="1"/>
  <c r="A11" i="2"/>
  <c r="A33" i="20"/>
  <c r="B21" i="1" l="1"/>
  <c r="A6" i="3" s="1"/>
  <c r="B8" i="15"/>
  <c r="C5" i="22"/>
  <c r="A33" i="22" s="1"/>
  <c r="R44" i="15" l="1"/>
  <c r="R45" i="15"/>
  <c r="R46" i="15"/>
  <c r="R47" i="15"/>
  <c r="R48" i="15"/>
  <c r="R49" i="15"/>
  <c r="R50" i="15"/>
  <c r="R51" i="15"/>
  <c r="R52" i="15"/>
  <c r="R53" i="15"/>
  <c r="R54" i="15"/>
  <c r="R55" i="15"/>
  <c r="R43" i="15"/>
  <c r="O43" i="15" s="1"/>
  <c r="P43" i="15" s="1"/>
  <c r="Q43" i="15" s="1"/>
  <c r="B9" i="16"/>
  <c r="R42" i="15"/>
  <c r="O42" i="15" s="1"/>
  <c r="P42" i="15" s="1"/>
  <c r="Q42" i="15" s="1"/>
  <c r="B42" i="15" s="1"/>
  <c r="R39" i="15"/>
  <c r="O39" i="15" s="1"/>
  <c r="P39" i="15" s="1"/>
  <c r="Q39" i="15" s="1"/>
  <c r="B39" i="15" s="1"/>
  <c r="R33" i="15"/>
  <c r="R32" i="15"/>
  <c r="O32" i="15" s="1"/>
  <c r="P32" i="15" s="1"/>
  <c r="Q32" i="15" s="1"/>
  <c r="B32" i="15" s="1"/>
  <c r="B33" i="16" s="1"/>
  <c r="R36" i="15"/>
  <c r="R34" i="15"/>
  <c r="R35" i="15"/>
  <c r="R40" i="15"/>
  <c r="O40" i="15" s="1"/>
  <c r="P40" i="15" s="1"/>
  <c r="Q40" i="15" s="1"/>
  <c r="B40" i="15" s="1"/>
  <c r="R38" i="15"/>
  <c r="O38" i="15" s="1"/>
  <c r="P38" i="15" s="1"/>
  <c r="Q38" i="15" s="1"/>
  <c r="B38" i="15" s="1"/>
  <c r="R37" i="15"/>
  <c r="O37" i="15" s="1"/>
  <c r="P37" i="15" s="1"/>
  <c r="Q37" i="15" s="1"/>
  <c r="B37" i="15"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O53" i="15" l="1"/>
  <c r="P53" i="15" s="1"/>
  <c r="Q53" i="15" s="1"/>
  <c r="B53" i="15" s="1"/>
  <c r="O54" i="15"/>
  <c r="P54" i="15" s="1"/>
  <c r="Q54" i="15" s="1"/>
  <c r="B54" i="15" s="1"/>
  <c r="O52" i="15"/>
  <c r="P52" i="15" s="1"/>
  <c r="Q52" i="15" s="1"/>
  <c r="B52" i="15" s="1"/>
  <c r="O51" i="15"/>
  <c r="P51" i="15" s="1"/>
  <c r="Q51" i="15" s="1"/>
  <c r="B51" i="15" s="1"/>
  <c r="O50" i="15"/>
  <c r="P50" i="15" s="1"/>
  <c r="Q50" i="15" s="1"/>
  <c r="B50" i="15" s="1"/>
  <c r="O49" i="15"/>
  <c r="P49" i="15" s="1"/>
  <c r="Q49" i="15" s="1"/>
  <c r="B49" i="15" s="1"/>
  <c r="O55" i="15"/>
  <c r="P55" i="15" s="1"/>
  <c r="Q55" i="15" s="1"/>
  <c r="B55" i="15"/>
  <c r="O48" i="15"/>
  <c r="P48" i="15" s="1"/>
  <c r="Q48" i="15" s="1"/>
  <c r="B48" i="15" s="1"/>
  <c r="O47" i="15"/>
  <c r="P47" i="15" s="1"/>
  <c r="Q47" i="15" s="1"/>
  <c r="B47" i="15" s="1"/>
  <c r="O46" i="15"/>
  <c r="P46" i="15" s="1"/>
  <c r="Q46" i="15" s="1"/>
  <c r="B46" i="15" s="1"/>
  <c r="O45" i="15"/>
  <c r="P45" i="15" s="1"/>
  <c r="Q45" i="15" s="1"/>
  <c r="B45" i="15" s="1"/>
  <c r="O44" i="15"/>
  <c r="P44" i="15" s="1"/>
  <c r="Q44" i="15" s="1"/>
  <c r="B44" i="15" s="1"/>
  <c r="B43" i="15"/>
  <c r="B44" i="16" s="1"/>
  <c r="B37" i="12"/>
  <c r="H37" i="12" s="1"/>
  <c r="B38" i="16"/>
  <c r="B39" i="12"/>
  <c r="H39" i="12" s="1"/>
  <c r="B40" i="16"/>
  <c r="B42" i="12"/>
  <c r="H42" i="12" s="1"/>
  <c r="B43" i="16"/>
  <c r="B40" i="12"/>
  <c r="B41" i="16"/>
  <c r="B38" i="12"/>
  <c r="H38" i="12" s="1"/>
  <c r="B39" i="16"/>
  <c r="H32" i="15"/>
  <c r="B32" i="12"/>
  <c r="G40" i="15"/>
  <c r="H40" i="15"/>
  <c r="O41" i="15"/>
  <c r="P41" i="15" s="1"/>
  <c r="Q41" i="15" s="1"/>
  <c r="B41" i="15" s="1"/>
  <c r="B42" i="16" s="1"/>
  <c r="O35" i="15"/>
  <c r="P35" i="15" s="1"/>
  <c r="Q35" i="15" s="1"/>
  <c r="B35" i="15" s="1"/>
  <c r="O33" i="15"/>
  <c r="P33" i="15" s="1"/>
  <c r="Q33" i="15" s="1"/>
  <c r="B33" i="15" s="1"/>
  <c r="H37" i="15"/>
  <c r="O34" i="15"/>
  <c r="P34" i="15" s="1"/>
  <c r="Q34" i="15" s="1"/>
  <c r="B34" i="15" s="1"/>
  <c r="H39" i="15"/>
  <c r="G39" i="15"/>
  <c r="H38" i="15"/>
  <c r="G38" i="15"/>
  <c r="O36" i="15"/>
  <c r="P36" i="15" s="1"/>
  <c r="Q36" i="15" s="1"/>
  <c r="B36" i="15" s="1"/>
  <c r="H42" i="15"/>
  <c r="O27" i="15"/>
  <c r="P27" i="15" s="1"/>
  <c r="Q27" i="15" s="1"/>
  <c r="B27" i="15" s="1"/>
  <c r="O30" i="15"/>
  <c r="P30" i="15" s="1"/>
  <c r="Q30" i="15" s="1"/>
  <c r="B30" i="15" s="1"/>
  <c r="O26" i="15"/>
  <c r="P26" i="15" s="1"/>
  <c r="Q26" i="15" s="1"/>
  <c r="B26" i="15" s="1"/>
  <c r="O29" i="15"/>
  <c r="P29" i="15" s="1"/>
  <c r="Q29" i="15" s="1"/>
  <c r="B29" i="15" s="1"/>
  <c r="O28" i="15"/>
  <c r="P28" i="15" s="1"/>
  <c r="Q28" i="15" s="1"/>
  <c r="B28" i="15" s="1"/>
  <c r="O31" i="15"/>
  <c r="P31" i="15" s="1"/>
  <c r="Q31" i="15" s="1"/>
  <c r="B31" i="15" s="1"/>
  <c r="O18" i="15"/>
  <c r="P18" i="15" s="1"/>
  <c r="Q18" i="15" s="1"/>
  <c r="B18" i="15" s="1"/>
  <c r="O24" i="15"/>
  <c r="P24" i="15" s="1"/>
  <c r="Q24" i="15" s="1"/>
  <c r="B24" i="15" s="1"/>
  <c r="O15" i="15"/>
  <c r="P15" i="15" s="1"/>
  <c r="Q15" i="15" s="1"/>
  <c r="B15" i="15" s="1"/>
  <c r="O13" i="15"/>
  <c r="P13" i="15" s="1"/>
  <c r="Q13" i="15" s="1"/>
  <c r="B13" i="15" s="1"/>
  <c r="O17" i="15"/>
  <c r="P17" i="15" s="1"/>
  <c r="Q17" i="15" s="1"/>
  <c r="B17" i="15" s="1"/>
  <c r="O16" i="15"/>
  <c r="P16" i="15" s="1"/>
  <c r="Q16" i="15" s="1"/>
  <c r="B16" i="15" s="1"/>
  <c r="O22" i="15"/>
  <c r="P22" i="15" s="1"/>
  <c r="Q22" i="15" s="1"/>
  <c r="B22" i="15" s="1"/>
  <c r="O23" i="15"/>
  <c r="P23" i="15" s="1"/>
  <c r="Q23" i="15" s="1"/>
  <c r="B23" i="15" s="1"/>
  <c r="O21" i="15"/>
  <c r="P21" i="15" s="1"/>
  <c r="Q21" i="15" s="1"/>
  <c r="B21" i="15" s="1"/>
  <c r="O20" i="15"/>
  <c r="P20" i="15" s="1"/>
  <c r="Q20" i="15" s="1"/>
  <c r="B20" i="15" s="1"/>
  <c r="L8" i="15"/>
  <c r="O11" i="15"/>
  <c r="P11" i="15" s="1"/>
  <c r="Q11" i="15" s="1"/>
  <c r="B11" i="15" s="1"/>
  <c r="O10" i="15"/>
  <c r="P10" i="15" s="1"/>
  <c r="Q10" i="15" s="1"/>
  <c r="B10" i="15" s="1"/>
  <c r="O9" i="15"/>
  <c r="P9" i="15" s="1"/>
  <c r="Q9" i="15" s="1"/>
  <c r="B9" i="15" s="1"/>
  <c r="O19" i="15"/>
  <c r="P19" i="15" s="1"/>
  <c r="Q19" i="15" s="1"/>
  <c r="B19" i="15" s="1"/>
  <c r="O14" i="15"/>
  <c r="P14" i="15" s="1"/>
  <c r="Q14" i="15" s="1"/>
  <c r="B14" i="15" s="1"/>
  <c r="O12" i="15"/>
  <c r="P12" i="15" s="1"/>
  <c r="Q12" i="15" s="1"/>
  <c r="B12" i="15" s="1"/>
  <c r="O25" i="15"/>
  <c r="P25" i="15" s="1"/>
  <c r="Q25" i="15" s="1"/>
  <c r="B25" i="15" s="1"/>
  <c r="B49" i="12" l="1"/>
  <c r="B50" i="16"/>
  <c r="B44" i="12"/>
  <c r="B45" i="16"/>
  <c r="B48" i="12"/>
  <c r="B49" i="16"/>
  <c r="H46" i="15"/>
  <c r="B46" i="12"/>
  <c r="B47" i="16"/>
  <c r="B56" i="16"/>
  <c r="B55" i="12"/>
  <c r="B50" i="12"/>
  <c r="B51" i="16"/>
  <c r="B47" i="12"/>
  <c r="B48" i="16"/>
  <c r="B51" i="12"/>
  <c r="B52" i="16"/>
  <c r="B52" i="12"/>
  <c r="B53" i="16"/>
  <c r="B55" i="16"/>
  <c r="B54" i="12"/>
  <c r="B45" i="12"/>
  <c r="B46" i="16"/>
  <c r="B54" i="16"/>
  <c r="B53" i="12"/>
  <c r="H50" i="15"/>
  <c r="G50" i="15"/>
  <c r="G47" i="15"/>
  <c r="H47" i="15"/>
  <c r="H51" i="15"/>
  <c r="G51" i="15"/>
  <c r="G52" i="15"/>
  <c r="H52" i="15"/>
  <c r="H54" i="15"/>
  <c r="G54" i="15"/>
  <c r="H48" i="15"/>
  <c r="G48" i="15"/>
  <c r="G46" i="15"/>
  <c r="G45" i="15"/>
  <c r="H45" i="15"/>
  <c r="H53" i="15"/>
  <c r="G53" i="15"/>
  <c r="G44" i="15"/>
  <c r="H44" i="15"/>
  <c r="H49" i="15"/>
  <c r="G49" i="15"/>
  <c r="H55" i="15"/>
  <c r="G55" i="15"/>
  <c r="G40" i="12"/>
  <c r="G38" i="12"/>
  <c r="G43" i="15"/>
  <c r="G39" i="12"/>
  <c r="B43" i="12"/>
  <c r="H43" i="12" s="1"/>
  <c r="H43" i="15"/>
  <c r="H40" i="12"/>
  <c r="B14" i="12"/>
  <c r="B15" i="16"/>
  <c r="B19" i="12"/>
  <c r="B20" i="16"/>
  <c r="B22" i="12"/>
  <c r="B23" i="16"/>
  <c r="B9" i="12"/>
  <c r="B10" i="16"/>
  <c r="B16" i="12"/>
  <c r="B17" i="16"/>
  <c r="B29" i="12"/>
  <c r="B30" i="16"/>
  <c r="B18" i="12"/>
  <c r="B19" i="16"/>
  <c r="B17" i="12"/>
  <c r="B18" i="16"/>
  <c r="B26" i="12"/>
  <c r="B27" i="16"/>
  <c r="B13" i="12"/>
  <c r="B14" i="16"/>
  <c r="B10" i="12"/>
  <c r="B11" i="16"/>
  <c r="B34" i="12"/>
  <c r="H34" i="12" s="1"/>
  <c r="B35" i="16"/>
  <c r="B27" i="12"/>
  <c r="B28" i="16"/>
  <c r="B12" i="12"/>
  <c r="B13" i="16"/>
  <c r="B11" i="12"/>
  <c r="B12" i="16"/>
  <c r="B30" i="12"/>
  <c r="B31" i="16"/>
  <c r="B15" i="12"/>
  <c r="B16" i="16"/>
  <c r="B25" i="12"/>
  <c r="B26" i="16"/>
  <c r="B20" i="12"/>
  <c r="B21" i="16"/>
  <c r="B24" i="12"/>
  <c r="B25" i="16"/>
  <c r="B33" i="12"/>
  <c r="G33" i="12" s="1"/>
  <c r="B34" i="16"/>
  <c r="B36" i="12"/>
  <c r="H36" i="12" s="1"/>
  <c r="B37" i="16"/>
  <c r="B35" i="12"/>
  <c r="H35" i="12" s="1"/>
  <c r="B36" i="16"/>
  <c r="B23" i="12"/>
  <c r="B24" i="16"/>
  <c r="B21" i="12"/>
  <c r="B22" i="16"/>
  <c r="G32" i="15"/>
  <c r="B32" i="16"/>
  <c r="B28" i="12"/>
  <c r="B29" i="16"/>
  <c r="H32" i="12"/>
  <c r="B41" i="12"/>
  <c r="G42" i="15"/>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H50" i="12" l="1"/>
  <c r="G50" i="12"/>
  <c r="G55" i="12"/>
  <c r="H55" i="12"/>
  <c r="H46" i="12"/>
  <c r="G46" i="12"/>
  <c r="H45" i="12"/>
  <c r="G45" i="12"/>
  <c r="H52" i="12"/>
  <c r="G52" i="12"/>
  <c r="G54" i="12"/>
  <c r="H54" i="12"/>
  <c r="G48" i="12"/>
  <c r="H48" i="12"/>
  <c r="G51" i="12"/>
  <c r="H51" i="12"/>
  <c r="H44" i="12"/>
  <c r="G44" i="12"/>
  <c r="H47" i="12"/>
  <c r="G47" i="12"/>
  <c r="H53" i="12"/>
  <c r="G53" i="12"/>
  <c r="G49" i="12"/>
  <c r="H49" i="12"/>
  <c r="G43" i="12"/>
  <c r="H33" i="12"/>
  <c r="G37" i="12"/>
  <c r="G34" i="12"/>
  <c r="G35" i="12"/>
  <c r="G36" i="12"/>
  <c r="G32" i="12"/>
  <c r="H41" i="12"/>
  <c r="G41" i="12"/>
  <c r="G42" i="12"/>
  <c r="G10" i="15"/>
  <c r="H10" i="15"/>
  <c r="H9" i="15"/>
  <c r="G13" i="15"/>
  <c r="G12" i="15"/>
  <c r="H12" i="15"/>
  <c r="H11" i="15"/>
  <c r="G11" i="15"/>
  <c r="J67" i="1"/>
  <c r="H67" i="1"/>
  <c r="A117" i="19" l="1"/>
  <c r="A63" i="16" s="1"/>
  <c r="G67" i="1" l="1"/>
  <c r="F67" i="1"/>
  <c r="C67" i="1"/>
  <c r="C65" i="1"/>
  <c r="A20" i="2" l="1"/>
  <c r="C66" i="1"/>
  <c r="J66" i="1"/>
  <c r="H66" i="1"/>
  <c r="D67" i="1"/>
  <c r="B144" i="1" s="1"/>
  <c r="A26" i="19" s="1"/>
  <c r="I67" i="1"/>
  <c r="F66" i="1"/>
  <c r="G66" i="1"/>
  <c r="B68" i="1" l="1"/>
  <c r="B69" i="1"/>
  <c r="A4" i="24" s="1"/>
  <c r="A30" i="19"/>
  <c r="A29" i="19"/>
  <c r="A28" i="19" s="1"/>
  <c r="A27" i="19"/>
  <c r="D66" i="1"/>
  <c r="B72" i="1" s="1"/>
  <c r="I66" i="1"/>
  <c r="B73" i="1" s="1"/>
  <c r="E3" i="23" l="1"/>
  <c r="B74" i="1"/>
  <c r="B70" i="1"/>
  <c r="A3" i="19" s="1"/>
  <c r="E3" i="22"/>
  <c r="B71" i="1"/>
  <c r="A8" i="19" s="1"/>
  <c r="E3" i="16" l="1"/>
  <c r="A7" i="26"/>
  <c r="A28" i="7"/>
  <c r="A27" i="7"/>
  <c r="A7" i="28"/>
  <c r="A7" i="27"/>
  <c r="A12" i="7"/>
  <c r="A7" i="29"/>
  <c r="A11" i="7"/>
  <c r="A9" i="7"/>
  <c r="A8" i="7"/>
  <c r="B19" i="9"/>
  <c r="A2" i="27"/>
  <c r="A2" i="28"/>
  <c r="A2" i="29"/>
  <c r="A2" i="26"/>
  <c r="B165" i="1"/>
  <c r="A4" i="8" s="1"/>
  <c r="B142" i="1"/>
  <c r="E4" i="7" s="1"/>
  <c r="A39" i="20"/>
  <c r="B40" i="9"/>
  <c r="A19" i="2"/>
  <c r="D72" i="15"/>
  <c r="A70" i="15"/>
  <c r="A68" i="15"/>
  <c r="D64" i="15"/>
  <c r="D60" i="15"/>
  <c r="A60" i="15"/>
  <c r="A25" i="23" l="1"/>
  <c r="A14" i="8"/>
  <c r="A7" i="7"/>
  <c r="A10" i="7"/>
  <c r="A26" i="7"/>
  <c r="A15" i="3"/>
  <c r="H27" i="15"/>
  <c r="G27" i="15"/>
  <c r="G28" i="15"/>
  <c r="H28" i="15"/>
  <c r="G30" i="15"/>
  <c r="G31" i="15"/>
  <c r="H30" i="15"/>
  <c r="G29" i="15"/>
  <c r="H29" i="15"/>
  <c r="G26" i="15"/>
  <c r="H26" i="15"/>
  <c r="H24" i="15"/>
  <c r="G24" i="15"/>
  <c r="G25" i="15"/>
  <c r="A6" i="7" l="1"/>
  <c r="F2" i="15"/>
  <c r="B62" i="1" l="1"/>
  <c r="D67" i="15" l="1"/>
  <c r="D52" i="7"/>
  <c r="B19" i="13" l="1"/>
  <c r="B10" i="13"/>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40" i="8"/>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35" i="20"/>
  <c r="A41" i="8"/>
  <c r="A34" i="20"/>
  <c r="A42" i="8"/>
  <c r="A9" i="20" l="1"/>
  <c r="O123" i="1"/>
  <c r="E44" i="7"/>
  <c r="E31" i="20" s="1"/>
  <c r="E27" i="8" l="1"/>
  <c r="A23" i="2"/>
  <c r="E38" i="8"/>
  <c r="D72" i="12"/>
  <c r="A70" i="12"/>
  <c r="A68" i="12"/>
  <c r="D64" i="12"/>
  <c r="D60" i="12"/>
  <c r="A60" i="12"/>
  <c r="C8" i="12"/>
  <c r="C9" i="16" s="1"/>
  <c r="A32" i="20"/>
  <c r="A39" i="8"/>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63" i="15" l="1"/>
  <c r="A67" i="15"/>
  <c r="A72" i="15"/>
  <c r="D74" i="15"/>
  <c r="A62" i="15"/>
  <c r="A66" i="15"/>
  <c r="A65" i="15"/>
  <c r="A64" i="15"/>
  <c r="D63" i="15"/>
  <c r="D70" i="15"/>
  <c r="D62" i="15"/>
  <c r="A72" i="12"/>
  <c r="A66" i="12"/>
  <c r="A63" i="12"/>
  <c r="A67" i="12"/>
  <c r="A64" i="12"/>
  <c r="A13" i="3"/>
  <c r="A41" i="3" s="1"/>
  <c r="A65" i="12"/>
  <c r="D68" i="12"/>
  <c r="D66" i="12"/>
  <c r="D67" i="12"/>
  <c r="D63" i="12"/>
  <c r="D70" i="12"/>
  <c r="D62" i="12"/>
  <c r="A62"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I17" i="15" s="1"/>
  <c r="L9" i="15" l="1"/>
  <c r="E9" i="15" s="1"/>
  <c r="J14" i="15"/>
  <c r="K14" i="15" s="1"/>
  <c r="J13" i="15"/>
  <c r="K13" i="15" s="1"/>
  <c r="J17" i="15"/>
  <c r="K17" i="15" s="1"/>
  <c r="J16" i="15"/>
  <c r="K16" i="15" s="1"/>
  <c r="J15" i="15"/>
  <c r="K15" i="15" s="1"/>
  <c r="J18" i="15"/>
  <c r="K18" i="15" s="1"/>
  <c r="I18" i="15" s="1"/>
  <c r="J19" i="15" s="1"/>
  <c r="K19" i="15" s="1"/>
  <c r="I19" i="15" s="1"/>
  <c r="D9" i="15" l="1"/>
  <c r="C10" i="15" s="1"/>
  <c r="I20" i="15"/>
  <c r="I21" i="15" s="1"/>
  <c r="I22" i="15" s="1"/>
  <c r="J20" i="15"/>
  <c r="K20" i="15" s="1"/>
  <c r="L10" i="15" l="1"/>
  <c r="E10" i="15" s="1"/>
  <c r="M9" i="15"/>
  <c r="F9" i="15" s="1"/>
  <c r="J21" i="15"/>
  <c r="K21" i="15" s="1"/>
  <c r="J22" i="15"/>
  <c r="K22" i="15" s="1"/>
  <c r="J23" i="15"/>
  <c r="K23" i="15" s="1"/>
  <c r="I23" i="15" s="1"/>
  <c r="D10" i="15" l="1"/>
  <c r="I24" i="15"/>
  <c r="J25" i="15" s="1"/>
  <c r="K25" i="15" s="1"/>
  <c r="I25" i="15" s="1"/>
  <c r="J26" i="15" s="1"/>
  <c r="K26" i="15" s="1"/>
  <c r="J24" i="15"/>
  <c r="K24" i="15" s="1"/>
  <c r="M10" i="15" l="1"/>
  <c r="F10" i="15" s="1"/>
  <c r="C11" i="15"/>
  <c r="I26" i="15"/>
  <c r="I27" i="15" s="1"/>
  <c r="I28" i="15" s="1"/>
  <c r="L11" i="15" l="1"/>
  <c r="E11" i="15" s="1"/>
  <c r="J28" i="15"/>
  <c r="K28" i="15" s="1"/>
  <c r="J29" i="15"/>
  <c r="K29" i="15" s="1"/>
  <c r="I29" i="15" s="1"/>
  <c r="J27" i="15"/>
  <c r="K27" i="15" s="1"/>
  <c r="D11" i="15" l="1"/>
  <c r="I30" i="15"/>
  <c r="J31" i="15" s="1"/>
  <c r="K31" i="15" s="1"/>
  <c r="I31" i="15" s="1"/>
  <c r="J32" i="15" s="1"/>
  <c r="K32" i="15" s="1"/>
  <c r="J30" i="15"/>
  <c r="K30" i="15" s="1"/>
  <c r="M11" i="15" l="1"/>
  <c r="F11" i="15" s="1"/>
  <c r="C12" i="15"/>
  <c r="I32" i="15"/>
  <c r="J33" i="15" s="1"/>
  <c r="K33" i="15" s="1"/>
  <c r="I33" i="15" s="1"/>
  <c r="L12" i="15" l="1"/>
  <c r="E12" i="15" s="1"/>
  <c r="I34" i="15"/>
  <c r="J35" i="15" s="1"/>
  <c r="K35" i="15" s="1"/>
  <c r="J34" i="15"/>
  <c r="K34" i="15" s="1"/>
  <c r="D12" i="15" l="1"/>
  <c r="I35" i="15"/>
  <c r="C13" i="15" l="1"/>
  <c r="M12" i="15"/>
  <c r="F12" i="15" s="1"/>
  <c r="J36" i="15"/>
  <c r="K36" i="15" s="1"/>
  <c r="I36" i="15"/>
  <c r="L13" i="15" l="1"/>
  <c r="E13" i="15" s="1"/>
  <c r="J37" i="15"/>
  <c r="K37" i="15" s="1"/>
  <c r="I37" i="15" s="1"/>
  <c r="D13" i="15" l="1"/>
  <c r="I38" i="15"/>
  <c r="J38" i="15"/>
  <c r="K38" i="15" s="1"/>
  <c r="C14" i="15" l="1"/>
  <c r="M13" i="15"/>
  <c r="F13" i="15" s="1"/>
  <c r="I39" i="15"/>
  <c r="J39" i="15"/>
  <c r="K39" i="15" s="1"/>
  <c r="L14" i="15" l="1"/>
  <c r="E14" i="15" s="1"/>
  <c r="J40" i="15"/>
  <c r="K40" i="15" s="1"/>
  <c r="I40" i="15" s="1"/>
  <c r="D14" i="15" l="1"/>
  <c r="J41" i="15"/>
  <c r="K41" i="15" s="1"/>
  <c r="I41" i="15" s="1"/>
  <c r="I42" i="15" s="1"/>
  <c r="C15" i="15" l="1"/>
  <c r="M14" i="15"/>
  <c r="F14" i="15" s="1"/>
  <c r="J42" i="15"/>
  <c r="K42" i="15" s="1"/>
  <c r="J43" i="15"/>
  <c r="K43" i="15" s="1"/>
  <c r="I43" i="15" s="1"/>
  <c r="I44" i="15" l="1"/>
  <c r="J44" i="15"/>
  <c r="K44" i="15" s="1"/>
  <c r="L15" i="15"/>
  <c r="E15" i="15" s="1"/>
  <c r="I45" i="15" l="1"/>
  <c r="J45" i="15"/>
  <c r="K45" i="15" s="1"/>
  <c r="D15" i="15"/>
  <c r="I46" i="15" l="1"/>
  <c r="J46" i="15"/>
  <c r="K46" i="15" s="1"/>
  <c r="C16" i="15"/>
  <c r="M15" i="15"/>
  <c r="F15" i="15" s="1"/>
  <c r="I47" i="15" l="1"/>
  <c r="J47" i="15"/>
  <c r="K47" i="15" s="1"/>
  <c r="L16" i="15"/>
  <c r="E16" i="15" s="1"/>
  <c r="I48" i="15" l="1"/>
  <c r="J48" i="15"/>
  <c r="K48" i="15" s="1"/>
  <c r="D16" i="15"/>
  <c r="I49" i="15" l="1"/>
  <c r="J49" i="15"/>
  <c r="K49" i="15" s="1"/>
  <c r="C17" i="15"/>
  <c r="M16" i="15"/>
  <c r="F16" i="15" s="1"/>
  <c r="I50" i="15" l="1"/>
  <c r="J50" i="15"/>
  <c r="K50" i="15" s="1"/>
  <c r="L17" i="15"/>
  <c r="E17" i="15" s="1"/>
  <c r="I51" i="15" l="1"/>
  <c r="J51" i="15"/>
  <c r="K51" i="15" s="1"/>
  <c r="D17" i="15"/>
  <c r="I52" i="15" l="1"/>
  <c r="J52" i="15"/>
  <c r="K52" i="15" s="1"/>
  <c r="C18" i="15"/>
  <c r="M17" i="15"/>
  <c r="F17" i="15" s="1"/>
  <c r="I53" i="15" l="1"/>
  <c r="J53" i="15"/>
  <c r="K53" i="15" s="1"/>
  <c r="L18" i="15"/>
  <c r="E18" i="15" s="1"/>
  <c r="I54" i="15" l="1"/>
  <c r="J55" i="15" s="1"/>
  <c r="K55" i="15" s="1"/>
  <c r="I55" i="15" s="1"/>
  <c r="J54" i="15"/>
  <c r="K54" i="15" s="1"/>
  <c r="D18" i="15"/>
  <c r="C19" i="15" l="1"/>
  <c r="M18" i="15"/>
  <c r="F18" i="15" s="1"/>
  <c r="L19" i="15" l="1"/>
  <c r="D19" i="15" s="1"/>
  <c r="E19" i="15" l="1"/>
  <c r="M19" i="15" s="1"/>
  <c r="F19" i="15" s="1"/>
  <c r="C20" i="15"/>
  <c r="L20" i="15" l="1"/>
  <c r="E20" i="15" s="1"/>
  <c r="D20" i="15" l="1"/>
  <c r="M20" i="15" s="1"/>
  <c r="F20" i="15" s="1"/>
  <c r="C21" i="15" l="1"/>
  <c r="L21" i="15" s="1"/>
  <c r="E21" i="15" s="1"/>
  <c r="D21" i="15" l="1"/>
  <c r="C22" i="15" l="1"/>
  <c r="M21" i="15"/>
  <c r="F21" i="15" s="1"/>
  <c r="L22" i="15" l="1"/>
  <c r="E22" i="15" s="1"/>
  <c r="D22" i="15" l="1"/>
  <c r="C23" i="15" s="1"/>
  <c r="M22" i="15" l="1"/>
  <c r="F22" i="15" s="1"/>
  <c r="L23" i="15"/>
  <c r="E23" i="15" s="1"/>
  <c r="D23" i="15" l="1"/>
  <c r="C24" i="15" s="1"/>
  <c r="M23" i="15" l="1"/>
  <c r="F23" i="15" s="1"/>
  <c r="L24" i="15"/>
  <c r="E24" i="15" s="1"/>
  <c r="D24" i="15" l="1"/>
  <c r="M24" i="15" l="1"/>
  <c r="F24" i="15" s="1"/>
  <c r="C25" i="15"/>
  <c r="L25" i="15" l="1"/>
  <c r="E25" i="15" s="1"/>
  <c r="D25" i="15" l="1"/>
  <c r="M25" i="15" s="1"/>
  <c r="F25" i="15" s="1"/>
  <c r="C26" i="15" l="1"/>
  <c r="L26" i="15" s="1"/>
  <c r="D26" i="15" s="1"/>
  <c r="C27" i="15" s="1"/>
  <c r="E26" i="15" l="1"/>
  <c r="M26" i="15" s="1"/>
  <c r="F26" i="15" s="1"/>
  <c r="L27" i="15"/>
  <c r="D27" i="15" s="1"/>
  <c r="C28" i="15" s="1"/>
  <c r="E27" i="15" l="1"/>
  <c r="M27" i="15" s="1"/>
  <c r="F27" i="15" s="1"/>
  <c r="L28" i="15"/>
  <c r="D28" i="15" s="1"/>
  <c r="C29" i="15" s="1"/>
  <c r="E28" i="15" l="1"/>
  <c r="M28" i="15" s="1"/>
  <c r="F28" i="15" s="1"/>
  <c r="L29" i="15"/>
  <c r="D29" i="15" s="1"/>
  <c r="C30" i="15" s="1"/>
  <c r="E29" i="15" l="1"/>
  <c r="M29" i="15" s="1"/>
  <c r="F29" i="15" s="1"/>
  <c r="L30" i="15"/>
  <c r="D30" i="15" s="1"/>
  <c r="C31" i="15" s="1"/>
  <c r="E30" i="15" l="1"/>
  <c r="M30" i="15" s="1"/>
  <c r="F30" i="15" s="1"/>
  <c r="L31" i="15"/>
  <c r="D31" i="15" s="1"/>
  <c r="C32" i="15" s="1"/>
  <c r="E31" i="15" l="1"/>
  <c r="M31" i="15" s="1"/>
  <c r="F31" i="15" s="1"/>
  <c r="L32" i="15"/>
  <c r="E32" i="15" s="1"/>
  <c r="D32" i="15" l="1"/>
  <c r="C33" i="15" s="1"/>
  <c r="M32" i="15" l="1"/>
  <c r="F32" i="15" s="1"/>
  <c r="L33" i="15"/>
  <c r="E33" i="15" s="1"/>
  <c r="D33" i="15" l="1"/>
  <c r="C34" i="15" s="1"/>
  <c r="M33" i="15" l="1"/>
  <c r="F33" i="15" s="1"/>
  <c r="L34" i="15"/>
  <c r="E34" i="15" s="1"/>
  <c r="D34" i="15" l="1"/>
  <c r="C35" i="15" l="1"/>
  <c r="M34" i="15"/>
  <c r="F34" i="15" s="1"/>
  <c r="L35" i="15" l="1"/>
  <c r="E35" i="15" s="1"/>
  <c r="D35" i="15" l="1"/>
  <c r="C36" i="15" l="1"/>
  <c r="M35" i="15"/>
  <c r="F35" i="15" s="1"/>
  <c r="L36" i="15" l="1"/>
  <c r="E36" i="15" s="1"/>
  <c r="D36" i="15" l="1"/>
  <c r="C37" i="15" l="1"/>
  <c r="M36" i="15"/>
  <c r="F36" i="15" s="1"/>
  <c r="L37" i="15" l="1"/>
  <c r="E37" i="15" s="1"/>
  <c r="D37" i="15" l="1"/>
  <c r="M37" i="15" l="1"/>
  <c r="F37" i="15" s="1"/>
  <c r="C38" i="15"/>
  <c r="L38" i="15" l="1"/>
  <c r="E38" i="15" s="1"/>
  <c r="D38" i="15" l="1"/>
  <c r="C39" i="15" l="1"/>
  <c r="M38" i="15"/>
  <c r="F38" i="15" s="1"/>
  <c r="L39" i="15" l="1"/>
  <c r="E39" i="15" s="1"/>
  <c r="D39" i="15" l="1"/>
  <c r="M39" i="15" l="1"/>
  <c r="F39" i="15" s="1"/>
  <c r="C40" i="15"/>
  <c r="L40" i="15" l="1"/>
  <c r="E40" i="15" s="1"/>
  <c r="D40" i="15" l="1"/>
  <c r="C41" i="15" s="1"/>
  <c r="M40" i="15" l="1"/>
  <c r="F40" i="15" s="1"/>
  <c r="L41" i="15"/>
  <c r="E41" i="15" s="1"/>
  <c r="D41" i="15" l="1"/>
  <c r="M41" i="15" s="1"/>
  <c r="F41" i="15" s="1"/>
  <c r="C42" i="15" l="1"/>
  <c r="L42" i="15" s="1"/>
  <c r="E42" i="15" s="1"/>
  <c r="D42" i="15" l="1"/>
  <c r="M42" i="15" s="1"/>
  <c r="F42" i="15" s="1"/>
  <c r="C43" i="15" l="1"/>
  <c r="L43" i="15" l="1"/>
  <c r="E43" i="15" s="1"/>
  <c r="E56" i="15" s="1"/>
  <c r="D43" i="15" l="1"/>
  <c r="D56" i="15" s="1"/>
  <c r="C44" i="15" l="1"/>
  <c r="L44" i="15" s="1"/>
  <c r="E44" i="15" s="1"/>
  <c r="M43" i="15"/>
  <c r="F43" i="15" s="1"/>
  <c r="F56" i="15" s="1"/>
  <c r="D44" i="15" l="1"/>
  <c r="C45" i="15" s="1"/>
  <c r="L45" i="15" s="1"/>
  <c r="E45" i="15" l="1"/>
  <c r="D45" i="15"/>
  <c r="C46" i="15" s="1"/>
  <c r="L46" i="15" s="1"/>
  <c r="E46" i="15" s="1"/>
  <c r="M44" i="15"/>
  <c r="F44" i="15" s="1"/>
  <c r="M45" i="15" l="1"/>
  <c r="F45" i="15" s="1"/>
  <c r="D46" i="15"/>
  <c r="C47" i="15" s="1"/>
  <c r="L47" i="15" s="1"/>
  <c r="E47" i="15" s="1"/>
  <c r="M46" i="15" l="1"/>
  <c r="F46" i="15" s="1"/>
  <c r="D47" i="15"/>
  <c r="C48" i="15" s="1"/>
  <c r="L48" i="15" s="1"/>
  <c r="E48" i="15" s="1"/>
  <c r="M47" i="15" l="1"/>
  <c r="F47" i="15" s="1"/>
  <c r="D48" i="15"/>
  <c r="C49" i="15" s="1"/>
  <c r="L49" i="15" s="1"/>
  <c r="M48" i="15" l="1"/>
  <c r="F48" i="15" s="1"/>
  <c r="E49" i="15"/>
  <c r="D49" i="15"/>
  <c r="M49" i="15" l="1"/>
  <c r="F49" i="15" s="1"/>
  <c r="C50" i="15"/>
  <c r="L50" i="15" s="1"/>
  <c r="E50" i="15" s="1"/>
  <c r="D50" i="15" l="1"/>
  <c r="M50" i="15" s="1"/>
  <c r="F50" i="15" s="1"/>
  <c r="C51" i="15" l="1"/>
  <c r="L51" i="15" s="1"/>
  <c r="E51" i="15" s="1"/>
  <c r="D51" i="15" l="1"/>
  <c r="M51" i="15" s="1"/>
  <c r="F51" i="15" s="1"/>
  <c r="C52" i="15" l="1"/>
  <c r="L52" i="15" s="1"/>
  <c r="E52" i="15" s="1"/>
  <c r="D52" i="15" l="1"/>
  <c r="C53" i="15" s="1"/>
  <c r="L53" i="15" s="1"/>
  <c r="E53" i="15" s="1"/>
  <c r="M52" i="15" l="1"/>
  <c r="F52" i="15" s="1"/>
  <c r="D53" i="15"/>
  <c r="C54" i="15" s="1"/>
  <c r="M53" i="15" l="1"/>
  <c r="F53" i="15" s="1"/>
  <c r="L54" i="15"/>
  <c r="E54" i="15" s="1"/>
  <c r="D54" i="15" l="1"/>
  <c r="C55" i="15" s="1"/>
  <c r="L55" i="15" s="1"/>
  <c r="E55" i="15" s="1"/>
  <c r="M54" i="15" l="1"/>
  <c r="F54" i="15" s="1"/>
  <c r="D55" i="15"/>
  <c r="M55" i="15" s="1"/>
  <c r="F55" i="15" s="1"/>
  <c r="D14" i="16" l="1"/>
  <c r="E15" i="16" l="1"/>
  <c r="D15" i="16" l="1"/>
  <c r="C16" i="16" l="1"/>
  <c r="E16" i="16" l="1"/>
  <c r="D16" i="16" l="1"/>
  <c r="C17" i="16" l="1"/>
  <c r="E17" i="16" l="1"/>
  <c r="D17" i="16" l="1"/>
  <c r="C18" i="16" l="1"/>
  <c r="E18" i="16" l="1"/>
  <c r="D18" i="16" l="1"/>
  <c r="C19" i="16" l="1"/>
  <c r="E19" i="16" l="1"/>
  <c r="D19" i="16" l="1"/>
  <c r="C20" i="16" l="1"/>
  <c r="E20" i="16" l="1"/>
  <c r="F20" i="16"/>
  <c r="F21" i="16"/>
  <c r="D20" i="16"/>
  <c r="C21" i="16"/>
  <c r="E21" i="16" l="1"/>
  <c r="F23" i="16" l="1"/>
  <c r="D21" i="16"/>
  <c r="C22" i="16" l="1"/>
  <c r="F24" i="16"/>
  <c r="F25" i="16" l="1"/>
  <c r="E22" i="16"/>
  <c r="D22" i="16" l="1"/>
  <c r="F26" i="16"/>
  <c r="F27" i="16" l="1"/>
  <c r="C23" i="16"/>
  <c r="E23" i="16" l="1"/>
  <c r="F28" i="16"/>
  <c r="F29" i="16" l="1"/>
  <c r="D23" i="16"/>
  <c r="C24" i="16" l="1"/>
  <c r="F30" i="16"/>
  <c r="F31" i="16" l="1"/>
  <c r="E24" i="16"/>
  <c r="D24" i="16" l="1"/>
  <c r="F32" i="16"/>
  <c r="F33" i="16" l="1"/>
  <c r="C25" i="16"/>
  <c r="E25" i="16" l="1"/>
  <c r="F34" i="16"/>
  <c r="F35" i="16" l="1"/>
  <c r="D25" i="16"/>
  <c r="C26" i="16" l="1"/>
  <c r="F36" i="16"/>
  <c r="F37" i="16" l="1"/>
  <c r="E26" i="16"/>
  <c r="D26" i="16" l="1"/>
  <c r="F38" i="16"/>
  <c r="F39" i="16" l="1"/>
  <c r="C27" i="16"/>
  <c r="E27" i="16" l="1"/>
  <c r="F40" i="16"/>
  <c r="F41" i="16" l="1"/>
  <c r="D27" i="16"/>
  <c r="C28" i="16" l="1"/>
  <c r="F42" i="16"/>
  <c r="F43" i="16" l="1"/>
  <c r="E28" i="16"/>
  <c r="D28" i="16" l="1"/>
  <c r="F44" i="16"/>
  <c r="F45" i="16" l="1"/>
  <c r="C29" i="16"/>
  <c r="E29" i="16" l="1"/>
  <c r="F46" i="16"/>
  <c r="F47" i="16" l="1"/>
  <c r="D29" i="16"/>
  <c r="C30" i="16" l="1"/>
  <c r="F48" i="16"/>
  <c r="F49" i="16" l="1"/>
  <c r="E30" i="16"/>
  <c r="D30" i="16" l="1"/>
  <c r="F50" i="16"/>
  <c r="F51" i="16" l="1"/>
  <c r="C31" i="16"/>
  <c r="E31" i="16" l="1"/>
  <c r="F52" i="16"/>
  <c r="F53" i="16" l="1"/>
  <c r="D31" i="16"/>
  <c r="C32" i="16" l="1"/>
  <c r="F54" i="16"/>
  <c r="F55" i="16" l="1"/>
  <c r="E32" i="16"/>
  <c r="D32" i="16" l="1"/>
  <c r="C33" i="16" l="1"/>
  <c r="E33" i="16" l="1"/>
  <c r="D33" i="16" l="1"/>
  <c r="C34" i="16" l="1"/>
  <c r="E34" i="16" l="1"/>
  <c r="D34" i="16" l="1"/>
  <c r="C35" i="16" l="1"/>
  <c r="E35" i="16" l="1"/>
  <c r="D35" i="16" l="1"/>
  <c r="C36" i="16" l="1"/>
  <c r="E36" i="16" l="1"/>
  <c r="D36" i="16" l="1"/>
  <c r="C37" i="16" l="1"/>
  <c r="E37" i="16" l="1"/>
  <c r="D37" i="16" l="1"/>
  <c r="C38" i="16" l="1"/>
  <c r="E38" i="16" l="1"/>
  <c r="D38" i="16" l="1"/>
  <c r="C39" i="16" l="1"/>
  <c r="E39" i="16" l="1"/>
  <c r="D39" i="16" l="1"/>
  <c r="C40" i="16" l="1"/>
  <c r="E40" i="16" l="1"/>
  <c r="D40" i="16" l="1"/>
  <c r="C41" i="16" l="1"/>
  <c r="E41" i="16" l="1"/>
  <c r="D41" i="16" l="1"/>
  <c r="C42" i="16" l="1"/>
  <c r="E42" i="16" l="1"/>
  <c r="D42" i="16" l="1"/>
  <c r="C43" i="16" l="1"/>
  <c r="E43" i="16" l="1"/>
  <c r="D43" i="16" l="1"/>
  <c r="C44" i="16" l="1"/>
  <c r="E44" i="16" l="1"/>
  <c r="D44" i="16" l="1"/>
  <c r="C45" i="16" l="1"/>
  <c r="E45" i="16" l="1"/>
  <c r="D45" i="16" l="1"/>
  <c r="C46" i="16" l="1"/>
  <c r="E46" i="16" l="1"/>
  <c r="D46" i="16" l="1"/>
  <c r="C47" i="16" l="1"/>
  <c r="E47" i="16" l="1"/>
  <c r="D47" i="16" l="1"/>
  <c r="C48" i="16" l="1"/>
  <c r="E48" i="16" l="1"/>
  <c r="D48" i="16" l="1"/>
  <c r="C49" i="16" l="1"/>
  <c r="E49" i="16" l="1"/>
  <c r="D49" i="16" l="1"/>
  <c r="C50" i="16" l="1"/>
  <c r="E50" i="16" l="1"/>
  <c r="D50" i="16" l="1"/>
  <c r="C51" i="16" l="1"/>
  <c r="E51" i="16" l="1"/>
  <c r="D51" i="16" l="1"/>
  <c r="C52" i="16" l="1"/>
  <c r="E52" i="16" l="1"/>
  <c r="D52" i="16" l="1"/>
  <c r="C53" i="16" l="1"/>
  <c r="E53" i="16" l="1"/>
  <c r="D53" i="16" l="1"/>
  <c r="C54" i="16" l="1"/>
  <c r="E54" i="16" l="1"/>
  <c r="D54" i="16" l="1"/>
  <c r="C55" i="16" l="1"/>
  <c r="E55" i="16" l="1"/>
  <c r="D55" i="16" l="1"/>
  <c r="C56" i="16" l="1"/>
  <c r="D56" i="16" l="1"/>
  <c r="D9" i="16"/>
  <c r="D10" i="16"/>
  <c r="D11" i="16"/>
  <c r="D12" i="16"/>
  <c r="D13" i="16"/>
  <c r="F56" i="16"/>
  <c r="F9" i="16"/>
  <c r="F10" i="16"/>
  <c r="F11" i="16"/>
  <c r="F12" i="16"/>
  <c r="F13" i="16"/>
  <c r="F14" i="16"/>
  <c r="F15" i="16"/>
  <c r="F16" i="16"/>
  <c r="F17" i="16"/>
  <c r="F18" i="16"/>
  <c r="F19" i="16"/>
  <c r="F22" i="16"/>
  <c r="E56" i="16"/>
  <c r="E10" i="16"/>
  <c r="E11" i="16"/>
  <c r="E12" i="16"/>
  <c r="E13" i="16"/>
  <c r="E14" i="16"/>
  <c r="C15" i="16"/>
  <c r="C14" i="16"/>
  <c r="C13" i="16"/>
  <c r="C12" i="16"/>
  <c r="C11" i="16"/>
  <c r="C10" i="16"/>
  <c r="D57" i="16" l="1"/>
  <c r="F57" i="16"/>
  <c r="E57" i="16"/>
  <c r="B90" i="1"/>
  <c r="C63" i="1"/>
  <c r="C60" i="1" s="1"/>
  <c r="A24" i="3" l="1"/>
  <c r="A23" i="3"/>
  <c r="A22" i="3" s="1"/>
  <c r="F8" i="12"/>
  <c r="F9" i="12" l="1"/>
  <c r="D8" i="12"/>
  <c r="C9" i="12" l="1"/>
  <c r="F10" i="12"/>
  <c r="F11" i="12" l="1"/>
  <c r="E9" i="12"/>
  <c r="D9" i="12" l="1"/>
  <c r="F12" i="12"/>
  <c r="F13" i="12" l="1"/>
  <c r="C10" i="12"/>
  <c r="F14" i="12" l="1"/>
  <c r="E10" i="12"/>
  <c r="F15" i="12" l="1"/>
  <c r="D10" i="12"/>
  <c r="C11" i="12" l="1"/>
  <c r="F16" i="12"/>
  <c r="F17" i="12" l="1"/>
  <c r="E11" i="12"/>
  <c r="D11" i="12" l="1"/>
  <c r="F18" i="12"/>
  <c r="F19" i="12" l="1"/>
  <c r="C12" i="12"/>
  <c r="E12" i="12" l="1"/>
  <c r="F20" i="12"/>
  <c r="F21" i="12" l="1"/>
  <c r="D12" i="12"/>
  <c r="C13" i="12" l="1"/>
  <c r="F22" i="12"/>
  <c r="F23" i="12" l="1"/>
  <c r="E1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E21" i="12" l="1"/>
  <c r="D21" i="12" s="1"/>
  <c r="C22" i="12" s="1"/>
  <c r="E22" i="12" l="1"/>
  <c r="D22" i="12" s="1"/>
  <c r="C23" i="12" s="1"/>
  <c r="E23" i="12" l="1"/>
  <c r="D23" i="12" s="1"/>
  <c r="C24" i="12" s="1"/>
  <c r="E24" i="12" l="1"/>
  <c r="D24" i="12" s="1"/>
  <c r="C25" i="12" s="1"/>
  <c r="E25" i="12" l="1"/>
  <c r="D25" i="12" s="1"/>
  <c r="C26" i="12" s="1"/>
  <c r="E26" i="12" l="1"/>
  <c r="D26" i="12" s="1"/>
  <c r="C27" i="12" s="1"/>
  <c r="E27" i="12" l="1"/>
  <c r="D27" i="12" s="1"/>
  <c r="C28" i="12" s="1"/>
  <c r="E28" i="12" l="1"/>
  <c r="D28" i="12" s="1"/>
  <c r="C29" i="12" s="1"/>
  <c r="E29" i="12" l="1"/>
  <c r="D29" i="12" s="1"/>
  <c r="C30" i="12" s="1"/>
  <c r="E30" i="12" l="1"/>
  <c r="D30" i="12" s="1"/>
  <c r="C31" i="12" s="1"/>
  <c r="E31" i="12" l="1"/>
  <c r="F31" i="12"/>
  <c r="D31" i="12" l="1"/>
  <c r="C32" i="12" s="1"/>
  <c r="E32" i="12" s="1"/>
  <c r="F32" i="12" l="1"/>
  <c r="D32" i="12" s="1"/>
  <c r="C33" i="12" s="1"/>
  <c r="E33" i="12" s="1"/>
  <c r="F33" i="12" l="1"/>
  <c r="D33" i="12" l="1"/>
  <c r="F34" i="12"/>
  <c r="C34" i="12" l="1"/>
  <c r="F35" i="12"/>
  <c r="F36" i="12" l="1"/>
  <c r="E34" i="12"/>
  <c r="D34" i="12" l="1"/>
  <c r="F37" i="12"/>
  <c r="F38" i="12" l="1"/>
  <c r="C35" i="12"/>
  <c r="F39" i="12" l="1"/>
  <c r="E35" i="12"/>
  <c r="D35" i="12" l="1"/>
  <c r="F40" i="12"/>
  <c r="F41" i="12" l="1"/>
  <c r="C36" i="12"/>
  <c r="E36" i="12" l="1"/>
  <c r="F42" i="12"/>
  <c r="D36" i="12" l="1"/>
  <c r="C37" i="12" l="1"/>
  <c r="E37" i="12" l="1"/>
  <c r="D37" i="12" l="1"/>
  <c r="C38" i="12" l="1"/>
  <c r="E38" i="12" l="1"/>
  <c r="D38" i="12" l="1"/>
  <c r="C39" i="12" s="1"/>
  <c r="E39" i="12" l="1"/>
  <c r="D39" i="12" s="1"/>
  <c r="C40" i="12" s="1"/>
  <c r="E40" i="12" l="1"/>
  <c r="D40" i="12" s="1"/>
  <c r="C41" i="12" s="1"/>
  <c r="E41" i="12" l="1"/>
  <c r="D41" i="12" s="1"/>
  <c r="C42" i="12" s="1"/>
  <c r="E42" i="12" l="1"/>
  <c r="D42" i="12" s="1"/>
  <c r="C43" i="12" s="1"/>
  <c r="E43" i="12" l="1"/>
  <c r="E56" i="12" s="1"/>
  <c r="D43" i="12"/>
  <c r="F43" i="12" l="1"/>
  <c r="F56" i="12" s="1"/>
  <c r="D56" i="12"/>
  <c r="C44" i="12"/>
  <c r="D44" i="12" l="1"/>
  <c r="C45" i="12" s="1"/>
  <c r="E44" i="12"/>
  <c r="D45" i="12" l="1"/>
  <c r="C46" i="12" s="1"/>
  <c r="E45" i="12"/>
  <c r="F44" i="12"/>
  <c r="E46" i="12" l="1"/>
  <c r="D46" i="12"/>
  <c r="F45" i="12"/>
  <c r="F46" i="12" l="1"/>
  <c r="C47" i="12"/>
  <c r="D47" i="12"/>
  <c r="C48" i="12" s="1"/>
  <c r="E47" i="12"/>
  <c r="D48" i="12" l="1"/>
  <c r="C49" i="12" s="1"/>
  <c r="E48" i="12"/>
  <c r="F47" i="12"/>
  <c r="D49" i="12" l="1"/>
  <c r="C50" i="12" s="1"/>
  <c r="E49" i="12"/>
  <c r="F48" i="12"/>
  <c r="E50" i="12" l="1"/>
  <c r="D50" i="12"/>
  <c r="F49" i="12"/>
  <c r="F50" i="12" l="1"/>
  <c r="C51" i="12"/>
  <c r="E51" i="12" s="1"/>
  <c r="D51" i="12" l="1"/>
  <c r="F51" i="12"/>
  <c r="C52" i="12"/>
  <c r="D52" i="12" l="1"/>
  <c r="C53" i="12" s="1"/>
  <c r="E52" i="12"/>
  <c r="D53" i="12" l="1"/>
  <c r="C54" i="12" s="1"/>
  <c r="E53" i="12"/>
  <c r="F52" i="12"/>
  <c r="D54" i="12" l="1"/>
  <c r="E54" i="12"/>
  <c r="F53" i="12"/>
  <c r="F54" i="12" l="1"/>
  <c r="C55" i="12"/>
  <c r="D55" i="12" l="1"/>
  <c r="E55" i="12"/>
  <c r="F55" i="12" l="1"/>
</calcChain>
</file>

<file path=xl/sharedStrings.xml><?xml version="1.0" encoding="utf-8"?>
<sst xmlns="http://schemas.openxmlformats.org/spreadsheetml/2006/main" count="611" uniqueCount="455">
  <si>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</si>
  <si>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</si>
  <si>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</si>
  <si>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</si>
  <si>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</si>
  <si>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</si>
  <si>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</si>
  <si>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</si>
  <si>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</si>
  <si>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</si>
  <si>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</si>
  <si>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</si>
  <si>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</si>
  <si>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</si>
  <si>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</si>
  <si>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</si>
  <si>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</si>
  <si>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</si>
  <si>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</si>
  <si>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</si>
  <si>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</si>
  <si>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</si>
  <si>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</si>
  <si>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</si>
  <si>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</si>
  <si>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</si>
  <si>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</si>
  <si>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</si>
  <si>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</si>
  <si>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</si>
  <si>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</si>
  <si>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</si>
  <si>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</si>
  <si>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</si>
  <si>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</si>
  <si>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</si>
  <si>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</si>
  <si>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</si>
  <si>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</si>
  <si>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</si>
  <si>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</si>
  <si>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</si>
  <si>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</si>
  <si>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</si>
  <si>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</si>
  <si>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</si>
  <si>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</si>
  <si>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</si>
  <si>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</si>
  <si>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</si>
  <si>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</si>
  <si>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</si>
  <si>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</si>
  <si>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</si>
  <si>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</si>
  <si>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</si>
  <si>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</si>
  <si>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</si>
  <si>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</si>
  <si>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</si>
  <si>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</si>
  <si>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</si>
  <si>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</si>
  <si>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</si>
  <si>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</si>
  <si>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</si>
  <si>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</si>
  <si>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</si>
  <si>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</si>
  <si>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</si>
  <si>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</si>
  <si>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</si>
  <si>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</si>
  <si>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</si>
  <si>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</si>
  <si>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</si>
  <si>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</si>
  <si>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</si>
  <si>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</si>
  <si>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</si>
  <si>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</si>
  <si>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</si>
  <si>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</si>
  <si>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</si>
  <si>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</si>
  <si>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</si>
  <si>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</si>
  <si>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</si>
  <si>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</si>
  <si>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</si>
  <si>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</si>
  <si>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</si>
  <si>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</si>
  <si>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</si>
  <si>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</si>
  <si>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</si>
  <si>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</si>
  <si>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</si>
  <si>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</si>
  <si>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</si>
  <si>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</si>
  <si>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</si>
  <si>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</si>
  <si>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</si>
  <si>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</si>
  <si>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</si>
  <si>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</si>
  <si>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</si>
  <si>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</si>
  <si>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</si>
  <si>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</si>
  <si>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</si>
  <si>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</si>
  <si>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</si>
  <si>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</si>
  <si>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</si>
  <si>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</si>
  <si>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</si>
  <si>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</si>
  <si>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</si>
  <si>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</si>
  <si>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</si>
  <si>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</si>
  <si>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</si>
  <si>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</si>
  <si>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</si>
  <si>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</si>
  <si>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</si>
  <si>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</si>
  <si>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</si>
  <si>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</si>
  <si>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</si>
  <si>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</si>
  <si>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</si>
  <si>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</si>
  <si>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</si>
  <si>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</si>
  <si>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</si>
  <si>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</si>
  <si>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</si>
  <si>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</si>
  <si>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</si>
  <si>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</si>
  <si>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</si>
  <si>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</si>
  <si>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</si>
  <si>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</si>
  <si>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</si>
  <si>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</si>
  <si>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</si>
  <si>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</si>
  <si>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</si>
  <si>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</si>
  <si>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</si>
  <si>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</si>
  <si>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</si>
  <si>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</si>
  <si>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</si>
  <si>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</si>
  <si>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</si>
  <si>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</si>
  <si>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</si>
  <si>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</si>
  <si>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</si>
  <si>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</si>
  <si>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</si>
  <si>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</si>
  <si>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</si>
  <si>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</si>
  <si>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</si>
  <si>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</si>
  <si>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</si>
  <si>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</si>
  <si>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</si>
  <si>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</si>
  <si>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</si>
  <si>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</si>
  <si>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</si>
  <si>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</si>
  <si>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</si>
  <si>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</si>
  <si>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</si>
  <si>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</si>
  <si>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</si>
  <si>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</si>
  <si>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</si>
  <si>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</si>
  <si>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</si>
  <si>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</si>
  <si>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</si>
  <si>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</si>
  <si>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</si>
  <si>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</si>
  <si>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</si>
  <si>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</si>
  <si>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</si>
  <si>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</si>
  <si>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</si>
  <si>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</si>
  <si>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</si>
  <si>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</si>
  <si>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</si>
  <si>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</si>
  <si>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</si>
  <si>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</si>
  <si>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</si>
  <si>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</si>
  <si>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</si>
  <si>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</si>
  <si>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</si>
  <si>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</si>
  <si>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</si>
  <si>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</si>
  <si>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</si>
  <si>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</si>
  <si>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</si>
  <si>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</si>
  <si>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</si>
  <si>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</si>
  <si>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</si>
  <si>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</si>
  <si>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</si>
  <si>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</si>
  <si>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</si>
  <si>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</si>
  <si>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</si>
  <si>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</si>
  <si>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</si>
  <si>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</si>
  <si>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</si>
  <si>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</si>
  <si>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</si>
  <si>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</si>
  <si>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</si>
  <si>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</si>
  <si>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</si>
  <si>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</si>
  <si>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</si>
  <si>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</si>
  <si>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</si>
  <si>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</si>
  <si>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</si>
  <si>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</si>
  <si>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</si>
  <si>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</si>
  <si>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</si>
  <si>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</si>
  <si>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</si>
  <si>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</si>
  <si>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</si>
  <si>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</si>
  <si>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</si>
  <si>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</si>
  <si>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</si>
  <si>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</si>
  <si>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</si>
  <si>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</si>
  <si>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</si>
  <si>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</si>
  <si>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</si>
  <si>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</si>
  <si>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</si>
  <si>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</si>
  <si>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</si>
  <si>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</si>
  <si>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</si>
  <si>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</si>
  <si>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</si>
  <si>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</si>
  <si>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</si>
  <si>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</si>
  <si>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</si>
  <si>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</si>
  <si>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</si>
  <si>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</si>
  <si>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</si>
  <si>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</si>
  <si>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</si>
  <si>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</si>
  <si>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</si>
  <si>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</si>
  <si>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</si>
  <si>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</si>
  <si>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</si>
  <si>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</si>
  <si>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</si>
  <si>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</si>
  <si>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</si>
  <si>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</si>
  <si>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</si>
  <si>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</si>
  <si>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</si>
  <si>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</si>
  <si>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</si>
  <si>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</si>
  <si>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</si>
  <si>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</si>
  <si>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</si>
  <si>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</si>
  <si>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</si>
  <si>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</si>
  <si>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</si>
  <si>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</si>
  <si>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</si>
  <si>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</si>
  <si>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</si>
  <si>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</si>
  <si>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</si>
  <si>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</si>
  <si>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</si>
  <si>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</si>
  <si>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</si>
  <si>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</si>
  <si>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</si>
  <si>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</si>
  <si>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</si>
  <si>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</si>
  <si>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</si>
  <si>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</si>
  <si>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</si>
  <si>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</si>
  <si>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</si>
  <si>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</si>
  <si>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</si>
  <si>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</si>
  <si>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</si>
  <si>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</si>
  <si>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</si>
  <si>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</si>
  <si>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</si>
  <si>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</si>
  <si>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</si>
  <si>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</si>
  <si>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</si>
  <si>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</si>
  <si>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</si>
  <si>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</si>
  <si>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</si>
  <si>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</si>
  <si>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</si>
  <si>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</si>
  <si>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</si>
  <si>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</si>
  <si>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</si>
  <si>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</si>
  <si>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</si>
  <si>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</si>
  <si>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</si>
  <si>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</si>
  <si>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</si>
  <si>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</si>
  <si>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</si>
  <si>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</si>
  <si>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</si>
  <si>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</si>
  <si>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</si>
  <si>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</si>
  <si>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</si>
  <si>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</si>
  <si>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</si>
  <si>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</si>
  <si>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</si>
  <si>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</si>
  <si>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</si>
  <si>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</si>
  <si>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</si>
  <si>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</si>
  <si>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</si>
  <si>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</si>
  <si>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</si>
  <si>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</si>
  <si>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</si>
  <si>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37,39</t>
  </si>
  <si>
    <t>16.12.2020 yildan №14:13:02:01:03:1179:0006:058</t>
  </si>
  <si>
    <t>13.12.2020 yildan 1718238/R-A1419303</t>
  </si>
  <si>
    <t>№ kadastr raqami</t>
  </si>
  <si>
    <t>Foydalanishga topshirilgan yili</t>
  </si>
  <si>
    <t xml:space="preserve"> sanasidan</t>
  </si>
  <si>
    <t>Kreditlash bo’limi boshlig’i</t>
  </si>
  <si>
    <t>o'n olti</t>
  </si>
  <si>
    <t>«PULLOL BUSINESS MIKROMOLIYA TASHKILOTI»  MChJ</t>
  </si>
  <si>
    <t>Abduraximova T.N.</t>
  </si>
  <si>
    <t>Toshkent shahri, Yakkasaroy tumani, Rakat ko'chasi, 10-uy, 18 xonadon</t>
  </si>
  <si>
    <t>№ 20208000405643889001</t>
  </si>
  <si>
    <t>№01088</t>
  </si>
  <si>
    <t>ATB “Kapitalbank” Markaziy amaliyotlar bo'limi</t>
  </si>
  <si>
    <t>310430149</t>
  </si>
  <si>
    <t>27-13/968</t>
  </si>
  <si>
    <t>14.08.2023y</t>
  </si>
  <si>
    <t>Obidov A. Sh.</t>
  </si>
  <si>
    <t>(97) 714 14 17</t>
  </si>
  <si>
    <t>6. Boshqa shartlar – avtotransport vositasi shaklida garov ta'minlangandan keyin mikroqarz berish.</t>
  </si>
  <si>
    <t>1. Obidov Abdullo Shokir og'li</t>
  </si>
  <si>
    <t>o'lti</t>
  </si>
  <si>
    <t>o'n ikki</t>
  </si>
  <si>
    <t>o'n sakkiz</t>
  </si>
  <si>
    <t>yigirma to'rt</t>
  </si>
  <si>
    <t>o'ttiz olti</t>
  </si>
  <si>
    <t>qurbon</t>
  </si>
  <si>
    <t xml:space="preserve">3. Eshbekov  S.O.
</t>
  </si>
  <si>
    <t>Eshbekov  S.O.</t>
  </si>
  <si>
    <t>(97) 706 96 65</t>
  </si>
  <si>
    <t>yigirma sakkiz</t>
  </si>
  <si>
    <t>direktori</t>
  </si>
  <si>
    <t>Buxoro filiali boshlig’i</t>
  </si>
  <si>
    <t>Buxoro filiali boshlig'i</t>
  </si>
  <si>
    <t xml:space="preserve">o'ttiz </t>
  </si>
  <si>
    <t xml:space="preserve">Mikroqarz shartnomasini bir nusxasini oldim ________    </t>
  </si>
  <si>
    <t>55</t>
  </si>
  <si>
    <t>Ellik besh</t>
  </si>
  <si>
    <t>qirq sakkiz</t>
  </si>
  <si>
    <t>Йиллик фоиз(50% ошмаган холда)</t>
  </si>
  <si>
    <t>ellik besh</t>
  </si>
  <si>
    <t>TEGILMASIN</t>
  </si>
  <si>
    <t>bir yuz besh</t>
  </si>
  <si>
    <t>105</t>
  </si>
  <si>
    <t>IKROMOV B.A.</t>
  </si>
  <si>
    <t>IKROMOV BAHODIR ABDURAXIMOVICH</t>
  </si>
  <si>
    <t>Akramov R.N.</t>
  </si>
  <si>
    <t>Telefon raqami kod bilan ((99871) 277 77 77)TEGILMASIN</t>
  </si>
  <si>
    <t>Ish telefoni raqami kod bilan ((99890) 3270000)TEGILMASIN</t>
  </si>
  <si>
    <t>2. Akramov R.N.</t>
  </si>
  <si>
    <t>YENGIL SEDAN</t>
  </si>
  <si>
    <t>Mijoz quyidagi majburiyatlarga ega: "TOShKENT Sh., АT XАLQ BАNKI BOSh АMАLIYOTLАR BOShQАRMАSI 9 320 690.00 so'm, DENGI VPERED" MCHJ QO'SHMA KORXONA MIKROMOLIYA TASHKILOTI 710 640.00., Ayni paytda muddati o'tgan qarzdorligi mavjud emas. O‘rtacha oylik to‘lov 2 005 011.07 so‘mni tashkil qiladi.</t>
  </si>
  <si>
    <t>BUXORO VILOYATI IIB YXXB XUZURIDAG</t>
  </si>
  <si>
    <t>RAKAMSIZ</t>
  </si>
  <si>
    <t>TURAYEV ISROIL BURIYEVICH</t>
  </si>
  <si>
    <t>06.01.2026</t>
  </si>
  <si>
    <t>№3-BR</t>
  </si>
  <si>
    <t>TURAYEV I.B.</t>
  </si>
  <si>
    <t>14.11.1983 yil</t>
  </si>
  <si>
    <t>AD 6760672</t>
  </si>
  <si>
    <t>IIV 61013</t>
  </si>
  <si>
    <t>BUXORO VILOYATI KOGON SHAHRI ZAFAROBOD 17-UY</t>
  </si>
  <si>
    <t>91 923 50 54 MIJOZ</t>
  </si>
  <si>
    <t>BGGK ZONA</t>
  </si>
  <si>
    <t>KOGON SHAHRI</t>
  </si>
  <si>
    <t>50 377 80 88 OTASI TO'LOVCHI</t>
  </si>
  <si>
    <t>93 000 16 05 O'G'LI</t>
  </si>
  <si>
    <t>USMONOV NURIDDID IXTIYOROVICH</t>
  </si>
  <si>
    <t>USMONOV N.I.</t>
  </si>
  <si>
    <t>BUXORO VILOYATI BUXORO SHAHRI ASHXOBOD KO'CHASI 1/3-UY</t>
  </si>
  <si>
    <t>SHARIPOV ZAFAR JO'RABOYEVICH</t>
  </si>
  <si>
    <t>202602386000102</t>
  </si>
  <si>
    <t>16.12.1995 y.</t>
  </si>
  <si>
    <t>AD 6809876</t>
  </si>
  <si>
    <t>BUXORO VILOYATI BUXORO SHAHRI IIB tomondan 15.04.2024 yilda berilgan</t>
  </si>
  <si>
    <t>BUXORO VILOYATI BUXORO SHAHRI CHO'LPON KO'CHASI 22-A-UY</t>
  </si>
  <si>
    <t>COBALT</t>
  </si>
  <si>
    <t>80G291QA</t>
  </si>
  <si>
    <t>XWBJF69VEGA010429</t>
  </si>
  <si>
    <t>B15D211163412DJCX0337</t>
  </si>
  <si>
    <t>2016</t>
  </si>
  <si>
    <t>OQ OLIMPIYSKAYA BELAYA</t>
  </si>
  <si>
    <t>AAF      2401056      01.12.2020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</si>
</sst>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s>
  <fills count="14">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171717"/>
        <bgColor indexed="64"/>
      </patternFill>
    </fill>
    <fill>
      <patternFill patternType="solid">
        <fgColor theme="1" tint="4.9989318521683403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288">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3" fillId="0" borderId="0">
      <alignment vertical="center"/>
    </xf>
    <xf numFmtId="0" fontId="53" fillId="0" borderId="0">
      <alignment vertical="center"/>
    </xf>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366">
    <xf numFmtId="0" fontId="0" fillId="0" borderId="0" xfId="0"/>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6" fillId="2" borderId="1" xfId="0" applyFont="1" applyFill="1" applyBorder="1" applyAlignment="1">
      <alignment vertical="center" wrapText="1"/>
    </xf>
    <xf numFmtId="165" fontId="5" fillId="0" borderId="1" xfId="0" applyNumberFormat="1" applyFont="1" applyBorder="1" applyAlignment="1">
      <alignment vertical="center" wrapText="1"/>
    </xf>
    <xf numFmtId="43" fontId="5"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5"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5" fillId="4" borderId="1" xfId="0" applyFont="1" applyFill="1" applyBorder="1" applyAlignment="1">
      <alignment vertical="center" wrapText="1"/>
    </xf>
    <xf numFmtId="0" fontId="14" fillId="0" borderId="0" xfId="0" applyFont="1" applyAlignment="1">
      <alignment horizontal="center" vertical="center" wrapText="1"/>
    </xf>
    <xf numFmtId="43" fontId="26" fillId="0" borderId="1" xfId="1" applyFont="1" applyBorder="1"/>
    <xf numFmtId="43" fontId="5"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5"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0" fontId="6" fillId="2" borderId="1" xfId="0" applyFont="1" applyFill="1" applyBorder="1" applyAlignment="1">
      <alignment horizontal="righ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5" fillId="6" borderId="1" xfId="0" applyFont="1" applyFill="1" applyBorder="1" applyAlignment="1">
      <alignment vertical="center" wrapText="1"/>
    </xf>
    <xf numFmtId="165" fontId="5" fillId="2" borderId="1" xfId="0" applyNumberFormat="1" applyFont="1" applyFill="1" applyBorder="1" applyAlignment="1">
      <alignment horizontal="left" vertical="center" wrapText="1"/>
    </xf>
    <xf numFmtId="14" fontId="5" fillId="6" borderId="1" xfId="0" applyNumberFormat="1" applyFont="1" applyFill="1" applyBorder="1" applyAlignment="1">
      <alignment vertical="center" wrapText="1"/>
    </xf>
    <xf numFmtId="165" fontId="5" fillId="6" borderId="1" xfId="0" applyNumberFormat="1" applyFont="1" applyFill="1" applyBorder="1" applyAlignment="1">
      <alignment vertical="center" wrapText="1"/>
    </xf>
    <xf numFmtId="0" fontId="5" fillId="7" borderId="1" xfId="0" applyFont="1" applyFill="1" applyBorder="1" applyAlignment="1">
      <alignment vertical="center" wrapText="1"/>
    </xf>
    <xf numFmtId="9" fontId="5" fillId="7" borderId="1" xfId="0" applyNumberFormat="1" applyFont="1" applyFill="1" applyBorder="1" applyAlignment="1">
      <alignment vertical="center" wrapText="1"/>
    </xf>
    <xf numFmtId="49" fontId="5" fillId="7" borderId="1" xfId="1" applyNumberFormat="1" applyFont="1" applyFill="1" applyBorder="1" applyAlignment="1">
      <alignment vertical="center" wrapText="1"/>
    </xf>
    <xf numFmtId="40" fontId="5" fillId="7" borderId="1" xfId="1" applyNumberFormat="1" applyFont="1" applyFill="1" applyBorder="1" applyAlignment="1">
      <alignment vertical="center" wrapText="1"/>
    </xf>
    <xf numFmtId="0" fontId="6" fillId="2" borderId="1" xfId="0"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5" fillId="3" borderId="1" xfId="0" applyFont="1" applyFill="1" applyBorder="1" applyAlignment="1">
      <alignment horizontal="center" vertical="center" wrapText="1"/>
    </xf>
    <xf numFmtId="0" fontId="13" fillId="0" borderId="0" xfId="0" applyFont="1" applyAlignment="1">
      <alignment vertical="top"/>
    </xf>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5" fillId="4" borderId="1" xfId="0" applyNumberFormat="1" applyFont="1" applyFill="1" applyBorder="1" applyAlignment="1">
      <alignment vertical="center" wrapText="1"/>
    </xf>
    <xf numFmtId="0" fontId="13" fillId="0" borderId="0" xfId="0" applyFont="1" applyAlignment="1">
      <alignment horizontal="right"/>
    </xf>
    <xf numFmtId="0" fontId="6" fillId="6" borderId="1" xfId="0" applyFont="1" applyFill="1" applyBorder="1" applyAlignment="1">
      <alignment horizontal="left" vertical="center" wrapText="1"/>
    </xf>
    <xf numFmtId="0" fontId="6" fillId="6" borderId="1" xfId="0"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0" fontId="5"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5" fillId="4" borderId="1" xfId="0" applyNumberFormat="1" applyFont="1" applyFill="1" applyBorder="1" applyAlignment="1">
      <alignment vertical="center" wrapText="1"/>
    </xf>
    <xf numFmtId="0" fontId="16" fillId="0" borderId="0" xfId="0" applyFont="1" applyAlignment="1">
      <alignment horizontal="center" vertical="top" wrapText="1"/>
    </xf>
    <xf numFmtId="0" fontId="41" fillId="2" borderId="1" xfId="0" applyFont="1" applyFill="1" applyBorder="1" applyAlignment="1">
      <alignment vertical="center" wrapText="1"/>
    </xf>
    <xf numFmtId="0" fontId="5" fillId="9" borderId="1" xfId="0" applyFont="1" applyFill="1" applyBorder="1" applyAlignment="1">
      <alignment vertical="center" wrapText="1"/>
    </xf>
    <xf numFmtId="0" fontId="3"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45" fillId="0" borderId="0" xfId="0" applyFont="1"/>
    <xf numFmtId="0" fontId="46" fillId="0" borderId="0" xfId="0" applyFont="1"/>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5"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0" borderId="2" xfId="0" applyFont="1" applyFill="1" applyBorder="1" applyAlignment="1">
      <alignment horizontal="left" vertical="center" wrapText="1"/>
    </xf>
    <xf numFmtId="0" fontId="48" fillId="10"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0" fontId="13" fillId="11" borderId="0" xfId="0" applyFont="1" applyFill="1"/>
    <xf numFmtId="0" fontId="5" fillId="10" borderId="0" xfId="0" applyFont="1" applyFill="1"/>
    <xf numFmtId="0" fontId="24" fillId="0" borderId="0" xfId="0" applyFont="1" applyAlignment="1">
      <alignment horizontal="left" vertical="top" wrapText="1"/>
    </xf>
    <xf numFmtId="0" fontId="6" fillId="10" borderId="0" xfId="0" applyFont="1" applyFill="1" applyAlignment="1">
      <alignment vertical="center" wrapText="1"/>
    </xf>
    <xf numFmtId="0" fontId="5" fillId="10" borderId="0" xfId="0" applyFont="1" applyFill="1" applyAlignment="1">
      <alignment vertical="center" wrapText="1"/>
    </xf>
    <xf numFmtId="11" fontId="5" fillId="4" borderId="1" xfId="0" applyNumberFormat="1" applyFont="1" applyFill="1" applyBorder="1" applyAlignment="1">
      <alignment vertical="center" wrapText="1"/>
    </xf>
    <xf numFmtId="0" fontId="5" fillId="0" borderId="0" xfId="0" applyFont="1"/>
    <xf numFmtId="0" fontId="6" fillId="0" borderId="0" xfId="0" applyFont="1" applyAlignment="1">
      <alignment vertical="center"/>
    </xf>
    <xf numFmtId="0" fontId="5" fillId="0" borderId="13" xfId="0" applyFont="1" applyBorder="1" applyAlignment="1">
      <alignment vertical="center"/>
    </xf>
    <xf numFmtId="0" fontId="5" fillId="0" borderId="0" xfId="0" applyFont="1" applyAlignment="1">
      <alignment vertical="center"/>
    </xf>
    <xf numFmtId="0" fontId="5" fillId="0" borderId="15" xfId="0" applyFont="1" applyBorder="1" applyAlignment="1">
      <alignment vertical="center"/>
    </xf>
    <xf numFmtId="0" fontId="6" fillId="0" borderId="0" xfId="0" applyFont="1"/>
    <xf numFmtId="49" fontId="5" fillId="0" borderId="0" xfId="0" applyNumberFormat="1" applyFont="1"/>
    <xf numFmtId="0" fontId="6" fillId="0" borderId="0" xfId="0" applyFont="1" applyAlignment="1">
      <alignment wrapText="1"/>
    </xf>
    <xf numFmtId="0" fontId="5" fillId="9" borderId="3" xfId="0" applyFont="1" applyFill="1" applyBorder="1" applyAlignment="1">
      <alignment vertical="center" wrapText="1"/>
    </xf>
    <xf numFmtId="14" fontId="5" fillId="10" borderId="0" xfId="0" applyNumberFormat="1" applyFont="1" applyFill="1"/>
    <xf numFmtId="0" fontId="54" fillId="10" borderId="16" xfId="0" applyFont="1" applyFill="1" applyBorder="1"/>
    <xf numFmtId="164" fontId="5" fillId="10" borderId="3" xfId="0" applyNumberFormat="1" applyFont="1" applyFill="1" applyBorder="1" applyAlignment="1">
      <alignment horizontal="left" vertical="top" wrapText="1"/>
    </xf>
    <xf numFmtId="168" fontId="6" fillId="10" borderId="0" xfId="0" applyNumberFormat="1" applyFont="1" applyFill="1"/>
    <xf numFmtId="0" fontId="5" fillId="10" borderId="19" xfId="0" applyFont="1" applyFill="1" applyBorder="1"/>
    <xf numFmtId="0" fontId="5" fillId="10" borderId="20" xfId="0" applyFont="1" applyFill="1" applyBorder="1"/>
    <xf numFmtId="0" fontId="9"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5" fillId="10" borderId="1" xfId="0" applyFont="1" applyFill="1" applyBorder="1" applyAlignment="1">
      <alignment vertical="center" wrapText="1"/>
    </xf>
    <xf numFmtId="14" fontId="5" fillId="10" borderId="1" xfId="0" applyNumberFormat="1" applyFont="1" applyFill="1" applyBorder="1"/>
    <xf numFmtId="0" fontId="5" fillId="10" borderId="1" xfId="0" applyFont="1" applyFill="1" applyBorder="1"/>
    <xf numFmtId="49" fontId="5" fillId="10" borderId="1" xfId="0" applyNumberFormat="1" applyFont="1" applyFill="1" applyBorder="1"/>
    <xf numFmtId="164" fontId="5" fillId="10" borderId="1" xfId="0" applyNumberFormat="1" applyFont="1" applyFill="1" applyBorder="1" applyAlignment="1">
      <alignment vertical="center" wrapText="1"/>
    </xf>
    <xf numFmtId="164" fontId="5" fillId="10" borderId="0" xfId="0" applyNumberFormat="1" applyFont="1" applyFill="1" applyAlignment="1">
      <alignment vertical="center" wrapText="1"/>
    </xf>
    <xf numFmtId="0" fontId="7" fillId="0" borderId="19" xfId="0" applyFont="1" applyBorder="1" applyAlignment="1">
      <alignment wrapText="1"/>
    </xf>
    <xf numFmtId="0" fontId="7" fillId="0" borderId="25" xfId="0" applyFont="1" applyBorder="1" applyAlignment="1">
      <alignment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25" fillId="9" borderId="0" xfId="0" applyFont="1" applyFill="1"/>
    <xf numFmtId="0" fontId="6" fillId="9" borderId="1" xfId="0" applyFont="1" applyFill="1" applyBorder="1" applyAlignment="1">
      <alignment horizontal="right" vertical="center" wrapText="1"/>
    </xf>
    <xf numFmtId="10" fontId="28" fillId="10" borderId="0" xfId="287" applyNumberFormat="1" applyFont="1" applyFill="1" applyAlignment="1">
      <alignment horizontal="center"/>
    </xf>
    <xf numFmtId="0" fontId="28" fillId="10" borderId="0" xfId="0" applyFont="1" applyFill="1" applyAlignment="1">
      <alignment horizontal="center"/>
    </xf>
    <xf numFmtId="0" fontId="28" fillId="10" borderId="0" xfId="0" applyFont="1" applyFill="1"/>
    <xf numFmtId="43" fontId="5" fillId="10" borderId="0" xfId="0" applyNumberFormat="1" applyFont="1" applyFill="1"/>
    <xf numFmtId="0" fontId="25" fillId="12" borderId="0" xfId="0" applyFont="1" applyFill="1"/>
    <xf numFmtId="0" fontId="41" fillId="2" borderId="1" xfId="0" applyFont="1" applyFill="1" applyBorder="1" applyAlignment="1">
      <alignment horizontal="right" vertical="center" wrapText="1"/>
    </xf>
    <xf numFmtId="49" fontId="55" fillId="4" borderId="1" xfId="0" applyNumberFormat="1" applyFont="1" applyFill="1" applyBorder="1" applyAlignment="1">
      <alignment vertical="center" wrapText="1"/>
    </xf>
    <xf numFmtId="0" fontId="6" fillId="9" borderId="1" xfId="0" applyFont="1" applyFill="1" applyBorder="1" applyAlignment="1">
      <alignment vertical="center" wrapText="1"/>
    </xf>
    <xf numFmtId="14" fontId="5" fillId="4" borderId="1" xfId="0" applyNumberFormat="1" applyFont="1" applyFill="1" applyBorder="1" applyAlignment="1">
      <alignment horizontal="left" vertical="center" wrapText="1"/>
    </xf>
    <xf numFmtId="14" fontId="9" fillId="2" borderId="1" xfId="0" applyNumberFormat="1" applyFont="1" applyFill="1" applyBorder="1" applyAlignment="1">
      <alignment horizontal="center" vertical="center" wrapText="1"/>
    </xf>
    <xf numFmtId="43" fontId="5" fillId="4" borderId="3" xfId="1" applyFont="1" applyFill="1" applyBorder="1" applyAlignment="1">
      <alignment vertical="center" wrapText="1"/>
    </xf>
    <xf numFmtId="14" fontId="9" fillId="4" borderId="1" xfId="0" applyNumberFormat="1" applyFont="1" applyFill="1" applyBorder="1" applyAlignment="1">
      <alignment horizontal="center" vertical="center" wrapText="1"/>
    </xf>
    <xf numFmtId="0" fontId="5" fillId="13" borderId="0" xfId="0" applyFont="1" applyFill="1"/>
    <xf numFmtId="0" fontId="5" fillId="13" borderId="1" xfId="0" applyFont="1" applyFill="1" applyBorder="1"/>
    <xf numFmtId="0" fontId="5" fillId="13" borderId="1" xfId="0" applyFont="1" applyFill="1" applyBorder="1" applyAlignment="1">
      <alignment wrapText="1"/>
    </xf>
    <xf numFmtId="0" fontId="13" fillId="0" borderId="0" xfId="0" applyFont="1" applyAlignment="1">
      <alignment horizontal="left" vertical="top"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4" fillId="0" borderId="0" xfId="0" applyFont="1" applyAlignment="1">
      <alignment horizontal="left" wrapText="1"/>
    </xf>
    <xf numFmtId="0" fontId="14" fillId="0" borderId="0" xfId="0" applyFont="1" applyAlignment="1">
      <alignment horizontal="left"/>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justify" vertical="top" wrapText="1"/>
    </xf>
    <xf numFmtId="0" fontId="33" fillId="0" borderId="0" xfId="0" applyFont="1" applyAlignment="1">
      <alignment horizontal="center" vertical="center" wrapText="1"/>
    </xf>
    <xf numFmtId="0" fontId="44" fillId="0" borderId="0" xfId="0" applyFont="1" applyAlignment="1">
      <alignment horizontal="justify" vertical="top"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center" vertical="top" wrapText="1"/>
    </xf>
    <xf numFmtId="0" fontId="13" fillId="0" borderId="0" xfId="0" applyFont="1" applyAlignment="1">
      <alignment horizontal="center"/>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8" fillId="0" borderId="0" xfId="0" applyFont="1" applyAlignment="1">
      <alignment horizontal="left" wrapText="1"/>
    </xf>
    <xf numFmtId="0" fontId="8" fillId="0" borderId="0" xfId="0" applyFont="1" applyAlignment="1">
      <alignment horizontal="center" wrapText="1"/>
    </xf>
    <xf numFmtId="0" fontId="7" fillId="0" borderId="0" xfId="0" applyFont="1" applyAlignment="1">
      <alignment horizontal="left" vertical="top" wrapText="1"/>
    </xf>
    <xf numFmtId="0" fontId="8" fillId="0" borderId="0" xfId="0" applyFont="1" applyAlignment="1">
      <alignment horizontal="center"/>
    </xf>
    <xf numFmtId="0" fontId="8" fillId="0" borderId="0" xfId="0" applyFont="1" applyAlignment="1">
      <alignment horizontal="center" vertical="center" wrapText="1"/>
    </xf>
    <xf numFmtId="0" fontId="8" fillId="0" borderId="0" xfId="0" applyFont="1" applyAlignment="1">
      <alignment horizontal="center" vertical="top" wrapText="1"/>
    </xf>
    <xf numFmtId="49" fontId="7" fillId="0" borderId="0" xfId="0" applyNumberFormat="1" applyFont="1" applyAlignment="1">
      <alignment horizontal="left" vertical="top" wrapText="1"/>
    </xf>
    <xf numFmtId="0" fontId="31" fillId="0" borderId="0" xfId="0" applyFont="1" applyAlignment="1">
      <alignment horizontal="left"/>
    </xf>
    <xf numFmtId="0" fontId="7" fillId="0" borderId="0" xfId="0" applyFont="1" applyAlignment="1">
      <alignment vertical="top" wrapText="1"/>
    </xf>
    <xf numFmtId="0" fontId="31" fillId="0" borderId="0" xfId="0" applyFont="1" applyAlignment="1">
      <alignment horizontal="center" vertical="top" wrapText="1"/>
    </xf>
    <xf numFmtId="0" fontId="27" fillId="0" borderId="0" xfId="0" applyFont="1" applyAlignment="1">
      <alignment horizontal="left" vertical="top" wrapText="1"/>
    </xf>
    <xf numFmtId="0" fontId="27" fillId="5" borderId="0" xfId="0" applyFont="1" applyFill="1" applyAlignment="1">
      <alignment horizontal="left" vertical="top" wrapText="1"/>
    </xf>
    <xf numFmtId="0" fontId="7" fillId="0" borderId="0" xfId="0" applyFont="1" applyAlignment="1">
      <alignment horizontal="left" wrapText="1"/>
    </xf>
    <xf numFmtId="0" fontId="8" fillId="0" borderId="0" xfId="0" applyFont="1" applyAlignment="1">
      <alignment horizontal="center" vertical="center"/>
    </xf>
    <xf numFmtId="0" fontId="14" fillId="0" borderId="0" xfId="0" applyFont="1" applyAlignment="1">
      <alignment horizontal="right" vertical="center" wrapText="1"/>
    </xf>
    <xf numFmtId="0" fontId="52" fillId="0" borderId="0" xfId="0" applyFont="1" applyAlignment="1">
      <alignment horizontal="center" wrapText="1"/>
    </xf>
    <xf numFmtId="0" fontId="14" fillId="0" borderId="0" xfId="0" applyFont="1" applyAlignment="1">
      <alignment horizontal="lef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4" fillId="0" borderId="0" xfId="0" applyFont="1" applyAlignment="1">
      <alignment horizontal="right" vertical="top" wrapText="1"/>
    </xf>
    <xf numFmtId="0" fontId="26" fillId="0" borderId="0" xfId="0" applyFont="1" applyAlignment="1">
      <alignment horizontal="right"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right" vertical="top" wrapText="1"/>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0" fillId="0" borderId="0" xfId="0" applyFont="1" applyAlignment="1">
      <alignment horizontal="left" vertical="center" wrapText="1" readingOrder="1"/>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7" fillId="0" borderId="0" xfId="0" applyFont="1" applyAlignment="1">
      <alignment horizontal="justify" wrapText="1"/>
    </xf>
    <xf numFmtId="0" fontId="8" fillId="0" borderId="0" xfId="0" applyFont="1" applyAlignment="1">
      <alignment horizontal="left" vertical="center" wrapText="1"/>
    </xf>
    <xf numFmtId="0" fontId="7" fillId="0" borderId="0" xfId="0" applyFont="1" applyAlignment="1">
      <alignment horizontal="justify" vertical="top" wrapText="1"/>
    </xf>
    <xf numFmtId="0" fontId="8" fillId="0" borderId="0" xfId="0" applyFont="1" applyAlignment="1">
      <alignment horizontal="right" vertical="top" wrapText="1"/>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justify"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center"/>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7" fillId="0" borderId="20" xfId="0" applyFont="1" applyBorder="1" applyAlignment="1">
      <alignment horizontal="left" wrapText="1"/>
    </xf>
    <xf numFmtId="0" fontId="7" fillId="0" borderId="23" xfId="0" applyFont="1" applyBorder="1" applyAlignment="1">
      <alignment horizontal="left" wrapText="1"/>
    </xf>
    <xf numFmtId="0" fontId="7" fillId="0" borderId="19" xfId="0" applyFont="1" applyBorder="1" applyAlignment="1">
      <alignment horizontal="left" wrapText="1"/>
    </xf>
    <xf numFmtId="0" fontId="7" fillId="0" borderId="25" xfId="0" applyFont="1" applyBorder="1" applyAlignment="1">
      <alignment horizontal="left" wrapText="1"/>
    </xf>
    <xf numFmtId="0" fontId="7" fillId="0" borderId="0" xfId="0" applyFont="1" applyAlignment="1">
      <alignment horizontal="left" vertical="center" wrapText="1"/>
    </xf>
    <xf numFmtId="0" fontId="7" fillId="0" borderId="21" xfId="0" applyFont="1" applyBorder="1" applyAlignment="1">
      <alignment horizontal="left" wrapText="1"/>
    </xf>
    <xf numFmtId="0" fontId="7" fillId="0" borderId="22" xfId="0" applyFont="1" applyBorder="1" applyAlignment="1">
      <alignment horizontal="left"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37" fillId="0" borderId="0" xfId="0" applyFont="1" applyAlignment="1">
      <alignment horizontal="justify" vertical="top" wrapText="1"/>
    </xf>
    <xf numFmtId="0" fontId="37" fillId="0" borderId="0" xfId="0" applyFont="1" applyAlignment="1">
      <alignment horizontal="justify" vertical="center" wrapText="1"/>
    </xf>
    <xf numFmtId="0" fontId="13" fillId="0" borderId="0" xfId="0" applyFont="1" applyAlignment="1">
      <alignment horizontal="left"/>
    </xf>
    <xf numFmtId="0" fontId="38" fillId="0" borderId="0" xfId="0" applyFont="1" applyAlignment="1">
      <alignment vertical="center" wrapText="1"/>
    </xf>
    <xf numFmtId="0" fontId="13" fillId="0" borderId="0" xfId="0" applyFont="1" applyAlignment="1">
      <alignment vertical="top" wrapText="1"/>
    </xf>
    <xf numFmtId="0" fontId="38" fillId="0" borderId="0" xfId="0" applyFont="1" applyAlignment="1">
      <alignment horizontal="justify" vertical="center" wrapText="1"/>
    </xf>
  </cellXfs>
  <cellStyles count="288">
    <cellStyle name="Обычный" xfId="0" builtinId="0"/>
    <cellStyle name="Обычный 10" xfId="72" xr:uid="{00000000-0005-0000-0000-000001000000}"/>
    <cellStyle name="Обычный 10 2" xfId="208" xr:uid="{00000000-0005-0000-0000-000002000000}"/>
    <cellStyle name="Обычный 11" xfId="73" xr:uid="{00000000-0005-0000-0000-000003000000}"/>
    <cellStyle name="Обычный 11 2" xfId="209" xr:uid="{00000000-0005-0000-0000-000004000000}"/>
    <cellStyle name="Обычный 2" xfId="63" xr:uid="{00000000-0005-0000-0000-000005000000}"/>
    <cellStyle name="Обычный 3" xfId="64" xr:uid="{00000000-0005-0000-0000-000006000000}"/>
    <cellStyle name="Обычный 4" xfId="66" xr:uid="{00000000-0005-0000-0000-000007000000}"/>
    <cellStyle name="Обычный 4 2" xfId="202" xr:uid="{00000000-0005-0000-0000-000008000000}"/>
    <cellStyle name="Обычный 5" xfId="67" xr:uid="{00000000-0005-0000-0000-000009000000}"/>
    <cellStyle name="Обычный 5 2" xfId="203" xr:uid="{00000000-0005-0000-0000-00000A000000}"/>
    <cellStyle name="Обычный 6" xfId="68" xr:uid="{00000000-0005-0000-0000-00000B000000}"/>
    <cellStyle name="Обычный 6 2" xfId="204" xr:uid="{00000000-0005-0000-0000-00000C000000}"/>
    <cellStyle name="Обычный 7" xfId="69" xr:uid="{00000000-0005-0000-0000-00000D000000}"/>
    <cellStyle name="Обычный 7 2" xfId="205" xr:uid="{00000000-0005-0000-0000-00000E000000}"/>
    <cellStyle name="Обычный 8" xfId="70" xr:uid="{00000000-0005-0000-0000-00000F000000}"/>
    <cellStyle name="Обычный 8 2" xfId="206" xr:uid="{00000000-0005-0000-0000-000010000000}"/>
    <cellStyle name="Обычный 9" xfId="71" xr:uid="{00000000-0005-0000-0000-000011000000}"/>
    <cellStyle name="Обычный 9 2" xfId="207" xr:uid="{00000000-0005-0000-0000-000012000000}"/>
    <cellStyle name="Процентный" xfId="287" builtinId="5"/>
    <cellStyle name="Финансовый" xfId="1" builtinId="3"/>
    <cellStyle name="Финансовый 10" xfId="125" xr:uid="{00000000-0005-0000-0000-000015000000}"/>
    <cellStyle name="Финансовый 10 2" xfId="261" xr:uid="{00000000-0005-0000-0000-000016000000}"/>
    <cellStyle name="Финансовый 11" xfId="61" xr:uid="{00000000-0005-0000-0000-000017000000}"/>
    <cellStyle name="Финансовый 11 2" xfId="199" xr:uid="{00000000-0005-0000-0000-000018000000}"/>
    <cellStyle name="Финансовый 12" xfId="49" xr:uid="{00000000-0005-0000-0000-000019000000}"/>
    <cellStyle name="Финансовый 12 2" xfId="187" xr:uid="{00000000-0005-0000-0000-00001A000000}"/>
    <cellStyle name="Финансовый 13" xfId="127" xr:uid="{00000000-0005-0000-0000-00001B000000}"/>
    <cellStyle name="Финансовый 13 2" xfId="263" xr:uid="{00000000-0005-0000-0000-00001C000000}"/>
    <cellStyle name="Финансовый 14" xfId="25" xr:uid="{00000000-0005-0000-0000-00001D000000}"/>
    <cellStyle name="Финансовый 14 2" xfId="163" xr:uid="{00000000-0005-0000-0000-00001E000000}"/>
    <cellStyle name="Финансовый 15" xfId="13" xr:uid="{00000000-0005-0000-0000-00001F000000}"/>
    <cellStyle name="Финансовый 15 2" xfId="151" xr:uid="{00000000-0005-0000-0000-000020000000}"/>
    <cellStyle name="Финансовый 16" xfId="139" xr:uid="{00000000-0005-0000-0000-000021000000}"/>
    <cellStyle name="Финансовый 17" xfId="275" xr:uid="{00000000-0005-0000-0000-000022000000}"/>
    <cellStyle name="Финансовый 2" xfId="2" xr:uid="{00000000-0005-0000-0000-000023000000}"/>
    <cellStyle name="Финансовый 2 10" xfId="62" xr:uid="{00000000-0005-0000-0000-000024000000}"/>
    <cellStyle name="Финансовый 2 10 2" xfId="200" xr:uid="{00000000-0005-0000-0000-000025000000}"/>
    <cellStyle name="Финансовый 2 11" xfId="50" xr:uid="{00000000-0005-0000-0000-000026000000}"/>
    <cellStyle name="Финансовый 2 11 2" xfId="188" xr:uid="{00000000-0005-0000-0000-000027000000}"/>
    <cellStyle name="Финансовый 2 12" xfId="128" xr:uid="{00000000-0005-0000-0000-000028000000}"/>
    <cellStyle name="Финансовый 2 12 2" xfId="264" xr:uid="{00000000-0005-0000-0000-000029000000}"/>
    <cellStyle name="Финансовый 2 13" xfId="26" xr:uid="{00000000-0005-0000-0000-00002A000000}"/>
    <cellStyle name="Финансовый 2 13 2" xfId="164" xr:uid="{00000000-0005-0000-0000-00002B000000}"/>
    <cellStyle name="Финансовый 2 14" xfId="14" xr:uid="{00000000-0005-0000-0000-00002C000000}"/>
    <cellStyle name="Финансовый 2 14 2" xfId="152" xr:uid="{00000000-0005-0000-0000-00002D000000}"/>
    <cellStyle name="Финансовый 2 15" xfId="140" xr:uid="{00000000-0005-0000-0000-00002E000000}"/>
    <cellStyle name="Финансовый 2 16" xfId="276" xr:uid="{00000000-0005-0000-0000-00002F000000}"/>
    <cellStyle name="Финансовый 2 2" xfId="4" xr:uid="{00000000-0005-0000-0000-000030000000}"/>
    <cellStyle name="Финансовый 2 2 10" xfId="28" xr:uid="{00000000-0005-0000-0000-000031000000}"/>
    <cellStyle name="Финансовый 2 2 10 2" xfId="166" xr:uid="{00000000-0005-0000-0000-000032000000}"/>
    <cellStyle name="Финансовый 2 2 11" xfId="16" xr:uid="{00000000-0005-0000-0000-000033000000}"/>
    <cellStyle name="Финансовый 2 2 11 2" xfId="154" xr:uid="{00000000-0005-0000-0000-000034000000}"/>
    <cellStyle name="Финансовый 2 2 12" xfId="142" xr:uid="{00000000-0005-0000-0000-000035000000}"/>
    <cellStyle name="Финансовый 2 2 13" xfId="278" xr:uid="{00000000-0005-0000-0000-000036000000}"/>
    <cellStyle name="Финансовый 2 2 2" xfId="10" xr:uid="{00000000-0005-0000-0000-000037000000}"/>
    <cellStyle name="Финансовый 2 2 2 10" xfId="284" xr:uid="{00000000-0005-0000-0000-000038000000}"/>
    <cellStyle name="Финансовый 2 2 2 2" xfId="46" xr:uid="{00000000-0005-0000-0000-000039000000}"/>
    <cellStyle name="Финансовый 2 2 2 2 2" xfId="104" xr:uid="{00000000-0005-0000-0000-00003A000000}"/>
    <cellStyle name="Финансовый 2 2 2 2 2 2" xfId="240" xr:uid="{00000000-0005-0000-0000-00003B000000}"/>
    <cellStyle name="Финансовый 2 2 2 2 3" xfId="184" xr:uid="{00000000-0005-0000-0000-00003C000000}"/>
    <cellStyle name="Финансовый 2 2 2 3" xfId="116" xr:uid="{00000000-0005-0000-0000-00003D000000}"/>
    <cellStyle name="Финансовый 2 2 2 3 2" xfId="252" xr:uid="{00000000-0005-0000-0000-00003E000000}"/>
    <cellStyle name="Финансовый 2 2 2 4" xfId="80" xr:uid="{00000000-0005-0000-0000-00003F000000}"/>
    <cellStyle name="Финансовый 2 2 2 4 2" xfId="216" xr:uid="{00000000-0005-0000-0000-000040000000}"/>
    <cellStyle name="Финансовый 2 2 2 5" xfId="58" xr:uid="{00000000-0005-0000-0000-000041000000}"/>
    <cellStyle name="Финансовый 2 2 2 5 2" xfId="196" xr:uid="{00000000-0005-0000-0000-000042000000}"/>
    <cellStyle name="Финансовый 2 2 2 6" xfId="136" xr:uid="{00000000-0005-0000-0000-000043000000}"/>
    <cellStyle name="Финансовый 2 2 2 6 2" xfId="272" xr:uid="{00000000-0005-0000-0000-000044000000}"/>
    <cellStyle name="Финансовый 2 2 2 7" xfId="34" xr:uid="{00000000-0005-0000-0000-000045000000}"/>
    <cellStyle name="Финансовый 2 2 2 7 2" xfId="172" xr:uid="{00000000-0005-0000-0000-000046000000}"/>
    <cellStyle name="Финансовый 2 2 2 8" xfId="22" xr:uid="{00000000-0005-0000-0000-000047000000}"/>
    <cellStyle name="Финансовый 2 2 2 8 2" xfId="160" xr:uid="{00000000-0005-0000-0000-000048000000}"/>
    <cellStyle name="Финансовый 2 2 2 9" xfId="148" xr:uid="{00000000-0005-0000-0000-000049000000}"/>
    <cellStyle name="Финансовый 2 2 3" xfId="40" xr:uid="{00000000-0005-0000-0000-00004A000000}"/>
    <cellStyle name="Финансовый 2 2 3 2" xfId="122" xr:uid="{00000000-0005-0000-0000-00004B000000}"/>
    <cellStyle name="Финансовый 2 2 3 2 2" xfId="258" xr:uid="{00000000-0005-0000-0000-00004C000000}"/>
    <cellStyle name="Финансовый 2 2 3 3" xfId="86" xr:uid="{00000000-0005-0000-0000-00004D000000}"/>
    <cellStyle name="Финансовый 2 2 3 3 2" xfId="222" xr:uid="{00000000-0005-0000-0000-00004E000000}"/>
    <cellStyle name="Финансовый 2 2 3 4" xfId="178" xr:uid="{00000000-0005-0000-0000-00004F000000}"/>
    <cellStyle name="Финансовый 2 2 4" xfId="92" xr:uid="{00000000-0005-0000-0000-000050000000}"/>
    <cellStyle name="Финансовый 2 2 4 2" xfId="228" xr:uid="{00000000-0005-0000-0000-000051000000}"/>
    <cellStyle name="Финансовый 2 2 5" xfId="98" xr:uid="{00000000-0005-0000-0000-000052000000}"/>
    <cellStyle name="Финансовый 2 2 5 2" xfId="234" xr:uid="{00000000-0005-0000-0000-000053000000}"/>
    <cellStyle name="Финансовый 2 2 6" xfId="110" xr:uid="{00000000-0005-0000-0000-000054000000}"/>
    <cellStyle name="Финансовый 2 2 6 2" xfId="246" xr:uid="{00000000-0005-0000-0000-000055000000}"/>
    <cellStyle name="Финансовый 2 2 7" xfId="65" xr:uid="{00000000-0005-0000-0000-000056000000}"/>
    <cellStyle name="Финансовый 2 2 7 2" xfId="201" xr:uid="{00000000-0005-0000-0000-000057000000}"/>
    <cellStyle name="Финансовый 2 2 8" xfId="52" xr:uid="{00000000-0005-0000-0000-000058000000}"/>
    <cellStyle name="Финансовый 2 2 8 2" xfId="190" xr:uid="{00000000-0005-0000-0000-000059000000}"/>
    <cellStyle name="Финансовый 2 2 9" xfId="130" xr:uid="{00000000-0005-0000-0000-00005A000000}"/>
    <cellStyle name="Финансовый 2 2 9 2" xfId="266" xr:uid="{00000000-0005-0000-0000-00005B000000}"/>
    <cellStyle name="Финансовый 2 3" xfId="6" xr:uid="{00000000-0005-0000-0000-00005C000000}"/>
    <cellStyle name="Финансовый 2 3 10" xfId="30" xr:uid="{00000000-0005-0000-0000-00005D000000}"/>
    <cellStyle name="Финансовый 2 3 10 2" xfId="168" xr:uid="{00000000-0005-0000-0000-00005E000000}"/>
    <cellStyle name="Финансовый 2 3 11" xfId="18" xr:uid="{00000000-0005-0000-0000-00005F000000}"/>
    <cellStyle name="Финансовый 2 3 11 2" xfId="156" xr:uid="{00000000-0005-0000-0000-000060000000}"/>
    <cellStyle name="Финансовый 2 3 12" xfId="144" xr:uid="{00000000-0005-0000-0000-000061000000}"/>
    <cellStyle name="Финансовый 2 3 13" xfId="280" xr:uid="{00000000-0005-0000-0000-000062000000}"/>
    <cellStyle name="Финансовый 2 3 2" xfId="12" xr:uid="{00000000-0005-0000-0000-000063000000}"/>
    <cellStyle name="Финансовый 2 3 2 10" xfId="286" xr:uid="{00000000-0005-0000-0000-000064000000}"/>
    <cellStyle name="Финансовый 2 3 2 2" xfId="48" xr:uid="{00000000-0005-0000-0000-000065000000}"/>
    <cellStyle name="Финансовый 2 3 2 2 2" xfId="106" xr:uid="{00000000-0005-0000-0000-000066000000}"/>
    <cellStyle name="Финансовый 2 3 2 2 2 2" xfId="242" xr:uid="{00000000-0005-0000-0000-000067000000}"/>
    <cellStyle name="Финансовый 2 3 2 2 3" xfId="186" xr:uid="{00000000-0005-0000-0000-000068000000}"/>
    <cellStyle name="Финансовый 2 3 2 3" xfId="118" xr:uid="{00000000-0005-0000-0000-000069000000}"/>
    <cellStyle name="Финансовый 2 3 2 3 2" xfId="254" xr:uid="{00000000-0005-0000-0000-00006A000000}"/>
    <cellStyle name="Финансовый 2 3 2 4" xfId="82" xr:uid="{00000000-0005-0000-0000-00006B000000}"/>
    <cellStyle name="Финансовый 2 3 2 4 2" xfId="218" xr:uid="{00000000-0005-0000-0000-00006C000000}"/>
    <cellStyle name="Финансовый 2 3 2 5" xfId="60" xr:uid="{00000000-0005-0000-0000-00006D000000}"/>
    <cellStyle name="Финансовый 2 3 2 5 2" xfId="198" xr:uid="{00000000-0005-0000-0000-00006E000000}"/>
    <cellStyle name="Финансовый 2 3 2 6" xfId="138" xr:uid="{00000000-0005-0000-0000-00006F000000}"/>
    <cellStyle name="Финансовый 2 3 2 6 2" xfId="274" xr:uid="{00000000-0005-0000-0000-000070000000}"/>
    <cellStyle name="Финансовый 2 3 2 7" xfId="36" xr:uid="{00000000-0005-0000-0000-000071000000}"/>
    <cellStyle name="Финансовый 2 3 2 7 2" xfId="174" xr:uid="{00000000-0005-0000-0000-000072000000}"/>
    <cellStyle name="Финансовый 2 3 2 8" xfId="24" xr:uid="{00000000-0005-0000-0000-000073000000}"/>
    <cellStyle name="Финансовый 2 3 2 8 2" xfId="162" xr:uid="{00000000-0005-0000-0000-000074000000}"/>
    <cellStyle name="Финансовый 2 3 2 9" xfId="150" xr:uid="{00000000-0005-0000-0000-000075000000}"/>
    <cellStyle name="Финансовый 2 3 3" xfId="42" xr:uid="{00000000-0005-0000-0000-000076000000}"/>
    <cellStyle name="Финансовый 2 3 3 2" xfId="124" xr:uid="{00000000-0005-0000-0000-000077000000}"/>
    <cellStyle name="Финансовый 2 3 3 2 2" xfId="260" xr:uid="{00000000-0005-0000-0000-000078000000}"/>
    <cellStyle name="Финансовый 2 3 3 3" xfId="88" xr:uid="{00000000-0005-0000-0000-000079000000}"/>
    <cellStyle name="Финансовый 2 3 3 3 2" xfId="224" xr:uid="{00000000-0005-0000-0000-00007A000000}"/>
    <cellStyle name="Финансовый 2 3 3 4" xfId="180" xr:uid="{00000000-0005-0000-0000-00007B000000}"/>
    <cellStyle name="Финансовый 2 3 4" xfId="94" xr:uid="{00000000-0005-0000-0000-00007C000000}"/>
    <cellStyle name="Финансовый 2 3 4 2" xfId="230" xr:uid="{00000000-0005-0000-0000-00007D000000}"/>
    <cellStyle name="Финансовый 2 3 5" xfId="100" xr:uid="{00000000-0005-0000-0000-00007E000000}"/>
    <cellStyle name="Финансовый 2 3 5 2" xfId="236" xr:uid="{00000000-0005-0000-0000-00007F000000}"/>
    <cellStyle name="Финансовый 2 3 6" xfId="112" xr:uid="{00000000-0005-0000-0000-000080000000}"/>
    <cellStyle name="Финансовый 2 3 6 2" xfId="248" xr:uid="{00000000-0005-0000-0000-000081000000}"/>
    <cellStyle name="Финансовый 2 3 7" xfId="76" xr:uid="{00000000-0005-0000-0000-000082000000}"/>
    <cellStyle name="Финансовый 2 3 7 2" xfId="212" xr:uid="{00000000-0005-0000-0000-000083000000}"/>
    <cellStyle name="Финансовый 2 3 8" xfId="54" xr:uid="{00000000-0005-0000-0000-000084000000}"/>
    <cellStyle name="Финансовый 2 3 8 2" xfId="192" xr:uid="{00000000-0005-0000-0000-000085000000}"/>
    <cellStyle name="Финансовый 2 3 9" xfId="132" xr:uid="{00000000-0005-0000-0000-000086000000}"/>
    <cellStyle name="Финансовый 2 3 9 2" xfId="268" xr:uid="{00000000-0005-0000-0000-000087000000}"/>
    <cellStyle name="Финансовый 2 4" xfId="8" xr:uid="{00000000-0005-0000-0000-000088000000}"/>
    <cellStyle name="Финансовый 2 4 10" xfId="282" xr:uid="{00000000-0005-0000-0000-000089000000}"/>
    <cellStyle name="Финансовый 2 4 2" xfId="44" xr:uid="{00000000-0005-0000-0000-00008A000000}"/>
    <cellStyle name="Финансовый 2 4 2 2" xfId="102" xr:uid="{00000000-0005-0000-0000-00008B000000}"/>
    <cellStyle name="Финансовый 2 4 2 2 2" xfId="238" xr:uid="{00000000-0005-0000-0000-00008C000000}"/>
    <cellStyle name="Финансовый 2 4 2 3" xfId="182" xr:uid="{00000000-0005-0000-0000-00008D000000}"/>
    <cellStyle name="Финансовый 2 4 3" xfId="114" xr:uid="{00000000-0005-0000-0000-00008E000000}"/>
    <cellStyle name="Финансовый 2 4 3 2" xfId="250" xr:uid="{00000000-0005-0000-0000-00008F000000}"/>
    <cellStyle name="Финансовый 2 4 4" xfId="78" xr:uid="{00000000-0005-0000-0000-000090000000}"/>
    <cellStyle name="Финансовый 2 4 4 2" xfId="214" xr:uid="{00000000-0005-0000-0000-000091000000}"/>
    <cellStyle name="Финансовый 2 4 5" xfId="56" xr:uid="{00000000-0005-0000-0000-000092000000}"/>
    <cellStyle name="Финансовый 2 4 5 2" xfId="194" xr:uid="{00000000-0005-0000-0000-000093000000}"/>
    <cellStyle name="Финансовый 2 4 6" xfId="134" xr:uid="{00000000-0005-0000-0000-000094000000}"/>
    <cellStyle name="Финансовый 2 4 6 2" xfId="270" xr:uid="{00000000-0005-0000-0000-000095000000}"/>
    <cellStyle name="Финансовый 2 4 7" xfId="32" xr:uid="{00000000-0005-0000-0000-000096000000}"/>
    <cellStyle name="Финансовый 2 4 7 2" xfId="170" xr:uid="{00000000-0005-0000-0000-000097000000}"/>
    <cellStyle name="Финансовый 2 4 8" xfId="20" xr:uid="{00000000-0005-0000-0000-000098000000}"/>
    <cellStyle name="Финансовый 2 4 8 2" xfId="158" xr:uid="{00000000-0005-0000-0000-000099000000}"/>
    <cellStyle name="Финансовый 2 4 9" xfId="146" xr:uid="{00000000-0005-0000-0000-00009A000000}"/>
    <cellStyle name="Финансовый 2 5" xfId="38" xr:uid="{00000000-0005-0000-0000-00009B000000}"/>
    <cellStyle name="Финансовый 2 5 2" xfId="120" xr:uid="{00000000-0005-0000-0000-00009C000000}"/>
    <cellStyle name="Финансовый 2 5 2 2" xfId="256" xr:uid="{00000000-0005-0000-0000-00009D000000}"/>
    <cellStyle name="Финансовый 2 5 3" xfId="84" xr:uid="{00000000-0005-0000-0000-00009E000000}"/>
    <cellStyle name="Финансовый 2 5 3 2" xfId="220" xr:uid="{00000000-0005-0000-0000-00009F000000}"/>
    <cellStyle name="Финансовый 2 5 4" xfId="176" xr:uid="{00000000-0005-0000-0000-0000A0000000}"/>
    <cellStyle name="Финансовый 2 6" xfId="90" xr:uid="{00000000-0005-0000-0000-0000A1000000}"/>
    <cellStyle name="Финансовый 2 6 2" xfId="226" xr:uid="{00000000-0005-0000-0000-0000A2000000}"/>
    <cellStyle name="Финансовый 2 7" xfId="96" xr:uid="{00000000-0005-0000-0000-0000A3000000}"/>
    <cellStyle name="Финансовый 2 7 2" xfId="232" xr:uid="{00000000-0005-0000-0000-0000A4000000}"/>
    <cellStyle name="Финансовый 2 8" xfId="108" xr:uid="{00000000-0005-0000-0000-0000A5000000}"/>
    <cellStyle name="Финансовый 2 8 2" xfId="244" xr:uid="{00000000-0005-0000-0000-0000A6000000}"/>
    <cellStyle name="Финансовый 2 9" xfId="126" xr:uid="{00000000-0005-0000-0000-0000A7000000}"/>
    <cellStyle name="Финансовый 2 9 2" xfId="262" xr:uid="{00000000-0005-0000-0000-0000A8000000}"/>
    <cellStyle name="Финансовый 3" xfId="3" xr:uid="{00000000-0005-0000-0000-0000A9000000}"/>
    <cellStyle name="Финансовый 3 10" xfId="27" xr:uid="{00000000-0005-0000-0000-0000AA000000}"/>
    <cellStyle name="Финансовый 3 10 2" xfId="165" xr:uid="{00000000-0005-0000-0000-0000AB000000}"/>
    <cellStyle name="Финансовый 3 11" xfId="15" xr:uid="{00000000-0005-0000-0000-0000AC000000}"/>
    <cellStyle name="Финансовый 3 11 2" xfId="153" xr:uid="{00000000-0005-0000-0000-0000AD000000}"/>
    <cellStyle name="Финансовый 3 12" xfId="141" xr:uid="{00000000-0005-0000-0000-0000AE000000}"/>
    <cellStyle name="Финансовый 3 13" xfId="277" xr:uid="{00000000-0005-0000-0000-0000AF000000}"/>
    <cellStyle name="Финансовый 3 2" xfId="9" xr:uid="{00000000-0005-0000-0000-0000B0000000}"/>
    <cellStyle name="Финансовый 3 2 10" xfId="283" xr:uid="{00000000-0005-0000-0000-0000B1000000}"/>
    <cellStyle name="Финансовый 3 2 2" xfId="45" xr:uid="{00000000-0005-0000-0000-0000B2000000}"/>
    <cellStyle name="Финансовый 3 2 2 2" xfId="103" xr:uid="{00000000-0005-0000-0000-0000B3000000}"/>
    <cellStyle name="Финансовый 3 2 2 2 2" xfId="239" xr:uid="{00000000-0005-0000-0000-0000B4000000}"/>
    <cellStyle name="Финансовый 3 2 2 3" xfId="183" xr:uid="{00000000-0005-0000-0000-0000B5000000}"/>
    <cellStyle name="Финансовый 3 2 3" xfId="115" xr:uid="{00000000-0005-0000-0000-0000B6000000}"/>
    <cellStyle name="Финансовый 3 2 3 2" xfId="251" xr:uid="{00000000-0005-0000-0000-0000B7000000}"/>
    <cellStyle name="Финансовый 3 2 4" xfId="79" xr:uid="{00000000-0005-0000-0000-0000B8000000}"/>
    <cellStyle name="Финансовый 3 2 4 2" xfId="215" xr:uid="{00000000-0005-0000-0000-0000B9000000}"/>
    <cellStyle name="Финансовый 3 2 5" xfId="57" xr:uid="{00000000-0005-0000-0000-0000BA000000}"/>
    <cellStyle name="Финансовый 3 2 5 2" xfId="195" xr:uid="{00000000-0005-0000-0000-0000BB000000}"/>
    <cellStyle name="Финансовый 3 2 6" xfId="135" xr:uid="{00000000-0005-0000-0000-0000BC000000}"/>
    <cellStyle name="Финансовый 3 2 6 2" xfId="271" xr:uid="{00000000-0005-0000-0000-0000BD000000}"/>
    <cellStyle name="Финансовый 3 2 7" xfId="33" xr:uid="{00000000-0005-0000-0000-0000BE000000}"/>
    <cellStyle name="Финансовый 3 2 7 2" xfId="171" xr:uid="{00000000-0005-0000-0000-0000BF000000}"/>
    <cellStyle name="Финансовый 3 2 8" xfId="21" xr:uid="{00000000-0005-0000-0000-0000C0000000}"/>
    <cellStyle name="Финансовый 3 2 8 2" xfId="159" xr:uid="{00000000-0005-0000-0000-0000C1000000}"/>
    <cellStyle name="Финансовый 3 2 9" xfId="147" xr:uid="{00000000-0005-0000-0000-0000C2000000}"/>
    <cellStyle name="Финансовый 3 3" xfId="39" xr:uid="{00000000-0005-0000-0000-0000C3000000}"/>
    <cellStyle name="Финансовый 3 3 2" xfId="121" xr:uid="{00000000-0005-0000-0000-0000C4000000}"/>
    <cellStyle name="Финансовый 3 3 2 2" xfId="257" xr:uid="{00000000-0005-0000-0000-0000C5000000}"/>
    <cellStyle name="Финансовый 3 3 3" xfId="85" xr:uid="{00000000-0005-0000-0000-0000C6000000}"/>
    <cellStyle name="Финансовый 3 3 3 2" xfId="221" xr:uid="{00000000-0005-0000-0000-0000C7000000}"/>
    <cellStyle name="Финансовый 3 3 4" xfId="177" xr:uid="{00000000-0005-0000-0000-0000C8000000}"/>
    <cellStyle name="Финансовый 3 4" xfId="91" xr:uid="{00000000-0005-0000-0000-0000C9000000}"/>
    <cellStyle name="Финансовый 3 4 2" xfId="227" xr:uid="{00000000-0005-0000-0000-0000CA000000}"/>
    <cellStyle name="Финансовый 3 5" xfId="97" xr:uid="{00000000-0005-0000-0000-0000CB000000}"/>
    <cellStyle name="Финансовый 3 5 2" xfId="233" xr:uid="{00000000-0005-0000-0000-0000CC000000}"/>
    <cellStyle name="Финансовый 3 6" xfId="109" xr:uid="{00000000-0005-0000-0000-0000CD000000}"/>
    <cellStyle name="Финансовый 3 6 2" xfId="245" xr:uid="{00000000-0005-0000-0000-0000CE000000}"/>
    <cellStyle name="Финансовый 3 7" xfId="74" xr:uid="{00000000-0005-0000-0000-0000CF000000}"/>
    <cellStyle name="Финансовый 3 7 2" xfId="210" xr:uid="{00000000-0005-0000-0000-0000D0000000}"/>
    <cellStyle name="Финансовый 3 8" xfId="51" xr:uid="{00000000-0005-0000-0000-0000D1000000}"/>
    <cellStyle name="Финансовый 3 8 2" xfId="189" xr:uid="{00000000-0005-0000-0000-0000D2000000}"/>
    <cellStyle name="Финансовый 3 9" xfId="129" xr:uid="{00000000-0005-0000-0000-0000D3000000}"/>
    <cellStyle name="Финансовый 3 9 2" xfId="265" xr:uid="{00000000-0005-0000-0000-0000D4000000}"/>
    <cellStyle name="Финансовый 4" xfId="5" xr:uid="{00000000-0005-0000-0000-0000D5000000}"/>
    <cellStyle name="Финансовый 4 10" xfId="29" xr:uid="{00000000-0005-0000-0000-0000D6000000}"/>
    <cellStyle name="Финансовый 4 10 2" xfId="167" xr:uid="{00000000-0005-0000-0000-0000D7000000}"/>
    <cellStyle name="Финансовый 4 11" xfId="17" xr:uid="{00000000-0005-0000-0000-0000D8000000}"/>
    <cellStyle name="Финансовый 4 11 2" xfId="155" xr:uid="{00000000-0005-0000-0000-0000D9000000}"/>
    <cellStyle name="Финансовый 4 12" xfId="143" xr:uid="{00000000-0005-0000-0000-0000DA000000}"/>
    <cellStyle name="Финансовый 4 13" xfId="279" xr:uid="{00000000-0005-0000-0000-0000DB000000}"/>
    <cellStyle name="Финансовый 4 2" xfId="11" xr:uid="{00000000-0005-0000-0000-0000DC000000}"/>
    <cellStyle name="Финансовый 4 2 10" xfId="285" xr:uid="{00000000-0005-0000-0000-0000DD000000}"/>
    <cellStyle name="Финансовый 4 2 2" xfId="47" xr:uid="{00000000-0005-0000-0000-0000DE000000}"/>
    <cellStyle name="Финансовый 4 2 2 2" xfId="105" xr:uid="{00000000-0005-0000-0000-0000DF000000}"/>
    <cellStyle name="Финансовый 4 2 2 2 2" xfId="241" xr:uid="{00000000-0005-0000-0000-0000E0000000}"/>
    <cellStyle name="Финансовый 4 2 2 3" xfId="185" xr:uid="{00000000-0005-0000-0000-0000E1000000}"/>
    <cellStyle name="Финансовый 4 2 3" xfId="117" xr:uid="{00000000-0005-0000-0000-0000E2000000}"/>
    <cellStyle name="Финансовый 4 2 3 2" xfId="253" xr:uid="{00000000-0005-0000-0000-0000E3000000}"/>
    <cellStyle name="Финансовый 4 2 4" xfId="81" xr:uid="{00000000-0005-0000-0000-0000E4000000}"/>
    <cellStyle name="Финансовый 4 2 4 2" xfId="217" xr:uid="{00000000-0005-0000-0000-0000E5000000}"/>
    <cellStyle name="Финансовый 4 2 5" xfId="59" xr:uid="{00000000-0005-0000-0000-0000E6000000}"/>
    <cellStyle name="Финансовый 4 2 5 2" xfId="197" xr:uid="{00000000-0005-0000-0000-0000E7000000}"/>
    <cellStyle name="Финансовый 4 2 6" xfId="137" xr:uid="{00000000-0005-0000-0000-0000E8000000}"/>
    <cellStyle name="Финансовый 4 2 6 2" xfId="273" xr:uid="{00000000-0005-0000-0000-0000E9000000}"/>
    <cellStyle name="Финансовый 4 2 7" xfId="35" xr:uid="{00000000-0005-0000-0000-0000EA000000}"/>
    <cellStyle name="Финансовый 4 2 7 2" xfId="173" xr:uid="{00000000-0005-0000-0000-0000EB000000}"/>
    <cellStyle name="Финансовый 4 2 8" xfId="23" xr:uid="{00000000-0005-0000-0000-0000EC000000}"/>
    <cellStyle name="Финансовый 4 2 8 2" xfId="161" xr:uid="{00000000-0005-0000-0000-0000ED000000}"/>
    <cellStyle name="Финансовый 4 2 9" xfId="149" xr:uid="{00000000-0005-0000-0000-0000EE000000}"/>
    <cellStyle name="Финансовый 4 3" xfId="41" xr:uid="{00000000-0005-0000-0000-0000EF000000}"/>
    <cellStyle name="Финансовый 4 3 2" xfId="123" xr:uid="{00000000-0005-0000-0000-0000F0000000}"/>
    <cellStyle name="Финансовый 4 3 2 2" xfId="259" xr:uid="{00000000-0005-0000-0000-0000F1000000}"/>
    <cellStyle name="Финансовый 4 3 3" xfId="87" xr:uid="{00000000-0005-0000-0000-0000F2000000}"/>
    <cellStyle name="Финансовый 4 3 3 2" xfId="223" xr:uid="{00000000-0005-0000-0000-0000F3000000}"/>
    <cellStyle name="Финансовый 4 3 4" xfId="179" xr:uid="{00000000-0005-0000-0000-0000F4000000}"/>
    <cellStyle name="Финансовый 4 4" xfId="93" xr:uid="{00000000-0005-0000-0000-0000F5000000}"/>
    <cellStyle name="Финансовый 4 4 2" xfId="229" xr:uid="{00000000-0005-0000-0000-0000F6000000}"/>
    <cellStyle name="Финансовый 4 5" xfId="99" xr:uid="{00000000-0005-0000-0000-0000F7000000}"/>
    <cellStyle name="Финансовый 4 5 2" xfId="235" xr:uid="{00000000-0005-0000-0000-0000F8000000}"/>
    <cellStyle name="Финансовый 4 6" xfId="111" xr:uid="{00000000-0005-0000-0000-0000F9000000}"/>
    <cellStyle name="Финансовый 4 6 2" xfId="247" xr:uid="{00000000-0005-0000-0000-0000FA000000}"/>
    <cellStyle name="Финансовый 4 7" xfId="75" xr:uid="{00000000-0005-0000-0000-0000FB000000}"/>
    <cellStyle name="Финансовый 4 7 2" xfId="211" xr:uid="{00000000-0005-0000-0000-0000FC000000}"/>
    <cellStyle name="Финансовый 4 8" xfId="53" xr:uid="{00000000-0005-0000-0000-0000FD000000}"/>
    <cellStyle name="Финансовый 4 8 2" xfId="191" xr:uid="{00000000-0005-0000-0000-0000FE000000}"/>
    <cellStyle name="Финансовый 4 9" xfId="131" xr:uid="{00000000-0005-0000-0000-0000FF000000}"/>
    <cellStyle name="Финансовый 4 9 2" xfId="267" xr:uid="{00000000-0005-0000-0000-000000010000}"/>
    <cellStyle name="Финансовый 5" xfId="7" xr:uid="{00000000-0005-0000-0000-000001010000}"/>
    <cellStyle name="Финансовый 5 10" xfId="281" xr:uid="{00000000-0005-0000-0000-000002010000}"/>
    <cellStyle name="Финансовый 5 2" xfId="43" xr:uid="{00000000-0005-0000-0000-000003010000}"/>
    <cellStyle name="Финансовый 5 2 2" xfId="101" xr:uid="{00000000-0005-0000-0000-000004010000}"/>
    <cellStyle name="Финансовый 5 2 2 2" xfId="237" xr:uid="{00000000-0005-0000-0000-000005010000}"/>
    <cellStyle name="Финансовый 5 2 3" xfId="181" xr:uid="{00000000-0005-0000-0000-000006010000}"/>
    <cellStyle name="Финансовый 5 3" xfId="113" xr:uid="{00000000-0005-0000-0000-000007010000}"/>
    <cellStyle name="Финансовый 5 3 2" xfId="249" xr:uid="{00000000-0005-0000-0000-000008010000}"/>
    <cellStyle name="Финансовый 5 4" xfId="77" xr:uid="{00000000-0005-0000-0000-000009010000}"/>
    <cellStyle name="Финансовый 5 4 2" xfId="213" xr:uid="{00000000-0005-0000-0000-00000A010000}"/>
    <cellStyle name="Финансовый 5 5" xfId="55" xr:uid="{00000000-0005-0000-0000-00000B010000}"/>
    <cellStyle name="Финансовый 5 5 2" xfId="193" xr:uid="{00000000-0005-0000-0000-00000C010000}"/>
    <cellStyle name="Финансовый 5 6" xfId="133" xr:uid="{00000000-0005-0000-0000-00000D010000}"/>
    <cellStyle name="Финансовый 5 6 2" xfId="269" xr:uid="{00000000-0005-0000-0000-00000E010000}"/>
    <cellStyle name="Финансовый 5 7" xfId="31" xr:uid="{00000000-0005-0000-0000-00000F010000}"/>
    <cellStyle name="Финансовый 5 7 2" xfId="169" xr:uid="{00000000-0005-0000-0000-000010010000}"/>
    <cellStyle name="Финансовый 5 8" xfId="19" xr:uid="{00000000-0005-0000-0000-000011010000}"/>
    <cellStyle name="Финансовый 5 8 2" xfId="157" xr:uid="{00000000-0005-0000-0000-000012010000}"/>
    <cellStyle name="Финансовый 5 9" xfId="145" xr:uid="{00000000-0005-0000-0000-000013010000}"/>
    <cellStyle name="Финансовый 6" xfId="37" xr:uid="{00000000-0005-0000-0000-000014010000}"/>
    <cellStyle name="Финансовый 6 2" xfId="119" xr:uid="{00000000-0005-0000-0000-000015010000}"/>
    <cellStyle name="Финансовый 6 2 2" xfId="255" xr:uid="{00000000-0005-0000-0000-000016010000}"/>
    <cellStyle name="Финансовый 6 3" xfId="83" xr:uid="{00000000-0005-0000-0000-000017010000}"/>
    <cellStyle name="Финансовый 6 3 2" xfId="219" xr:uid="{00000000-0005-0000-0000-000018010000}"/>
    <cellStyle name="Финансовый 6 4" xfId="175" xr:uid="{00000000-0005-0000-0000-000019010000}"/>
    <cellStyle name="Финансовый 7" xfId="89" xr:uid="{00000000-0005-0000-0000-00001A010000}"/>
    <cellStyle name="Финансовый 7 2" xfId="225" xr:uid="{00000000-0005-0000-0000-00001B010000}"/>
    <cellStyle name="Финансовый 8" xfId="95" xr:uid="{00000000-0005-0000-0000-00001C010000}"/>
    <cellStyle name="Финансовый 8 2" xfId="231" xr:uid="{00000000-0005-0000-0000-00001D010000}"/>
    <cellStyle name="Финансовый 9" xfId="107" xr:uid="{00000000-0005-0000-0000-00001E010000}"/>
    <cellStyle name="Финансовый 9 2" xfId="243" xr:uid="{00000000-0005-0000-0000-00001F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
    <tabColor rgb="FF00B050"/>
  </sheetPr>
  <dimension ref="A1:NG165"/>
  <sheetViews>
    <sheetView topLeftCell="A82" zoomScaleNormal="100" workbookViewId="0">
      <selection activeCell="NC28" sqref="NC28"/>
    </sheetView>
  </sheetViews>
  <sheetFormatPr defaultColWidth="9.109375" defaultRowHeight="13.8" zeroHeight="1" x14ac:dyDescent="0.25"/>
  <cols>
    <col min="1" max="1" width="68" style="184" bestFit="1" customWidth="1"/>
    <col min="2" max="2" width="64.44140625" style="185" customWidth="1"/>
    <col min="3" max="3" width="35.6640625" style="182" customWidth="1"/>
    <col min="4" max="4" width="70" style="187" hidden="1" customWidth="1"/>
    <col min="5" max="355" width="9.109375" style="187" hidden="1" customWidth="1"/>
    <col min="356" max="356" width="5" style="187" hidden="1" customWidth="1"/>
    <col min="357" max="357" width="5.5546875" style="187" hidden="1" customWidth="1"/>
    <col min="358" max="358" width="5.44140625" style="187" hidden="1" customWidth="1"/>
    <col min="359" max="361" width="5.5546875" style="187" hidden="1" customWidth="1"/>
    <col min="362" max="997" width="5.5546875" style="182" customWidth="1"/>
    <col min="998" max="998" width="9.109375" style="182" customWidth="1"/>
    <col min="999" max="16384" width="9.109375" style="182"/>
  </cols>
  <sheetData>
    <row r="1" spans="1:371" x14ac:dyDescent="0.25">
      <c r="A1" s="3" t="str">
        <f>CONCATENATE(B65," olish uchun ariza")</f>
        <v>mikroqarz olish uchun ariza</v>
      </c>
      <c r="B1" s="49" t="s">
        <v>428</v>
      </c>
    </row>
    <row r="2" spans="1:371" x14ac:dyDescent="0.25">
      <c r="A2" s="3" t="str">
        <f>CONCATENATE(B65," olish uchun ariza sanasi QO’L BILAN KIRITILADI")</f>
        <v>mikroqarz olish uchun ariza sanasi QO’L BILAN KIRITILADI</v>
      </c>
      <c r="B2" s="57" t="s">
        <v>427</v>
      </c>
      <c r="D2" s="187">
        <f>180+B2</f>
        <v>46208</v>
      </c>
    </row>
    <row r="3" spans="1:371" x14ac:dyDescent="0.25">
      <c r="A3" s="3"/>
      <c r="B3" s="1"/>
    </row>
    <row r="4" spans="1:371" x14ac:dyDescent="0.25">
      <c r="A4" s="236" t="s">
        <v>49</v>
      </c>
      <c r="B4" s="236"/>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c r="KJ4" s="232"/>
      <c r="KK4" s="232"/>
      <c r="KL4" s="232"/>
      <c r="KM4" s="232"/>
      <c r="KN4" s="232"/>
      <c r="KO4" s="232"/>
      <c r="KP4" s="232"/>
      <c r="KQ4" s="232"/>
      <c r="KR4" s="232"/>
      <c r="KS4" s="232"/>
      <c r="KT4" s="232"/>
      <c r="KU4" s="232"/>
      <c r="KV4" s="232"/>
      <c r="KW4" s="232"/>
      <c r="KX4" s="232"/>
      <c r="KY4" s="232"/>
      <c r="KZ4" s="232"/>
      <c r="LA4" s="232"/>
      <c r="LB4" s="232"/>
      <c r="LC4" s="232"/>
      <c r="LD4" s="232"/>
      <c r="LE4" s="232"/>
      <c r="LF4" s="232"/>
      <c r="LG4" s="232"/>
      <c r="LH4" s="232"/>
      <c r="LI4" s="232"/>
      <c r="LJ4" s="232"/>
      <c r="LK4" s="232"/>
      <c r="LL4" s="232"/>
      <c r="LM4" s="232"/>
      <c r="LN4" s="232"/>
      <c r="LO4" s="232"/>
      <c r="LP4" s="232"/>
      <c r="LQ4" s="232"/>
      <c r="LR4" s="232"/>
      <c r="LS4" s="232"/>
      <c r="LT4" s="232"/>
      <c r="LU4" s="232"/>
      <c r="LV4" s="232"/>
      <c r="LW4" s="232"/>
      <c r="LX4" s="232"/>
      <c r="LY4" s="232"/>
      <c r="LZ4" s="232"/>
      <c r="MA4" s="232"/>
      <c r="MB4" s="232"/>
      <c r="MC4" s="232"/>
      <c r="MD4" s="232"/>
      <c r="ME4" s="232"/>
      <c r="MF4" s="232"/>
      <c r="MG4" s="232"/>
      <c r="MH4" s="232"/>
      <c r="MI4" s="232"/>
      <c r="MJ4" s="232"/>
      <c r="MK4" s="232"/>
      <c r="ML4" s="232"/>
      <c r="MM4" s="232"/>
      <c r="MN4" s="232"/>
      <c r="MO4" s="232"/>
      <c r="MP4" s="232"/>
      <c r="MQ4" s="232"/>
      <c r="MR4" s="232"/>
      <c r="MS4" s="232"/>
      <c r="MT4" s="232"/>
      <c r="MU4" s="232"/>
      <c r="MV4" s="232"/>
      <c r="MW4" s="232"/>
      <c r="MX4" s="232"/>
      <c r="MY4" s="232"/>
      <c r="MZ4" s="232"/>
      <c r="NA4" s="232"/>
      <c r="NB4" s="232"/>
      <c r="NC4" s="232"/>
      <c r="ND4" s="232"/>
      <c r="NE4" s="232"/>
      <c r="NF4" s="232"/>
      <c r="NG4" s="232"/>
    </row>
    <row r="5" spans="1:371" x14ac:dyDescent="0.25">
      <c r="A5" s="3" t="s">
        <v>50</v>
      </c>
      <c r="B5" s="49" t="s">
        <v>426</v>
      </c>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2"/>
      <c r="CS5" s="232"/>
      <c r="CT5" s="232"/>
      <c r="CU5" s="232"/>
      <c r="CV5" s="232"/>
      <c r="CW5" s="232"/>
      <c r="CX5" s="232"/>
      <c r="CY5" s="232"/>
      <c r="CZ5" s="232"/>
      <c r="DA5" s="232"/>
      <c r="DB5" s="232"/>
      <c r="DC5" s="232"/>
      <c r="DD5" s="232"/>
      <c r="DE5" s="232"/>
      <c r="DF5" s="232"/>
      <c r="DG5" s="232"/>
      <c r="DH5" s="232"/>
      <c r="DI5" s="232"/>
      <c r="DJ5" s="232"/>
      <c r="DK5" s="232"/>
      <c r="DL5" s="232"/>
      <c r="DM5" s="232"/>
      <c r="DN5" s="232"/>
      <c r="DO5" s="232"/>
      <c r="DP5" s="232"/>
      <c r="DQ5" s="232"/>
      <c r="DR5" s="232"/>
      <c r="DS5" s="232"/>
      <c r="DT5" s="232"/>
      <c r="DU5" s="232"/>
      <c r="DV5" s="232"/>
      <c r="DW5" s="232"/>
      <c r="DX5" s="232"/>
      <c r="DY5" s="232"/>
      <c r="DZ5" s="232"/>
      <c r="EA5" s="232"/>
      <c r="EB5" s="232"/>
      <c r="EC5" s="232"/>
      <c r="ED5" s="232"/>
      <c r="EE5" s="232"/>
      <c r="EF5" s="232"/>
      <c r="EG5" s="232"/>
      <c r="EH5" s="232"/>
      <c r="EI5" s="232"/>
      <c r="EJ5" s="232"/>
      <c r="EK5" s="232"/>
      <c r="EL5" s="232"/>
      <c r="EM5" s="232"/>
      <c r="EN5" s="232"/>
      <c r="EO5" s="232"/>
      <c r="EP5" s="232"/>
      <c r="EQ5" s="232"/>
      <c r="ER5" s="232"/>
      <c r="ES5" s="232"/>
      <c r="ET5" s="232"/>
      <c r="EU5" s="232"/>
      <c r="EV5" s="232"/>
      <c r="EW5" s="232"/>
      <c r="EX5" s="232"/>
      <c r="EY5" s="232"/>
      <c r="EZ5" s="232"/>
      <c r="FA5" s="232"/>
      <c r="FB5" s="232"/>
      <c r="FC5" s="232"/>
      <c r="FD5" s="232"/>
      <c r="FE5" s="232"/>
      <c r="FF5" s="232"/>
      <c r="FG5" s="232"/>
      <c r="FH5" s="232"/>
      <c r="FI5" s="232"/>
      <c r="FJ5" s="232"/>
      <c r="FK5" s="232"/>
      <c r="FL5" s="232"/>
      <c r="FM5" s="232"/>
      <c r="FN5" s="232"/>
      <c r="FO5" s="232"/>
      <c r="FP5" s="232"/>
      <c r="FQ5" s="232"/>
      <c r="FR5" s="232"/>
      <c r="FS5" s="232"/>
      <c r="FT5" s="232"/>
      <c r="FU5" s="232"/>
      <c r="FV5" s="232"/>
      <c r="FW5" s="232"/>
      <c r="FX5" s="232"/>
      <c r="FY5" s="232"/>
      <c r="FZ5" s="232"/>
      <c r="GA5" s="232"/>
      <c r="GB5" s="232"/>
      <c r="GC5" s="232"/>
      <c r="GD5" s="232"/>
      <c r="GE5" s="232"/>
      <c r="GF5" s="232"/>
      <c r="GG5" s="232"/>
      <c r="GH5" s="232"/>
      <c r="GI5" s="232"/>
      <c r="GJ5" s="232"/>
      <c r="GK5" s="232"/>
      <c r="GL5" s="232"/>
      <c r="GM5" s="232"/>
      <c r="GN5" s="232"/>
      <c r="GO5" s="232"/>
      <c r="GP5" s="232"/>
      <c r="GQ5" s="232"/>
      <c r="GR5" s="232"/>
      <c r="GS5" s="232"/>
      <c r="GT5" s="232"/>
      <c r="GU5" s="232"/>
      <c r="GV5" s="232"/>
      <c r="GW5" s="232"/>
      <c r="GX5" s="232"/>
      <c r="GY5" s="232"/>
      <c r="GZ5" s="232"/>
      <c r="HA5" s="232"/>
      <c r="HB5" s="232"/>
      <c r="HC5" s="232"/>
      <c r="HD5" s="232"/>
      <c r="HE5" s="232"/>
      <c r="HF5" s="232"/>
      <c r="HG5" s="232"/>
      <c r="HH5" s="232"/>
      <c r="HI5" s="232"/>
      <c r="HJ5" s="232"/>
      <c r="HK5" s="232"/>
      <c r="HL5" s="232"/>
      <c r="HM5" s="232"/>
      <c r="HN5" s="232"/>
      <c r="HO5" s="232"/>
      <c r="HP5" s="232"/>
      <c r="HQ5" s="232"/>
      <c r="HR5" s="232"/>
      <c r="HS5" s="232"/>
      <c r="HT5" s="232"/>
      <c r="HU5" s="232"/>
      <c r="HV5" s="232"/>
      <c r="HW5" s="232"/>
      <c r="HX5" s="232"/>
      <c r="HY5" s="232"/>
      <c r="HZ5" s="232"/>
      <c r="IA5" s="232"/>
      <c r="IB5" s="232"/>
      <c r="IC5" s="232"/>
      <c r="ID5" s="232"/>
      <c r="IE5" s="232"/>
      <c r="IF5" s="232"/>
      <c r="IG5" s="232"/>
      <c r="IH5" s="232"/>
      <c r="II5" s="232"/>
      <c r="IJ5" s="232"/>
      <c r="IK5" s="232"/>
      <c r="IL5" s="232"/>
      <c r="IM5" s="232"/>
      <c r="IN5" s="232"/>
      <c r="IO5" s="232"/>
      <c r="IP5" s="232"/>
      <c r="IQ5" s="232"/>
      <c r="IR5" s="232"/>
      <c r="IS5" s="232"/>
      <c r="IT5" s="232"/>
      <c r="IU5" s="232"/>
      <c r="IV5" s="232"/>
      <c r="IW5" s="232"/>
      <c r="IX5" s="232"/>
      <c r="IY5" s="232"/>
      <c r="IZ5" s="232"/>
      <c r="JA5" s="232"/>
      <c r="JB5" s="232"/>
      <c r="JC5" s="232"/>
      <c r="JD5" s="232"/>
      <c r="JE5" s="232"/>
      <c r="JF5" s="232"/>
      <c r="JG5" s="232"/>
      <c r="JH5" s="232"/>
      <c r="JI5" s="232"/>
      <c r="JJ5" s="232"/>
      <c r="JK5" s="232"/>
      <c r="JL5" s="232"/>
      <c r="JM5" s="232"/>
      <c r="JN5" s="232"/>
      <c r="JO5" s="232"/>
      <c r="JP5" s="232"/>
      <c r="JQ5" s="232"/>
      <c r="JR5" s="232"/>
      <c r="JS5" s="232"/>
      <c r="JT5" s="232"/>
      <c r="JU5" s="232"/>
      <c r="JV5" s="232"/>
      <c r="JW5" s="232"/>
      <c r="JX5" s="232"/>
      <c r="JY5" s="232"/>
      <c r="JZ5" s="232"/>
      <c r="KA5" s="232"/>
      <c r="KB5" s="232"/>
      <c r="KC5" s="232"/>
      <c r="KD5" s="232"/>
      <c r="KE5" s="232"/>
      <c r="KF5" s="232"/>
      <c r="KG5" s="232"/>
      <c r="KH5" s="232"/>
      <c r="KI5" s="232"/>
      <c r="KJ5" s="232"/>
      <c r="KK5" s="232"/>
      <c r="KL5" s="232"/>
      <c r="KM5" s="232"/>
      <c r="KN5" s="232"/>
      <c r="KO5" s="232"/>
      <c r="KP5" s="232"/>
      <c r="KQ5" s="232"/>
      <c r="KR5" s="232"/>
      <c r="KS5" s="232"/>
      <c r="KT5" s="232"/>
      <c r="KU5" s="232"/>
      <c r="KV5" s="232"/>
      <c r="KW5" s="232"/>
      <c r="KX5" s="232"/>
      <c r="KY5" s="232"/>
      <c r="KZ5" s="232"/>
      <c r="LA5" s="232"/>
      <c r="LB5" s="232"/>
      <c r="LC5" s="232"/>
      <c r="LD5" s="232"/>
      <c r="LE5" s="232"/>
      <c r="LF5" s="232"/>
      <c r="LG5" s="232"/>
      <c r="LH5" s="232"/>
      <c r="LI5" s="232"/>
      <c r="LJ5" s="232"/>
      <c r="LK5" s="232"/>
      <c r="LL5" s="232"/>
      <c r="LM5" s="232"/>
      <c r="LN5" s="232"/>
      <c r="LO5" s="232"/>
      <c r="LP5" s="232"/>
      <c r="LQ5" s="232"/>
      <c r="LR5" s="232"/>
      <c r="LS5" s="232"/>
      <c r="LT5" s="232"/>
      <c r="LU5" s="232"/>
      <c r="LV5" s="232"/>
      <c r="LW5" s="232"/>
      <c r="LX5" s="232"/>
      <c r="LY5" s="232"/>
      <c r="LZ5" s="232"/>
      <c r="MA5" s="232"/>
      <c r="MB5" s="232"/>
      <c r="MC5" s="232"/>
      <c r="MD5" s="232"/>
      <c r="ME5" s="232"/>
      <c r="MF5" s="232"/>
      <c r="MG5" s="232"/>
      <c r="MH5" s="232"/>
      <c r="MI5" s="232"/>
      <c r="MJ5" s="232"/>
      <c r="MK5" s="232"/>
      <c r="ML5" s="232"/>
      <c r="MM5" s="232"/>
      <c r="MN5" s="232"/>
      <c r="MO5" s="232"/>
      <c r="MP5" s="232"/>
      <c r="MQ5" s="232"/>
      <c r="MR5" s="232"/>
      <c r="MS5" s="232"/>
      <c r="MT5" s="232"/>
      <c r="MU5" s="232"/>
      <c r="MV5" s="232"/>
      <c r="MW5" s="232"/>
      <c r="MX5" s="232"/>
      <c r="MY5" s="232"/>
      <c r="MZ5" s="232"/>
      <c r="NA5" s="232"/>
      <c r="NB5" s="232"/>
      <c r="NC5" s="232"/>
      <c r="ND5" s="232"/>
      <c r="NE5" s="232"/>
      <c r="NF5" s="232"/>
      <c r="NG5" s="232"/>
    </row>
    <row r="6" spans="1:371" ht="27.6" x14ac:dyDescent="0.25">
      <c r="A6" s="3" t="s">
        <v>51</v>
      </c>
      <c r="B6" s="49" t="s">
        <v>130</v>
      </c>
      <c r="C6" s="232" t="s">
        <v>251</v>
      </c>
      <c r="D6" s="232" t="s">
        <v>130</v>
      </c>
      <c r="E6" s="232"/>
      <c r="F6" s="232"/>
      <c r="G6" s="232"/>
      <c r="H6" s="232"/>
      <c r="I6" s="232"/>
      <c r="J6" s="232"/>
      <c r="K6" s="232"/>
      <c r="L6" s="232"/>
      <c r="M6" s="232"/>
      <c r="N6" s="232"/>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2"/>
      <c r="BK6" s="232"/>
      <c r="BL6" s="232"/>
      <c r="BM6" s="232"/>
      <c r="BN6" s="232"/>
      <c r="BO6" s="232"/>
      <c r="BP6" s="232"/>
      <c r="BQ6" s="232"/>
      <c r="BR6" s="232"/>
      <c r="BS6" s="232"/>
      <c r="BT6" s="232"/>
      <c r="BU6" s="232"/>
      <c r="BV6" s="232"/>
      <c r="BW6" s="232"/>
      <c r="BX6" s="232"/>
      <c r="BY6" s="232"/>
      <c r="BZ6" s="232"/>
      <c r="CA6" s="232"/>
      <c r="CB6" s="232"/>
      <c r="CC6" s="232"/>
      <c r="CD6" s="232"/>
      <c r="CE6" s="232"/>
      <c r="CF6" s="232"/>
      <c r="CG6" s="232"/>
      <c r="CH6" s="232"/>
      <c r="CI6" s="232"/>
      <c r="CJ6" s="232"/>
      <c r="CK6" s="232"/>
      <c r="CL6" s="232"/>
      <c r="CM6" s="232"/>
      <c r="CN6" s="232"/>
      <c r="CO6" s="232"/>
      <c r="CP6" s="232"/>
      <c r="CQ6" s="232"/>
      <c r="CR6" s="232"/>
      <c r="CS6" s="232"/>
      <c r="CT6" s="232"/>
      <c r="CU6" s="232"/>
      <c r="CV6" s="232"/>
      <c r="CW6" s="232"/>
      <c r="CX6" s="232"/>
      <c r="CY6" s="232"/>
      <c r="CZ6" s="232"/>
      <c r="DA6" s="232"/>
      <c r="DB6" s="232"/>
      <c r="DC6" s="232"/>
      <c r="DD6" s="232"/>
      <c r="DE6" s="232"/>
      <c r="DF6" s="232"/>
      <c r="DG6" s="232"/>
      <c r="DH6" s="232"/>
      <c r="DI6" s="232"/>
      <c r="DJ6" s="232"/>
      <c r="DK6" s="232"/>
      <c r="DL6" s="232"/>
      <c r="DM6" s="232"/>
      <c r="DN6" s="232"/>
      <c r="DO6" s="232"/>
      <c r="DP6" s="232"/>
      <c r="DQ6" s="232"/>
      <c r="DR6" s="232"/>
      <c r="DS6" s="232"/>
      <c r="DT6" s="232"/>
      <c r="DU6" s="232"/>
      <c r="DV6" s="232"/>
      <c r="DW6" s="232"/>
      <c r="DX6" s="232"/>
      <c r="DY6" s="232"/>
      <c r="DZ6" s="232"/>
      <c r="EA6" s="232"/>
      <c r="EB6" s="232"/>
      <c r="EC6" s="232"/>
      <c r="ED6" s="232"/>
      <c r="EE6" s="232"/>
      <c r="EF6" s="232"/>
      <c r="EG6" s="232"/>
      <c r="EH6" s="232"/>
      <c r="EI6" s="232"/>
      <c r="EJ6" s="232"/>
      <c r="EK6" s="232"/>
      <c r="EL6" s="232"/>
      <c r="EM6" s="232"/>
      <c r="EN6" s="232"/>
      <c r="EO6" s="232"/>
      <c r="EP6" s="232"/>
      <c r="EQ6" s="232"/>
      <c r="ER6" s="232"/>
      <c r="ES6" s="232"/>
      <c r="ET6" s="232"/>
      <c r="EU6" s="232"/>
      <c r="EV6" s="232"/>
      <c r="EW6" s="232"/>
      <c r="EX6" s="232"/>
      <c r="EY6" s="232"/>
      <c r="EZ6" s="232"/>
      <c r="FA6" s="232"/>
      <c r="FB6" s="232"/>
      <c r="FC6" s="232"/>
      <c r="FD6" s="232"/>
      <c r="FE6" s="232"/>
      <c r="FF6" s="232"/>
      <c r="FG6" s="232"/>
      <c r="FH6" s="232"/>
      <c r="FI6" s="232"/>
      <c r="FJ6" s="232"/>
      <c r="FK6" s="232"/>
      <c r="FL6" s="232"/>
      <c r="FM6" s="232"/>
      <c r="FN6" s="232"/>
      <c r="FO6" s="232"/>
      <c r="FP6" s="232"/>
      <c r="FQ6" s="232"/>
      <c r="FR6" s="232"/>
      <c r="FS6" s="232"/>
      <c r="FT6" s="232"/>
      <c r="FU6" s="232"/>
      <c r="FV6" s="232"/>
      <c r="FW6" s="232"/>
      <c r="FX6" s="232"/>
      <c r="FY6" s="232"/>
      <c r="FZ6" s="232"/>
      <c r="GA6" s="232"/>
      <c r="GB6" s="232"/>
      <c r="GC6" s="232"/>
      <c r="GD6" s="232"/>
      <c r="GE6" s="232"/>
      <c r="GF6" s="232"/>
      <c r="GG6" s="232"/>
      <c r="GH6" s="232"/>
      <c r="GI6" s="232"/>
      <c r="GJ6" s="232"/>
      <c r="GK6" s="232"/>
      <c r="GL6" s="232"/>
      <c r="GM6" s="232"/>
      <c r="GN6" s="232"/>
      <c r="GO6" s="232"/>
      <c r="GP6" s="232"/>
      <c r="GQ6" s="232"/>
      <c r="GR6" s="232"/>
      <c r="GS6" s="232"/>
      <c r="GT6" s="232"/>
      <c r="GU6" s="232"/>
      <c r="GV6" s="232"/>
      <c r="GW6" s="232"/>
      <c r="GX6" s="232"/>
      <c r="GY6" s="232"/>
      <c r="GZ6" s="232"/>
      <c r="HA6" s="232"/>
      <c r="HB6" s="232"/>
      <c r="HC6" s="232"/>
      <c r="HD6" s="232"/>
      <c r="HE6" s="232"/>
      <c r="HF6" s="232"/>
      <c r="HG6" s="232"/>
      <c r="HH6" s="232"/>
      <c r="HI6" s="232"/>
      <c r="HJ6" s="232"/>
      <c r="HK6" s="232"/>
      <c r="HL6" s="232"/>
      <c r="HM6" s="232"/>
      <c r="HN6" s="232"/>
      <c r="HO6" s="232"/>
      <c r="HP6" s="232"/>
      <c r="HQ6" s="232"/>
      <c r="HR6" s="232"/>
      <c r="HS6" s="232"/>
      <c r="HT6" s="232"/>
      <c r="HU6" s="232"/>
      <c r="HV6" s="232"/>
      <c r="HW6" s="232"/>
      <c r="HX6" s="232"/>
      <c r="HY6" s="232"/>
      <c r="HZ6" s="232"/>
      <c r="IA6" s="232"/>
      <c r="IB6" s="232"/>
      <c r="IC6" s="232"/>
      <c r="ID6" s="232"/>
      <c r="IE6" s="232"/>
      <c r="IF6" s="232"/>
      <c r="IG6" s="232"/>
      <c r="IH6" s="232"/>
      <c r="II6" s="232"/>
      <c r="IJ6" s="232"/>
      <c r="IK6" s="232"/>
      <c r="IL6" s="232"/>
      <c r="IM6" s="232"/>
      <c r="IN6" s="232"/>
      <c r="IO6" s="232"/>
      <c r="IP6" s="232"/>
      <c r="IQ6" s="232"/>
      <c r="IR6" s="232"/>
      <c r="IS6" s="232"/>
      <c r="IT6" s="232"/>
      <c r="IU6" s="232"/>
      <c r="IV6" s="232"/>
      <c r="IW6" s="232"/>
      <c r="IX6" s="232"/>
      <c r="IY6" s="232"/>
      <c r="IZ6" s="232"/>
      <c r="JA6" s="232"/>
      <c r="JB6" s="232"/>
      <c r="JC6" s="232"/>
      <c r="JD6" s="232"/>
      <c r="JE6" s="232"/>
      <c r="JF6" s="232"/>
      <c r="JG6" s="232"/>
      <c r="JH6" s="232"/>
      <c r="JI6" s="232"/>
      <c r="JJ6" s="232"/>
      <c r="JK6" s="232"/>
      <c r="JL6" s="232"/>
      <c r="JM6" s="232"/>
      <c r="JN6" s="232"/>
      <c r="JO6" s="232"/>
      <c r="JP6" s="232"/>
      <c r="JQ6" s="232"/>
      <c r="JR6" s="232"/>
      <c r="JS6" s="232"/>
      <c r="JT6" s="232"/>
      <c r="JU6" s="232"/>
      <c r="JV6" s="232"/>
      <c r="JW6" s="232"/>
      <c r="JX6" s="232"/>
      <c r="JY6" s="232"/>
      <c r="JZ6" s="232"/>
      <c r="KA6" s="232"/>
      <c r="KB6" s="232"/>
      <c r="KC6" s="232"/>
      <c r="KD6" s="232"/>
      <c r="KE6" s="232"/>
      <c r="KF6" s="232"/>
      <c r="KG6" s="232"/>
      <c r="KH6" s="232"/>
      <c r="KI6" s="232"/>
      <c r="KJ6" s="232"/>
      <c r="KK6" s="232"/>
      <c r="KL6" s="232"/>
      <c r="KM6" s="232"/>
      <c r="KN6" s="232"/>
      <c r="KO6" s="232"/>
      <c r="KP6" s="232"/>
      <c r="KQ6" s="232"/>
      <c r="KR6" s="232"/>
      <c r="KS6" s="232"/>
      <c r="KT6" s="232"/>
      <c r="KU6" s="232"/>
      <c r="KV6" s="232"/>
      <c r="KW6" s="232"/>
      <c r="KX6" s="232"/>
      <c r="KY6" s="232"/>
      <c r="KZ6" s="232"/>
      <c r="LA6" s="232"/>
      <c r="LB6" s="232"/>
      <c r="LC6" s="232"/>
      <c r="LD6" s="232"/>
      <c r="LE6" s="232"/>
      <c r="LF6" s="232"/>
      <c r="LG6" s="232"/>
      <c r="LH6" s="232"/>
      <c r="LI6" s="232"/>
      <c r="LJ6" s="232"/>
      <c r="LK6" s="232"/>
      <c r="LL6" s="232"/>
      <c r="LM6" s="232"/>
      <c r="LN6" s="232"/>
      <c r="LO6" s="232"/>
      <c r="LP6" s="232"/>
      <c r="LQ6" s="232"/>
      <c r="LR6" s="232"/>
      <c r="LS6" s="232"/>
      <c r="LT6" s="232"/>
      <c r="LU6" s="232"/>
      <c r="LV6" s="232"/>
      <c r="LW6" s="232"/>
      <c r="LX6" s="232"/>
      <c r="LY6" s="232"/>
      <c r="LZ6" s="232"/>
      <c r="MA6" s="232"/>
      <c r="MB6" s="232"/>
      <c r="MC6" s="232"/>
      <c r="MD6" s="232"/>
      <c r="ME6" s="232"/>
      <c r="MF6" s="232"/>
      <c r="MG6" s="232"/>
      <c r="MH6" s="232"/>
      <c r="MI6" s="232"/>
      <c r="MJ6" s="232"/>
      <c r="MK6" s="232"/>
      <c r="ML6" s="232"/>
      <c r="MM6" s="232"/>
      <c r="MN6" s="232"/>
      <c r="MO6" s="232"/>
      <c r="MP6" s="232"/>
      <c r="MQ6" s="232"/>
      <c r="MR6" s="232"/>
      <c r="MS6" s="232"/>
      <c r="MT6" s="232"/>
      <c r="MU6" s="232"/>
      <c r="MV6" s="232"/>
      <c r="MW6" s="232"/>
      <c r="MX6" s="232"/>
      <c r="MY6" s="232"/>
      <c r="MZ6" s="232"/>
      <c r="NA6" s="232"/>
      <c r="NB6" s="232"/>
      <c r="NC6" s="232"/>
      <c r="ND6" s="232"/>
      <c r="NE6" s="232"/>
      <c r="NF6" s="232"/>
      <c r="NG6" s="232"/>
    </row>
    <row r="7" spans="1:371" x14ac:dyDescent="0.25">
      <c r="A7" s="3" t="s">
        <v>52</v>
      </c>
      <c r="B7" s="49" t="s">
        <v>429</v>
      </c>
      <c r="C7" s="232"/>
      <c r="D7" s="232"/>
      <c r="E7" s="232"/>
      <c r="F7" s="232"/>
      <c r="G7" s="232"/>
      <c r="H7" s="232"/>
      <c r="I7" s="232"/>
      <c r="J7" s="232"/>
      <c r="K7" s="232"/>
      <c r="L7" s="232"/>
      <c r="M7" s="232"/>
      <c r="N7" s="232"/>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c r="BL7" s="232"/>
      <c r="BM7" s="232"/>
      <c r="BN7" s="232"/>
      <c r="BO7" s="232"/>
      <c r="BP7" s="232"/>
      <c r="BQ7" s="232"/>
      <c r="BR7" s="232"/>
      <c r="BS7" s="232"/>
      <c r="BT7" s="232"/>
      <c r="BU7" s="232"/>
      <c r="BV7" s="232"/>
      <c r="BW7" s="232"/>
      <c r="BX7" s="232"/>
      <c r="BY7" s="232"/>
      <c r="BZ7" s="232"/>
      <c r="CA7" s="232"/>
      <c r="CB7" s="232"/>
      <c r="CC7" s="232"/>
      <c r="CD7" s="232"/>
      <c r="CE7" s="232"/>
      <c r="CF7" s="232"/>
      <c r="CG7" s="232"/>
      <c r="CH7" s="232"/>
      <c r="CI7" s="232"/>
      <c r="CJ7" s="232"/>
      <c r="CK7" s="232"/>
      <c r="CL7" s="232"/>
      <c r="CM7" s="232"/>
      <c r="CN7" s="232"/>
      <c r="CO7" s="232"/>
      <c r="CP7" s="232"/>
      <c r="CQ7" s="232"/>
      <c r="CR7" s="232"/>
      <c r="CS7" s="232"/>
      <c r="CT7" s="232"/>
      <c r="CU7" s="232"/>
      <c r="CV7" s="232"/>
      <c r="CW7" s="232"/>
      <c r="CX7" s="232"/>
      <c r="CY7" s="232"/>
      <c r="CZ7" s="232"/>
      <c r="DA7" s="232"/>
      <c r="DB7" s="232"/>
      <c r="DC7" s="232"/>
      <c r="DD7" s="232"/>
      <c r="DE7" s="232"/>
      <c r="DF7" s="232"/>
      <c r="DG7" s="232"/>
      <c r="DH7" s="232"/>
      <c r="DI7" s="232"/>
      <c r="DJ7" s="232"/>
      <c r="DK7" s="232"/>
      <c r="DL7" s="232"/>
      <c r="DM7" s="232"/>
      <c r="DN7" s="232"/>
      <c r="DO7" s="232"/>
      <c r="DP7" s="232"/>
      <c r="DQ7" s="232"/>
      <c r="DR7" s="232"/>
      <c r="DS7" s="232"/>
      <c r="DT7" s="232"/>
      <c r="DU7" s="232"/>
      <c r="DV7" s="232"/>
      <c r="DW7" s="232"/>
      <c r="DX7" s="232"/>
      <c r="DY7" s="232"/>
      <c r="DZ7" s="232"/>
      <c r="EA7" s="232"/>
      <c r="EB7" s="232"/>
      <c r="EC7" s="232"/>
      <c r="ED7" s="232"/>
      <c r="EE7" s="232"/>
      <c r="EF7" s="232"/>
      <c r="EG7" s="232"/>
      <c r="EH7" s="232"/>
      <c r="EI7" s="232"/>
      <c r="EJ7" s="232"/>
      <c r="EK7" s="232"/>
      <c r="EL7" s="232"/>
      <c r="EM7" s="232"/>
      <c r="EN7" s="232"/>
      <c r="EO7" s="232"/>
      <c r="EP7" s="232"/>
      <c r="EQ7" s="232"/>
      <c r="ER7" s="232"/>
      <c r="ES7" s="232"/>
      <c r="ET7" s="232"/>
      <c r="EU7" s="232"/>
      <c r="EV7" s="232"/>
      <c r="EW7" s="232"/>
      <c r="EX7" s="232"/>
      <c r="EY7" s="232"/>
      <c r="EZ7" s="232"/>
      <c r="FA7" s="232"/>
      <c r="FB7" s="232"/>
      <c r="FC7" s="232"/>
      <c r="FD7" s="232"/>
      <c r="FE7" s="232"/>
      <c r="FF7" s="232"/>
      <c r="FG7" s="232"/>
      <c r="FH7" s="232"/>
      <c r="FI7" s="232"/>
      <c r="FJ7" s="232"/>
      <c r="FK7" s="232"/>
      <c r="FL7" s="232"/>
      <c r="FM7" s="232"/>
      <c r="FN7" s="232"/>
      <c r="FO7" s="232"/>
      <c r="FP7" s="232"/>
      <c r="FQ7" s="232"/>
      <c r="FR7" s="232"/>
      <c r="FS7" s="232"/>
      <c r="FT7" s="232"/>
      <c r="FU7" s="232"/>
      <c r="FV7" s="232"/>
      <c r="FW7" s="232"/>
      <c r="FX7" s="232"/>
      <c r="FY7" s="232"/>
      <c r="FZ7" s="232"/>
      <c r="GA7" s="232"/>
      <c r="GB7" s="232"/>
      <c r="GC7" s="232"/>
      <c r="GD7" s="232"/>
      <c r="GE7" s="232"/>
      <c r="GF7" s="232"/>
      <c r="GG7" s="232"/>
      <c r="GH7" s="232"/>
      <c r="GI7" s="232"/>
      <c r="GJ7" s="232"/>
      <c r="GK7" s="232"/>
      <c r="GL7" s="232"/>
      <c r="GM7" s="232"/>
      <c r="GN7" s="232"/>
      <c r="GO7" s="232"/>
      <c r="GP7" s="232"/>
      <c r="GQ7" s="232"/>
      <c r="GR7" s="232"/>
      <c r="GS7" s="232"/>
      <c r="GT7" s="232"/>
      <c r="GU7" s="232"/>
      <c r="GV7" s="232"/>
      <c r="GW7" s="232"/>
      <c r="GX7" s="232"/>
      <c r="GY7" s="232"/>
      <c r="GZ7" s="232"/>
      <c r="HA7" s="232"/>
      <c r="HB7" s="232"/>
      <c r="HC7" s="232"/>
      <c r="HD7" s="232"/>
      <c r="HE7" s="232"/>
      <c r="HF7" s="232"/>
      <c r="HG7" s="232"/>
      <c r="HH7" s="232"/>
      <c r="HI7" s="232"/>
      <c r="HJ7" s="232"/>
      <c r="HK7" s="232"/>
      <c r="HL7" s="232"/>
      <c r="HM7" s="232"/>
      <c r="HN7" s="232"/>
      <c r="HO7" s="232"/>
      <c r="HP7" s="232"/>
      <c r="HQ7" s="232"/>
      <c r="HR7" s="232"/>
      <c r="HS7" s="232"/>
      <c r="HT7" s="232"/>
      <c r="HU7" s="232"/>
      <c r="HV7" s="232"/>
      <c r="HW7" s="232"/>
      <c r="HX7" s="232"/>
      <c r="HY7" s="232"/>
      <c r="HZ7" s="232"/>
      <c r="IA7" s="232"/>
      <c r="IB7" s="232"/>
      <c r="IC7" s="232"/>
      <c r="ID7" s="232"/>
      <c r="IE7" s="232"/>
      <c r="IF7" s="232"/>
      <c r="IG7" s="232"/>
      <c r="IH7" s="232"/>
      <c r="II7" s="232"/>
      <c r="IJ7" s="232"/>
      <c r="IK7" s="232"/>
      <c r="IL7" s="232"/>
      <c r="IM7" s="232"/>
      <c r="IN7" s="232"/>
      <c r="IO7" s="232"/>
      <c r="IP7" s="232"/>
      <c r="IQ7" s="232"/>
      <c r="IR7" s="232"/>
      <c r="IS7" s="232"/>
      <c r="IT7" s="232"/>
      <c r="IU7" s="232"/>
      <c r="IV7" s="232"/>
      <c r="IW7" s="232"/>
      <c r="IX7" s="232"/>
      <c r="IY7" s="232"/>
      <c r="IZ7" s="232"/>
      <c r="JA7" s="232"/>
      <c r="JB7" s="232"/>
      <c r="JC7" s="232"/>
      <c r="JD7" s="232"/>
      <c r="JE7" s="232"/>
      <c r="JF7" s="232"/>
      <c r="JG7" s="232"/>
      <c r="JH7" s="232"/>
      <c r="JI7" s="232"/>
      <c r="JJ7" s="232"/>
      <c r="JK7" s="232"/>
      <c r="JL7" s="232"/>
      <c r="JM7" s="232"/>
      <c r="JN7" s="232"/>
      <c r="JO7" s="232"/>
      <c r="JP7" s="232"/>
      <c r="JQ7" s="232"/>
      <c r="JR7" s="232"/>
      <c r="JS7" s="232"/>
      <c r="JT7" s="232"/>
      <c r="JU7" s="232"/>
      <c r="JV7" s="232"/>
      <c r="JW7" s="232"/>
      <c r="JX7" s="232"/>
      <c r="JY7" s="232"/>
      <c r="JZ7" s="232"/>
      <c r="KA7" s="232"/>
      <c r="KB7" s="232"/>
      <c r="KC7" s="232"/>
      <c r="KD7" s="232"/>
      <c r="KE7" s="232"/>
      <c r="KF7" s="232"/>
      <c r="KG7" s="232"/>
      <c r="KH7" s="232"/>
      <c r="KI7" s="232"/>
      <c r="KJ7" s="232"/>
      <c r="KK7" s="232"/>
      <c r="KL7" s="232"/>
      <c r="KM7" s="232"/>
      <c r="KN7" s="232"/>
      <c r="KO7" s="232"/>
      <c r="KP7" s="232"/>
      <c r="KQ7" s="232"/>
      <c r="KR7" s="232"/>
      <c r="KS7" s="232"/>
      <c r="KT7" s="232"/>
      <c r="KU7" s="232"/>
      <c r="KV7" s="232"/>
      <c r="KW7" s="232"/>
      <c r="KX7" s="232"/>
      <c r="KY7" s="232"/>
      <c r="KZ7" s="232"/>
      <c r="LA7" s="232"/>
      <c r="LB7" s="232"/>
      <c r="LC7" s="232"/>
      <c r="LD7" s="232"/>
      <c r="LE7" s="232"/>
      <c r="LF7" s="232"/>
      <c r="LG7" s="232"/>
      <c r="LH7" s="232"/>
      <c r="LI7" s="232"/>
      <c r="LJ7" s="232"/>
      <c r="LK7" s="232"/>
      <c r="LL7" s="232"/>
      <c r="LM7" s="232"/>
      <c r="LN7" s="232"/>
      <c r="LO7" s="232"/>
      <c r="LP7" s="232"/>
      <c r="LQ7" s="232"/>
      <c r="LR7" s="232"/>
      <c r="LS7" s="232"/>
      <c r="LT7" s="232"/>
      <c r="LU7" s="232"/>
      <c r="LV7" s="232"/>
      <c r="LW7" s="232"/>
      <c r="LX7" s="232"/>
      <c r="LY7" s="232"/>
      <c r="LZ7" s="232"/>
      <c r="MA7" s="232"/>
      <c r="MB7" s="232"/>
      <c r="MC7" s="232"/>
      <c r="MD7" s="232"/>
      <c r="ME7" s="232"/>
      <c r="MF7" s="232"/>
      <c r="MG7" s="232"/>
      <c r="MH7" s="232"/>
      <c r="MI7" s="232"/>
      <c r="MJ7" s="232"/>
      <c r="MK7" s="232"/>
      <c r="ML7" s="232"/>
      <c r="MM7" s="232"/>
      <c r="MN7" s="232"/>
      <c r="MO7" s="232"/>
      <c r="MP7" s="232"/>
      <c r="MQ7" s="232"/>
      <c r="MR7" s="232"/>
      <c r="MS7" s="232"/>
      <c r="MT7" s="232"/>
      <c r="MU7" s="232"/>
      <c r="MV7" s="232"/>
      <c r="MW7" s="232"/>
      <c r="MX7" s="232"/>
      <c r="MY7" s="232"/>
      <c r="MZ7" s="232"/>
      <c r="NA7" s="232"/>
      <c r="NB7" s="232"/>
      <c r="NC7" s="232"/>
      <c r="ND7" s="232"/>
      <c r="NE7" s="232"/>
      <c r="NF7" s="232"/>
      <c r="NG7" s="232"/>
    </row>
    <row r="8" spans="1:371" hidden="1" x14ac:dyDescent="0.25">
      <c r="A8" s="3" t="s">
        <v>53</v>
      </c>
      <c r="B8" s="75" t="str">
        <f>B5</f>
        <v>TURAYEV ISROIL BURIYEVICH</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32"/>
      <c r="CA8" s="232"/>
      <c r="CB8" s="232"/>
      <c r="CC8" s="232"/>
      <c r="CD8" s="232"/>
      <c r="CE8" s="232"/>
      <c r="CF8" s="232"/>
      <c r="CG8" s="232"/>
      <c r="CH8" s="232"/>
      <c r="CI8" s="232"/>
      <c r="CJ8" s="232"/>
      <c r="CK8" s="232"/>
      <c r="CL8" s="232"/>
      <c r="CM8" s="232"/>
      <c r="CN8" s="232"/>
      <c r="CO8" s="232"/>
      <c r="CP8" s="232"/>
      <c r="CQ8" s="232"/>
      <c r="CR8" s="232"/>
      <c r="CS8" s="232"/>
      <c r="CT8" s="232"/>
      <c r="CU8" s="232"/>
      <c r="CV8" s="232"/>
      <c r="CW8" s="232"/>
      <c r="CX8" s="232"/>
      <c r="CY8" s="232"/>
      <c r="CZ8" s="232"/>
      <c r="DA8" s="232"/>
      <c r="DB8" s="232"/>
      <c r="DC8" s="232"/>
      <c r="DD8" s="232"/>
      <c r="DE8" s="232"/>
      <c r="DF8" s="232"/>
      <c r="DG8" s="232"/>
      <c r="DH8" s="232"/>
      <c r="DI8" s="232"/>
      <c r="DJ8" s="232"/>
      <c r="DK8" s="232"/>
      <c r="DL8" s="232"/>
      <c r="DM8" s="232"/>
      <c r="DN8" s="232"/>
      <c r="DO8" s="232"/>
      <c r="DP8" s="232"/>
      <c r="DQ8" s="232"/>
      <c r="DR8" s="232"/>
      <c r="DS8" s="232"/>
      <c r="DT8" s="232"/>
      <c r="DU8" s="232"/>
      <c r="DV8" s="232"/>
      <c r="DW8" s="232"/>
      <c r="DX8" s="232"/>
      <c r="DY8" s="232"/>
      <c r="DZ8" s="232"/>
      <c r="EA8" s="232"/>
      <c r="EB8" s="232"/>
      <c r="EC8" s="232"/>
      <c r="ED8" s="232"/>
      <c r="EE8" s="232"/>
      <c r="EF8" s="232"/>
      <c r="EG8" s="232"/>
      <c r="EH8" s="232"/>
      <c r="EI8" s="232"/>
      <c r="EJ8" s="232"/>
      <c r="EK8" s="232"/>
      <c r="EL8" s="232"/>
      <c r="EM8" s="232"/>
      <c r="EN8" s="232"/>
      <c r="EO8" s="232"/>
      <c r="EP8" s="232"/>
      <c r="EQ8" s="232"/>
      <c r="ER8" s="232"/>
      <c r="ES8" s="232"/>
      <c r="ET8" s="232"/>
      <c r="EU8" s="232"/>
      <c r="EV8" s="232"/>
      <c r="EW8" s="232"/>
      <c r="EX8" s="232"/>
      <c r="EY8" s="232"/>
      <c r="EZ8" s="232"/>
      <c r="FA8" s="232"/>
      <c r="FB8" s="232"/>
      <c r="FC8" s="232"/>
      <c r="FD8" s="232"/>
      <c r="FE8" s="232"/>
      <c r="FF8" s="232"/>
      <c r="FG8" s="232"/>
      <c r="FH8" s="232"/>
      <c r="FI8" s="232"/>
      <c r="FJ8" s="232"/>
      <c r="FK8" s="232"/>
      <c r="FL8" s="232"/>
      <c r="FM8" s="232"/>
      <c r="FN8" s="232"/>
      <c r="FO8" s="232"/>
      <c r="FP8" s="232"/>
      <c r="FQ8" s="232"/>
      <c r="FR8" s="232"/>
      <c r="FS8" s="232"/>
      <c r="FT8" s="232"/>
      <c r="FU8" s="232"/>
      <c r="FV8" s="232"/>
      <c r="FW8" s="232"/>
      <c r="FX8" s="232"/>
      <c r="FY8" s="232"/>
      <c r="FZ8" s="232"/>
      <c r="GA8" s="232"/>
      <c r="GB8" s="232"/>
      <c r="GC8" s="232"/>
      <c r="GD8" s="232"/>
      <c r="GE8" s="232"/>
      <c r="GF8" s="232"/>
      <c r="GG8" s="232"/>
      <c r="GH8" s="232"/>
      <c r="GI8" s="232"/>
      <c r="GJ8" s="232"/>
      <c r="GK8" s="232"/>
      <c r="GL8" s="232"/>
      <c r="GM8" s="232"/>
      <c r="GN8" s="232"/>
      <c r="GO8" s="232"/>
      <c r="GP8" s="232"/>
      <c r="GQ8" s="232"/>
      <c r="GR8" s="232"/>
      <c r="GS8" s="232"/>
      <c r="GT8" s="232"/>
      <c r="GU8" s="232"/>
      <c r="GV8" s="232"/>
      <c r="GW8" s="232"/>
      <c r="GX8" s="232"/>
      <c r="GY8" s="232"/>
      <c r="GZ8" s="232"/>
      <c r="HA8" s="232"/>
      <c r="HB8" s="232"/>
      <c r="HC8" s="232"/>
      <c r="HD8" s="232"/>
      <c r="HE8" s="232"/>
      <c r="HF8" s="232"/>
      <c r="HG8" s="232"/>
      <c r="HH8" s="232"/>
      <c r="HI8" s="232"/>
      <c r="HJ8" s="232"/>
      <c r="HK8" s="232"/>
      <c r="HL8" s="232"/>
      <c r="HM8" s="232"/>
      <c r="HN8" s="232"/>
      <c r="HO8" s="232"/>
      <c r="HP8" s="232"/>
      <c r="HQ8" s="232"/>
      <c r="HR8" s="232"/>
      <c r="HS8" s="232"/>
      <c r="HT8" s="232"/>
      <c r="HU8" s="232"/>
      <c r="HV8" s="232"/>
      <c r="HW8" s="232"/>
      <c r="HX8" s="232"/>
      <c r="HY8" s="232"/>
      <c r="HZ8" s="232"/>
      <c r="IA8" s="232"/>
      <c r="IB8" s="232"/>
      <c r="IC8" s="232"/>
      <c r="ID8" s="232"/>
      <c r="IE8" s="232"/>
      <c r="IF8" s="232"/>
      <c r="IG8" s="232"/>
      <c r="IH8" s="232"/>
      <c r="II8" s="232"/>
      <c r="IJ8" s="232"/>
      <c r="IK8" s="232"/>
      <c r="IL8" s="232"/>
      <c r="IM8" s="232"/>
      <c r="IN8" s="232"/>
      <c r="IO8" s="232"/>
      <c r="IP8" s="232"/>
      <c r="IQ8" s="232"/>
      <c r="IR8" s="232"/>
      <c r="IS8" s="232"/>
      <c r="IT8" s="232"/>
      <c r="IU8" s="232"/>
      <c r="IV8" s="232"/>
      <c r="IW8" s="232"/>
      <c r="IX8" s="232"/>
      <c r="IY8" s="232"/>
      <c r="IZ8" s="232"/>
      <c r="JA8" s="232"/>
      <c r="JB8" s="232"/>
      <c r="JC8" s="232"/>
      <c r="JD8" s="232"/>
      <c r="JE8" s="232"/>
      <c r="JF8" s="232"/>
      <c r="JG8" s="232"/>
      <c r="JH8" s="232"/>
      <c r="JI8" s="232"/>
      <c r="JJ8" s="232"/>
      <c r="JK8" s="232"/>
      <c r="JL8" s="232"/>
      <c r="JM8" s="232"/>
      <c r="JN8" s="232"/>
      <c r="JO8" s="232"/>
      <c r="JP8" s="232"/>
      <c r="JQ8" s="232"/>
      <c r="JR8" s="232"/>
      <c r="JS8" s="232"/>
      <c r="JT8" s="232"/>
      <c r="JU8" s="232"/>
      <c r="JV8" s="232"/>
      <c r="JW8" s="232"/>
      <c r="JX8" s="232"/>
      <c r="JY8" s="232"/>
      <c r="JZ8" s="232"/>
      <c r="KA8" s="232"/>
      <c r="KB8" s="232"/>
      <c r="KC8" s="232"/>
      <c r="KD8" s="232"/>
      <c r="KE8" s="232"/>
      <c r="KF8" s="232"/>
      <c r="KG8" s="232"/>
      <c r="KH8" s="232"/>
      <c r="KI8" s="232"/>
      <c r="KJ8" s="232"/>
      <c r="KK8" s="232"/>
      <c r="KL8" s="232"/>
      <c r="KM8" s="232"/>
      <c r="KN8" s="232"/>
      <c r="KO8" s="232"/>
      <c r="KP8" s="232"/>
      <c r="KQ8" s="232"/>
      <c r="KR8" s="232"/>
      <c r="KS8" s="232"/>
      <c r="KT8" s="232"/>
      <c r="KU8" s="232"/>
      <c r="KV8" s="232"/>
      <c r="KW8" s="232"/>
      <c r="KX8" s="232"/>
      <c r="KY8" s="232"/>
      <c r="KZ8" s="232"/>
      <c r="LA8" s="232"/>
      <c r="LB8" s="232"/>
      <c r="LC8" s="232"/>
      <c r="LD8" s="232"/>
      <c r="LE8" s="232"/>
      <c r="LF8" s="232"/>
      <c r="LG8" s="232"/>
      <c r="LH8" s="232"/>
      <c r="LI8" s="232"/>
      <c r="LJ8" s="232"/>
      <c r="LK8" s="232"/>
      <c r="LL8" s="232"/>
      <c r="LM8" s="232"/>
      <c r="LN8" s="232"/>
      <c r="LO8" s="232"/>
      <c r="LP8" s="232"/>
      <c r="LQ8" s="232"/>
      <c r="LR8" s="232"/>
      <c r="LS8" s="232"/>
      <c r="LT8" s="232"/>
      <c r="LU8" s="232"/>
      <c r="LV8" s="232"/>
      <c r="LW8" s="232"/>
      <c r="LX8" s="232"/>
      <c r="LY8" s="232"/>
      <c r="LZ8" s="232"/>
      <c r="MA8" s="232"/>
      <c r="MB8" s="232"/>
      <c r="MC8" s="232"/>
      <c r="MD8" s="232"/>
      <c r="ME8" s="232"/>
      <c r="MF8" s="232"/>
      <c r="MG8" s="232"/>
      <c r="MH8" s="232"/>
      <c r="MI8" s="232"/>
      <c r="MJ8" s="232"/>
      <c r="MK8" s="232"/>
      <c r="ML8" s="232"/>
      <c r="MM8" s="232"/>
      <c r="MN8" s="232"/>
      <c r="MO8" s="232"/>
      <c r="MP8" s="232"/>
      <c r="MQ8" s="232"/>
      <c r="MR8" s="232"/>
      <c r="MS8" s="232"/>
      <c r="MT8" s="232"/>
      <c r="MU8" s="232"/>
      <c r="MV8" s="232"/>
      <c r="MW8" s="232"/>
      <c r="MX8" s="232"/>
      <c r="MY8" s="232"/>
      <c r="MZ8" s="232"/>
      <c r="NA8" s="232"/>
      <c r="NB8" s="232"/>
      <c r="NC8" s="232"/>
      <c r="ND8" s="232"/>
      <c r="NE8" s="232"/>
      <c r="NF8" s="232"/>
      <c r="NG8" s="232"/>
    </row>
    <row r="9" spans="1:371" hidden="1" x14ac:dyDescent="0.25">
      <c r="A9" s="3" t="s">
        <v>54</v>
      </c>
      <c r="B9" s="75" t="str">
        <f>B7</f>
        <v>TURAYEV I.B.</v>
      </c>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2"/>
      <c r="AH9" s="232"/>
      <c r="AI9" s="232"/>
      <c r="AJ9" s="232"/>
      <c r="AK9" s="232"/>
      <c r="AL9" s="232"/>
      <c r="AM9" s="232"/>
      <c r="AN9" s="232"/>
      <c r="AO9" s="232"/>
      <c r="AP9" s="232"/>
      <c r="AQ9" s="232"/>
      <c r="AR9" s="232"/>
      <c r="AS9" s="232"/>
      <c r="AT9" s="232"/>
      <c r="AU9" s="232"/>
      <c r="AV9" s="232"/>
      <c r="AW9" s="232"/>
      <c r="AX9" s="232"/>
      <c r="AY9" s="232"/>
      <c r="AZ9" s="232"/>
      <c r="BA9" s="232"/>
      <c r="BB9" s="232"/>
      <c r="BC9" s="232"/>
      <c r="BD9" s="232"/>
      <c r="BE9" s="232"/>
      <c r="BF9" s="232"/>
      <c r="BG9" s="232"/>
      <c r="BH9" s="232"/>
      <c r="BI9" s="232"/>
      <c r="BJ9" s="232"/>
      <c r="BK9" s="232"/>
      <c r="BL9" s="232"/>
      <c r="BM9" s="232"/>
      <c r="BN9" s="232"/>
      <c r="BO9" s="232"/>
      <c r="BP9" s="232"/>
      <c r="BQ9" s="232"/>
      <c r="BR9" s="232"/>
      <c r="BS9" s="232"/>
      <c r="BT9" s="232"/>
      <c r="BU9" s="232"/>
      <c r="BV9" s="232"/>
      <c r="BW9" s="232"/>
      <c r="BX9" s="232"/>
      <c r="BY9" s="232"/>
      <c r="BZ9" s="232"/>
      <c r="CA9" s="232"/>
      <c r="CB9" s="232"/>
      <c r="CC9" s="232"/>
      <c r="CD9" s="232"/>
      <c r="CE9" s="232"/>
      <c r="CF9" s="232"/>
      <c r="CG9" s="232"/>
      <c r="CH9" s="232"/>
      <c r="CI9" s="232"/>
      <c r="CJ9" s="232"/>
      <c r="CK9" s="232"/>
      <c r="CL9" s="232"/>
      <c r="CM9" s="232"/>
      <c r="CN9" s="232"/>
      <c r="CO9" s="232"/>
      <c r="CP9" s="232"/>
      <c r="CQ9" s="232"/>
      <c r="CR9" s="232"/>
      <c r="CS9" s="232"/>
      <c r="CT9" s="232"/>
      <c r="CU9" s="232"/>
      <c r="CV9" s="232"/>
      <c r="CW9" s="232"/>
      <c r="CX9" s="232"/>
      <c r="CY9" s="232"/>
      <c r="CZ9" s="232"/>
      <c r="DA9" s="232"/>
      <c r="DB9" s="232"/>
      <c r="DC9" s="232"/>
      <c r="DD9" s="232"/>
      <c r="DE9" s="232"/>
      <c r="DF9" s="232"/>
      <c r="DG9" s="232"/>
      <c r="DH9" s="232"/>
      <c r="DI9" s="232"/>
      <c r="DJ9" s="232"/>
      <c r="DK9" s="232"/>
      <c r="DL9" s="232"/>
      <c r="DM9" s="232"/>
      <c r="DN9" s="232"/>
      <c r="DO9" s="232"/>
      <c r="DP9" s="232"/>
      <c r="DQ9" s="232"/>
      <c r="DR9" s="232"/>
      <c r="DS9" s="232"/>
      <c r="DT9" s="232"/>
      <c r="DU9" s="232"/>
      <c r="DV9" s="232"/>
      <c r="DW9" s="232"/>
      <c r="DX9" s="232"/>
      <c r="DY9" s="232"/>
      <c r="DZ9" s="232"/>
      <c r="EA9" s="232"/>
      <c r="EB9" s="232"/>
      <c r="EC9" s="232"/>
      <c r="ED9" s="232"/>
      <c r="EE9" s="232"/>
      <c r="EF9" s="232"/>
      <c r="EG9" s="232"/>
      <c r="EH9" s="232"/>
      <c r="EI9" s="232"/>
      <c r="EJ9" s="232"/>
      <c r="EK9" s="232"/>
      <c r="EL9" s="232"/>
      <c r="EM9" s="232"/>
      <c r="EN9" s="232"/>
      <c r="EO9" s="232"/>
      <c r="EP9" s="232"/>
      <c r="EQ9" s="232"/>
      <c r="ER9" s="232"/>
      <c r="ES9" s="232"/>
      <c r="ET9" s="232"/>
      <c r="EU9" s="232"/>
      <c r="EV9" s="232"/>
      <c r="EW9" s="232"/>
      <c r="EX9" s="232"/>
      <c r="EY9" s="232"/>
      <c r="EZ9" s="232"/>
      <c r="FA9" s="232"/>
      <c r="FB9" s="232"/>
      <c r="FC9" s="232"/>
      <c r="FD9" s="232"/>
      <c r="FE9" s="232"/>
      <c r="FF9" s="232"/>
      <c r="FG9" s="232"/>
      <c r="FH9" s="232"/>
      <c r="FI9" s="232"/>
      <c r="FJ9" s="232"/>
      <c r="FK9" s="232"/>
      <c r="FL9" s="232"/>
      <c r="FM9" s="232"/>
      <c r="FN9" s="232"/>
      <c r="FO9" s="232"/>
      <c r="FP9" s="232"/>
      <c r="FQ9" s="232"/>
      <c r="FR9" s="232"/>
      <c r="FS9" s="232"/>
      <c r="FT9" s="232"/>
      <c r="FU9" s="232"/>
      <c r="FV9" s="232"/>
      <c r="FW9" s="232"/>
      <c r="FX9" s="232"/>
      <c r="FY9" s="232"/>
      <c r="FZ9" s="232"/>
      <c r="GA9" s="232"/>
      <c r="GB9" s="232"/>
      <c r="GC9" s="232"/>
      <c r="GD9" s="232"/>
      <c r="GE9" s="232"/>
      <c r="GF9" s="232"/>
      <c r="GG9" s="232"/>
      <c r="GH9" s="232"/>
      <c r="GI9" s="232"/>
      <c r="GJ9" s="232"/>
      <c r="GK9" s="232"/>
      <c r="GL9" s="232"/>
      <c r="GM9" s="232"/>
      <c r="GN9" s="232"/>
      <c r="GO9" s="232"/>
      <c r="GP9" s="232"/>
      <c r="GQ9" s="232"/>
      <c r="GR9" s="232"/>
      <c r="GS9" s="232"/>
      <c r="GT9" s="232"/>
      <c r="GU9" s="232"/>
      <c r="GV9" s="232"/>
      <c r="GW9" s="232"/>
      <c r="GX9" s="232"/>
      <c r="GY9" s="232"/>
      <c r="GZ9" s="232"/>
      <c r="HA9" s="232"/>
      <c r="HB9" s="232"/>
      <c r="HC9" s="232"/>
      <c r="HD9" s="232"/>
      <c r="HE9" s="232"/>
      <c r="HF9" s="232"/>
      <c r="HG9" s="232"/>
      <c r="HH9" s="232"/>
      <c r="HI9" s="232"/>
      <c r="HJ9" s="232"/>
      <c r="HK9" s="232"/>
      <c r="HL9" s="232"/>
      <c r="HM9" s="232"/>
      <c r="HN9" s="232"/>
      <c r="HO9" s="232"/>
      <c r="HP9" s="232"/>
      <c r="HQ9" s="232"/>
      <c r="HR9" s="232"/>
      <c r="HS9" s="232"/>
      <c r="HT9" s="232"/>
      <c r="HU9" s="232"/>
      <c r="HV9" s="232"/>
      <c r="HW9" s="232"/>
      <c r="HX9" s="232"/>
      <c r="HY9" s="232"/>
      <c r="HZ9" s="232"/>
      <c r="IA9" s="232"/>
      <c r="IB9" s="232"/>
      <c r="IC9" s="232"/>
      <c r="ID9" s="232"/>
      <c r="IE9" s="232"/>
      <c r="IF9" s="232"/>
      <c r="IG9" s="232"/>
      <c r="IH9" s="232"/>
      <c r="II9" s="232"/>
      <c r="IJ9" s="232"/>
      <c r="IK9" s="232"/>
      <c r="IL9" s="232"/>
      <c r="IM9" s="232"/>
      <c r="IN9" s="232"/>
      <c r="IO9" s="232"/>
      <c r="IP9" s="232"/>
      <c r="IQ9" s="232"/>
      <c r="IR9" s="232"/>
      <c r="IS9" s="232"/>
      <c r="IT9" s="232"/>
      <c r="IU9" s="232"/>
      <c r="IV9" s="232"/>
      <c r="IW9" s="232"/>
      <c r="IX9" s="232"/>
      <c r="IY9" s="232"/>
      <c r="IZ9" s="232"/>
      <c r="JA9" s="232"/>
      <c r="JB9" s="232"/>
      <c r="JC9" s="232"/>
      <c r="JD9" s="232"/>
      <c r="JE9" s="232"/>
      <c r="JF9" s="232"/>
      <c r="JG9" s="232"/>
      <c r="JH9" s="232"/>
      <c r="JI9" s="232"/>
      <c r="JJ9" s="232"/>
      <c r="JK9" s="232"/>
      <c r="JL9" s="232"/>
      <c r="JM9" s="232"/>
      <c r="JN9" s="232"/>
      <c r="JO9" s="232"/>
      <c r="JP9" s="232"/>
      <c r="JQ9" s="232"/>
      <c r="JR9" s="232"/>
      <c r="JS9" s="232"/>
      <c r="JT9" s="232"/>
      <c r="JU9" s="232"/>
      <c r="JV9" s="232"/>
      <c r="JW9" s="232"/>
      <c r="JX9" s="232"/>
      <c r="JY9" s="232"/>
      <c r="JZ9" s="232"/>
      <c r="KA9" s="232"/>
      <c r="KB9" s="232"/>
      <c r="KC9" s="232"/>
      <c r="KD9" s="232"/>
      <c r="KE9" s="232"/>
      <c r="KF9" s="232"/>
      <c r="KG9" s="232"/>
      <c r="KH9" s="232"/>
      <c r="KI9" s="232"/>
      <c r="KJ9" s="232"/>
      <c r="KK9" s="232"/>
      <c r="KL9" s="232"/>
      <c r="KM9" s="232"/>
      <c r="KN9" s="232"/>
      <c r="KO9" s="232"/>
      <c r="KP9" s="232"/>
      <c r="KQ9" s="232"/>
      <c r="KR9" s="232"/>
      <c r="KS9" s="232"/>
      <c r="KT9" s="232"/>
      <c r="KU9" s="232"/>
      <c r="KV9" s="232"/>
      <c r="KW9" s="232"/>
      <c r="KX9" s="232"/>
      <c r="KY9" s="232"/>
      <c r="KZ9" s="232"/>
      <c r="LA9" s="232"/>
      <c r="LB9" s="232"/>
      <c r="LC9" s="232"/>
      <c r="LD9" s="232"/>
      <c r="LE9" s="232"/>
      <c r="LF9" s="232"/>
      <c r="LG9" s="232"/>
      <c r="LH9" s="232"/>
      <c r="LI9" s="232"/>
      <c r="LJ9" s="232"/>
      <c r="LK9" s="232"/>
      <c r="LL9" s="232"/>
      <c r="LM9" s="232"/>
      <c r="LN9" s="232"/>
      <c r="LO9" s="232"/>
      <c r="LP9" s="232"/>
      <c r="LQ9" s="232"/>
      <c r="LR9" s="232"/>
      <c r="LS9" s="232"/>
      <c r="LT9" s="232"/>
      <c r="LU9" s="232"/>
      <c r="LV9" s="232"/>
      <c r="LW9" s="232"/>
      <c r="LX9" s="232"/>
      <c r="LY9" s="232"/>
      <c r="LZ9" s="232"/>
      <c r="MA9" s="232"/>
      <c r="MB9" s="232"/>
      <c r="MC9" s="232"/>
      <c r="MD9" s="232"/>
      <c r="ME9" s="232"/>
      <c r="MF9" s="232"/>
      <c r="MG9" s="232"/>
      <c r="MH9" s="232"/>
      <c r="MI9" s="232"/>
      <c r="MJ9" s="232"/>
      <c r="MK9" s="232"/>
      <c r="ML9" s="232"/>
      <c r="MM9" s="232"/>
      <c r="MN9" s="232"/>
      <c r="MO9" s="232"/>
      <c r="MP9" s="232"/>
      <c r="MQ9" s="232"/>
      <c r="MR9" s="232"/>
      <c r="MS9" s="232"/>
      <c r="MT9" s="232"/>
      <c r="MU9" s="232"/>
      <c r="MV9" s="232"/>
      <c r="MW9" s="232"/>
      <c r="MX9" s="232"/>
      <c r="MY9" s="232"/>
      <c r="MZ9" s="232"/>
      <c r="NA9" s="232"/>
      <c r="NB9" s="232"/>
      <c r="NC9" s="232"/>
      <c r="ND9" s="232"/>
      <c r="NE9" s="232"/>
      <c r="NF9" s="232"/>
      <c r="NG9" s="232"/>
    </row>
    <row r="10" spans="1:371" hidden="1" x14ac:dyDescent="0.25">
      <c r="A10" s="3" t="s">
        <v>55</v>
      </c>
      <c r="B10" s="75" t="str">
        <f>B8</f>
        <v>TURAYEV ISROIL BURIYEVICH</v>
      </c>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2"/>
      <c r="BK10" s="232"/>
      <c r="BL10" s="232"/>
      <c r="BM10" s="232"/>
      <c r="BN10" s="232"/>
      <c r="BO10" s="232"/>
      <c r="BP10" s="232"/>
      <c r="BQ10" s="232"/>
      <c r="BR10" s="232"/>
      <c r="BS10" s="232"/>
      <c r="BT10" s="232"/>
      <c r="BU10" s="232"/>
      <c r="BV10" s="232"/>
      <c r="BW10" s="232"/>
      <c r="BX10" s="232"/>
      <c r="BY10" s="232"/>
      <c r="BZ10" s="232"/>
      <c r="CA10" s="232"/>
      <c r="CB10" s="232"/>
      <c r="CC10" s="232"/>
      <c r="CD10" s="232"/>
      <c r="CE10" s="232"/>
      <c r="CF10" s="232"/>
      <c r="CG10" s="232"/>
      <c r="CH10" s="232"/>
      <c r="CI10" s="232"/>
      <c r="CJ10" s="232"/>
      <c r="CK10" s="232"/>
      <c r="CL10" s="232"/>
      <c r="CM10" s="232"/>
      <c r="CN10" s="232"/>
      <c r="CO10" s="232"/>
      <c r="CP10" s="232"/>
      <c r="CQ10" s="232"/>
      <c r="CR10" s="232"/>
      <c r="CS10" s="232"/>
      <c r="CT10" s="232"/>
      <c r="CU10" s="232"/>
      <c r="CV10" s="232"/>
      <c r="CW10" s="232"/>
      <c r="CX10" s="232"/>
      <c r="CY10" s="232"/>
      <c r="CZ10" s="232"/>
      <c r="DA10" s="232"/>
      <c r="DB10" s="232"/>
      <c r="DC10" s="232"/>
      <c r="DD10" s="232"/>
      <c r="DE10" s="232"/>
      <c r="DF10" s="232"/>
      <c r="DG10" s="232"/>
      <c r="DH10" s="232"/>
      <c r="DI10" s="232"/>
      <c r="DJ10" s="232"/>
      <c r="DK10" s="232"/>
      <c r="DL10" s="232"/>
      <c r="DM10" s="232"/>
      <c r="DN10" s="232"/>
      <c r="DO10" s="232"/>
      <c r="DP10" s="232"/>
      <c r="DQ10" s="232"/>
      <c r="DR10" s="232"/>
      <c r="DS10" s="232"/>
      <c r="DT10" s="232"/>
      <c r="DU10" s="232"/>
      <c r="DV10" s="232"/>
      <c r="DW10" s="232"/>
      <c r="DX10" s="232"/>
      <c r="DY10" s="232"/>
      <c r="DZ10" s="232"/>
      <c r="EA10" s="232"/>
      <c r="EB10" s="232"/>
      <c r="EC10" s="232"/>
      <c r="ED10" s="232"/>
      <c r="EE10" s="232"/>
      <c r="EF10" s="232"/>
      <c r="EG10" s="232"/>
      <c r="EH10" s="232"/>
      <c r="EI10" s="232"/>
      <c r="EJ10" s="232"/>
      <c r="EK10" s="232"/>
      <c r="EL10" s="232"/>
      <c r="EM10" s="232"/>
      <c r="EN10" s="232"/>
      <c r="EO10" s="232"/>
      <c r="EP10" s="232"/>
      <c r="EQ10" s="232"/>
      <c r="ER10" s="232"/>
      <c r="ES10" s="232"/>
      <c r="ET10" s="232"/>
      <c r="EU10" s="232"/>
      <c r="EV10" s="232"/>
      <c r="EW10" s="232"/>
      <c r="EX10" s="232"/>
      <c r="EY10" s="232"/>
      <c r="EZ10" s="232"/>
      <c r="FA10" s="232"/>
      <c r="FB10" s="232"/>
      <c r="FC10" s="232"/>
      <c r="FD10" s="232"/>
      <c r="FE10" s="232"/>
      <c r="FF10" s="232"/>
      <c r="FG10" s="232"/>
      <c r="FH10" s="232"/>
      <c r="FI10" s="232"/>
      <c r="FJ10" s="232"/>
      <c r="FK10" s="232"/>
      <c r="FL10" s="232"/>
      <c r="FM10" s="232"/>
      <c r="FN10" s="232"/>
      <c r="FO10" s="232"/>
      <c r="FP10" s="232"/>
      <c r="FQ10" s="232"/>
      <c r="FR10" s="232"/>
      <c r="FS10" s="232"/>
      <c r="FT10" s="232"/>
      <c r="FU10" s="232"/>
      <c r="FV10" s="232"/>
      <c r="FW10" s="232"/>
      <c r="FX10" s="232"/>
      <c r="FY10" s="232"/>
      <c r="FZ10" s="232"/>
      <c r="GA10" s="232"/>
      <c r="GB10" s="232"/>
      <c r="GC10" s="232"/>
      <c r="GD10" s="232"/>
      <c r="GE10" s="232"/>
      <c r="GF10" s="232"/>
      <c r="GG10" s="232"/>
      <c r="GH10" s="232"/>
      <c r="GI10" s="232"/>
      <c r="GJ10" s="232"/>
      <c r="GK10" s="232"/>
      <c r="GL10" s="232"/>
      <c r="GM10" s="232"/>
      <c r="GN10" s="232"/>
      <c r="GO10" s="232"/>
      <c r="GP10" s="232"/>
      <c r="GQ10" s="232"/>
      <c r="GR10" s="232"/>
      <c r="GS10" s="232"/>
      <c r="GT10" s="232"/>
      <c r="GU10" s="232"/>
      <c r="GV10" s="232"/>
      <c r="GW10" s="232"/>
      <c r="GX10" s="232"/>
      <c r="GY10" s="232"/>
      <c r="GZ10" s="232"/>
      <c r="HA10" s="232"/>
      <c r="HB10" s="232"/>
      <c r="HC10" s="232"/>
      <c r="HD10" s="232"/>
      <c r="HE10" s="232"/>
      <c r="HF10" s="232"/>
      <c r="HG10" s="232"/>
      <c r="HH10" s="232"/>
      <c r="HI10" s="232"/>
      <c r="HJ10" s="232"/>
      <c r="HK10" s="232"/>
      <c r="HL10" s="232"/>
      <c r="HM10" s="232"/>
      <c r="HN10" s="232"/>
      <c r="HO10" s="232"/>
      <c r="HP10" s="232"/>
      <c r="HQ10" s="232"/>
      <c r="HR10" s="232"/>
      <c r="HS10" s="232"/>
      <c r="HT10" s="232"/>
      <c r="HU10" s="232"/>
      <c r="HV10" s="232"/>
      <c r="HW10" s="232"/>
      <c r="HX10" s="232"/>
      <c r="HY10" s="232"/>
      <c r="HZ10" s="232"/>
      <c r="IA10" s="232"/>
      <c r="IB10" s="232"/>
      <c r="IC10" s="232"/>
      <c r="ID10" s="232"/>
      <c r="IE10" s="232"/>
      <c r="IF10" s="232"/>
      <c r="IG10" s="232"/>
      <c r="IH10" s="232"/>
      <c r="II10" s="232"/>
      <c r="IJ10" s="232"/>
      <c r="IK10" s="232"/>
      <c r="IL10" s="232"/>
      <c r="IM10" s="232"/>
      <c r="IN10" s="232"/>
      <c r="IO10" s="232"/>
      <c r="IP10" s="232"/>
      <c r="IQ10" s="232"/>
      <c r="IR10" s="232"/>
      <c r="IS10" s="232"/>
      <c r="IT10" s="232"/>
      <c r="IU10" s="232"/>
      <c r="IV10" s="232"/>
      <c r="IW10" s="232"/>
      <c r="IX10" s="232"/>
      <c r="IY10" s="232"/>
      <c r="IZ10" s="232"/>
      <c r="JA10" s="232"/>
      <c r="JB10" s="232"/>
      <c r="JC10" s="232"/>
      <c r="JD10" s="232"/>
      <c r="JE10" s="232"/>
      <c r="JF10" s="232"/>
      <c r="JG10" s="232"/>
      <c r="JH10" s="232"/>
      <c r="JI10" s="232"/>
      <c r="JJ10" s="232"/>
      <c r="JK10" s="232"/>
      <c r="JL10" s="232"/>
      <c r="JM10" s="232"/>
      <c r="JN10" s="232"/>
      <c r="JO10" s="232"/>
      <c r="JP10" s="232"/>
      <c r="JQ10" s="232"/>
      <c r="JR10" s="232"/>
      <c r="JS10" s="232"/>
      <c r="JT10" s="232"/>
      <c r="JU10" s="232"/>
      <c r="JV10" s="232"/>
      <c r="JW10" s="232"/>
      <c r="JX10" s="232"/>
      <c r="JY10" s="232"/>
      <c r="JZ10" s="232"/>
      <c r="KA10" s="232"/>
      <c r="KB10" s="232"/>
      <c r="KC10" s="232"/>
      <c r="KD10" s="232"/>
      <c r="KE10" s="232"/>
      <c r="KF10" s="232"/>
      <c r="KG10" s="232"/>
      <c r="KH10" s="232"/>
      <c r="KI10" s="232"/>
      <c r="KJ10" s="232"/>
      <c r="KK10" s="232"/>
      <c r="KL10" s="232"/>
      <c r="KM10" s="232"/>
      <c r="KN10" s="232"/>
      <c r="KO10" s="232"/>
      <c r="KP10" s="232"/>
      <c r="KQ10" s="232"/>
      <c r="KR10" s="232"/>
      <c r="KS10" s="232"/>
      <c r="KT10" s="232"/>
      <c r="KU10" s="232"/>
      <c r="KV10" s="232"/>
      <c r="KW10" s="232"/>
      <c r="KX10" s="232"/>
      <c r="KY10" s="232"/>
      <c r="KZ10" s="232"/>
      <c r="LA10" s="232"/>
      <c r="LB10" s="232"/>
      <c r="LC10" s="232"/>
      <c r="LD10" s="232"/>
      <c r="LE10" s="232"/>
      <c r="LF10" s="232"/>
      <c r="LG10" s="232"/>
      <c r="LH10" s="232"/>
      <c r="LI10" s="232"/>
      <c r="LJ10" s="232"/>
      <c r="LK10" s="232"/>
      <c r="LL10" s="232"/>
      <c r="LM10" s="232"/>
      <c r="LN10" s="232"/>
      <c r="LO10" s="232"/>
      <c r="LP10" s="232"/>
      <c r="LQ10" s="232"/>
      <c r="LR10" s="232"/>
      <c r="LS10" s="232"/>
      <c r="LT10" s="232"/>
      <c r="LU10" s="232"/>
      <c r="LV10" s="232"/>
      <c r="LW10" s="232"/>
      <c r="LX10" s="232"/>
      <c r="LY10" s="232"/>
      <c r="LZ10" s="232"/>
      <c r="MA10" s="232"/>
      <c r="MB10" s="232"/>
      <c r="MC10" s="232"/>
      <c r="MD10" s="232"/>
      <c r="ME10" s="232"/>
      <c r="MF10" s="232"/>
      <c r="MG10" s="232"/>
      <c r="MH10" s="232"/>
      <c r="MI10" s="232"/>
      <c r="MJ10" s="232"/>
      <c r="MK10" s="232"/>
      <c r="ML10" s="232"/>
      <c r="MM10" s="232"/>
      <c r="MN10" s="232"/>
      <c r="MO10" s="232"/>
      <c r="MP10" s="232"/>
      <c r="MQ10" s="232"/>
      <c r="MR10" s="232"/>
      <c r="MS10" s="232"/>
      <c r="MT10" s="232"/>
      <c r="MU10" s="232"/>
      <c r="MV10" s="232"/>
      <c r="MW10" s="232"/>
      <c r="MX10" s="232"/>
      <c r="MY10" s="232"/>
      <c r="MZ10" s="232"/>
      <c r="NA10" s="232"/>
      <c r="NB10" s="232"/>
      <c r="NC10" s="232"/>
      <c r="ND10" s="232"/>
      <c r="NE10" s="232"/>
      <c r="NF10" s="232"/>
      <c r="NG10" s="232"/>
    </row>
    <row r="11" spans="1:371" hidden="1" x14ac:dyDescent="0.25">
      <c r="A11" s="3" t="s">
        <v>56</v>
      </c>
      <c r="B11" s="75" t="str">
        <f>B9</f>
        <v>TURAYEV I.B.</v>
      </c>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2"/>
      <c r="BB11" s="232"/>
      <c r="BC11" s="232"/>
      <c r="BD11" s="232"/>
      <c r="BE11" s="232"/>
      <c r="BF11" s="232"/>
      <c r="BG11" s="232"/>
      <c r="BH11" s="232"/>
      <c r="BI11" s="232"/>
      <c r="BJ11" s="232"/>
      <c r="BK11" s="232"/>
      <c r="BL11" s="232"/>
      <c r="BM11" s="232"/>
      <c r="BN11" s="232"/>
      <c r="BO11" s="232"/>
      <c r="BP11" s="232"/>
      <c r="BQ11" s="232"/>
      <c r="BR11" s="232"/>
      <c r="BS11" s="232"/>
      <c r="BT11" s="232"/>
      <c r="BU11" s="232"/>
      <c r="BV11" s="232"/>
      <c r="BW11" s="232"/>
      <c r="BX11" s="232"/>
      <c r="BY11" s="232"/>
      <c r="BZ11" s="232"/>
      <c r="CA11" s="232"/>
      <c r="CB11" s="232"/>
      <c r="CC11" s="232"/>
      <c r="CD11" s="232"/>
      <c r="CE11" s="232"/>
      <c r="CF11" s="232"/>
      <c r="CG11" s="232"/>
      <c r="CH11" s="232"/>
      <c r="CI11" s="232"/>
      <c r="CJ11" s="232"/>
      <c r="CK11" s="232"/>
      <c r="CL11" s="232"/>
      <c r="CM11" s="232"/>
      <c r="CN11" s="232"/>
      <c r="CO11" s="232"/>
      <c r="CP11" s="232"/>
      <c r="CQ11" s="232"/>
      <c r="CR11" s="232"/>
      <c r="CS11" s="232"/>
      <c r="CT11" s="232"/>
      <c r="CU11" s="232"/>
      <c r="CV11" s="232"/>
      <c r="CW11" s="232"/>
      <c r="CX11" s="232"/>
      <c r="CY11" s="232"/>
      <c r="CZ11" s="232"/>
      <c r="DA11" s="232"/>
      <c r="DB11" s="232"/>
      <c r="DC11" s="232"/>
      <c r="DD11" s="232"/>
      <c r="DE11" s="232"/>
      <c r="DF11" s="232"/>
      <c r="DG11" s="232"/>
      <c r="DH11" s="232"/>
      <c r="DI11" s="232"/>
      <c r="DJ11" s="232"/>
      <c r="DK11" s="232"/>
      <c r="DL11" s="232"/>
      <c r="DM11" s="232"/>
      <c r="DN11" s="232"/>
      <c r="DO11" s="232"/>
      <c r="DP11" s="232"/>
      <c r="DQ11" s="232"/>
      <c r="DR11" s="232"/>
      <c r="DS11" s="232"/>
      <c r="DT11" s="232"/>
      <c r="DU11" s="232"/>
      <c r="DV11" s="232"/>
      <c r="DW11" s="232"/>
      <c r="DX11" s="232"/>
      <c r="DY11" s="232"/>
      <c r="DZ11" s="232"/>
      <c r="EA11" s="232"/>
      <c r="EB11" s="232"/>
      <c r="EC11" s="232"/>
      <c r="ED11" s="232"/>
      <c r="EE11" s="232"/>
      <c r="EF11" s="232"/>
      <c r="EG11" s="232"/>
      <c r="EH11" s="232"/>
      <c r="EI11" s="232"/>
      <c r="EJ11" s="232"/>
      <c r="EK11" s="232"/>
      <c r="EL11" s="232"/>
      <c r="EM11" s="232"/>
      <c r="EN11" s="232"/>
      <c r="EO11" s="232"/>
      <c r="EP11" s="232"/>
      <c r="EQ11" s="232"/>
      <c r="ER11" s="232"/>
      <c r="ES11" s="232"/>
      <c r="ET11" s="232"/>
      <c r="EU11" s="232"/>
      <c r="EV11" s="232"/>
      <c r="EW11" s="232"/>
      <c r="EX11" s="232"/>
      <c r="EY11" s="232"/>
      <c r="EZ11" s="232"/>
      <c r="FA11" s="232"/>
      <c r="FB11" s="232"/>
      <c r="FC11" s="232"/>
      <c r="FD11" s="232"/>
      <c r="FE11" s="232"/>
      <c r="FF11" s="232"/>
      <c r="FG11" s="232"/>
      <c r="FH11" s="232"/>
      <c r="FI11" s="232"/>
      <c r="FJ11" s="232"/>
      <c r="FK11" s="232"/>
      <c r="FL11" s="232"/>
      <c r="FM11" s="232"/>
      <c r="FN11" s="232"/>
      <c r="FO11" s="232"/>
      <c r="FP11" s="232"/>
      <c r="FQ11" s="232"/>
      <c r="FR11" s="232"/>
      <c r="FS11" s="232"/>
      <c r="FT11" s="232"/>
      <c r="FU11" s="232"/>
      <c r="FV11" s="232"/>
      <c r="FW11" s="232"/>
      <c r="FX11" s="232"/>
      <c r="FY11" s="232"/>
      <c r="FZ11" s="232"/>
      <c r="GA11" s="232"/>
      <c r="GB11" s="232"/>
      <c r="GC11" s="232"/>
      <c r="GD11" s="232"/>
      <c r="GE11" s="232"/>
      <c r="GF11" s="232"/>
      <c r="GG11" s="232"/>
      <c r="GH11" s="232"/>
      <c r="GI11" s="232"/>
      <c r="GJ11" s="232"/>
      <c r="GK11" s="232"/>
      <c r="GL11" s="232"/>
      <c r="GM11" s="232"/>
      <c r="GN11" s="232"/>
      <c r="GO11" s="232"/>
      <c r="GP11" s="232"/>
      <c r="GQ11" s="232"/>
      <c r="GR11" s="232"/>
      <c r="GS11" s="232"/>
      <c r="GT11" s="232"/>
      <c r="GU11" s="232"/>
      <c r="GV11" s="232"/>
      <c r="GW11" s="232"/>
      <c r="GX11" s="232"/>
      <c r="GY11" s="232"/>
      <c r="GZ11" s="232"/>
      <c r="HA11" s="232"/>
      <c r="HB11" s="232"/>
      <c r="HC11" s="232"/>
      <c r="HD11" s="232"/>
      <c r="HE11" s="232"/>
      <c r="HF11" s="232"/>
      <c r="HG11" s="232"/>
      <c r="HH11" s="232"/>
      <c r="HI11" s="232"/>
      <c r="HJ11" s="232"/>
      <c r="HK11" s="232"/>
      <c r="HL11" s="232"/>
      <c r="HM11" s="232"/>
      <c r="HN11" s="232"/>
      <c r="HO11" s="232"/>
      <c r="HP11" s="232"/>
      <c r="HQ11" s="232"/>
      <c r="HR11" s="232"/>
      <c r="HS11" s="232"/>
      <c r="HT11" s="232"/>
      <c r="HU11" s="232"/>
      <c r="HV11" s="232"/>
      <c r="HW11" s="232"/>
      <c r="HX11" s="232"/>
      <c r="HY11" s="232"/>
      <c r="HZ11" s="232"/>
      <c r="IA11" s="232"/>
      <c r="IB11" s="232"/>
      <c r="IC11" s="232"/>
      <c r="ID11" s="232"/>
      <c r="IE11" s="232"/>
      <c r="IF11" s="232"/>
      <c r="IG11" s="232"/>
      <c r="IH11" s="232"/>
      <c r="II11" s="232"/>
      <c r="IJ11" s="232"/>
      <c r="IK11" s="232"/>
      <c r="IL11" s="232"/>
      <c r="IM11" s="232"/>
      <c r="IN11" s="232"/>
      <c r="IO11" s="232"/>
      <c r="IP11" s="232"/>
      <c r="IQ11" s="232"/>
      <c r="IR11" s="232"/>
      <c r="IS11" s="232"/>
      <c r="IT11" s="232"/>
      <c r="IU11" s="232"/>
      <c r="IV11" s="232"/>
      <c r="IW11" s="232"/>
      <c r="IX11" s="232"/>
      <c r="IY11" s="232"/>
      <c r="IZ11" s="232"/>
      <c r="JA11" s="232"/>
      <c r="JB11" s="232"/>
      <c r="JC11" s="232"/>
      <c r="JD11" s="232"/>
      <c r="JE11" s="232"/>
      <c r="JF11" s="232"/>
      <c r="JG11" s="232"/>
      <c r="JH11" s="232"/>
      <c r="JI11" s="232"/>
      <c r="JJ11" s="232"/>
      <c r="JK11" s="232"/>
      <c r="JL11" s="232"/>
      <c r="JM11" s="232"/>
      <c r="JN11" s="232"/>
      <c r="JO11" s="232"/>
      <c r="JP11" s="232"/>
      <c r="JQ11" s="232"/>
      <c r="JR11" s="232"/>
      <c r="JS11" s="232"/>
      <c r="JT11" s="232"/>
      <c r="JU11" s="232"/>
      <c r="JV11" s="232"/>
      <c r="JW11" s="232"/>
      <c r="JX11" s="232"/>
      <c r="JY11" s="232"/>
      <c r="JZ11" s="232"/>
      <c r="KA11" s="232"/>
      <c r="KB11" s="232"/>
      <c r="KC11" s="232"/>
      <c r="KD11" s="232"/>
      <c r="KE11" s="232"/>
      <c r="KF11" s="232"/>
      <c r="KG11" s="232"/>
      <c r="KH11" s="232"/>
      <c r="KI11" s="232"/>
      <c r="KJ11" s="232"/>
      <c r="KK11" s="232"/>
      <c r="KL11" s="232"/>
      <c r="KM11" s="232"/>
      <c r="KN11" s="232"/>
      <c r="KO11" s="232"/>
      <c r="KP11" s="232"/>
      <c r="KQ11" s="232"/>
      <c r="KR11" s="232"/>
      <c r="KS11" s="232"/>
      <c r="KT11" s="232"/>
      <c r="KU11" s="232"/>
      <c r="KV11" s="232"/>
      <c r="KW11" s="232"/>
      <c r="KX11" s="232"/>
      <c r="KY11" s="232"/>
      <c r="KZ11" s="232"/>
      <c r="LA11" s="232"/>
      <c r="LB11" s="232"/>
      <c r="LC11" s="232"/>
      <c r="LD11" s="232"/>
      <c r="LE11" s="232"/>
      <c r="LF11" s="232"/>
      <c r="LG11" s="232"/>
      <c r="LH11" s="232"/>
      <c r="LI11" s="232"/>
      <c r="LJ11" s="232"/>
      <c r="LK11" s="232"/>
      <c r="LL11" s="232"/>
      <c r="LM11" s="232"/>
      <c r="LN11" s="232"/>
      <c r="LO11" s="232"/>
      <c r="LP11" s="232"/>
      <c r="LQ11" s="232"/>
      <c r="LR11" s="232"/>
      <c r="LS11" s="232"/>
      <c r="LT11" s="232"/>
      <c r="LU11" s="232"/>
      <c r="LV11" s="232"/>
      <c r="LW11" s="232"/>
      <c r="LX11" s="232"/>
      <c r="LY11" s="232"/>
      <c r="LZ11" s="232"/>
      <c r="MA11" s="232"/>
      <c r="MB11" s="232"/>
      <c r="MC11" s="232"/>
      <c r="MD11" s="232"/>
      <c r="ME11" s="232"/>
      <c r="MF11" s="232"/>
      <c r="MG11" s="232"/>
      <c r="MH11" s="232"/>
      <c r="MI11" s="232"/>
      <c r="MJ11" s="232"/>
      <c r="MK11" s="232"/>
      <c r="ML11" s="232"/>
      <c r="MM11" s="232"/>
      <c r="MN11" s="232"/>
      <c r="MO11" s="232"/>
      <c r="MP11" s="232"/>
      <c r="MQ11" s="232"/>
      <c r="MR11" s="232"/>
      <c r="MS11" s="232"/>
      <c r="MT11" s="232"/>
      <c r="MU11" s="232"/>
      <c r="MV11" s="232"/>
      <c r="MW11" s="232"/>
      <c r="MX11" s="232"/>
      <c r="MY11" s="232"/>
      <c r="MZ11" s="232"/>
      <c r="NA11" s="232"/>
      <c r="NB11" s="232"/>
      <c r="NC11" s="232"/>
      <c r="ND11" s="232"/>
      <c r="NE11" s="232"/>
      <c r="NF11" s="232"/>
      <c r="NG11" s="232"/>
    </row>
    <row r="12" spans="1:371" hidden="1" x14ac:dyDescent="0.25">
      <c r="A12" s="3" t="s">
        <v>57</v>
      </c>
      <c r="B12" s="75" t="str">
        <f>B10</f>
        <v>TURAYEV ISROIL BURIYEVICH</v>
      </c>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2"/>
      <c r="BK12" s="232"/>
      <c r="BL12" s="232"/>
      <c r="BM12" s="232"/>
      <c r="BN12" s="232"/>
      <c r="BO12" s="232"/>
      <c r="BP12" s="232"/>
      <c r="BQ12" s="232"/>
      <c r="BR12" s="232"/>
      <c r="BS12" s="232"/>
      <c r="BT12" s="232"/>
      <c r="BU12" s="232"/>
      <c r="BV12" s="232"/>
      <c r="BW12" s="232"/>
      <c r="BX12" s="232"/>
      <c r="BY12" s="232"/>
      <c r="BZ12" s="232"/>
      <c r="CA12" s="232"/>
      <c r="CB12" s="232"/>
      <c r="CC12" s="232"/>
      <c r="CD12" s="232"/>
      <c r="CE12" s="232"/>
      <c r="CF12" s="232"/>
      <c r="CG12" s="232"/>
      <c r="CH12" s="232"/>
      <c r="CI12" s="232"/>
      <c r="CJ12" s="232"/>
      <c r="CK12" s="232"/>
      <c r="CL12" s="232"/>
      <c r="CM12" s="232"/>
      <c r="CN12" s="232"/>
      <c r="CO12" s="232"/>
      <c r="CP12" s="232"/>
      <c r="CQ12" s="232"/>
      <c r="CR12" s="232"/>
      <c r="CS12" s="232"/>
      <c r="CT12" s="232"/>
      <c r="CU12" s="232"/>
      <c r="CV12" s="232"/>
      <c r="CW12" s="232"/>
      <c r="CX12" s="232"/>
      <c r="CY12" s="232"/>
      <c r="CZ12" s="232"/>
      <c r="DA12" s="232"/>
      <c r="DB12" s="232"/>
      <c r="DC12" s="232"/>
      <c r="DD12" s="232"/>
      <c r="DE12" s="232"/>
      <c r="DF12" s="232"/>
      <c r="DG12" s="232"/>
      <c r="DH12" s="232"/>
      <c r="DI12" s="232"/>
      <c r="DJ12" s="232"/>
      <c r="DK12" s="232"/>
      <c r="DL12" s="232"/>
      <c r="DM12" s="232"/>
      <c r="DN12" s="232"/>
      <c r="DO12" s="232"/>
      <c r="DP12" s="232"/>
      <c r="DQ12" s="232"/>
      <c r="DR12" s="232"/>
      <c r="DS12" s="232"/>
      <c r="DT12" s="232"/>
      <c r="DU12" s="232"/>
      <c r="DV12" s="232"/>
      <c r="DW12" s="232"/>
      <c r="DX12" s="232"/>
      <c r="DY12" s="232"/>
      <c r="DZ12" s="232"/>
      <c r="EA12" s="232"/>
      <c r="EB12" s="232"/>
      <c r="EC12" s="232"/>
      <c r="ED12" s="232"/>
      <c r="EE12" s="232"/>
      <c r="EF12" s="232"/>
      <c r="EG12" s="232"/>
      <c r="EH12" s="232"/>
      <c r="EI12" s="232"/>
      <c r="EJ12" s="232"/>
      <c r="EK12" s="232"/>
      <c r="EL12" s="232"/>
      <c r="EM12" s="232"/>
      <c r="EN12" s="232"/>
      <c r="EO12" s="232"/>
      <c r="EP12" s="232"/>
      <c r="EQ12" s="232"/>
      <c r="ER12" s="232"/>
      <c r="ES12" s="232"/>
      <c r="ET12" s="232"/>
      <c r="EU12" s="232"/>
      <c r="EV12" s="232"/>
      <c r="EW12" s="232"/>
      <c r="EX12" s="232"/>
      <c r="EY12" s="232"/>
      <c r="EZ12" s="232"/>
      <c r="FA12" s="232"/>
      <c r="FB12" s="232"/>
      <c r="FC12" s="232"/>
      <c r="FD12" s="232"/>
      <c r="FE12" s="232"/>
      <c r="FF12" s="232"/>
      <c r="FG12" s="232"/>
      <c r="FH12" s="232"/>
      <c r="FI12" s="232"/>
      <c r="FJ12" s="232"/>
      <c r="FK12" s="232"/>
      <c r="FL12" s="232"/>
      <c r="FM12" s="232"/>
      <c r="FN12" s="232"/>
      <c r="FO12" s="232"/>
      <c r="FP12" s="232"/>
      <c r="FQ12" s="232"/>
      <c r="FR12" s="232"/>
      <c r="FS12" s="232"/>
      <c r="FT12" s="232"/>
      <c r="FU12" s="232"/>
      <c r="FV12" s="232"/>
      <c r="FW12" s="232"/>
      <c r="FX12" s="232"/>
      <c r="FY12" s="232"/>
      <c r="FZ12" s="232"/>
      <c r="GA12" s="232"/>
      <c r="GB12" s="232"/>
      <c r="GC12" s="232"/>
      <c r="GD12" s="232"/>
      <c r="GE12" s="232"/>
      <c r="GF12" s="232"/>
      <c r="GG12" s="232"/>
      <c r="GH12" s="232"/>
      <c r="GI12" s="232"/>
      <c r="GJ12" s="232"/>
      <c r="GK12" s="232"/>
      <c r="GL12" s="232"/>
      <c r="GM12" s="232"/>
      <c r="GN12" s="232"/>
      <c r="GO12" s="232"/>
      <c r="GP12" s="232"/>
      <c r="GQ12" s="232"/>
      <c r="GR12" s="232"/>
      <c r="GS12" s="232"/>
      <c r="GT12" s="232"/>
      <c r="GU12" s="232"/>
      <c r="GV12" s="232"/>
      <c r="GW12" s="232"/>
      <c r="GX12" s="232"/>
      <c r="GY12" s="232"/>
      <c r="GZ12" s="232"/>
      <c r="HA12" s="232"/>
      <c r="HB12" s="232"/>
      <c r="HC12" s="232"/>
      <c r="HD12" s="232"/>
      <c r="HE12" s="232"/>
      <c r="HF12" s="232"/>
      <c r="HG12" s="232"/>
      <c r="HH12" s="232"/>
      <c r="HI12" s="232"/>
      <c r="HJ12" s="232"/>
      <c r="HK12" s="232"/>
      <c r="HL12" s="232"/>
      <c r="HM12" s="232"/>
      <c r="HN12" s="232"/>
      <c r="HO12" s="232"/>
      <c r="HP12" s="232"/>
      <c r="HQ12" s="232"/>
      <c r="HR12" s="232"/>
      <c r="HS12" s="232"/>
      <c r="HT12" s="232"/>
      <c r="HU12" s="232"/>
      <c r="HV12" s="232"/>
      <c r="HW12" s="232"/>
      <c r="HX12" s="232"/>
      <c r="HY12" s="232"/>
      <c r="HZ12" s="232"/>
      <c r="IA12" s="232"/>
      <c r="IB12" s="232"/>
      <c r="IC12" s="232"/>
      <c r="ID12" s="232"/>
      <c r="IE12" s="232"/>
      <c r="IF12" s="232"/>
      <c r="IG12" s="232"/>
      <c r="IH12" s="232"/>
      <c r="II12" s="232"/>
      <c r="IJ12" s="232"/>
      <c r="IK12" s="232"/>
      <c r="IL12" s="232"/>
      <c r="IM12" s="232"/>
      <c r="IN12" s="232"/>
      <c r="IO12" s="232"/>
      <c r="IP12" s="232"/>
      <c r="IQ12" s="232"/>
      <c r="IR12" s="232"/>
      <c r="IS12" s="232"/>
      <c r="IT12" s="232"/>
      <c r="IU12" s="232"/>
      <c r="IV12" s="232"/>
      <c r="IW12" s="232"/>
      <c r="IX12" s="232"/>
      <c r="IY12" s="232"/>
      <c r="IZ12" s="232"/>
      <c r="JA12" s="232"/>
      <c r="JB12" s="232"/>
      <c r="JC12" s="232"/>
      <c r="JD12" s="232"/>
      <c r="JE12" s="232"/>
      <c r="JF12" s="232"/>
      <c r="JG12" s="232"/>
      <c r="JH12" s="232"/>
      <c r="JI12" s="232"/>
      <c r="JJ12" s="232"/>
      <c r="JK12" s="232"/>
      <c r="JL12" s="232"/>
      <c r="JM12" s="232"/>
      <c r="JN12" s="232"/>
      <c r="JO12" s="232"/>
      <c r="JP12" s="232"/>
      <c r="JQ12" s="232"/>
      <c r="JR12" s="232"/>
      <c r="JS12" s="232"/>
      <c r="JT12" s="232"/>
      <c r="JU12" s="232"/>
      <c r="JV12" s="232"/>
      <c r="JW12" s="232"/>
      <c r="JX12" s="232"/>
      <c r="JY12" s="232"/>
      <c r="JZ12" s="232"/>
      <c r="KA12" s="232"/>
      <c r="KB12" s="232"/>
      <c r="KC12" s="232"/>
      <c r="KD12" s="232"/>
      <c r="KE12" s="232"/>
      <c r="KF12" s="232"/>
      <c r="KG12" s="232"/>
      <c r="KH12" s="232"/>
      <c r="KI12" s="232"/>
      <c r="KJ12" s="232"/>
      <c r="KK12" s="232"/>
      <c r="KL12" s="232"/>
      <c r="KM12" s="232"/>
      <c r="KN12" s="232"/>
      <c r="KO12" s="232"/>
      <c r="KP12" s="232"/>
      <c r="KQ12" s="232"/>
      <c r="KR12" s="232"/>
      <c r="KS12" s="232"/>
      <c r="KT12" s="232"/>
      <c r="KU12" s="232"/>
      <c r="KV12" s="232"/>
      <c r="KW12" s="232"/>
      <c r="KX12" s="232"/>
      <c r="KY12" s="232"/>
      <c r="KZ12" s="232"/>
      <c r="LA12" s="232"/>
      <c r="LB12" s="232"/>
      <c r="LC12" s="232"/>
      <c r="LD12" s="232"/>
      <c r="LE12" s="232"/>
      <c r="LF12" s="232"/>
      <c r="LG12" s="232"/>
      <c r="LH12" s="232"/>
      <c r="LI12" s="232"/>
      <c r="LJ12" s="232"/>
      <c r="LK12" s="232"/>
      <c r="LL12" s="232"/>
      <c r="LM12" s="232"/>
      <c r="LN12" s="232"/>
      <c r="LO12" s="232"/>
      <c r="LP12" s="232"/>
      <c r="LQ12" s="232"/>
      <c r="LR12" s="232"/>
      <c r="LS12" s="232"/>
      <c r="LT12" s="232"/>
      <c r="LU12" s="232"/>
      <c r="LV12" s="232"/>
      <c r="LW12" s="232"/>
      <c r="LX12" s="232"/>
      <c r="LY12" s="232"/>
      <c r="LZ12" s="232"/>
      <c r="MA12" s="232"/>
      <c r="MB12" s="232"/>
      <c r="MC12" s="232"/>
      <c r="MD12" s="232"/>
      <c r="ME12" s="232"/>
      <c r="MF12" s="232"/>
      <c r="MG12" s="232"/>
      <c r="MH12" s="232"/>
      <c r="MI12" s="232"/>
      <c r="MJ12" s="232"/>
      <c r="MK12" s="232"/>
      <c r="ML12" s="232"/>
      <c r="MM12" s="232"/>
      <c r="MN12" s="232"/>
      <c r="MO12" s="232"/>
      <c r="MP12" s="232"/>
      <c r="MQ12" s="232"/>
      <c r="MR12" s="232"/>
      <c r="MS12" s="232"/>
      <c r="MT12" s="232"/>
      <c r="MU12" s="232"/>
      <c r="MV12" s="232"/>
      <c r="MW12" s="232"/>
      <c r="MX12" s="232"/>
      <c r="MY12" s="232"/>
      <c r="MZ12" s="232"/>
      <c r="NA12" s="232"/>
      <c r="NB12" s="232"/>
      <c r="NC12" s="232"/>
      <c r="ND12" s="232"/>
      <c r="NE12" s="232"/>
      <c r="NF12" s="232"/>
      <c r="NG12" s="232"/>
    </row>
    <row r="13" spans="1:371" hidden="1" x14ac:dyDescent="0.25">
      <c r="A13" s="3" t="s">
        <v>58</v>
      </c>
      <c r="B13" s="75" t="str">
        <f>B11</f>
        <v>TURAYEV I.B.</v>
      </c>
      <c r="C13" s="232"/>
      <c r="D13" s="232"/>
      <c r="E13" s="232"/>
      <c r="F13" s="232"/>
      <c r="G13" s="232"/>
      <c r="H13" s="232"/>
      <c r="I13" s="232"/>
      <c r="J13" s="232"/>
      <c r="K13" s="232"/>
      <c r="L13" s="232"/>
      <c r="M13" s="232"/>
      <c r="N13" s="232"/>
      <c r="O13" s="232"/>
      <c r="P13" s="232"/>
      <c r="Q13" s="232"/>
      <c r="R13" s="232"/>
      <c r="S13" s="232"/>
      <c r="T13" s="232"/>
      <c r="U13" s="232"/>
      <c r="V13" s="232"/>
      <c r="W13" s="232"/>
      <c r="X13" s="232"/>
      <c r="Y13" s="232"/>
      <c r="Z13" s="232"/>
      <c r="AA13" s="232"/>
      <c r="AB13" s="232"/>
      <c r="AC13" s="232"/>
      <c r="AD13" s="232"/>
      <c r="AE13" s="232"/>
      <c r="AF13" s="232"/>
      <c r="AG13" s="232"/>
      <c r="AH13" s="232"/>
      <c r="AI13" s="232"/>
      <c r="AJ13" s="232"/>
      <c r="AK13" s="232"/>
      <c r="AL13" s="232"/>
      <c r="AM13" s="232"/>
      <c r="AN13" s="232"/>
      <c r="AO13" s="232"/>
      <c r="AP13" s="232"/>
      <c r="AQ13" s="232"/>
      <c r="AR13" s="232"/>
      <c r="AS13" s="232"/>
      <c r="AT13" s="232"/>
      <c r="AU13" s="232"/>
      <c r="AV13" s="232"/>
      <c r="AW13" s="232"/>
      <c r="AX13" s="232"/>
      <c r="AY13" s="232"/>
      <c r="AZ13" s="232"/>
      <c r="BA13" s="232"/>
      <c r="BB13" s="232"/>
      <c r="BC13" s="232"/>
      <c r="BD13" s="232"/>
      <c r="BE13" s="232"/>
      <c r="BF13" s="232"/>
      <c r="BG13" s="232"/>
      <c r="BH13" s="232"/>
      <c r="BI13" s="232"/>
      <c r="BJ13" s="232"/>
      <c r="BK13" s="232"/>
      <c r="BL13" s="232"/>
      <c r="BM13" s="232"/>
      <c r="BN13" s="232"/>
      <c r="BO13" s="232"/>
      <c r="BP13" s="232"/>
      <c r="BQ13" s="232"/>
      <c r="BR13" s="232"/>
      <c r="BS13" s="232"/>
      <c r="BT13" s="232"/>
      <c r="BU13" s="232"/>
      <c r="BV13" s="232"/>
      <c r="BW13" s="232"/>
      <c r="BX13" s="232"/>
      <c r="BY13" s="232"/>
      <c r="BZ13" s="232"/>
      <c r="CA13" s="232"/>
      <c r="CB13" s="232"/>
      <c r="CC13" s="232"/>
      <c r="CD13" s="232"/>
      <c r="CE13" s="232"/>
      <c r="CF13" s="232"/>
      <c r="CG13" s="232"/>
      <c r="CH13" s="232"/>
      <c r="CI13" s="232"/>
      <c r="CJ13" s="232"/>
      <c r="CK13" s="232"/>
      <c r="CL13" s="232"/>
      <c r="CM13" s="232"/>
      <c r="CN13" s="232"/>
      <c r="CO13" s="232"/>
      <c r="CP13" s="232"/>
      <c r="CQ13" s="232"/>
      <c r="CR13" s="232"/>
      <c r="CS13" s="232"/>
      <c r="CT13" s="232"/>
      <c r="CU13" s="232"/>
      <c r="CV13" s="232"/>
      <c r="CW13" s="232"/>
      <c r="CX13" s="232"/>
      <c r="CY13" s="232"/>
      <c r="CZ13" s="232"/>
      <c r="DA13" s="232"/>
      <c r="DB13" s="232"/>
      <c r="DC13" s="232"/>
      <c r="DD13" s="232"/>
      <c r="DE13" s="232"/>
      <c r="DF13" s="232"/>
      <c r="DG13" s="232"/>
      <c r="DH13" s="232"/>
      <c r="DI13" s="232"/>
      <c r="DJ13" s="232"/>
      <c r="DK13" s="232"/>
      <c r="DL13" s="232"/>
      <c r="DM13" s="232"/>
      <c r="DN13" s="232"/>
      <c r="DO13" s="232"/>
      <c r="DP13" s="232"/>
      <c r="DQ13" s="232"/>
      <c r="DR13" s="232"/>
      <c r="DS13" s="232"/>
      <c r="DT13" s="232"/>
      <c r="DU13" s="232"/>
      <c r="DV13" s="232"/>
      <c r="DW13" s="232"/>
      <c r="DX13" s="232"/>
      <c r="DY13" s="232"/>
      <c r="DZ13" s="232"/>
      <c r="EA13" s="232"/>
      <c r="EB13" s="232"/>
      <c r="EC13" s="232"/>
      <c r="ED13" s="232"/>
      <c r="EE13" s="232"/>
      <c r="EF13" s="232"/>
      <c r="EG13" s="232"/>
      <c r="EH13" s="232"/>
      <c r="EI13" s="232"/>
      <c r="EJ13" s="232"/>
      <c r="EK13" s="232"/>
      <c r="EL13" s="232"/>
      <c r="EM13" s="232"/>
      <c r="EN13" s="232"/>
      <c r="EO13" s="232"/>
      <c r="EP13" s="232"/>
      <c r="EQ13" s="232"/>
      <c r="ER13" s="232"/>
      <c r="ES13" s="232"/>
      <c r="ET13" s="232"/>
      <c r="EU13" s="232"/>
      <c r="EV13" s="232"/>
      <c r="EW13" s="232"/>
      <c r="EX13" s="232"/>
      <c r="EY13" s="232"/>
      <c r="EZ13" s="232"/>
      <c r="FA13" s="232"/>
      <c r="FB13" s="232"/>
      <c r="FC13" s="232"/>
      <c r="FD13" s="232"/>
      <c r="FE13" s="232"/>
      <c r="FF13" s="232"/>
      <c r="FG13" s="232"/>
      <c r="FH13" s="232"/>
      <c r="FI13" s="232"/>
      <c r="FJ13" s="232"/>
      <c r="FK13" s="232"/>
      <c r="FL13" s="232"/>
      <c r="FM13" s="232"/>
      <c r="FN13" s="232"/>
      <c r="FO13" s="232"/>
      <c r="FP13" s="232"/>
      <c r="FQ13" s="232"/>
      <c r="FR13" s="232"/>
      <c r="FS13" s="232"/>
      <c r="FT13" s="232"/>
      <c r="FU13" s="232"/>
      <c r="FV13" s="232"/>
      <c r="FW13" s="232"/>
      <c r="FX13" s="232"/>
      <c r="FY13" s="232"/>
      <c r="FZ13" s="232"/>
      <c r="GA13" s="232"/>
      <c r="GB13" s="232"/>
      <c r="GC13" s="232"/>
      <c r="GD13" s="232"/>
      <c r="GE13" s="232"/>
      <c r="GF13" s="232"/>
      <c r="GG13" s="232"/>
      <c r="GH13" s="232"/>
      <c r="GI13" s="232"/>
      <c r="GJ13" s="232"/>
      <c r="GK13" s="232"/>
      <c r="GL13" s="232"/>
      <c r="GM13" s="232"/>
      <c r="GN13" s="232"/>
      <c r="GO13" s="232"/>
      <c r="GP13" s="232"/>
      <c r="GQ13" s="232"/>
      <c r="GR13" s="232"/>
      <c r="GS13" s="232"/>
      <c r="GT13" s="232"/>
      <c r="GU13" s="232"/>
      <c r="GV13" s="232"/>
      <c r="GW13" s="232"/>
      <c r="GX13" s="232"/>
      <c r="GY13" s="232"/>
      <c r="GZ13" s="232"/>
      <c r="HA13" s="232"/>
      <c r="HB13" s="232"/>
      <c r="HC13" s="232"/>
      <c r="HD13" s="232"/>
      <c r="HE13" s="232"/>
      <c r="HF13" s="232"/>
      <c r="HG13" s="232"/>
      <c r="HH13" s="232"/>
      <c r="HI13" s="232"/>
      <c r="HJ13" s="232"/>
      <c r="HK13" s="232"/>
      <c r="HL13" s="232"/>
      <c r="HM13" s="232"/>
      <c r="HN13" s="232"/>
      <c r="HO13" s="232"/>
      <c r="HP13" s="232"/>
      <c r="HQ13" s="232"/>
      <c r="HR13" s="232"/>
      <c r="HS13" s="232"/>
      <c r="HT13" s="232"/>
      <c r="HU13" s="232"/>
      <c r="HV13" s="232"/>
      <c r="HW13" s="232"/>
      <c r="HX13" s="232"/>
      <c r="HY13" s="232"/>
      <c r="HZ13" s="232"/>
      <c r="IA13" s="232"/>
      <c r="IB13" s="232"/>
      <c r="IC13" s="232"/>
      <c r="ID13" s="232"/>
      <c r="IE13" s="232"/>
      <c r="IF13" s="232"/>
      <c r="IG13" s="232"/>
      <c r="IH13" s="232"/>
      <c r="II13" s="232"/>
      <c r="IJ13" s="232"/>
      <c r="IK13" s="232"/>
      <c r="IL13" s="232"/>
      <c r="IM13" s="232"/>
      <c r="IN13" s="232"/>
      <c r="IO13" s="232"/>
      <c r="IP13" s="232"/>
      <c r="IQ13" s="232"/>
      <c r="IR13" s="232"/>
      <c r="IS13" s="232"/>
      <c r="IT13" s="232"/>
      <c r="IU13" s="232"/>
      <c r="IV13" s="232"/>
      <c r="IW13" s="232"/>
      <c r="IX13" s="232"/>
      <c r="IY13" s="232"/>
      <c r="IZ13" s="232"/>
      <c r="JA13" s="232"/>
      <c r="JB13" s="232"/>
      <c r="JC13" s="232"/>
      <c r="JD13" s="232"/>
      <c r="JE13" s="232"/>
      <c r="JF13" s="232"/>
      <c r="JG13" s="232"/>
      <c r="JH13" s="232"/>
      <c r="JI13" s="232"/>
      <c r="JJ13" s="232"/>
      <c r="JK13" s="232"/>
      <c r="JL13" s="232"/>
      <c r="JM13" s="232"/>
      <c r="JN13" s="232"/>
      <c r="JO13" s="232"/>
      <c r="JP13" s="232"/>
      <c r="JQ13" s="232"/>
      <c r="JR13" s="232"/>
      <c r="JS13" s="232"/>
      <c r="JT13" s="232"/>
      <c r="JU13" s="232"/>
      <c r="JV13" s="232"/>
      <c r="JW13" s="232"/>
      <c r="JX13" s="232"/>
      <c r="JY13" s="232"/>
      <c r="JZ13" s="232"/>
      <c r="KA13" s="232"/>
      <c r="KB13" s="232"/>
      <c r="KC13" s="232"/>
      <c r="KD13" s="232"/>
      <c r="KE13" s="232"/>
      <c r="KF13" s="232"/>
      <c r="KG13" s="232"/>
      <c r="KH13" s="232"/>
      <c r="KI13" s="232"/>
      <c r="KJ13" s="232"/>
      <c r="KK13" s="232"/>
      <c r="KL13" s="232"/>
      <c r="KM13" s="232"/>
      <c r="KN13" s="232"/>
      <c r="KO13" s="232"/>
      <c r="KP13" s="232"/>
      <c r="KQ13" s="232"/>
      <c r="KR13" s="232"/>
      <c r="KS13" s="232"/>
      <c r="KT13" s="232"/>
      <c r="KU13" s="232"/>
      <c r="KV13" s="232"/>
      <c r="KW13" s="232"/>
      <c r="KX13" s="232"/>
      <c r="KY13" s="232"/>
      <c r="KZ13" s="232"/>
      <c r="LA13" s="232"/>
      <c r="LB13" s="232"/>
      <c r="LC13" s="232"/>
      <c r="LD13" s="232"/>
      <c r="LE13" s="232"/>
      <c r="LF13" s="232"/>
      <c r="LG13" s="232"/>
      <c r="LH13" s="232"/>
      <c r="LI13" s="232"/>
      <c r="LJ13" s="232"/>
      <c r="LK13" s="232"/>
      <c r="LL13" s="232"/>
      <c r="LM13" s="232"/>
      <c r="LN13" s="232"/>
      <c r="LO13" s="232"/>
      <c r="LP13" s="232"/>
      <c r="LQ13" s="232"/>
      <c r="LR13" s="232"/>
      <c r="LS13" s="232"/>
      <c r="LT13" s="232"/>
      <c r="LU13" s="232"/>
      <c r="LV13" s="232"/>
      <c r="LW13" s="232"/>
      <c r="LX13" s="232"/>
      <c r="LY13" s="232"/>
      <c r="LZ13" s="232"/>
      <c r="MA13" s="232"/>
      <c r="MB13" s="232"/>
      <c r="MC13" s="232"/>
      <c r="MD13" s="232"/>
      <c r="ME13" s="232"/>
      <c r="MF13" s="232"/>
      <c r="MG13" s="232"/>
      <c r="MH13" s="232"/>
      <c r="MI13" s="232"/>
      <c r="MJ13" s="232"/>
      <c r="MK13" s="232"/>
      <c r="ML13" s="232"/>
      <c r="MM13" s="232"/>
      <c r="MN13" s="232"/>
      <c r="MO13" s="232"/>
      <c r="MP13" s="232"/>
      <c r="MQ13" s="232"/>
      <c r="MR13" s="232"/>
      <c r="MS13" s="232"/>
      <c r="MT13" s="232"/>
      <c r="MU13" s="232"/>
      <c r="MV13" s="232"/>
      <c r="MW13" s="232"/>
      <c r="MX13" s="232"/>
      <c r="MY13" s="232"/>
      <c r="MZ13" s="232"/>
      <c r="NA13" s="232"/>
      <c r="NB13" s="232"/>
      <c r="NC13" s="232"/>
      <c r="ND13" s="232"/>
      <c r="NE13" s="232"/>
      <c r="NF13" s="232"/>
      <c r="NG13" s="232"/>
    </row>
    <row r="14" spans="1:371" hidden="1" x14ac:dyDescent="0.25">
      <c r="A14" s="3" t="s">
        <v>59</v>
      </c>
      <c r="B14" s="75" t="s">
        <v>62</v>
      </c>
      <c r="C14" s="232"/>
      <c r="D14" s="232"/>
      <c r="E14" s="232"/>
      <c r="F14" s="232"/>
      <c r="G14" s="232"/>
      <c r="H14" s="232"/>
      <c r="I14" s="232"/>
      <c r="J14" s="232"/>
      <c r="K14" s="232"/>
      <c r="L14" s="232"/>
      <c r="M14" s="232"/>
      <c r="N14" s="232"/>
      <c r="O14" s="232"/>
      <c r="P14" s="232"/>
      <c r="Q14" s="232"/>
      <c r="R14" s="232"/>
      <c r="S14" s="232"/>
      <c r="T14" s="232"/>
      <c r="U14" s="232"/>
      <c r="V14" s="232"/>
      <c r="W14" s="232"/>
      <c r="X14" s="232"/>
      <c r="Y14" s="232"/>
      <c r="Z14" s="232"/>
      <c r="AA14" s="232"/>
      <c r="AB14" s="232"/>
      <c r="AC14" s="232"/>
      <c r="AD14" s="232"/>
      <c r="AE14" s="232"/>
      <c r="AF14" s="232"/>
      <c r="AG14" s="232"/>
      <c r="AH14" s="232"/>
      <c r="AI14" s="232"/>
      <c r="AJ14" s="232"/>
      <c r="AK14" s="232"/>
      <c r="AL14" s="232"/>
      <c r="AM14" s="232"/>
      <c r="AN14" s="232"/>
      <c r="AO14" s="232"/>
      <c r="AP14" s="232"/>
      <c r="AQ14" s="232"/>
      <c r="AR14" s="232"/>
      <c r="AS14" s="232"/>
      <c r="AT14" s="232"/>
      <c r="AU14" s="232"/>
      <c r="AV14" s="232"/>
      <c r="AW14" s="232"/>
      <c r="AX14" s="232"/>
      <c r="AY14" s="232"/>
      <c r="AZ14" s="232"/>
      <c r="BA14" s="232"/>
      <c r="BB14" s="232"/>
      <c r="BC14" s="232"/>
      <c r="BD14" s="232"/>
      <c r="BE14" s="232"/>
      <c r="BF14" s="232"/>
      <c r="BG14" s="232"/>
      <c r="BH14" s="232"/>
      <c r="BI14" s="232"/>
      <c r="BJ14" s="232"/>
      <c r="BK14" s="232"/>
      <c r="BL14" s="232"/>
      <c r="BM14" s="232"/>
      <c r="BN14" s="232"/>
      <c r="BO14" s="232"/>
      <c r="BP14" s="232"/>
      <c r="BQ14" s="232"/>
      <c r="BR14" s="232"/>
      <c r="BS14" s="232"/>
      <c r="BT14" s="232"/>
      <c r="BU14" s="232"/>
      <c r="BV14" s="232"/>
      <c r="BW14" s="232"/>
      <c r="BX14" s="232"/>
      <c r="BY14" s="232"/>
      <c r="BZ14" s="232"/>
      <c r="CA14" s="232"/>
      <c r="CB14" s="232"/>
      <c r="CC14" s="232"/>
      <c r="CD14" s="232"/>
      <c r="CE14" s="232"/>
      <c r="CF14" s="232"/>
      <c r="CG14" s="232"/>
      <c r="CH14" s="232"/>
      <c r="CI14" s="232"/>
      <c r="CJ14" s="232"/>
      <c r="CK14" s="232"/>
      <c r="CL14" s="232"/>
      <c r="CM14" s="232"/>
      <c r="CN14" s="232"/>
      <c r="CO14" s="232"/>
      <c r="CP14" s="232"/>
      <c r="CQ14" s="232"/>
      <c r="CR14" s="232"/>
      <c r="CS14" s="232"/>
      <c r="CT14" s="232"/>
      <c r="CU14" s="232"/>
      <c r="CV14" s="232"/>
      <c r="CW14" s="232"/>
      <c r="CX14" s="232"/>
      <c r="CY14" s="232"/>
      <c r="CZ14" s="232"/>
      <c r="DA14" s="232"/>
      <c r="DB14" s="232"/>
      <c r="DC14" s="232"/>
      <c r="DD14" s="232"/>
      <c r="DE14" s="232"/>
      <c r="DF14" s="232"/>
      <c r="DG14" s="232"/>
      <c r="DH14" s="232"/>
      <c r="DI14" s="232"/>
      <c r="DJ14" s="232"/>
      <c r="DK14" s="232"/>
      <c r="DL14" s="232"/>
      <c r="DM14" s="232"/>
      <c r="DN14" s="232"/>
      <c r="DO14" s="232"/>
      <c r="DP14" s="232"/>
      <c r="DQ14" s="232"/>
      <c r="DR14" s="232"/>
      <c r="DS14" s="232"/>
      <c r="DT14" s="232"/>
      <c r="DU14" s="232"/>
      <c r="DV14" s="232"/>
      <c r="DW14" s="232"/>
      <c r="DX14" s="232"/>
      <c r="DY14" s="232"/>
      <c r="DZ14" s="232"/>
      <c r="EA14" s="232"/>
      <c r="EB14" s="232"/>
      <c r="EC14" s="232"/>
      <c r="ED14" s="232"/>
      <c r="EE14" s="232"/>
      <c r="EF14" s="232"/>
      <c r="EG14" s="232"/>
      <c r="EH14" s="232"/>
      <c r="EI14" s="232"/>
      <c r="EJ14" s="232"/>
      <c r="EK14" s="232"/>
      <c r="EL14" s="232"/>
      <c r="EM14" s="232"/>
      <c r="EN14" s="232"/>
      <c r="EO14" s="232"/>
      <c r="EP14" s="232"/>
      <c r="EQ14" s="232"/>
      <c r="ER14" s="232"/>
      <c r="ES14" s="232"/>
      <c r="ET14" s="232"/>
      <c r="EU14" s="232"/>
      <c r="EV14" s="232"/>
      <c r="EW14" s="232"/>
      <c r="EX14" s="232"/>
      <c r="EY14" s="232"/>
      <c r="EZ14" s="232"/>
      <c r="FA14" s="232"/>
      <c r="FB14" s="232"/>
      <c r="FC14" s="232"/>
      <c r="FD14" s="232"/>
      <c r="FE14" s="232"/>
      <c r="FF14" s="232"/>
      <c r="FG14" s="232"/>
      <c r="FH14" s="232"/>
      <c r="FI14" s="232"/>
      <c r="FJ14" s="232"/>
      <c r="FK14" s="232"/>
      <c r="FL14" s="232"/>
      <c r="FM14" s="232"/>
      <c r="FN14" s="232"/>
      <c r="FO14" s="232"/>
      <c r="FP14" s="232"/>
      <c r="FQ14" s="232"/>
      <c r="FR14" s="232"/>
      <c r="FS14" s="232"/>
      <c r="FT14" s="232"/>
      <c r="FU14" s="232"/>
      <c r="FV14" s="232"/>
      <c r="FW14" s="232"/>
      <c r="FX14" s="232"/>
      <c r="FY14" s="232"/>
      <c r="FZ14" s="232"/>
      <c r="GA14" s="232"/>
      <c r="GB14" s="232"/>
      <c r="GC14" s="232"/>
      <c r="GD14" s="232"/>
      <c r="GE14" s="232"/>
      <c r="GF14" s="232"/>
      <c r="GG14" s="232"/>
      <c r="GH14" s="232"/>
      <c r="GI14" s="232"/>
      <c r="GJ14" s="232"/>
      <c r="GK14" s="232"/>
      <c r="GL14" s="232"/>
      <c r="GM14" s="232"/>
      <c r="GN14" s="232"/>
      <c r="GO14" s="232"/>
      <c r="GP14" s="232"/>
      <c r="GQ14" s="232"/>
      <c r="GR14" s="232"/>
      <c r="GS14" s="232"/>
      <c r="GT14" s="232"/>
      <c r="GU14" s="232"/>
      <c r="GV14" s="232"/>
      <c r="GW14" s="232"/>
      <c r="GX14" s="232"/>
      <c r="GY14" s="232"/>
      <c r="GZ14" s="232"/>
      <c r="HA14" s="232"/>
      <c r="HB14" s="232"/>
      <c r="HC14" s="232"/>
      <c r="HD14" s="232"/>
      <c r="HE14" s="232"/>
      <c r="HF14" s="232"/>
      <c r="HG14" s="232"/>
      <c r="HH14" s="232"/>
      <c r="HI14" s="232"/>
      <c r="HJ14" s="232"/>
      <c r="HK14" s="232"/>
      <c r="HL14" s="232"/>
      <c r="HM14" s="232"/>
      <c r="HN14" s="232"/>
      <c r="HO14" s="232"/>
      <c r="HP14" s="232"/>
      <c r="HQ14" s="232"/>
      <c r="HR14" s="232"/>
      <c r="HS14" s="232"/>
      <c r="HT14" s="232"/>
      <c r="HU14" s="232"/>
      <c r="HV14" s="232"/>
      <c r="HW14" s="232"/>
      <c r="HX14" s="232"/>
      <c r="HY14" s="232"/>
      <c r="HZ14" s="232"/>
      <c r="IA14" s="232"/>
      <c r="IB14" s="232"/>
      <c r="IC14" s="232"/>
      <c r="ID14" s="232"/>
      <c r="IE14" s="232"/>
      <c r="IF14" s="232"/>
      <c r="IG14" s="232"/>
      <c r="IH14" s="232"/>
      <c r="II14" s="232"/>
      <c r="IJ14" s="232"/>
      <c r="IK14" s="232"/>
      <c r="IL14" s="232"/>
      <c r="IM14" s="232"/>
      <c r="IN14" s="232"/>
      <c r="IO14" s="232"/>
      <c r="IP14" s="232"/>
      <c r="IQ14" s="232"/>
      <c r="IR14" s="232"/>
      <c r="IS14" s="232"/>
      <c r="IT14" s="232"/>
      <c r="IU14" s="232"/>
      <c r="IV14" s="232"/>
      <c r="IW14" s="232"/>
      <c r="IX14" s="232"/>
      <c r="IY14" s="232"/>
      <c r="IZ14" s="232"/>
      <c r="JA14" s="232"/>
      <c r="JB14" s="232"/>
      <c r="JC14" s="232"/>
      <c r="JD14" s="232"/>
      <c r="JE14" s="232"/>
      <c r="JF14" s="232"/>
      <c r="JG14" s="232"/>
      <c r="JH14" s="232"/>
      <c r="JI14" s="232"/>
      <c r="JJ14" s="232"/>
      <c r="JK14" s="232"/>
      <c r="JL14" s="232"/>
      <c r="JM14" s="232"/>
      <c r="JN14" s="232"/>
      <c r="JO14" s="232"/>
      <c r="JP14" s="232"/>
      <c r="JQ14" s="232"/>
      <c r="JR14" s="232"/>
      <c r="JS14" s="232"/>
      <c r="JT14" s="232"/>
      <c r="JU14" s="232"/>
      <c r="JV14" s="232"/>
      <c r="JW14" s="232"/>
      <c r="JX14" s="232"/>
      <c r="JY14" s="232"/>
      <c r="JZ14" s="232"/>
      <c r="KA14" s="232"/>
      <c r="KB14" s="232"/>
      <c r="KC14" s="232"/>
      <c r="KD14" s="232"/>
      <c r="KE14" s="232"/>
      <c r="KF14" s="232"/>
      <c r="KG14" s="232"/>
      <c r="KH14" s="232"/>
      <c r="KI14" s="232"/>
      <c r="KJ14" s="232"/>
      <c r="KK14" s="232"/>
      <c r="KL14" s="232"/>
      <c r="KM14" s="232"/>
      <c r="KN14" s="232"/>
      <c r="KO14" s="232"/>
      <c r="KP14" s="232"/>
      <c r="KQ14" s="232"/>
      <c r="KR14" s="232"/>
      <c r="KS14" s="232"/>
      <c r="KT14" s="232"/>
      <c r="KU14" s="232"/>
      <c r="KV14" s="232"/>
      <c r="KW14" s="232"/>
      <c r="KX14" s="232"/>
      <c r="KY14" s="232"/>
      <c r="KZ14" s="232"/>
      <c r="LA14" s="232"/>
      <c r="LB14" s="232"/>
      <c r="LC14" s="232"/>
      <c r="LD14" s="232"/>
      <c r="LE14" s="232"/>
      <c r="LF14" s="232"/>
      <c r="LG14" s="232"/>
      <c r="LH14" s="232"/>
      <c r="LI14" s="232"/>
      <c r="LJ14" s="232"/>
      <c r="LK14" s="232"/>
      <c r="LL14" s="232"/>
      <c r="LM14" s="232"/>
      <c r="LN14" s="232"/>
      <c r="LO14" s="232"/>
      <c r="LP14" s="232"/>
      <c r="LQ14" s="232"/>
      <c r="LR14" s="232"/>
      <c r="LS14" s="232"/>
      <c r="LT14" s="232"/>
      <c r="LU14" s="232"/>
      <c r="LV14" s="232"/>
      <c r="LW14" s="232"/>
      <c r="LX14" s="232"/>
      <c r="LY14" s="232"/>
      <c r="LZ14" s="232"/>
      <c r="MA14" s="232"/>
      <c r="MB14" s="232"/>
      <c r="MC14" s="232"/>
      <c r="MD14" s="232"/>
      <c r="ME14" s="232"/>
      <c r="MF14" s="232"/>
      <c r="MG14" s="232"/>
      <c r="MH14" s="232"/>
      <c r="MI14" s="232"/>
      <c r="MJ14" s="232"/>
      <c r="MK14" s="232"/>
      <c r="ML14" s="232"/>
      <c r="MM14" s="232"/>
      <c r="MN14" s="232"/>
      <c r="MO14" s="232"/>
      <c r="MP14" s="232"/>
      <c r="MQ14" s="232"/>
      <c r="MR14" s="232"/>
      <c r="MS14" s="232"/>
      <c r="MT14" s="232"/>
      <c r="MU14" s="232"/>
      <c r="MV14" s="232"/>
      <c r="MW14" s="232"/>
      <c r="MX14" s="232"/>
      <c r="MY14" s="232"/>
      <c r="MZ14" s="232"/>
      <c r="NA14" s="232"/>
      <c r="NB14" s="232"/>
      <c r="NC14" s="232"/>
      <c r="ND14" s="232"/>
      <c r="NE14" s="232"/>
      <c r="NF14" s="232"/>
      <c r="NG14" s="232"/>
    </row>
    <row r="15" spans="1:371" x14ac:dyDescent="0.25">
      <c r="A15" s="3" t="s">
        <v>60</v>
      </c>
      <c r="B15" s="228" t="s">
        <v>430</v>
      </c>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32"/>
      <c r="AH15" s="232"/>
      <c r="AI15" s="232"/>
      <c r="AJ15" s="232"/>
      <c r="AK15" s="232"/>
      <c r="AL15" s="232"/>
      <c r="AM15" s="232"/>
      <c r="AN15" s="232"/>
      <c r="AO15" s="232"/>
      <c r="AP15" s="232"/>
      <c r="AQ15" s="232"/>
      <c r="AR15" s="232"/>
      <c r="AS15" s="232"/>
      <c r="AT15" s="232"/>
      <c r="AU15" s="232"/>
      <c r="AV15" s="232"/>
      <c r="AW15" s="232"/>
      <c r="AX15" s="232"/>
      <c r="AY15" s="232"/>
      <c r="AZ15" s="232"/>
      <c r="BA15" s="232"/>
      <c r="BB15" s="232"/>
      <c r="BC15" s="232"/>
      <c r="BD15" s="232"/>
      <c r="BE15" s="232"/>
      <c r="BF15" s="232"/>
      <c r="BG15" s="232"/>
      <c r="BH15" s="232"/>
      <c r="BI15" s="232"/>
      <c r="BJ15" s="232"/>
      <c r="BK15" s="232"/>
      <c r="BL15" s="232"/>
      <c r="BM15" s="232"/>
      <c r="BN15" s="232"/>
      <c r="BO15" s="232"/>
      <c r="BP15" s="232"/>
      <c r="BQ15" s="232"/>
      <c r="BR15" s="232"/>
      <c r="BS15" s="232"/>
      <c r="BT15" s="232"/>
      <c r="BU15" s="232"/>
      <c r="BV15" s="232"/>
      <c r="BW15" s="232"/>
      <c r="BX15" s="232"/>
      <c r="BY15" s="232"/>
      <c r="BZ15" s="232"/>
      <c r="CA15" s="232"/>
      <c r="CB15" s="232"/>
      <c r="CC15" s="232"/>
      <c r="CD15" s="232"/>
      <c r="CE15" s="232"/>
      <c r="CF15" s="232"/>
      <c r="CG15" s="232"/>
      <c r="CH15" s="232"/>
      <c r="CI15" s="232"/>
      <c r="CJ15" s="232"/>
      <c r="CK15" s="232"/>
      <c r="CL15" s="232"/>
      <c r="CM15" s="232"/>
      <c r="CN15" s="232"/>
      <c r="CO15" s="232"/>
      <c r="CP15" s="232"/>
      <c r="CQ15" s="232"/>
      <c r="CR15" s="232"/>
      <c r="CS15" s="232"/>
      <c r="CT15" s="232"/>
      <c r="CU15" s="232"/>
      <c r="CV15" s="232"/>
      <c r="CW15" s="232"/>
      <c r="CX15" s="232"/>
      <c r="CY15" s="232"/>
      <c r="CZ15" s="232"/>
      <c r="DA15" s="232"/>
      <c r="DB15" s="232"/>
      <c r="DC15" s="232"/>
      <c r="DD15" s="232"/>
      <c r="DE15" s="232"/>
      <c r="DF15" s="232"/>
      <c r="DG15" s="232"/>
      <c r="DH15" s="232"/>
      <c r="DI15" s="232"/>
      <c r="DJ15" s="232"/>
      <c r="DK15" s="232"/>
      <c r="DL15" s="232"/>
      <c r="DM15" s="232"/>
      <c r="DN15" s="232"/>
      <c r="DO15" s="232"/>
      <c r="DP15" s="232"/>
      <c r="DQ15" s="232"/>
      <c r="DR15" s="232"/>
      <c r="DS15" s="232"/>
      <c r="DT15" s="232"/>
      <c r="DU15" s="232"/>
      <c r="DV15" s="232"/>
      <c r="DW15" s="232"/>
      <c r="DX15" s="232"/>
      <c r="DY15" s="232"/>
      <c r="DZ15" s="232"/>
      <c r="EA15" s="232"/>
      <c r="EB15" s="232"/>
      <c r="EC15" s="232"/>
      <c r="ED15" s="232"/>
      <c r="EE15" s="232"/>
      <c r="EF15" s="232"/>
      <c r="EG15" s="232"/>
      <c r="EH15" s="232"/>
      <c r="EI15" s="232"/>
      <c r="EJ15" s="232"/>
      <c r="EK15" s="232"/>
      <c r="EL15" s="232"/>
      <c r="EM15" s="232"/>
      <c r="EN15" s="232"/>
      <c r="EO15" s="232"/>
      <c r="EP15" s="232"/>
      <c r="EQ15" s="232"/>
      <c r="ER15" s="232"/>
      <c r="ES15" s="232"/>
      <c r="ET15" s="232"/>
      <c r="EU15" s="232"/>
      <c r="EV15" s="232"/>
      <c r="EW15" s="232"/>
      <c r="EX15" s="232"/>
      <c r="EY15" s="232"/>
      <c r="EZ15" s="232"/>
      <c r="FA15" s="232"/>
      <c r="FB15" s="232"/>
      <c r="FC15" s="232"/>
      <c r="FD15" s="232"/>
      <c r="FE15" s="232"/>
      <c r="FF15" s="232"/>
      <c r="FG15" s="232"/>
      <c r="FH15" s="232"/>
      <c r="FI15" s="232"/>
      <c r="FJ15" s="232"/>
      <c r="FK15" s="232"/>
      <c r="FL15" s="232"/>
      <c r="FM15" s="232"/>
      <c r="FN15" s="232"/>
      <c r="FO15" s="232"/>
      <c r="FP15" s="232"/>
      <c r="FQ15" s="232"/>
      <c r="FR15" s="232"/>
      <c r="FS15" s="232"/>
      <c r="FT15" s="232"/>
      <c r="FU15" s="232"/>
      <c r="FV15" s="232"/>
      <c r="FW15" s="232"/>
      <c r="FX15" s="232"/>
      <c r="FY15" s="232"/>
      <c r="FZ15" s="232"/>
      <c r="GA15" s="232"/>
      <c r="GB15" s="232"/>
      <c r="GC15" s="232"/>
      <c r="GD15" s="232"/>
      <c r="GE15" s="232"/>
      <c r="GF15" s="232"/>
      <c r="GG15" s="232"/>
      <c r="GH15" s="232"/>
      <c r="GI15" s="232"/>
      <c r="GJ15" s="232"/>
      <c r="GK15" s="232"/>
      <c r="GL15" s="232"/>
      <c r="GM15" s="232"/>
      <c r="GN15" s="232"/>
      <c r="GO15" s="232"/>
      <c r="GP15" s="232"/>
      <c r="GQ15" s="232"/>
      <c r="GR15" s="232"/>
      <c r="GS15" s="232"/>
      <c r="GT15" s="232"/>
      <c r="GU15" s="232"/>
      <c r="GV15" s="232"/>
      <c r="GW15" s="232"/>
      <c r="GX15" s="232"/>
      <c r="GY15" s="232"/>
      <c r="GZ15" s="232"/>
      <c r="HA15" s="232"/>
      <c r="HB15" s="232"/>
      <c r="HC15" s="232"/>
      <c r="HD15" s="232"/>
      <c r="HE15" s="232"/>
      <c r="HF15" s="232"/>
      <c r="HG15" s="232"/>
      <c r="HH15" s="232"/>
      <c r="HI15" s="232"/>
      <c r="HJ15" s="232"/>
      <c r="HK15" s="232"/>
      <c r="HL15" s="232"/>
      <c r="HM15" s="232"/>
      <c r="HN15" s="232"/>
      <c r="HO15" s="232"/>
      <c r="HP15" s="232"/>
      <c r="HQ15" s="232"/>
      <c r="HR15" s="232"/>
      <c r="HS15" s="232"/>
      <c r="HT15" s="232"/>
      <c r="HU15" s="232"/>
      <c r="HV15" s="232"/>
      <c r="HW15" s="232"/>
      <c r="HX15" s="232"/>
      <c r="HY15" s="232"/>
      <c r="HZ15" s="232"/>
      <c r="IA15" s="232"/>
      <c r="IB15" s="232"/>
      <c r="IC15" s="232"/>
      <c r="ID15" s="232"/>
      <c r="IE15" s="232"/>
      <c r="IF15" s="232"/>
      <c r="IG15" s="232"/>
      <c r="IH15" s="232"/>
      <c r="II15" s="232"/>
      <c r="IJ15" s="232"/>
      <c r="IK15" s="232"/>
      <c r="IL15" s="232"/>
      <c r="IM15" s="232"/>
      <c r="IN15" s="232"/>
      <c r="IO15" s="232"/>
      <c r="IP15" s="232"/>
      <c r="IQ15" s="232"/>
      <c r="IR15" s="232"/>
      <c r="IS15" s="232"/>
      <c r="IT15" s="232"/>
      <c r="IU15" s="232"/>
      <c r="IV15" s="232"/>
      <c r="IW15" s="232"/>
      <c r="IX15" s="232"/>
      <c r="IY15" s="232"/>
      <c r="IZ15" s="232"/>
      <c r="JA15" s="232"/>
      <c r="JB15" s="232"/>
      <c r="JC15" s="232"/>
      <c r="JD15" s="232"/>
      <c r="JE15" s="232"/>
      <c r="JF15" s="232"/>
      <c r="JG15" s="232"/>
      <c r="JH15" s="232"/>
      <c r="JI15" s="232"/>
      <c r="JJ15" s="232"/>
      <c r="JK15" s="232"/>
      <c r="JL15" s="232"/>
      <c r="JM15" s="232"/>
      <c r="JN15" s="232"/>
      <c r="JO15" s="232"/>
      <c r="JP15" s="232"/>
      <c r="JQ15" s="232"/>
      <c r="JR15" s="232"/>
      <c r="JS15" s="232"/>
      <c r="JT15" s="232"/>
      <c r="JU15" s="232"/>
      <c r="JV15" s="232"/>
      <c r="JW15" s="232"/>
      <c r="JX15" s="232"/>
      <c r="JY15" s="232"/>
      <c r="JZ15" s="232"/>
      <c r="KA15" s="232"/>
      <c r="KB15" s="232"/>
      <c r="KC15" s="232"/>
      <c r="KD15" s="232"/>
      <c r="KE15" s="232"/>
      <c r="KF15" s="232"/>
      <c r="KG15" s="232"/>
      <c r="KH15" s="232"/>
      <c r="KI15" s="232"/>
      <c r="KJ15" s="232"/>
      <c r="KK15" s="232"/>
      <c r="KL15" s="232"/>
      <c r="KM15" s="232"/>
      <c r="KN15" s="232"/>
      <c r="KO15" s="232"/>
      <c r="KP15" s="232"/>
      <c r="KQ15" s="232"/>
      <c r="KR15" s="232"/>
      <c r="KS15" s="232"/>
      <c r="KT15" s="232"/>
      <c r="KU15" s="232"/>
      <c r="KV15" s="232"/>
      <c r="KW15" s="232"/>
      <c r="KX15" s="232"/>
      <c r="KY15" s="232"/>
      <c r="KZ15" s="232"/>
      <c r="LA15" s="232"/>
      <c r="LB15" s="232"/>
      <c r="LC15" s="232"/>
      <c r="LD15" s="232"/>
      <c r="LE15" s="232"/>
      <c r="LF15" s="232"/>
      <c r="LG15" s="232"/>
      <c r="LH15" s="232"/>
      <c r="LI15" s="232"/>
      <c r="LJ15" s="232"/>
      <c r="LK15" s="232"/>
      <c r="LL15" s="232"/>
      <c r="LM15" s="232"/>
      <c r="LN15" s="232"/>
      <c r="LO15" s="232"/>
      <c r="LP15" s="232"/>
      <c r="LQ15" s="232"/>
      <c r="LR15" s="232"/>
      <c r="LS15" s="232"/>
      <c r="LT15" s="232"/>
      <c r="LU15" s="232"/>
      <c r="LV15" s="232"/>
      <c r="LW15" s="232"/>
      <c r="LX15" s="232"/>
      <c r="LY15" s="232"/>
      <c r="LZ15" s="232"/>
      <c r="MA15" s="232"/>
      <c r="MB15" s="232"/>
      <c r="MC15" s="232"/>
      <c r="MD15" s="232"/>
      <c r="ME15" s="232"/>
      <c r="MF15" s="232"/>
      <c r="MG15" s="232"/>
      <c r="MH15" s="232"/>
      <c r="MI15" s="232"/>
      <c r="MJ15" s="232"/>
      <c r="MK15" s="232"/>
      <c r="ML15" s="232"/>
      <c r="MM15" s="232"/>
      <c r="MN15" s="232"/>
      <c r="MO15" s="232"/>
      <c r="MP15" s="232"/>
      <c r="MQ15" s="232"/>
      <c r="MR15" s="232"/>
      <c r="MS15" s="232"/>
      <c r="MT15" s="232"/>
      <c r="MU15" s="232"/>
      <c r="MV15" s="232"/>
      <c r="MW15" s="232"/>
      <c r="MX15" s="232"/>
      <c r="MY15" s="232"/>
      <c r="MZ15" s="232"/>
      <c r="NA15" s="232"/>
      <c r="NB15" s="232"/>
      <c r="NC15" s="232"/>
      <c r="ND15" s="232"/>
      <c r="NE15" s="232"/>
      <c r="NF15" s="232"/>
      <c r="NG15" s="232"/>
    </row>
    <row r="16" spans="1:371" x14ac:dyDescent="0.25">
      <c r="A16" s="3" t="s">
        <v>61</v>
      </c>
      <c r="B16" s="49" t="s">
        <v>431</v>
      </c>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2"/>
      <c r="AX16" s="232"/>
      <c r="AY16" s="232"/>
      <c r="AZ16" s="232"/>
      <c r="BA16" s="232"/>
      <c r="BB16" s="232"/>
      <c r="BC16" s="232"/>
      <c r="BD16" s="232"/>
      <c r="BE16" s="232"/>
      <c r="BF16" s="232"/>
      <c r="BG16" s="232"/>
      <c r="BH16" s="232"/>
      <c r="BI16" s="232"/>
      <c r="BJ16" s="232"/>
      <c r="BK16" s="232"/>
      <c r="BL16" s="232"/>
      <c r="BM16" s="232"/>
      <c r="BN16" s="232"/>
      <c r="BO16" s="232"/>
      <c r="BP16" s="232"/>
      <c r="BQ16" s="232"/>
      <c r="BR16" s="232"/>
      <c r="BS16" s="232"/>
      <c r="BT16" s="232"/>
      <c r="BU16" s="232"/>
      <c r="BV16" s="232"/>
      <c r="BW16" s="232"/>
      <c r="BX16" s="232"/>
      <c r="BY16" s="232"/>
      <c r="BZ16" s="232"/>
      <c r="CA16" s="232"/>
      <c r="CB16" s="232"/>
      <c r="CC16" s="232"/>
      <c r="CD16" s="232"/>
      <c r="CE16" s="232"/>
      <c r="CF16" s="232"/>
      <c r="CG16" s="232"/>
      <c r="CH16" s="232"/>
      <c r="CI16" s="232"/>
      <c r="CJ16" s="232"/>
      <c r="CK16" s="232"/>
      <c r="CL16" s="232"/>
      <c r="CM16" s="232"/>
      <c r="CN16" s="232"/>
      <c r="CO16" s="232"/>
      <c r="CP16" s="232"/>
      <c r="CQ16" s="232"/>
      <c r="CR16" s="232"/>
      <c r="CS16" s="232"/>
      <c r="CT16" s="232"/>
      <c r="CU16" s="232"/>
      <c r="CV16" s="232"/>
      <c r="CW16" s="232"/>
      <c r="CX16" s="232"/>
      <c r="CY16" s="232"/>
      <c r="CZ16" s="232"/>
      <c r="DA16" s="232"/>
      <c r="DB16" s="232"/>
      <c r="DC16" s="232"/>
      <c r="DD16" s="232"/>
      <c r="DE16" s="232"/>
      <c r="DF16" s="232"/>
      <c r="DG16" s="232"/>
      <c r="DH16" s="232"/>
      <c r="DI16" s="232"/>
      <c r="DJ16" s="232"/>
      <c r="DK16" s="232"/>
      <c r="DL16" s="232"/>
      <c r="DM16" s="232"/>
      <c r="DN16" s="232"/>
      <c r="DO16" s="232"/>
      <c r="DP16" s="232"/>
      <c r="DQ16" s="232"/>
      <c r="DR16" s="232"/>
      <c r="DS16" s="232"/>
      <c r="DT16" s="232"/>
      <c r="DU16" s="232"/>
      <c r="DV16" s="232"/>
      <c r="DW16" s="232"/>
      <c r="DX16" s="232"/>
      <c r="DY16" s="232"/>
      <c r="DZ16" s="232"/>
      <c r="EA16" s="232"/>
      <c r="EB16" s="232"/>
      <c r="EC16" s="232"/>
      <c r="ED16" s="232"/>
      <c r="EE16" s="232"/>
      <c r="EF16" s="232"/>
      <c r="EG16" s="232"/>
      <c r="EH16" s="232"/>
      <c r="EI16" s="232"/>
      <c r="EJ16" s="232"/>
      <c r="EK16" s="232"/>
      <c r="EL16" s="232"/>
      <c r="EM16" s="232"/>
      <c r="EN16" s="232"/>
      <c r="EO16" s="232"/>
      <c r="EP16" s="232"/>
      <c r="EQ16" s="232"/>
      <c r="ER16" s="232"/>
      <c r="ES16" s="232"/>
      <c r="ET16" s="232"/>
      <c r="EU16" s="232"/>
      <c r="EV16" s="232"/>
      <c r="EW16" s="232"/>
      <c r="EX16" s="232"/>
      <c r="EY16" s="232"/>
      <c r="EZ16" s="232"/>
      <c r="FA16" s="232"/>
      <c r="FB16" s="232"/>
      <c r="FC16" s="232"/>
      <c r="FD16" s="232"/>
      <c r="FE16" s="232"/>
      <c r="FF16" s="232"/>
      <c r="FG16" s="232"/>
      <c r="FH16" s="232"/>
      <c r="FI16" s="232"/>
      <c r="FJ16" s="232"/>
      <c r="FK16" s="232"/>
      <c r="FL16" s="232"/>
      <c r="FM16" s="232"/>
      <c r="FN16" s="232"/>
      <c r="FO16" s="232"/>
      <c r="FP16" s="232"/>
      <c r="FQ16" s="232"/>
      <c r="FR16" s="232"/>
      <c r="FS16" s="232"/>
      <c r="FT16" s="232"/>
      <c r="FU16" s="232"/>
      <c r="FV16" s="232"/>
      <c r="FW16" s="232"/>
      <c r="FX16" s="232"/>
      <c r="FY16" s="232"/>
      <c r="FZ16" s="232"/>
      <c r="GA16" s="232"/>
      <c r="GB16" s="232"/>
      <c r="GC16" s="232"/>
      <c r="GD16" s="232"/>
      <c r="GE16" s="232"/>
      <c r="GF16" s="232"/>
      <c r="GG16" s="232"/>
      <c r="GH16" s="232"/>
      <c r="GI16" s="232"/>
      <c r="GJ16" s="232"/>
      <c r="GK16" s="232"/>
      <c r="GL16" s="232"/>
      <c r="GM16" s="232"/>
      <c r="GN16" s="232"/>
      <c r="GO16" s="232"/>
      <c r="GP16" s="232"/>
      <c r="GQ16" s="232"/>
      <c r="GR16" s="232"/>
      <c r="GS16" s="232"/>
      <c r="GT16" s="232"/>
      <c r="GU16" s="232"/>
      <c r="GV16" s="232"/>
      <c r="GW16" s="232"/>
      <c r="GX16" s="232"/>
      <c r="GY16" s="232"/>
      <c r="GZ16" s="232"/>
      <c r="HA16" s="232"/>
      <c r="HB16" s="232"/>
      <c r="HC16" s="232"/>
      <c r="HD16" s="232"/>
      <c r="HE16" s="232"/>
      <c r="HF16" s="232"/>
      <c r="HG16" s="232"/>
      <c r="HH16" s="232"/>
      <c r="HI16" s="232"/>
      <c r="HJ16" s="232"/>
      <c r="HK16" s="232"/>
      <c r="HL16" s="232"/>
      <c r="HM16" s="232"/>
      <c r="HN16" s="232"/>
      <c r="HO16" s="232"/>
      <c r="HP16" s="232"/>
      <c r="HQ16" s="232"/>
      <c r="HR16" s="232"/>
      <c r="HS16" s="232"/>
      <c r="HT16" s="232"/>
      <c r="HU16" s="232"/>
      <c r="HV16" s="232"/>
      <c r="HW16" s="232"/>
      <c r="HX16" s="232"/>
      <c r="HY16" s="232"/>
      <c r="HZ16" s="232"/>
      <c r="IA16" s="232"/>
      <c r="IB16" s="232"/>
      <c r="IC16" s="232"/>
      <c r="ID16" s="232"/>
      <c r="IE16" s="232"/>
      <c r="IF16" s="232"/>
      <c r="IG16" s="232"/>
      <c r="IH16" s="232"/>
      <c r="II16" s="232"/>
      <c r="IJ16" s="232"/>
      <c r="IK16" s="232"/>
      <c r="IL16" s="232"/>
      <c r="IM16" s="232"/>
      <c r="IN16" s="232"/>
      <c r="IO16" s="232"/>
      <c r="IP16" s="232"/>
      <c r="IQ16" s="232"/>
      <c r="IR16" s="232"/>
      <c r="IS16" s="232"/>
      <c r="IT16" s="232"/>
      <c r="IU16" s="232"/>
      <c r="IV16" s="232"/>
      <c r="IW16" s="232"/>
      <c r="IX16" s="232"/>
      <c r="IY16" s="232"/>
      <c r="IZ16" s="232"/>
      <c r="JA16" s="232"/>
      <c r="JB16" s="232"/>
      <c r="JC16" s="232"/>
      <c r="JD16" s="232"/>
      <c r="JE16" s="232"/>
      <c r="JF16" s="232"/>
      <c r="JG16" s="232"/>
      <c r="JH16" s="232"/>
      <c r="JI16" s="232"/>
      <c r="JJ16" s="232"/>
      <c r="JK16" s="232"/>
      <c r="JL16" s="232"/>
      <c r="JM16" s="232"/>
      <c r="JN16" s="232"/>
      <c r="JO16" s="232"/>
      <c r="JP16" s="232"/>
      <c r="JQ16" s="232"/>
      <c r="JR16" s="232"/>
      <c r="JS16" s="232"/>
      <c r="JT16" s="232"/>
      <c r="JU16" s="232"/>
      <c r="JV16" s="232"/>
      <c r="JW16" s="232"/>
      <c r="JX16" s="232"/>
      <c r="JY16" s="232"/>
      <c r="JZ16" s="232"/>
      <c r="KA16" s="232"/>
      <c r="KB16" s="232"/>
      <c r="KC16" s="232"/>
      <c r="KD16" s="232"/>
      <c r="KE16" s="232"/>
      <c r="KF16" s="232"/>
      <c r="KG16" s="232"/>
      <c r="KH16" s="232"/>
      <c r="KI16" s="232"/>
      <c r="KJ16" s="232"/>
      <c r="KK16" s="232"/>
      <c r="KL16" s="232"/>
      <c r="KM16" s="232"/>
      <c r="KN16" s="232"/>
      <c r="KO16" s="232"/>
      <c r="KP16" s="232"/>
      <c r="KQ16" s="232"/>
      <c r="KR16" s="232"/>
      <c r="KS16" s="232"/>
      <c r="KT16" s="232"/>
      <c r="KU16" s="232"/>
      <c r="KV16" s="232"/>
      <c r="KW16" s="232"/>
      <c r="KX16" s="232"/>
      <c r="KY16" s="232"/>
      <c r="KZ16" s="232"/>
      <c r="LA16" s="232"/>
      <c r="LB16" s="232"/>
      <c r="LC16" s="232"/>
      <c r="LD16" s="232"/>
      <c r="LE16" s="232"/>
      <c r="LF16" s="232"/>
      <c r="LG16" s="232"/>
      <c r="LH16" s="232"/>
      <c r="LI16" s="232"/>
      <c r="LJ16" s="232"/>
      <c r="LK16" s="232"/>
      <c r="LL16" s="232"/>
      <c r="LM16" s="232"/>
      <c r="LN16" s="232"/>
      <c r="LO16" s="232"/>
      <c r="LP16" s="232"/>
      <c r="LQ16" s="232"/>
      <c r="LR16" s="232"/>
      <c r="LS16" s="232"/>
      <c r="LT16" s="232"/>
      <c r="LU16" s="232"/>
      <c r="LV16" s="232"/>
      <c r="LW16" s="232"/>
      <c r="LX16" s="232"/>
      <c r="LY16" s="232"/>
      <c r="LZ16" s="232"/>
      <c r="MA16" s="232"/>
      <c r="MB16" s="232"/>
      <c r="MC16" s="232"/>
      <c r="MD16" s="232"/>
      <c r="ME16" s="232"/>
      <c r="MF16" s="232"/>
      <c r="MG16" s="232"/>
      <c r="MH16" s="232"/>
      <c r="MI16" s="232"/>
      <c r="MJ16" s="232"/>
      <c r="MK16" s="232"/>
      <c r="ML16" s="232"/>
      <c r="MM16" s="232"/>
      <c r="MN16" s="232"/>
      <c r="MO16" s="232"/>
      <c r="MP16" s="232"/>
      <c r="MQ16" s="232"/>
      <c r="MR16" s="232"/>
      <c r="MS16" s="232"/>
      <c r="MT16" s="232"/>
      <c r="MU16" s="232"/>
      <c r="MV16" s="232"/>
      <c r="MW16" s="232"/>
      <c r="MX16" s="232"/>
      <c r="MY16" s="232"/>
      <c r="MZ16" s="232"/>
      <c r="NA16" s="232"/>
      <c r="NB16" s="232"/>
      <c r="NC16" s="232"/>
      <c r="ND16" s="232"/>
      <c r="NE16" s="232"/>
      <c r="NF16" s="232"/>
      <c r="NG16" s="232"/>
    </row>
    <row r="17" spans="1:371" x14ac:dyDescent="0.25">
      <c r="A17" s="3"/>
      <c r="B17" s="49" t="s">
        <v>432</v>
      </c>
      <c r="C17" s="232"/>
      <c r="D17" s="232" t="str">
        <f>TEXT(C17,"ДД.ММ.ГГГГ")</f>
        <v>00.01.1900</v>
      </c>
      <c r="E17" s="232"/>
      <c r="F17" s="232"/>
      <c r="G17" s="232"/>
      <c r="H17" s="232"/>
      <c r="I17" s="232"/>
      <c r="J17" s="232"/>
      <c r="K17" s="232"/>
      <c r="L17" s="232"/>
      <c r="M17" s="232"/>
      <c r="N17" s="232"/>
      <c r="O17" s="232"/>
      <c r="P17" s="232"/>
      <c r="Q17" s="232"/>
      <c r="R17" s="232"/>
      <c r="S17" s="232"/>
      <c r="T17" s="232"/>
      <c r="U17" s="232"/>
      <c r="V17" s="232"/>
      <c r="W17" s="232"/>
      <c r="X17" s="232"/>
      <c r="Y17" s="232"/>
      <c r="Z17" s="232"/>
      <c r="AA17" s="232"/>
      <c r="AB17" s="232"/>
      <c r="AC17" s="232"/>
      <c r="AD17" s="232"/>
      <c r="AE17" s="232"/>
      <c r="AF17" s="232"/>
      <c r="AG17" s="232"/>
      <c r="AH17" s="232"/>
      <c r="AI17" s="232"/>
      <c r="AJ17" s="232"/>
      <c r="AK17" s="232"/>
      <c r="AL17" s="232"/>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2"/>
      <c r="BK17" s="232"/>
      <c r="BL17" s="232"/>
      <c r="BM17" s="232"/>
      <c r="BN17" s="232"/>
      <c r="BO17" s="232"/>
      <c r="BP17" s="232"/>
      <c r="BQ17" s="232"/>
      <c r="BR17" s="232"/>
      <c r="BS17" s="232"/>
      <c r="BT17" s="232"/>
      <c r="BU17" s="232"/>
      <c r="BV17" s="232"/>
      <c r="BW17" s="232"/>
      <c r="BX17" s="232"/>
      <c r="BY17" s="232"/>
      <c r="BZ17" s="232"/>
      <c r="CA17" s="232"/>
      <c r="CB17" s="232"/>
      <c r="CC17" s="232"/>
      <c r="CD17" s="232"/>
      <c r="CE17" s="232"/>
      <c r="CF17" s="232"/>
      <c r="CG17" s="232"/>
      <c r="CH17" s="232"/>
      <c r="CI17" s="232"/>
      <c r="CJ17" s="232"/>
      <c r="CK17" s="232"/>
      <c r="CL17" s="232"/>
      <c r="CM17" s="232"/>
      <c r="CN17" s="232"/>
      <c r="CO17" s="232"/>
      <c r="CP17" s="232"/>
      <c r="CQ17" s="232"/>
      <c r="CR17" s="232"/>
      <c r="CS17" s="232"/>
      <c r="CT17" s="232"/>
      <c r="CU17" s="232"/>
      <c r="CV17" s="232"/>
      <c r="CW17" s="232"/>
      <c r="CX17" s="232"/>
      <c r="CY17" s="232"/>
      <c r="CZ17" s="232"/>
      <c r="DA17" s="232"/>
      <c r="DB17" s="232"/>
      <c r="DC17" s="232"/>
      <c r="DD17" s="232"/>
      <c r="DE17" s="232"/>
      <c r="DF17" s="232"/>
      <c r="DG17" s="232"/>
      <c r="DH17" s="232"/>
      <c r="DI17" s="232"/>
      <c r="DJ17" s="232"/>
      <c r="DK17" s="232"/>
      <c r="DL17" s="232"/>
      <c r="DM17" s="232"/>
      <c r="DN17" s="232"/>
      <c r="DO17" s="232"/>
      <c r="DP17" s="232"/>
      <c r="DQ17" s="232"/>
      <c r="DR17" s="232"/>
      <c r="DS17" s="232"/>
      <c r="DT17" s="232"/>
      <c r="DU17" s="232"/>
      <c r="DV17" s="232"/>
      <c r="DW17" s="232"/>
      <c r="DX17" s="232"/>
      <c r="DY17" s="232"/>
      <c r="DZ17" s="232"/>
      <c r="EA17" s="232"/>
      <c r="EB17" s="232"/>
      <c r="EC17" s="232"/>
      <c r="ED17" s="232"/>
      <c r="EE17" s="232"/>
      <c r="EF17" s="232"/>
      <c r="EG17" s="232"/>
      <c r="EH17" s="232"/>
      <c r="EI17" s="232"/>
      <c r="EJ17" s="232"/>
      <c r="EK17" s="232"/>
      <c r="EL17" s="232"/>
      <c r="EM17" s="232"/>
      <c r="EN17" s="232"/>
      <c r="EO17" s="232"/>
      <c r="EP17" s="232"/>
      <c r="EQ17" s="232"/>
      <c r="ER17" s="232"/>
      <c r="ES17" s="232"/>
      <c r="ET17" s="232"/>
      <c r="EU17" s="232"/>
      <c r="EV17" s="232"/>
      <c r="EW17" s="232"/>
      <c r="EX17" s="232"/>
      <c r="EY17" s="232"/>
      <c r="EZ17" s="232"/>
      <c r="FA17" s="232"/>
      <c r="FB17" s="232"/>
      <c r="FC17" s="232"/>
      <c r="FD17" s="232"/>
      <c r="FE17" s="232"/>
      <c r="FF17" s="232"/>
      <c r="FG17" s="232"/>
      <c r="FH17" s="232"/>
      <c r="FI17" s="232"/>
      <c r="FJ17" s="232"/>
      <c r="FK17" s="232"/>
      <c r="FL17" s="232"/>
      <c r="FM17" s="232"/>
      <c r="FN17" s="232"/>
      <c r="FO17" s="232"/>
      <c r="FP17" s="232"/>
      <c r="FQ17" s="232"/>
      <c r="FR17" s="232"/>
      <c r="FS17" s="232"/>
      <c r="FT17" s="232"/>
      <c r="FU17" s="232"/>
      <c r="FV17" s="232"/>
      <c r="FW17" s="232"/>
      <c r="FX17" s="232"/>
      <c r="FY17" s="232"/>
      <c r="FZ17" s="232"/>
      <c r="GA17" s="232"/>
      <c r="GB17" s="232"/>
      <c r="GC17" s="232"/>
      <c r="GD17" s="232"/>
      <c r="GE17" s="232"/>
      <c r="GF17" s="232"/>
      <c r="GG17" s="232"/>
      <c r="GH17" s="232"/>
      <c r="GI17" s="232"/>
      <c r="GJ17" s="232"/>
      <c r="GK17" s="232"/>
      <c r="GL17" s="232"/>
      <c r="GM17" s="232"/>
      <c r="GN17" s="232"/>
      <c r="GO17" s="232"/>
      <c r="GP17" s="232"/>
      <c r="GQ17" s="232"/>
      <c r="GR17" s="232"/>
      <c r="GS17" s="232"/>
      <c r="GT17" s="232"/>
      <c r="GU17" s="232"/>
      <c r="GV17" s="232"/>
      <c r="GW17" s="232"/>
      <c r="GX17" s="232"/>
      <c r="GY17" s="232"/>
      <c r="GZ17" s="232"/>
      <c r="HA17" s="232"/>
      <c r="HB17" s="232"/>
      <c r="HC17" s="232"/>
      <c r="HD17" s="232"/>
      <c r="HE17" s="232"/>
      <c r="HF17" s="232"/>
      <c r="HG17" s="232"/>
      <c r="HH17" s="232"/>
      <c r="HI17" s="232"/>
      <c r="HJ17" s="232"/>
      <c r="HK17" s="232"/>
      <c r="HL17" s="232"/>
      <c r="HM17" s="232"/>
      <c r="HN17" s="232"/>
      <c r="HO17" s="232"/>
      <c r="HP17" s="232"/>
      <c r="HQ17" s="232"/>
      <c r="HR17" s="232"/>
      <c r="HS17" s="232"/>
      <c r="HT17" s="232"/>
      <c r="HU17" s="232"/>
      <c r="HV17" s="232"/>
      <c r="HW17" s="232"/>
      <c r="HX17" s="232"/>
      <c r="HY17" s="232"/>
      <c r="HZ17" s="232"/>
      <c r="IA17" s="232"/>
      <c r="IB17" s="232"/>
      <c r="IC17" s="232"/>
      <c r="ID17" s="232"/>
      <c r="IE17" s="232"/>
      <c r="IF17" s="232"/>
      <c r="IG17" s="232"/>
      <c r="IH17" s="232"/>
      <c r="II17" s="232"/>
      <c r="IJ17" s="232"/>
      <c r="IK17" s="232"/>
      <c r="IL17" s="232"/>
      <c r="IM17" s="232"/>
      <c r="IN17" s="232"/>
      <c r="IO17" s="232"/>
      <c r="IP17" s="232"/>
      <c r="IQ17" s="232"/>
      <c r="IR17" s="232"/>
      <c r="IS17" s="232"/>
      <c r="IT17" s="232"/>
      <c r="IU17" s="232"/>
      <c r="IV17" s="232"/>
      <c r="IW17" s="232"/>
      <c r="IX17" s="232"/>
      <c r="IY17" s="232"/>
      <c r="IZ17" s="232"/>
      <c r="JA17" s="232"/>
      <c r="JB17" s="232"/>
      <c r="JC17" s="232"/>
      <c r="JD17" s="232"/>
      <c r="JE17" s="232"/>
      <c r="JF17" s="232"/>
      <c r="JG17" s="232"/>
      <c r="JH17" s="232"/>
      <c r="JI17" s="232"/>
      <c r="JJ17" s="232"/>
      <c r="JK17" s="232"/>
      <c r="JL17" s="232"/>
      <c r="JM17" s="232"/>
      <c r="JN17" s="232"/>
      <c r="JO17" s="232"/>
      <c r="JP17" s="232"/>
      <c r="JQ17" s="232"/>
      <c r="JR17" s="232"/>
      <c r="JS17" s="232"/>
      <c r="JT17" s="232"/>
      <c r="JU17" s="232"/>
      <c r="JV17" s="232"/>
      <c r="JW17" s="232"/>
      <c r="JX17" s="232"/>
      <c r="JY17" s="232"/>
      <c r="JZ17" s="232"/>
      <c r="KA17" s="232"/>
      <c r="KB17" s="232"/>
      <c r="KC17" s="232"/>
      <c r="KD17" s="232"/>
      <c r="KE17" s="232"/>
      <c r="KF17" s="232"/>
      <c r="KG17" s="232"/>
      <c r="KH17" s="232"/>
      <c r="KI17" s="232"/>
      <c r="KJ17" s="232"/>
      <c r="KK17" s="232"/>
      <c r="KL17" s="232"/>
      <c r="KM17" s="232"/>
      <c r="KN17" s="232"/>
      <c r="KO17" s="232"/>
      <c r="KP17" s="232"/>
      <c r="KQ17" s="232"/>
      <c r="KR17" s="232"/>
      <c r="KS17" s="232"/>
      <c r="KT17" s="232"/>
      <c r="KU17" s="232"/>
      <c r="KV17" s="232"/>
      <c r="KW17" s="232"/>
      <c r="KX17" s="232"/>
      <c r="KY17" s="232"/>
      <c r="KZ17" s="232"/>
      <c r="LA17" s="232"/>
      <c r="LB17" s="232"/>
      <c r="LC17" s="232"/>
      <c r="LD17" s="232"/>
      <c r="LE17" s="232"/>
      <c r="LF17" s="232"/>
      <c r="LG17" s="232"/>
      <c r="LH17" s="232"/>
      <c r="LI17" s="232"/>
      <c r="LJ17" s="232"/>
      <c r="LK17" s="232"/>
      <c r="LL17" s="232"/>
      <c r="LM17" s="232"/>
      <c r="LN17" s="232"/>
      <c r="LO17" s="232"/>
      <c r="LP17" s="232"/>
      <c r="LQ17" s="232"/>
      <c r="LR17" s="232"/>
      <c r="LS17" s="232"/>
      <c r="LT17" s="232"/>
      <c r="LU17" s="232"/>
      <c r="LV17" s="232"/>
      <c r="LW17" s="232"/>
      <c r="LX17" s="232"/>
      <c r="LY17" s="232"/>
      <c r="LZ17" s="232"/>
      <c r="MA17" s="232"/>
      <c r="MB17" s="232"/>
      <c r="MC17" s="232"/>
      <c r="MD17" s="232"/>
      <c r="ME17" s="232"/>
      <c r="MF17" s="232"/>
      <c r="MG17" s="232"/>
      <c r="MH17" s="232"/>
      <c r="MI17" s="232"/>
      <c r="MJ17" s="232"/>
      <c r="MK17" s="232"/>
      <c r="ML17" s="232"/>
      <c r="MM17" s="232"/>
      <c r="MN17" s="232"/>
      <c r="MO17" s="232"/>
      <c r="MP17" s="232"/>
      <c r="MQ17" s="232"/>
      <c r="MR17" s="232"/>
      <c r="MS17" s="232"/>
      <c r="MT17" s="232"/>
      <c r="MU17" s="232"/>
      <c r="MV17" s="232"/>
      <c r="MW17" s="232"/>
      <c r="MX17" s="232"/>
      <c r="MY17" s="232"/>
      <c r="MZ17" s="232"/>
      <c r="NA17" s="232"/>
      <c r="NB17" s="232"/>
      <c r="NC17" s="232"/>
      <c r="ND17" s="232"/>
      <c r="NE17" s="232"/>
      <c r="NF17" s="232"/>
      <c r="NG17" s="232"/>
    </row>
    <row r="18" spans="1:371" x14ac:dyDescent="0.25">
      <c r="A18" s="3"/>
      <c r="B18" s="135">
        <v>45390</v>
      </c>
      <c r="C18" s="233" t="str">
        <f>TEXT(B18,"ДД.ММ.ГГГГ")</f>
        <v>08.04.2024</v>
      </c>
      <c r="D18" s="232"/>
      <c r="E18" s="232"/>
      <c r="F18" s="232"/>
      <c r="G18" s="232"/>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2"/>
      <c r="AH18" s="232"/>
      <c r="AI18" s="232"/>
      <c r="AJ18" s="232"/>
      <c r="AK18" s="232"/>
      <c r="AL18" s="232"/>
      <c r="AM18" s="232"/>
      <c r="AN18" s="232"/>
      <c r="AO18" s="232"/>
      <c r="AP18" s="232"/>
      <c r="AQ18" s="232"/>
      <c r="AR18" s="232"/>
      <c r="AS18" s="232"/>
      <c r="AT18" s="232"/>
      <c r="AU18" s="232"/>
      <c r="AV18" s="232"/>
      <c r="AW18" s="232"/>
      <c r="AX18" s="232"/>
      <c r="AY18" s="232"/>
      <c r="AZ18" s="232"/>
      <c r="BA18" s="232"/>
      <c r="BB18" s="232"/>
      <c r="BC18" s="232"/>
      <c r="BD18" s="232"/>
      <c r="BE18" s="232"/>
      <c r="BF18" s="232"/>
      <c r="BG18" s="232"/>
      <c r="BH18" s="232"/>
      <c r="BI18" s="232"/>
      <c r="BJ18" s="232"/>
      <c r="BK18" s="232"/>
      <c r="BL18" s="232"/>
      <c r="BM18" s="232"/>
      <c r="BN18" s="232"/>
      <c r="BO18" s="232"/>
      <c r="BP18" s="232"/>
      <c r="BQ18" s="232"/>
      <c r="BR18" s="232"/>
      <c r="BS18" s="232"/>
      <c r="BT18" s="232"/>
      <c r="BU18" s="232"/>
      <c r="BV18" s="232"/>
      <c r="BW18" s="232"/>
      <c r="BX18" s="232"/>
      <c r="BY18" s="232"/>
      <c r="BZ18" s="232"/>
      <c r="CA18" s="232"/>
      <c r="CB18" s="232"/>
      <c r="CC18" s="232"/>
      <c r="CD18" s="232"/>
      <c r="CE18" s="232"/>
      <c r="CF18" s="232"/>
      <c r="CG18" s="232"/>
      <c r="CH18" s="232"/>
      <c r="CI18" s="232"/>
      <c r="CJ18" s="232"/>
      <c r="CK18" s="232"/>
      <c r="CL18" s="232"/>
      <c r="CM18" s="232"/>
      <c r="CN18" s="232"/>
      <c r="CO18" s="232"/>
      <c r="CP18" s="232"/>
      <c r="CQ18" s="232"/>
      <c r="CR18" s="232"/>
      <c r="CS18" s="232"/>
      <c r="CT18" s="232"/>
      <c r="CU18" s="232"/>
      <c r="CV18" s="232"/>
      <c r="CW18" s="232"/>
      <c r="CX18" s="232"/>
      <c r="CY18" s="232"/>
      <c r="CZ18" s="232"/>
      <c r="DA18" s="232"/>
      <c r="DB18" s="232"/>
      <c r="DC18" s="232"/>
      <c r="DD18" s="232"/>
      <c r="DE18" s="232"/>
      <c r="DF18" s="232"/>
      <c r="DG18" s="232"/>
      <c r="DH18" s="232"/>
      <c r="DI18" s="232"/>
      <c r="DJ18" s="232"/>
      <c r="DK18" s="232"/>
      <c r="DL18" s="232"/>
      <c r="DM18" s="232"/>
      <c r="DN18" s="232"/>
      <c r="DO18" s="232"/>
      <c r="DP18" s="232"/>
      <c r="DQ18" s="232"/>
      <c r="DR18" s="232"/>
      <c r="DS18" s="232"/>
      <c r="DT18" s="232"/>
      <c r="DU18" s="232"/>
      <c r="DV18" s="232"/>
      <c r="DW18" s="232"/>
      <c r="DX18" s="232"/>
      <c r="DY18" s="232"/>
      <c r="DZ18" s="232"/>
      <c r="EA18" s="232"/>
      <c r="EB18" s="232"/>
      <c r="EC18" s="232"/>
      <c r="ED18" s="232"/>
      <c r="EE18" s="232"/>
      <c r="EF18" s="232"/>
      <c r="EG18" s="232"/>
      <c r="EH18" s="232"/>
      <c r="EI18" s="232"/>
      <c r="EJ18" s="232"/>
      <c r="EK18" s="232"/>
      <c r="EL18" s="232"/>
      <c r="EM18" s="232"/>
      <c r="EN18" s="232"/>
      <c r="EO18" s="232"/>
      <c r="EP18" s="232"/>
      <c r="EQ18" s="232"/>
      <c r="ER18" s="232"/>
      <c r="ES18" s="232"/>
      <c r="ET18" s="232"/>
      <c r="EU18" s="232"/>
      <c r="EV18" s="232"/>
      <c r="EW18" s="232"/>
      <c r="EX18" s="232"/>
      <c r="EY18" s="232"/>
      <c r="EZ18" s="232"/>
      <c r="FA18" s="232"/>
      <c r="FB18" s="232"/>
      <c r="FC18" s="232"/>
      <c r="FD18" s="232"/>
      <c r="FE18" s="232"/>
      <c r="FF18" s="232"/>
      <c r="FG18" s="232"/>
      <c r="FH18" s="232"/>
      <c r="FI18" s="232"/>
      <c r="FJ18" s="232"/>
      <c r="FK18" s="232"/>
      <c r="FL18" s="232"/>
      <c r="FM18" s="232"/>
      <c r="FN18" s="232"/>
      <c r="FO18" s="232"/>
      <c r="FP18" s="232"/>
      <c r="FQ18" s="232"/>
      <c r="FR18" s="232"/>
      <c r="FS18" s="232"/>
      <c r="FT18" s="232"/>
      <c r="FU18" s="232"/>
      <c r="FV18" s="232"/>
      <c r="FW18" s="232"/>
      <c r="FX18" s="232"/>
      <c r="FY18" s="232"/>
      <c r="FZ18" s="232"/>
      <c r="GA18" s="232"/>
      <c r="GB18" s="232"/>
      <c r="GC18" s="232"/>
      <c r="GD18" s="232"/>
      <c r="GE18" s="232"/>
      <c r="GF18" s="232"/>
      <c r="GG18" s="232"/>
      <c r="GH18" s="232"/>
      <c r="GI18" s="232"/>
      <c r="GJ18" s="232"/>
      <c r="GK18" s="232"/>
      <c r="GL18" s="232"/>
      <c r="GM18" s="232"/>
      <c r="GN18" s="232"/>
      <c r="GO18" s="232"/>
      <c r="GP18" s="232"/>
      <c r="GQ18" s="232"/>
      <c r="GR18" s="232"/>
      <c r="GS18" s="232"/>
      <c r="GT18" s="232"/>
      <c r="GU18" s="232"/>
      <c r="GV18" s="232"/>
      <c r="GW18" s="232"/>
      <c r="GX18" s="232"/>
      <c r="GY18" s="232"/>
      <c r="GZ18" s="232"/>
      <c r="HA18" s="232"/>
      <c r="HB18" s="232"/>
      <c r="HC18" s="232"/>
      <c r="HD18" s="232"/>
      <c r="HE18" s="232"/>
      <c r="HF18" s="232"/>
      <c r="HG18" s="232"/>
      <c r="HH18" s="232"/>
      <c r="HI18" s="232"/>
      <c r="HJ18" s="232"/>
      <c r="HK18" s="232"/>
      <c r="HL18" s="232"/>
      <c r="HM18" s="232"/>
      <c r="HN18" s="232"/>
      <c r="HO18" s="232"/>
      <c r="HP18" s="232"/>
      <c r="HQ18" s="232"/>
      <c r="HR18" s="232"/>
      <c r="HS18" s="232"/>
      <c r="HT18" s="232"/>
      <c r="HU18" s="232"/>
      <c r="HV18" s="232"/>
      <c r="HW18" s="232"/>
      <c r="HX18" s="232"/>
      <c r="HY18" s="232"/>
      <c r="HZ18" s="232"/>
      <c r="IA18" s="232"/>
      <c r="IB18" s="232"/>
      <c r="IC18" s="232"/>
      <c r="ID18" s="232"/>
      <c r="IE18" s="232"/>
      <c r="IF18" s="232"/>
      <c r="IG18" s="232"/>
      <c r="IH18" s="232"/>
      <c r="II18" s="232"/>
      <c r="IJ18" s="232"/>
      <c r="IK18" s="232"/>
      <c r="IL18" s="232"/>
      <c r="IM18" s="232"/>
      <c r="IN18" s="232"/>
      <c r="IO18" s="232"/>
      <c r="IP18" s="232"/>
      <c r="IQ18" s="232"/>
      <c r="IR18" s="232"/>
      <c r="IS18" s="232"/>
      <c r="IT18" s="232"/>
      <c r="IU18" s="232"/>
      <c r="IV18" s="232"/>
      <c r="IW18" s="232"/>
      <c r="IX18" s="232"/>
      <c r="IY18" s="232"/>
      <c r="IZ18" s="232"/>
      <c r="JA18" s="232"/>
      <c r="JB18" s="232"/>
      <c r="JC18" s="232"/>
      <c r="JD18" s="232"/>
      <c r="JE18" s="232"/>
      <c r="JF18" s="232"/>
      <c r="JG18" s="232"/>
      <c r="JH18" s="232"/>
      <c r="JI18" s="232"/>
      <c r="JJ18" s="232"/>
      <c r="JK18" s="232"/>
      <c r="JL18" s="232"/>
      <c r="JM18" s="232"/>
      <c r="JN18" s="232"/>
      <c r="JO18" s="232"/>
      <c r="JP18" s="232"/>
      <c r="JQ18" s="232"/>
      <c r="JR18" s="232"/>
      <c r="JS18" s="232"/>
      <c r="JT18" s="232"/>
      <c r="JU18" s="232"/>
      <c r="JV18" s="232"/>
      <c r="JW18" s="232"/>
      <c r="JX18" s="232"/>
      <c r="JY18" s="232"/>
      <c r="JZ18" s="232"/>
      <c r="KA18" s="232"/>
      <c r="KB18" s="232"/>
      <c r="KC18" s="232"/>
      <c r="KD18" s="232"/>
      <c r="KE18" s="232"/>
      <c r="KF18" s="232"/>
      <c r="KG18" s="232"/>
      <c r="KH18" s="232"/>
      <c r="KI18" s="232"/>
      <c r="KJ18" s="232"/>
      <c r="KK18" s="232"/>
      <c r="KL18" s="232"/>
      <c r="KM18" s="232"/>
      <c r="KN18" s="232"/>
      <c r="KO18" s="232"/>
      <c r="KP18" s="232"/>
      <c r="KQ18" s="232"/>
      <c r="KR18" s="232"/>
      <c r="KS18" s="232"/>
      <c r="KT18" s="232"/>
      <c r="KU18" s="232"/>
      <c r="KV18" s="232"/>
      <c r="KW18" s="232"/>
      <c r="KX18" s="232"/>
      <c r="KY18" s="232"/>
      <c r="KZ18" s="232"/>
      <c r="LA18" s="232"/>
      <c r="LB18" s="232"/>
      <c r="LC18" s="232"/>
      <c r="LD18" s="232"/>
      <c r="LE18" s="232"/>
      <c r="LF18" s="232"/>
      <c r="LG18" s="232"/>
      <c r="LH18" s="232"/>
      <c r="LI18" s="232"/>
      <c r="LJ18" s="232"/>
      <c r="LK18" s="232"/>
      <c r="LL18" s="232"/>
      <c r="LM18" s="232"/>
      <c r="LN18" s="232"/>
      <c r="LO18" s="232"/>
      <c r="LP18" s="232"/>
      <c r="LQ18" s="232"/>
      <c r="LR18" s="232"/>
      <c r="LS18" s="232"/>
      <c r="LT18" s="232"/>
      <c r="LU18" s="232"/>
      <c r="LV18" s="232"/>
      <c r="LW18" s="232"/>
      <c r="LX18" s="232"/>
      <c r="LY18" s="232"/>
      <c r="LZ18" s="232"/>
      <c r="MA18" s="232"/>
      <c r="MB18" s="232"/>
      <c r="MC18" s="232"/>
      <c r="MD18" s="232"/>
      <c r="ME18" s="232"/>
      <c r="MF18" s="232"/>
      <c r="MG18" s="232"/>
      <c r="MH18" s="232"/>
      <c r="MI18" s="232"/>
      <c r="MJ18" s="232"/>
      <c r="MK18" s="232"/>
      <c r="ML18" s="232"/>
      <c r="MM18" s="232"/>
      <c r="MN18" s="232"/>
      <c r="MO18" s="232"/>
      <c r="MP18" s="232"/>
      <c r="MQ18" s="232"/>
      <c r="MR18" s="232"/>
      <c r="MS18" s="232"/>
      <c r="MT18" s="232"/>
      <c r="MU18" s="232"/>
      <c r="MV18" s="232"/>
      <c r="MW18" s="232"/>
      <c r="MX18" s="232"/>
      <c r="MY18" s="232"/>
      <c r="MZ18" s="232"/>
      <c r="NA18" s="232"/>
      <c r="NB18" s="232"/>
      <c r="NC18" s="232"/>
      <c r="ND18" s="232"/>
      <c r="NE18" s="232"/>
      <c r="NF18" s="232"/>
      <c r="NG18" s="232"/>
    </row>
    <row r="19" spans="1:371" x14ac:dyDescent="0.25">
      <c r="A19" s="3"/>
      <c r="B19" s="135">
        <v>49041</v>
      </c>
      <c r="C19" s="233" t="str">
        <f>TEXT(B19,"ДД.ММ.ГГГГ")</f>
        <v>07.04.2034</v>
      </c>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c r="AH19" s="232"/>
      <c r="AI19" s="232"/>
      <c r="AJ19" s="232"/>
      <c r="AK19" s="232"/>
      <c r="AL19" s="232"/>
      <c r="AM19" s="232"/>
      <c r="AN19" s="232"/>
      <c r="AO19" s="232"/>
      <c r="AP19" s="232"/>
      <c r="AQ19" s="232"/>
      <c r="AR19" s="232"/>
      <c r="AS19" s="232"/>
      <c r="AT19" s="232"/>
      <c r="AU19" s="232"/>
      <c r="AV19" s="232"/>
      <c r="AW19" s="232"/>
      <c r="AX19" s="232"/>
      <c r="AY19" s="232"/>
      <c r="AZ19" s="232"/>
      <c r="BA19" s="232"/>
      <c r="BB19" s="232"/>
      <c r="BC19" s="232"/>
      <c r="BD19" s="232"/>
      <c r="BE19" s="232"/>
      <c r="BF19" s="232"/>
      <c r="BG19" s="232"/>
      <c r="BH19" s="232"/>
      <c r="BI19" s="232"/>
      <c r="BJ19" s="232"/>
      <c r="BK19" s="232"/>
      <c r="BL19" s="232"/>
      <c r="BM19" s="232"/>
      <c r="BN19" s="232"/>
      <c r="BO19" s="232"/>
      <c r="BP19" s="232"/>
      <c r="BQ19" s="232"/>
      <c r="BR19" s="232"/>
      <c r="BS19" s="232"/>
      <c r="BT19" s="232"/>
      <c r="BU19" s="232"/>
      <c r="BV19" s="232"/>
      <c r="BW19" s="232"/>
      <c r="BX19" s="232"/>
      <c r="BY19" s="232"/>
      <c r="BZ19" s="232"/>
      <c r="CA19" s="232"/>
      <c r="CB19" s="232"/>
      <c r="CC19" s="232"/>
      <c r="CD19" s="232"/>
      <c r="CE19" s="232"/>
      <c r="CF19" s="232"/>
      <c r="CG19" s="232"/>
      <c r="CH19" s="232"/>
      <c r="CI19" s="232"/>
      <c r="CJ19" s="232"/>
      <c r="CK19" s="232"/>
      <c r="CL19" s="232"/>
      <c r="CM19" s="232"/>
      <c r="CN19" s="232"/>
      <c r="CO19" s="232"/>
      <c r="CP19" s="232"/>
      <c r="CQ19" s="232"/>
      <c r="CR19" s="232"/>
      <c r="CS19" s="232"/>
      <c r="CT19" s="232"/>
      <c r="CU19" s="232"/>
      <c r="CV19" s="232"/>
      <c r="CW19" s="232"/>
      <c r="CX19" s="232"/>
      <c r="CY19" s="232"/>
      <c r="CZ19" s="232"/>
      <c r="DA19" s="232"/>
      <c r="DB19" s="232"/>
      <c r="DC19" s="232"/>
      <c r="DD19" s="232"/>
      <c r="DE19" s="232"/>
      <c r="DF19" s="232"/>
      <c r="DG19" s="232"/>
      <c r="DH19" s="232"/>
      <c r="DI19" s="232"/>
      <c r="DJ19" s="232"/>
      <c r="DK19" s="232"/>
      <c r="DL19" s="232"/>
      <c r="DM19" s="232"/>
      <c r="DN19" s="232"/>
      <c r="DO19" s="232"/>
      <c r="DP19" s="232"/>
      <c r="DQ19" s="232"/>
      <c r="DR19" s="232"/>
      <c r="DS19" s="232"/>
      <c r="DT19" s="232"/>
      <c r="DU19" s="232"/>
      <c r="DV19" s="232"/>
      <c r="DW19" s="232"/>
      <c r="DX19" s="232"/>
      <c r="DY19" s="232"/>
      <c r="DZ19" s="232"/>
      <c r="EA19" s="232"/>
      <c r="EB19" s="232"/>
      <c r="EC19" s="232"/>
      <c r="ED19" s="232"/>
      <c r="EE19" s="232"/>
      <c r="EF19" s="232"/>
      <c r="EG19" s="232"/>
      <c r="EH19" s="232"/>
      <c r="EI19" s="232"/>
      <c r="EJ19" s="232"/>
      <c r="EK19" s="232"/>
      <c r="EL19" s="232"/>
      <c r="EM19" s="232"/>
      <c r="EN19" s="232"/>
      <c r="EO19" s="232"/>
      <c r="EP19" s="232"/>
      <c r="EQ19" s="232"/>
      <c r="ER19" s="232"/>
      <c r="ES19" s="232"/>
      <c r="ET19" s="232"/>
      <c r="EU19" s="232"/>
      <c r="EV19" s="232"/>
      <c r="EW19" s="232"/>
      <c r="EX19" s="232"/>
      <c r="EY19" s="232"/>
      <c r="EZ19" s="232"/>
      <c r="FA19" s="232"/>
      <c r="FB19" s="232"/>
      <c r="FC19" s="232"/>
      <c r="FD19" s="232"/>
      <c r="FE19" s="232"/>
      <c r="FF19" s="232"/>
      <c r="FG19" s="232"/>
      <c r="FH19" s="232"/>
      <c r="FI19" s="232"/>
      <c r="FJ19" s="232"/>
      <c r="FK19" s="232"/>
      <c r="FL19" s="232"/>
      <c r="FM19" s="232"/>
      <c r="FN19" s="232"/>
      <c r="FO19" s="232"/>
      <c r="FP19" s="232"/>
      <c r="FQ19" s="232"/>
      <c r="FR19" s="232"/>
      <c r="FS19" s="232"/>
      <c r="FT19" s="232"/>
      <c r="FU19" s="232"/>
      <c r="FV19" s="232"/>
      <c r="FW19" s="232"/>
      <c r="FX19" s="232"/>
      <c r="FY19" s="232"/>
      <c r="FZ19" s="232"/>
      <c r="GA19" s="232"/>
      <c r="GB19" s="232"/>
      <c r="GC19" s="232"/>
      <c r="GD19" s="232"/>
      <c r="GE19" s="232"/>
      <c r="GF19" s="232"/>
      <c r="GG19" s="232"/>
      <c r="GH19" s="232"/>
      <c r="GI19" s="232"/>
      <c r="GJ19" s="232"/>
      <c r="GK19" s="232"/>
      <c r="GL19" s="232"/>
      <c r="GM19" s="232"/>
      <c r="GN19" s="232"/>
      <c r="GO19" s="232"/>
      <c r="GP19" s="232"/>
      <c r="GQ19" s="232"/>
      <c r="GR19" s="232"/>
      <c r="GS19" s="232"/>
      <c r="GT19" s="232"/>
      <c r="GU19" s="232"/>
      <c r="GV19" s="232"/>
      <c r="GW19" s="232"/>
      <c r="GX19" s="232"/>
      <c r="GY19" s="232"/>
      <c r="GZ19" s="232"/>
      <c r="HA19" s="232"/>
      <c r="HB19" s="232"/>
      <c r="HC19" s="232"/>
      <c r="HD19" s="232"/>
      <c r="HE19" s="232"/>
      <c r="HF19" s="232"/>
      <c r="HG19" s="232"/>
      <c r="HH19" s="232"/>
      <c r="HI19" s="232"/>
      <c r="HJ19" s="232"/>
      <c r="HK19" s="232"/>
      <c r="HL19" s="232"/>
      <c r="HM19" s="232"/>
      <c r="HN19" s="232"/>
      <c r="HO19" s="232"/>
      <c r="HP19" s="232"/>
      <c r="HQ19" s="232"/>
      <c r="HR19" s="232"/>
      <c r="HS19" s="232"/>
      <c r="HT19" s="232"/>
      <c r="HU19" s="232"/>
      <c r="HV19" s="232"/>
      <c r="HW19" s="232"/>
      <c r="HX19" s="232"/>
      <c r="HY19" s="232"/>
      <c r="HZ19" s="232"/>
      <c r="IA19" s="232"/>
      <c r="IB19" s="232"/>
      <c r="IC19" s="232"/>
      <c r="ID19" s="232"/>
      <c r="IE19" s="232"/>
      <c r="IF19" s="232"/>
      <c r="IG19" s="232"/>
      <c r="IH19" s="232"/>
      <c r="II19" s="232"/>
      <c r="IJ19" s="232"/>
      <c r="IK19" s="232"/>
      <c r="IL19" s="232"/>
      <c r="IM19" s="232"/>
      <c r="IN19" s="232"/>
      <c r="IO19" s="232"/>
      <c r="IP19" s="232"/>
      <c r="IQ19" s="232"/>
      <c r="IR19" s="232"/>
      <c r="IS19" s="232"/>
      <c r="IT19" s="232"/>
      <c r="IU19" s="232"/>
      <c r="IV19" s="232"/>
      <c r="IW19" s="232"/>
      <c r="IX19" s="232"/>
      <c r="IY19" s="232"/>
      <c r="IZ19" s="232"/>
      <c r="JA19" s="232"/>
      <c r="JB19" s="232"/>
      <c r="JC19" s="232"/>
      <c r="JD19" s="232"/>
      <c r="JE19" s="232"/>
      <c r="JF19" s="232"/>
      <c r="JG19" s="232"/>
      <c r="JH19" s="232"/>
      <c r="JI19" s="232"/>
      <c r="JJ19" s="232"/>
      <c r="JK19" s="232"/>
      <c r="JL19" s="232"/>
      <c r="JM19" s="232"/>
      <c r="JN19" s="232"/>
      <c r="JO19" s="232"/>
      <c r="JP19" s="232"/>
      <c r="JQ19" s="232"/>
      <c r="JR19" s="232"/>
      <c r="JS19" s="232"/>
      <c r="JT19" s="232"/>
      <c r="JU19" s="232"/>
      <c r="JV19" s="232"/>
      <c r="JW19" s="232"/>
      <c r="JX19" s="232"/>
      <c r="JY19" s="232"/>
      <c r="JZ19" s="232"/>
      <c r="KA19" s="232"/>
      <c r="KB19" s="232"/>
      <c r="KC19" s="232"/>
      <c r="KD19" s="232"/>
      <c r="KE19" s="232"/>
      <c r="KF19" s="232"/>
      <c r="KG19" s="232"/>
      <c r="KH19" s="232"/>
      <c r="KI19" s="232"/>
      <c r="KJ19" s="232"/>
      <c r="KK19" s="232"/>
      <c r="KL19" s="232"/>
      <c r="KM19" s="232"/>
      <c r="KN19" s="232"/>
      <c r="KO19" s="232"/>
      <c r="KP19" s="232"/>
      <c r="KQ19" s="232"/>
      <c r="KR19" s="232"/>
      <c r="KS19" s="232"/>
      <c r="KT19" s="232"/>
      <c r="KU19" s="232"/>
      <c r="KV19" s="232"/>
      <c r="KW19" s="232"/>
      <c r="KX19" s="232"/>
      <c r="KY19" s="232"/>
      <c r="KZ19" s="232"/>
      <c r="LA19" s="232"/>
      <c r="LB19" s="232"/>
      <c r="LC19" s="232"/>
      <c r="LD19" s="232"/>
      <c r="LE19" s="232"/>
      <c r="LF19" s="232"/>
      <c r="LG19" s="232"/>
      <c r="LH19" s="232"/>
      <c r="LI19" s="232"/>
      <c r="LJ19" s="232"/>
      <c r="LK19" s="232"/>
      <c r="LL19" s="232"/>
      <c r="LM19" s="232"/>
      <c r="LN19" s="232"/>
      <c r="LO19" s="232"/>
      <c r="LP19" s="232"/>
      <c r="LQ19" s="232"/>
      <c r="LR19" s="232"/>
      <c r="LS19" s="232"/>
      <c r="LT19" s="232"/>
      <c r="LU19" s="232"/>
      <c r="LV19" s="232"/>
      <c r="LW19" s="232"/>
      <c r="LX19" s="232"/>
      <c r="LY19" s="232"/>
      <c r="LZ19" s="232"/>
      <c r="MA19" s="232"/>
      <c r="MB19" s="232"/>
      <c r="MC19" s="232"/>
      <c r="MD19" s="232"/>
      <c r="ME19" s="232"/>
      <c r="MF19" s="232"/>
      <c r="MG19" s="232"/>
      <c r="MH19" s="232"/>
      <c r="MI19" s="232"/>
      <c r="MJ19" s="232"/>
      <c r="MK19" s="232"/>
      <c r="ML19" s="232"/>
      <c r="MM19" s="232"/>
      <c r="MN19" s="232"/>
      <c r="MO19" s="232"/>
      <c r="MP19" s="232"/>
      <c r="MQ19" s="232"/>
      <c r="MR19" s="232"/>
      <c r="MS19" s="232"/>
      <c r="MT19" s="232"/>
      <c r="MU19" s="232"/>
      <c r="MV19" s="232"/>
      <c r="MW19" s="232"/>
      <c r="MX19" s="232"/>
      <c r="MY19" s="232"/>
      <c r="MZ19" s="232"/>
      <c r="NA19" s="232"/>
      <c r="NB19" s="232"/>
      <c r="NC19" s="232"/>
      <c r="ND19" s="232"/>
      <c r="NE19" s="232"/>
      <c r="NF19" s="232"/>
      <c r="NG19" s="232"/>
    </row>
    <row r="20" spans="1:371" ht="41.4" hidden="1" x14ac:dyDescent="0.25">
      <c r="A20" s="3" t="s">
        <v>64</v>
      </c>
      <c r="B20" s="60" t="str">
        <f>""&amp;B17&amp;" tomonidan "&amp;C18&amp;" yilda berilgan"</f>
        <v>IIV 61013 tomonidan 08.04.2024 yilda berilgan</v>
      </c>
      <c r="C20" s="234" t="str">
        <f>""&amp;B17&amp;" tomonidan "&amp;C18&amp;" yilda berilgan"</f>
        <v>IIV 61013 tomonidan 08.04.2024 yilda berilgan</v>
      </c>
      <c r="D20" s="232"/>
      <c r="E20" s="232"/>
      <c r="F20" s="232"/>
      <c r="G20" s="232"/>
      <c r="H20" s="232"/>
      <c r="I20" s="232"/>
      <c r="J20" s="232"/>
      <c r="K20" s="232"/>
      <c r="L20" s="232"/>
      <c r="M20" s="232"/>
      <c r="N20" s="232"/>
      <c r="O20" s="232"/>
      <c r="P20" s="232"/>
      <c r="Q20" s="232"/>
      <c r="R20" s="232"/>
      <c r="S20" s="232"/>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32"/>
      <c r="AR20" s="232"/>
      <c r="AS20" s="232"/>
      <c r="AT20" s="232"/>
      <c r="AU20" s="232"/>
      <c r="AV20" s="232"/>
      <c r="AW20" s="232"/>
      <c r="AX20" s="232"/>
      <c r="AY20" s="232"/>
      <c r="AZ20" s="232"/>
      <c r="BA20" s="232"/>
      <c r="BB20" s="232"/>
      <c r="BC20" s="232"/>
      <c r="BD20" s="232"/>
      <c r="BE20" s="232"/>
      <c r="BF20" s="232"/>
      <c r="BG20" s="232"/>
      <c r="BH20" s="232"/>
      <c r="BI20" s="232"/>
      <c r="BJ20" s="232"/>
      <c r="BK20" s="232"/>
      <c r="BL20" s="232"/>
      <c r="BM20" s="232"/>
      <c r="BN20" s="232"/>
      <c r="BO20" s="232"/>
      <c r="BP20" s="232"/>
      <c r="BQ20" s="232"/>
      <c r="BR20" s="232"/>
      <c r="BS20" s="232"/>
      <c r="BT20" s="232"/>
      <c r="BU20" s="232"/>
      <c r="BV20" s="232"/>
      <c r="BW20" s="232"/>
      <c r="BX20" s="232"/>
      <c r="BY20" s="232"/>
      <c r="BZ20" s="232"/>
      <c r="CA20" s="232"/>
      <c r="CB20" s="232"/>
      <c r="CC20" s="232"/>
      <c r="CD20" s="232"/>
      <c r="CE20" s="232"/>
      <c r="CF20" s="232"/>
      <c r="CG20" s="232"/>
      <c r="CH20" s="232"/>
      <c r="CI20" s="232"/>
      <c r="CJ20" s="232"/>
      <c r="CK20" s="232"/>
      <c r="CL20" s="232"/>
      <c r="CM20" s="232"/>
      <c r="CN20" s="232"/>
      <c r="CO20" s="232"/>
      <c r="CP20" s="232"/>
      <c r="CQ20" s="232"/>
      <c r="CR20" s="232"/>
      <c r="CS20" s="232"/>
      <c r="CT20" s="232"/>
      <c r="CU20" s="232"/>
      <c r="CV20" s="232"/>
      <c r="CW20" s="232"/>
      <c r="CX20" s="232"/>
      <c r="CY20" s="232"/>
      <c r="CZ20" s="232"/>
      <c r="DA20" s="232"/>
      <c r="DB20" s="232"/>
      <c r="DC20" s="232"/>
      <c r="DD20" s="232"/>
      <c r="DE20" s="232"/>
      <c r="DF20" s="232"/>
      <c r="DG20" s="232"/>
      <c r="DH20" s="232"/>
      <c r="DI20" s="232"/>
      <c r="DJ20" s="232"/>
      <c r="DK20" s="232"/>
      <c r="DL20" s="232"/>
      <c r="DM20" s="232"/>
      <c r="DN20" s="232"/>
      <c r="DO20" s="232"/>
      <c r="DP20" s="232"/>
      <c r="DQ20" s="232"/>
      <c r="DR20" s="232"/>
      <c r="DS20" s="232"/>
      <c r="DT20" s="232"/>
      <c r="DU20" s="232"/>
      <c r="DV20" s="232"/>
      <c r="DW20" s="232"/>
      <c r="DX20" s="232"/>
      <c r="DY20" s="232"/>
      <c r="DZ20" s="232"/>
      <c r="EA20" s="232"/>
      <c r="EB20" s="232"/>
      <c r="EC20" s="232"/>
      <c r="ED20" s="232"/>
      <c r="EE20" s="232"/>
      <c r="EF20" s="232"/>
      <c r="EG20" s="232"/>
      <c r="EH20" s="232"/>
      <c r="EI20" s="232"/>
      <c r="EJ20" s="232"/>
      <c r="EK20" s="232"/>
      <c r="EL20" s="232"/>
      <c r="EM20" s="232"/>
      <c r="EN20" s="232"/>
      <c r="EO20" s="232"/>
      <c r="EP20" s="232"/>
      <c r="EQ20" s="232"/>
      <c r="ER20" s="232"/>
      <c r="ES20" s="232"/>
      <c r="ET20" s="232"/>
      <c r="EU20" s="232"/>
      <c r="EV20" s="232"/>
      <c r="EW20" s="232"/>
      <c r="EX20" s="232"/>
      <c r="EY20" s="232"/>
      <c r="EZ20" s="232"/>
      <c r="FA20" s="232"/>
      <c r="FB20" s="232"/>
      <c r="FC20" s="232"/>
      <c r="FD20" s="232"/>
      <c r="FE20" s="232"/>
      <c r="FF20" s="232"/>
      <c r="FG20" s="232"/>
      <c r="FH20" s="232"/>
      <c r="FI20" s="232"/>
      <c r="FJ20" s="232"/>
      <c r="FK20" s="232"/>
      <c r="FL20" s="232"/>
      <c r="FM20" s="232"/>
      <c r="FN20" s="232"/>
      <c r="FO20" s="232"/>
      <c r="FP20" s="232"/>
      <c r="FQ20" s="232"/>
      <c r="FR20" s="232"/>
      <c r="FS20" s="232"/>
      <c r="FT20" s="232"/>
      <c r="FU20" s="232"/>
      <c r="FV20" s="232"/>
      <c r="FW20" s="232"/>
      <c r="FX20" s="232"/>
      <c r="FY20" s="232"/>
      <c r="FZ20" s="232"/>
      <c r="GA20" s="232"/>
      <c r="GB20" s="232"/>
      <c r="GC20" s="232"/>
      <c r="GD20" s="232"/>
      <c r="GE20" s="232"/>
      <c r="GF20" s="232"/>
      <c r="GG20" s="232"/>
      <c r="GH20" s="232"/>
      <c r="GI20" s="232"/>
      <c r="GJ20" s="232"/>
      <c r="GK20" s="232"/>
      <c r="GL20" s="232"/>
      <c r="GM20" s="232"/>
      <c r="GN20" s="232"/>
      <c r="GO20" s="232"/>
      <c r="GP20" s="232"/>
      <c r="GQ20" s="232"/>
      <c r="GR20" s="232"/>
      <c r="GS20" s="232"/>
      <c r="GT20" s="232"/>
      <c r="GU20" s="232"/>
      <c r="GV20" s="232"/>
      <c r="GW20" s="232"/>
      <c r="GX20" s="232"/>
      <c r="GY20" s="232"/>
      <c r="GZ20" s="232"/>
      <c r="HA20" s="232"/>
      <c r="HB20" s="232"/>
      <c r="HC20" s="232"/>
      <c r="HD20" s="232"/>
      <c r="HE20" s="232"/>
      <c r="HF20" s="232"/>
      <c r="HG20" s="232"/>
      <c r="HH20" s="232"/>
      <c r="HI20" s="232"/>
      <c r="HJ20" s="232"/>
      <c r="HK20" s="232"/>
      <c r="HL20" s="232"/>
      <c r="HM20" s="232"/>
      <c r="HN20" s="232"/>
      <c r="HO20" s="232"/>
      <c r="HP20" s="232"/>
      <c r="HQ20" s="232"/>
      <c r="HR20" s="232"/>
      <c r="HS20" s="232"/>
      <c r="HT20" s="232"/>
      <c r="HU20" s="232"/>
      <c r="HV20" s="232"/>
      <c r="HW20" s="232"/>
      <c r="HX20" s="232"/>
      <c r="HY20" s="232"/>
      <c r="HZ20" s="232"/>
      <c r="IA20" s="232"/>
      <c r="IB20" s="232"/>
      <c r="IC20" s="232"/>
      <c r="ID20" s="232"/>
      <c r="IE20" s="232"/>
      <c r="IF20" s="232"/>
      <c r="IG20" s="232"/>
      <c r="IH20" s="232"/>
      <c r="II20" s="232"/>
      <c r="IJ20" s="232"/>
      <c r="IK20" s="232"/>
      <c r="IL20" s="232"/>
      <c r="IM20" s="232"/>
      <c r="IN20" s="232"/>
      <c r="IO20" s="232"/>
      <c r="IP20" s="232"/>
      <c r="IQ20" s="232"/>
      <c r="IR20" s="232"/>
      <c r="IS20" s="232"/>
      <c r="IT20" s="232"/>
      <c r="IU20" s="232"/>
      <c r="IV20" s="232"/>
      <c r="IW20" s="232"/>
      <c r="IX20" s="232"/>
      <c r="IY20" s="232"/>
      <c r="IZ20" s="232"/>
      <c r="JA20" s="232"/>
      <c r="JB20" s="232"/>
      <c r="JC20" s="232"/>
      <c r="JD20" s="232"/>
      <c r="JE20" s="232"/>
      <c r="JF20" s="232"/>
      <c r="JG20" s="232"/>
      <c r="JH20" s="232"/>
      <c r="JI20" s="232"/>
      <c r="JJ20" s="232"/>
      <c r="JK20" s="232"/>
      <c r="JL20" s="232"/>
      <c r="JM20" s="232"/>
      <c r="JN20" s="232"/>
      <c r="JO20" s="232"/>
      <c r="JP20" s="232"/>
      <c r="JQ20" s="232"/>
      <c r="JR20" s="232"/>
      <c r="JS20" s="232"/>
      <c r="JT20" s="232"/>
      <c r="JU20" s="232"/>
      <c r="JV20" s="232"/>
      <c r="JW20" s="232"/>
      <c r="JX20" s="232"/>
      <c r="JY20" s="232"/>
      <c r="JZ20" s="232"/>
      <c r="KA20" s="232"/>
      <c r="KB20" s="232"/>
      <c r="KC20" s="232"/>
      <c r="KD20" s="232"/>
      <c r="KE20" s="232"/>
      <c r="KF20" s="232"/>
      <c r="KG20" s="232"/>
      <c r="KH20" s="232"/>
      <c r="KI20" s="232"/>
      <c r="KJ20" s="232"/>
      <c r="KK20" s="232"/>
      <c r="KL20" s="232"/>
      <c r="KM20" s="232"/>
      <c r="KN20" s="232"/>
      <c r="KO20" s="232"/>
      <c r="KP20" s="232"/>
      <c r="KQ20" s="232"/>
      <c r="KR20" s="232"/>
      <c r="KS20" s="232"/>
      <c r="KT20" s="232"/>
      <c r="KU20" s="232"/>
      <c r="KV20" s="232"/>
      <c r="KW20" s="232"/>
      <c r="KX20" s="232"/>
      <c r="KY20" s="232"/>
      <c r="KZ20" s="232"/>
      <c r="LA20" s="232"/>
      <c r="LB20" s="232"/>
      <c r="LC20" s="232"/>
      <c r="LD20" s="232"/>
      <c r="LE20" s="232"/>
      <c r="LF20" s="232"/>
      <c r="LG20" s="232"/>
      <c r="LH20" s="232"/>
      <c r="LI20" s="232"/>
      <c r="LJ20" s="232"/>
      <c r="LK20" s="232"/>
      <c r="LL20" s="232"/>
      <c r="LM20" s="232"/>
      <c r="LN20" s="232"/>
      <c r="LO20" s="232"/>
      <c r="LP20" s="232"/>
      <c r="LQ20" s="232"/>
      <c r="LR20" s="232"/>
      <c r="LS20" s="232"/>
      <c r="LT20" s="232"/>
      <c r="LU20" s="232"/>
      <c r="LV20" s="232"/>
      <c r="LW20" s="232"/>
      <c r="LX20" s="232"/>
      <c r="LY20" s="232"/>
      <c r="LZ20" s="232"/>
      <c r="MA20" s="232"/>
      <c r="MB20" s="232"/>
      <c r="MC20" s="232"/>
      <c r="MD20" s="232"/>
      <c r="ME20" s="232"/>
      <c r="MF20" s="232"/>
      <c r="MG20" s="232"/>
      <c r="MH20" s="232"/>
      <c r="MI20" s="232"/>
      <c r="MJ20" s="232"/>
      <c r="MK20" s="232"/>
      <c r="ML20" s="232"/>
      <c r="MM20" s="232"/>
      <c r="MN20" s="232"/>
      <c r="MO20" s="232"/>
      <c r="MP20" s="232"/>
      <c r="MQ20" s="232"/>
      <c r="MR20" s="232"/>
      <c r="MS20" s="232"/>
      <c r="MT20" s="232"/>
      <c r="MU20" s="232"/>
      <c r="MV20" s="232"/>
      <c r="MW20" s="232"/>
      <c r="MX20" s="232"/>
      <c r="MY20" s="232"/>
      <c r="MZ20" s="232"/>
      <c r="NA20" s="232"/>
      <c r="NB20" s="232"/>
      <c r="NC20" s="232"/>
      <c r="ND20" s="232"/>
      <c r="NE20" s="232"/>
      <c r="NF20" s="232"/>
      <c r="NG20" s="232"/>
    </row>
    <row r="21" spans="1:371" ht="41.4" hidden="1" x14ac:dyDescent="0.25">
      <c r="A21" s="3" t="s">
        <v>65</v>
      </c>
      <c r="B21" s="60" t="str">
        <f>""&amp;C19&amp;" y."</f>
        <v>07.04.2034 y.</v>
      </c>
      <c r="C21" s="233" t="str">
        <f>""&amp;C19&amp;" yilgacha"</f>
        <v>07.04.2034 yilgacha</v>
      </c>
      <c r="D21" s="232"/>
      <c r="E21" s="232"/>
      <c r="F21" s="232"/>
      <c r="G21" s="232"/>
      <c r="H21" s="232"/>
      <c r="I21" s="232"/>
      <c r="J21" s="232"/>
      <c r="K21" s="232"/>
      <c r="L21" s="232"/>
      <c r="M21" s="232"/>
      <c r="N21" s="232"/>
      <c r="O21" s="232"/>
      <c r="P21" s="232"/>
      <c r="Q21" s="232"/>
      <c r="R21" s="232"/>
      <c r="S21" s="232"/>
      <c r="T21" s="232"/>
      <c r="U21" s="232"/>
      <c r="V21" s="232"/>
      <c r="W21" s="232"/>
      <c r="X21" s="232"/>
      <c r="Y21" s="232"/>
      <c r="Z21" s="232"/>
      <c r="AA21" s="232"/>
      <c r="AB21" s="232"/>
      <c r="AC21" s="232"/>
      <c r="AD21" s="232"/>
      <c r="AE21" s="232"/>
      <c r="AF21" s="232"/>
      <c r="AG21" s="232"/>
      <c r="AH21" s="232"/>
      <c r="AI21" s="232"/>
      <c r="AJ21" s="232"/>
      <c r="AK21" s="232"/>
      <c r="AL21" s="232"/>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2"/>
      <c r="BK21" s="232"/>
      <c r="BL21" s="232"/>
      <c r="BM21" s="232"/>
      <c r="BN21" s="232"/>
      <c r="BO21" s="232"/>
      <c r="BP21" s="232"/>
      <c r="BQ21" s="232"/>
      <c r="BR21" s="232"/>
      <c r="BS21" s="232"/>
      <c r="BT21" s="232"/>
      <c r="BU21" s="232"/>
      <c r="BV21" s="232"/>
      <c r="BW21" s="232"/>
      <c r="BX21" s="232"/>
      <c r="BY21" s="232"/>
      <c r="BZ21" s="232"/>
      <c r="CA21" s="232"/>
      <c r="CB21" s="232"/>
      <c r="CC21" s="232"/>
      <c r="CD21" s="232"/>
      <c r="CE21" s="232"/>
      <c r="CF21" s="232"/>
      <c r="CG21" s="232"/>
      <c r="CH21" s="232"/>
      <c r="CI21" s="232"/>
      <c r="CJ21" s="232"/>
      <c r="CK21" s="232"/>
      <c r="CL21" s="232"/>
      <c r="CM21" s="232"/>
      <c r="CN21" s="232"/>
      <c r="CO21" s="232"/>
      <c r="CP21" s="232"/>
      <c r="CQ21" s="232"/>
      <c r="CR21" s="232"/>
      <c r="CS21" s="232"/>
      <c r="CT21" s="232"/>
      <c r="CU21" s="232"/>
      <c r="CV21" s="232"/>
      <c r="CW21" s="232"/>
      <c r="CX21" s="232"/>
      <c r="CY21" s="232"/>
      <c r="CZ21" s="232"/>
      <c r="DA21" s="232"/>
      <c r="DB21" s="232"/>
      <c r="DC21" s="232"/>
      <c r="DD21" s="232"/>
      <c r="DE21" s="232"/>
      <c r="DF21" s="232"/>
      <c r="DG21" s="232"/>
      <c r="DH21" s="232"/>
      <c r="DI21" s="232"/>
      <c r="DJ21" s="232"/>
      <c r="DK21" s="232"/>
      <c r="DL21" s="232"/>
      <c r="DM21" s="232"/>
      <c r="DN21" s="232"/>
      <c r="DO21" s="232"/>
      <c r="DP21" s="232"/>
      <c r="DQ21" s="232"/>
      <c r="DR21" s="232"/>
      <c r="DS21" s="232"/>
      <c r="DT21" s="232"/>
      <c r="DU21" s="232"/>
      <c r="DV21" s="232"/>
      <c r="DW21" s="232"/>
      <c r="DX21" s="232"/>
      <c r="DY21" s="232"/>
      <c r="DZ21" s="232"/>
      <c r="EA21" s="232"/>
      <c r="EB21" s="232"/>
      <c r="EC21" s="232"/>
      <c r="ED21" s="232"/>
      <c r="EE21" s="232"/>
      <c r="EF21" s="232"/>
      <c r="EG21" s="232"/>
      <c r="EH21" s="232"/>
      <c r="EI21" s="232"/>
      <c r="EJ21" s="232"/>
      <c r="EK21" s="232"/>
      <c r="EL21" s="232"/>
      <c r="EM21" s="232"/>
      <c r="EN21" s="232"/>
      <c r="EO21" s="232"/>
      <c r="EP21" s="232"/>
      <c r="EQ21" s="232"/>
      <c r="ER21" s="232"/>
      <c r="ES21" s="232"/>
      <c r="ET21" s="232"/>
      <c r="EU21" s="232"/>
      <c r="EV21" s="232"/>
      <c r="EW21" s="232"/>
      <c r="EX21" s="232"/>
      <c r="EY21" s="232"/>
      <c r="EZ21" s="232"/>
      <c r="FA21" s="232"/>
      <c r="FB21" s="232"/>
      <c r="FC21" s="232"/>
      <c r="FD21" s="232"/>
      <c r="FE21" s="232"/>
      <c r="FF21" s="232"/>
      <c r="FG21" s="232"/>
      <c r="FH21" s="232"/>
      <c r="FI21" s="232"/>
      <c r="FJ21" s="232"/>
      <c r="FK21" s="232"/>
      <c r="FL21" s="232"/>
      <c r="FM21" s="232"/>
      <c r="FN21" s="232"/>
      <c r="FO21" s="232"/>
      <c r="FP21" s="232"/>
      <c r="FQ21" s="232"/>
      <c r="FR21" s="232"/>
      <c r="FS21" s="232"/>
      <c r="FT21" s="232"/>
      <c r="FU21" s="232"/>
      <c r="FV21" s="232"/>
      <c r="FW21" s="232"/>
      <c r="FX21" s="232"/>
      <c r="FY21" s="232"/>
      <c r="FZ21" s="232"/>
      <c r="GA21" s="232"/>
      <c r="GB21" s="232"/>
      <c r="GC21" s="232"/>
      <c r="GD21" s="232"/>
      <c r="GE21" s="232"/>
      <c r="GF21" s="232"/>
      <c r="GG21" s="232"/>
      <c r="GH21" s="232"/>
      <c r="GI21" s="232"/>
      <c r="GJ21" s="232"/>
      <c r="GK21" s="232"/>
      <c r="GL21" s="232"/>
      <c r="GM21" s="232"/>
      <c r="GN21" s="232"/>
      <c r="GO21" s="232"/>
      <c r="GP21" s="232"/>
      <c r="GQ21" s="232"/>
      <c r="GR21" s="232"/>
      <c r="GS21" s="232"/>
      <c r="GT21" s="232"/>
      <c r="GU21" s="232"/>
      <c r="GV21" s="232"/>
      <c r="GW21" s="232"/>
      <c r="GX21" s="232"/>
      <c r="GY21" s="232"/>
      <c r="GZ21" s="232"/>
      <c r="HA21" s="232"/>
      <c r="HB21" s="232"/>
      <c r="HC21" s="232"/>
      <c r="HD21" s="232"/>
      <c r="HE21" s="232"/>
      <c r="HF21" s="232"/>
      <c r="HG21" s="232"/>
      <c r="HH21" s="232"/>
      <c r="HI21" s="232"/>
      <c r="HJ21" s="232"/>
      <c r="HK21" s="232"/>
      <c r="HL21" s="232"/>
      <c r="HM21" s="232"/>
      <c r="HN21" s="232"/>
      <c r="HO21" s="232"/>
      <c r="HP21" s="232"/>
      <c r="HQ21" s="232"/>
      <c r="HR21" s="232"/>
      <c r="HS21" s="232"/>
      <c r="HT21" s="232"/>
      <c r="HU21" s="232"/>
      <c r="HV21" s="232"/>
      <c r="HW21" s="232"/>
      <c r="HX21" s="232"/>
      <c r="HY21" s="232"/>
      <c r="HZ21" s="232"/>
      <c r="IA21" s="232"/>
      <c r="IB21" s="232"/>
      <c r="IC21" s="232"/>
      <c r="ID21" s="232"/>
      <c r="IE21" s="232"/>
      <c r="IF21" s="232"/>
      <c r="IG21" s="232"/>
      <c r="IH21" s="232"/>
      <c r="II21" s="232"/>
      <c r="IJ21" s="232"/>
      <c r="IK21" s="232"/>
      <c r="IL21" s="232"/>
      <c r="IM21" s="232"/>
      <c r="IN21" s="232"/>
      <c r="IO21" s="232"/>
      <c r="IP21" s="232"/>
      <c r="IQ21" s="232"/>
      <c r="IR21" s="232"/>
      <c r="IS21" s="232"/>
      <c r="IT21" s="232"/>
      <c r="IU21" s="232"/>
      <c r="IV21" s="232"/>
      <c r="IW21" s="232"/>
      <c r="IX21" s="232"/>
      <c r="IY21" s="232"/>
      <c r="IZ21" s="232"/>
      <c r="JA21" s="232"/>
      <c r="JB21" s="232"/>
      <c r="JC21" s="232"/>
      <c r="JD21" s="232"/>
      <c r="JE21" s="232"/>
      <c r="JF21" s="232"/>
      <c r="JG21" s="232"/>
      <c r="JH21" s="232"/>
      <c r="JI21" s="232"/>
      <c r="JJ21" s="232"/>
      <c r="JK21" s="232"/>
      <c r="JL21" s="232"/>
      <c r="JM21" s="232"/>
      <c r="JN21" s="232"/>
      <c r="JO21" s="232"/>
      <c r="JP21" s="232"/>
      <c r="JQ21" s="232"/>
      <c r="JR21" s="232"/>
      <c r="JS21" s="232"/>
      <c r="JT21" s="232"/>
      <c r="JU21" s="232"/>
      <c r="JV21" s="232"/>
      <c r="JW21" s="232"/>
      <c r="JX21" s="232"/>
      <c r="JY21" s="232"/>
      <c r="JZ21" s="232"/>
      <c r="KA21" s="232"/>
      <c r="KB21" s="232"/>
      <c r="KC21" s="232"/>
      <c r="KD21" s="232"/>
      <c r="KE21" s="232"/>
      <c r="KF21" s="232"/>
      <c r="KG21" s="232"/>
      <c r="KH21" s="232"/>
      <c r="KI21" s="232"/>
      <c r="KJ21" s="232"/>
      <c r="KK21" s="232"/>
      <c r="KL21" s="232"/>
      <c r="KM21" s="232"/>
      <c r="KN21" s="232"/>
      <c r="KO21" s="232"/>
      <c r="KP21" s="232"/>
      <c r="KQ21" s="232"/>
      <c r="KR21" s="232"/>
      <c r="KS21" s="232"/>
      <c r="KT21" s="232"/>
      <c r="KU21" s="232"/>
      <c r="KV21" s="232"/>
      <c r="KW21" s="232"/>
      <c r="KX21" s="232"/>
      <c r="KY21" s="232"/>
      <c r="KZ21" s="232"/>
      <c r="LA21" s="232"/>
      <c r="LB21" s="232"/>
      <c r="LC21" s="232"/>
      <c r="LD21" s="232"/>
      <c r="LE21" s="232"/>
      <c r="LF21" s="232"/>
      <c r="LG21" s="232"/>
      <c r="LH21" s="232"/>
      <c r="LI21" s="232"/>
      <c r="LJ21" s="232"/>
      <c r="LK21" s="232"/>
      <c r="LL21" s="232"/>
      <c r="LM21" s="232"/>
      <c r="LN21" s="232"/>
      <c r="LO21" s="232"/>
      <c r="LP21" s="232"/>
      <c r="LQ21" s="232"/>
      <c r="LR21" s="232"/>
      <c r="LS21" s="232"/>
      <c r="LT21" s="232"/>
      <c r="LU21" s="232"/>
      <c r="LV21" s="232"/>
      <c r="LW21" s="232"/>
      <c r="LX21" s="232"/>
      <c r="LY21" s="232"/>
      <c r="LZ21" s="232"/>
      <c r="MA21" s="232"/>
      <c r="MB21" s="232"/>
      <c r="MC21" s="232"/>
      <c r="MD21" s="232"/>
      <c r="ME21" s="232"/>
      <c r="MF21" s="232"/>
      <c r="MG21" s="232"/>
      <c r="MH21" s="232"/>
      <c r="MI21" s="232"/>
      <c r="MJ21" s="232"/>
      <c r="MK21" s="232"/>
      <c r="ML21" s="232"/>
      <c r="MM21" s="232"/>
      <c r="MN21" s="232"/>
      <c r="MO21" s="232"/>
      <c r="MP21" s="232"/>
      <c r="MQ21" s="232"/>
      <c r="MR21" s="232"/>
      <c r="MS21" s="232"/>
      <c r="MT21" s="232"/>
      <c r="MU21" s="232"/>
      <c r="MV21" s="232"/>
      <c r="MW21" s="232"/>
      <c r="MX21" s="232"/>
      <c r="MY21" s="232"/>
      <c r="MZ21" s="232"/>
      <c r="NA21" s="232"/>
      <c r="NB21" s="232"/>
      <c r="NC21" s="232"/>
      <c r="ND21" s="232"/>
      <c r="NE21" s="232"/>
      <c r="NF21" s="232"/>
      <c r="NG21" s="232"/>
    </row>
    <row r="22" spans="1:371" ht="36.75" customHeight="1" x14ac:dyDescent="0.25">
      <c r="A22" s="3" t="s">
        <v>66</v>
      </c>
      <c r="B22" s="49" t="s">
        <v>433</v>
      </c>
      <c r="C22" s="233" t="str">
        <f>TEXT(B19,"ДД.ММ.ГГГГ")</f>
        <v>07.04.2034</v>
      </c>
      <c r="D22" s="232"/>
      <c r="E22" s="232"/>
      <c r="F22" s="232"/>
      <c r="G22" s="232"/>
      <c r="H22" s="232"/>
      <c r="I22" s="232"/>
      <c r="J22" s="232"/>
      <c r="K22" s="232"/>
      <c r="L22" s="232"/>
      <c r="M22" s="232"/>
      <c r="N22" s="232"/>
      <c r="O22" s="232"/>
      <c r="P22" s="232"/>
      <c r="Q22" s="232"/>
      <c r="R22" s="232"/>
      <c r="S22" s="232"/>
      <c r="T22" s="232"/>
      <c r="U22" s="232"/>
      <c r="V22" s="232"/>
      <c r="W22" s="232"/>
      <c r="X22" s="232"/>
      <c r="Y22" s="232"/>
      <c r="Z22" s="232"/>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2"/>
      <c r="BK22" s="232"/>
      <c r="BL22" s="232"/>
      <c r="BM22" s="232"/>
      <c r="BN22" s="232"/>
      <c r="BO22" s="232"/>
      <c r="BP22" s="232"/>
      <c r="BQ22" s="232"/>
      <c r="BR22" s="232"/>
      <c r="BS22" s="232"/>
      <c r="BT22" s="232"/>
      <c r="BU22" s="232"/>
      <c r="BV22" s="232"/>
      <c r="BW22" s="232"/>
      <c r="BX22" s="232"/>
      <c r="BY22" s="232"/>
      <c r="BZ22" s="232"/>
      <c r="CA22" s="232"/>
      <c r="CB22" s="232"/>
      <c r="CC22" s="232"/>
      <c r="CD22" s="232"/>
      <c r="CE22" s="232"/>
      <c r="CF22" s="232"/>
      <c r="CG22" s="232"/>
      <c r="CH22" s="232"/>
      <c r="CI22" s="232"/>
      <c r="CJ22" s="232"/>
      <c r="CK22" s="232"/>
      <c r="CL22" s="232"/>
      <c r="CM22" s="232"/>
      <c r="CN22" s="232"/>
      <c r="CO22" s="232"/>
      <c r="CP22" s="232"/>
      <c r="CQ22" s="232"/>
      <c r="CR22" s="232"/>
      <c r="CS22" s="232"/>
      <c r="CT22" s="232"/>
      <c r="CU22" s="232"/>
      <c r="CV22" s="232"/>
      <c r="CW22" s="232"/>
      <c r="CX22" s="232"/>
      <c r="CY22" s="232"/>
      <c r="CZ22" s="232"/>
      <c r="DA22" s="232"/>
      <c r="DB22" s="232"/>
      <c r="DC22" s="232"/>
      <c r="DD22" s="232"/>
      <c r="DE22" s="232"/>
      <c r="DF22" s="232"/>
      <c r="DG22" s="232"/>
      <c r="DH22" s="232"/>
      <c r="DI22" s="232"/>
      <c r="DJ22" s="232"/>
      <c r="DK22" s="232"/>
      <c r="DL22" s="232"/>
      <c r="DM22" s="232"/>
      <c r="DN22" s="232"/>
      <c r="DO22" s="232"/>
      <c r="DP22" s="232"/>
      <c r="DQ22" s="232"/>
      <c r="DR22" s="232"/>
      <c r="DS22" s="232"/>
      <c r="DT22" s="232"/>
      <c r="DU22" s="232"/>
      <c r="DV22" s="232"/>
      <c r="DW22" s="232"/>
      <c r="DX22" s="232"/>
      <c r="DY22" s="232"/>
      <c r="DZ22" s="232"/>
      <c r="EA22" s="232"/>
      <c r="EB22" s="232"/>
      <c r="EC22" s="232"/>
      <c r="ED22" s="232"/>
      <c r="EE22" s="232"/>
      <c r="EF22" s="232"/>
      <c r="EG22" s="232"/>
      <c r="EH22" s="232"/>
      <c r="EI22" s="232"/>
      <c r="EJ22" s="232"/>
      <c r="EK22" s="232"/>
      <c r="EL22" s="232"/>
      <c r="EM22" s="232"/>
      <c r="EN22" s="232"/>
      <c r="EO22" s="232"/>
      <c r="EP22" s="232"/>
      <c r="EQ22" s="232"/>
      <c r="ER22" s="232"/>
      <c r="ES22" s="232"/>
      <c r="ET22" s="232"/>
      <c r="EU22" s="232"/>
      <c r="EV22" s="232"/>
      <c r="EW22" s="232"/>
      <c r="EX22" s="232"/>
      <c r="EY22" s="232"/>
      <c r="EZ22" s="232"/>
      <c r="FA22" s="232"/>
      <c r="FB22" s="232"/>
      <c r="FC22" s="232"/>
      <c r="FD22" s="232"/>
      <c r="FE22" s="232"/>
      <c r="FF22" s="232"/>
      <c r="FG22" s="232"/>
      <c r="FH22" s="232"/>
      <c r="FI22" s="232"/>
      <c r="FJ22" s="232"/>
      <c r="FK22" s="232"/>
      <c r="FL22" s="232"/>
      <c r="FM22" s="232"/>
      <c r="FN22" s="232"/>
      <c r="FO22" s="232"/>
      <c r="FP22" s="232"/>
      <c r="FQ22" s="232"/>
      <c r="FR22" s="232"/>
      <c r="FS22" s="232"/>
      <c r="FT22" s="232"/>
      <c r="FU22" s="232"/>
      <c r="FV22" s="232"/>
      <c r="FW22" s="232"/>
      <c r="FX22" s="232"/>
      <c r="FY22" s="232"/>
      <c r="FZ22" s="232"/>
      <c r="GA22" s="232"/>
      <c r="GB22" s="232"/>
      <c r="GC22" s="232"/>
      <c r="GD22" s="232"/>
      <c r="GE22" s="232"/>
      <c r="GF22" s="232"/>
      <c r="GG22" s="232"/>
      <c r="GH22" s="232"/>
      <c r="GI22" s="232"/>
      <c r="GJ22" s="232"/>
      <c r="GK22" s="232"/>
      <c r="GL22" s="232"/>
      <c r="GM22" s="232"/>
      <c r="GN22" s="232"/>
      <c r="GO22" s="232"/>
      <c r="GP22" s="232"/>
      <c r="GQ22" s="232"/>
      <c r="GR22" s="232"/>
      <c r="GS22" s="232"/>
      <c r="GT22" s="232"/>
      <c r="GU22" s="232"/>
      <c r="GV22" s="232"/>
      <c r="GW22" s="232"/>
      <c r="GX22" s="232"/>
      <c r="GY22" s="232"/>
      <c r="GZ22" s="232"/>
      <c r="HA22" s="232"/>
      <c r="HB22" s="232"/>
      <c r="HC22" s="232"/>
      <c r="HD22" s="232"/>
      <c r="HE22" s="232"/>
      <c r="HF22" s="232"/>
      <c r="HG22" s="232"/>
      <c r="HH22" s="232"/>
      <c r="HI22" s="232"/>
      <c r="HJ22" s="232"/>
      <c r="HK22" s="232"/>
      <c r="HL22" s="232"/>
      <c r="HM22" s="232"/>
      <c r="HN22" s="232"/>
      <c r="HO22" s="232"/>
      <c r="HP22" s="232"/>
      <c r="HQ22" s="232"/>
      <c r="HR22" s="232"/>
      <c r="HS22" s="232"/>
      <c r="HT22" s="232"/>
      <c r="HU22" s="232"/>
      <c r="HV22" s="232"/>
      <c r="HW22" s="232"/>
      <c r="HX22" s="232"/>
      <c r="HY22" s="232"/>
      <c r="HZ22" s="232"/>
      <c r="IA22" s="232"/>
      <c r="IB22" s="232"/>
      <c r="IC22" s="232"/>
      <c r="ID22" s="232"/>
      <c r="IE22" s="232"/>
      <c r="IF22" s="232"/>
      <c r="IG22" s="232"/>
      <c r="IH22" s="232"/>
      <c r="II22" s="232"/>
      <c r="IJ22" s="232"/>
      <c r="IK22" s="232"/>
      <c r="IL22" s="232"/>
      <c r="IM22" s="232"/>
      <c r="IN22" s="232"/>
      <c r="IO22" s="232"/>
      <c r="IP22" s="232"/>
      <c r="IQ22" s="232"/>
      <c r="IR22" s="232"/>
      <c r="IS22" s="232"/>
      <c r="IT22" s="232"/>
      <c r="IU22" s="232"/>
      <c r="IV22" s="232"/>
      <c r="IW22" s="232"/>
      <c r="IX22" s="232"/>
      <c r="IY22" s="232"/>
      <c r="IZ22" s="232"/>
      <c r="JA22" s="232"/>
      <c r="JB22" s="232"/>
      <c r="JC22" s="232"/>
      <c r="JD22" s="232"/>
      <c r="JE22" s="232"/>
      <c r="JF22" s="232"/>
      <c r="JG22" s="232"/>
      <c r="JH22" s="232"/>
      <c r="JI22" s="232"/>
      <c r="JJ22" s="232"/>
      <c r="JK22" s="232"/>
      <c r="JL22" s="232"/>
      <c r="JM22" s="232"/>
      <c r="JN22" s="232"/>
      <c r="JO22" s="232"/>
      <c r="JP22" s="232"/>
      <c r="JQ22" s="232"/>
      <c r="JR22" s="232"/>
      <c r="JS22" s="232"/>
      <c r="JT22" s="232"/>
      <c r="JU22" s="232"/>
      <c r="JV22" s="232"/>
      <c r="JW22" s="232"/>
      <c r="JX22" s="232"/>
      <c r="JY22" s="232"/>
      <c r="JZ22" s="232"/>
      <c r="KA22" s="232"/>
      <c r="KB22" s="232"/>
      <c r="KC22" s="232"/>
      <c r="KD22" s="232"/>
      <c r="KE22" s="232"/>
      <c r="KF22" s="232"/>
      <c r="KG22" s="232"/>
      <c r="KH22" s="232"/>
      <c r="KI22" s="232"/>
      <c r="KJ22" s="232"/>
      <c r="KK22" s="232"/>
      <c r="KL22" s="232"/>
      <c r="KM22" s="232"/>
      <c r="KN22" s="232"/>
      <c r="KO22" s="232"/>
      <c r="KP22" s="232"/>
      <c r="KQ22" s="232"/>
      <c r="KR22" s="232"/>
      <c r="KS22" s="232"/>
      <c r="KT22" s="232"/>
      <c r="KU22" s="232"/>
      <c r="KV22" s="232"/>
      <c r="KW22" s="232"/>
      <c r="KX22" s="232"/>
      <c r="KY22" s="232"/>
      <c r="KZ22" s="232"/>
      <c r="LA22" s="232"/>
      <c r="LB22" s="232"/>
      <c r="LC22" s="232"/>
      <c r="LD22" s="232"/>
      <c r="LE22" s="232"/>
      <c r="LF22" s="232"/>
      <c r="LG22" s="232"/>
      <c r="LH22" s="232"/>
      <c r="LI22" s="232"/>
      <c r="LJ22" s="232"/>
      <c r="LK22" s="232"/>
      <c r="LL22" s="232"/>
      <c r="LM22" s="232"/>
      <c r="LN22" s="232"/>
      <c r="LO22" s="232"/>
      <c r="LP22" s="232"/>
      <c r="LQ22" s="232"/>
      <c r="LR22" s="232"/>
      <c r="LS22" s="232"/>
      <c r="LT22" s="232"/>
      <c r="LU22" s="232"/>
      <c r="LV22" s="232"/>
      <c r="LW22" s="232"/>
      <c r="LX22" s="232"/>
      <c r="LY22" s="232"/>
      <c r="LZ22" s="232"/>
      <c r="MA22" s="232"/>
      <c r="MB22" s="232"/>
      <c r="MC22" s="232"/>
      <c r="MD22" s="232"/>
      <c r="ME22" s="232"/>
      <c r="MF22" s="232"/>
      <c r="MG22" s="232"/>
      <c r="MH22" s="232"/>
      <c r="MI22" s="232"/>
      <c r="MJ22" s="232"/>
      <c r="MK22" s="232"/>
      <c r="ML22" s="232"/>
      <c r="MM22" s="232"/>
      <c r="MN22" s="232"/>
      <c r="MO22" s="232"/>
      <c r="MP22" s="232"/>
      <c r="MQ22" s="232"/>
      <c r="MR22" s="232"/>
      <c r="MS22" s="232"/>
      <c r="MT22" s="232"/>
      <c r="MU22" s="232"/>
      <c r="MV22" s="232"/>
      <c r="MW22" s="232"/>
      <c r="MX22" s="232"/>
      <c r="MY22" s="232"/>
      <c r="MZ22" s="232"/>
      <c r="NA22" s="232"/>
      <c r="NB22" s="232"/>
      <c r="NC22" s="232"/>
      <c r="ND22" s="232"/>
      <c r="NE22" s="232"/>
      <c r="NF22" s="232"/>
      <c r="NG22" s="232"/>
    </row>
    <row r="23" spans="1:371" ht="27.6" x14ac:dyDescent="0.25">
      <c r="A23" s="3" t="s">
        <v>67</v>
      </c>
      <c r="B23" s="49" t="s">
        <v>91</v>
      </c>
      <c r="C23" s="232" t="s">
        <v>91</v>
      </c>
      <c r="D23" s="232" t="s">
        <v>92</v>
      </c>
      <c r="E23" s="232"/>
      <c r="F23" s="232"/>
      <c r="G23" s="232"/>
      <c r="H23" s="232"/>
      <c r="I23" s="232"/>
      <c r="J23" s="232"/>
      <c r="K23" s="232"/>
      <c r="L23" s="232"/>
      <c r="M23" s="232"/>
      <c r="N23" s="232"/>
      <c r="O23" s="232"/>
      <c r="P23" s="232"/>
      <c r="Q23" s="232"/>
      <c r="R23" s="232"/>
      <c r="S23" s="232"/>
      <c r="T23" s="232"/>
      <c r="U23" s="232"/>
      <c r="V23" s="232"/>
      <c r="W23" s="232"/>
      <c r="X23" s="232"/>
      <c r="Y23" s="232"/>
      <c r="Z23" s="232"/>
      <c r="AA23" s="232"/>
      <c r="AB23" s="232"/>
      <c r="AC23" s="232"/>
      <c r="AD23" s="232"/>
      <c r="AE23" s="232"/>
      <c r="AF23" s="232"/>
      <c r="AG23" s="232"/>
      <c r="AH23" s="232"/>
      <c r="AI23" s="232"/>
      <c r="AJ23" s="232"/>
      <c r="AK23" s="232"/>
      <c r="AL23" s="232"/>
      <c r="AM23" s="232"/>
      <c r="AN23" s="232"/>
      <c r="AO23" s="232"/>
      <c r="AP23" s="232"/>
      <c r="AQ23" s="232"/>
      <c r="AR23" s="232"/>
      <c r="AS23" s="232"/>
      <c r="AT23" s="232"/>
      <c r="AU23" s="232"/>
      <c r="AV23" s="232"/>
      <c r="AW23" s="232"/>
      <c r="AX23" s="232"/>
      <c r="AY23" s="232"/>
      <c r="AZ23" s="232"/>
      <c r="BA23" s="232"/>
      <c r="BB23" s="232"/>
      <c r="BC23" s="232"/>
      <c r="BD23" s="232"/>
      <c r="BE23" s="232"/>
      <c r="BF23" s="232"/>
      <c r="BG23" s="232"/>
      <c r="BH23" s="232"/>
      <c r="BI23" s="232"/>
      <c r="BJ23" s="232"/>
      <c r="BK23" s="232"/>
      <c r="BL23" s="232"/>
      <c r="BM23" s="232"/>
      <c r="BN23" s="232"/>
      <c r="BO23" s="232"/>
      <c r="BP23" s="232"/>
      <c r="BQ23" s="232"/>
      <c r="BR23" s="232"/>
      <c r="BS23" s="232"/>
      <c r="BT23" s="232"/>
      <c r="BU23" s="232"/>
      <c r="BV23" s="232"/>
      <c r="BW23" s="232"/>
      <c r="BX23" s="232"/>
      <c r="BY23" s="232"/>
      <c r="BZ23" s="232"/>
      <c r="CA23" s="232"/>
      <c r="CB23" s="232"/>
      <c r="CC23" s="232"/>
      <c r="CD23" s="232"/>
      <c r="CE23" s="232"/>
      <c r="CF23" s="232"/>
      <c r="CG23" s="232"/>
      <c r="CH23" s="232"/>
      <c r="CI23" s="232"/>
      <c r="CJ23" s="232"/>
      <c r="CK23" s="232"/>
      <c r="CL23" s="232"/>
      <c r="CM23" s="232"/>
      <c r="CN23" s="232"/>
      <c r="CO23" s="232"/>
      <c r="CP23" s="232"/>
      <c r="CQ23" s="232"/>
      <c r="CR23" s="232"/>
      <c r="CS23" s="232"/>
      <c r="CT23" s="232"/>
      <c r="CU23" s="232"/>
      <c r="CV23" s="232"/>
      <c r="CW23" s="232"/>
      <c r="CX23" s="232"/>
      <c r="CY23" s="232"/>
      <c r="CZ23" s="232"/>
      <c r="DA23" s="232"/>
      <c r="DB23" s="232"/>
      <c r="DC23" s="232"/>
      <c r="DD23" s="232"/>
      <c r="DE23" s="232"/>
      <c r="DF23" s="232"/>
      <c r="DG23" s="232"/>
      <c r="DH23" s="232"/>
      <c r="DI23" s="232"/>
      <c r="DJ23" s="232"/>
      <c r="DK23" s="232"/>
      <c r="DL23" s="232"/>
      <c r="DM23" s="232"/>
      <c r="DN23" s="232"/>
      <c r="DO23" s="232"/>
      <c r="DP23" s="232"/>
      <c r="DQ23" s="232"/>
      <c r="DR23" s="232"/>
      <c r="DS23" s="232"/>
      <c r="DT23" s="232"/>
      <c r="DU23" s="232"/>
      <c r="DV23" s="232"/>
      <c r="DW23" s="232"/>
      <c r="DX23" s="232"/>
      <c r="DY23" s="232"/>
      <c r="DZ23" s="232"/>
      <c r="EA23" s="232"/>
      <c r="EB23" s="232"/>
      <c r="EC23" s="232"/>
      <c r="ED23" s="232"/>
      <c r="EE23" s="232"/>
      <c r="EF23" s="232"/>
      <c r="EG23" s="232"/>
      <c r="EH23" s="232"/>
      <c r="EI23" s="232"/>
      <c r="EJ23" s="232"/>
      <c r="EK23" s="232"/>
      <c r="EL23" s="232"/>
      <c r="EM23" s="232"/>
      <c r="EN23" s="232"/>
      <c r="EO23" s="232"/>
      <c r="EP23" s="232"/>
      <c r="EQ23" s="232"/>
      <c r="ER23" s="232"/>
      <c r="ES23" s="232"/>
      <c r="ET23" s="232"/>
      <c r="EU23" s="232"/>
      <c r="EV23" s="232"/>
      <c r="EW23" s="232"/>
      <c r="EX23" s="232"/>
      <c r="EY23" s="232"/>
      <c r="EZ23" s="232"/>
      <c r="FA23" s="232"/>
      <c r="FB23" s="232"/>
      <c r="FC23" s="232"/>
      <c r="FD23" s="232"/>
      <c r="FE23" s="232"/>
      <c r="FF23" s="232"/>
      <c r="FG23" s="232"/>
      <c r="FH23" s="232"/>
      <c r="FI23" s="232"/>
      <c r="FJ23" s="232"/>
      <c r="FK23" s="232"/>
      <c r="FL23" s="232"/>
      <c r="FM23" s="232"/>
      <c r="FN23" s="232"/>
      <c r="FO23" s="232"/>
      <c r="FP23" s="232"/>
      <c r="FQ23" s="232"/>
      <c r="FR23" s="232"/>
      <c r="FS23" s="232"/>
      <c r="FT23" s="232"/>
      <c r="FU23" s="232"/>
      <c r="FV23" s="232"/>
      <c r="FW23" s="232"/>
      <c r="FX23" s="232"/>
      <c r="FY23" s="232"/>
      <c r="FZ23" s="232"/>
      <c r="GA23" s="232"/>
      <c r="GB23" s="232"/>
      <c r="GC23" s="232"/>
      <c r="GD23" s="232"/>
      <c r="GE23" s="232"/>
      <c r="GF23" s="232"/>
      <c r="GG23" s="232"/>
      <c r="GH23" s="232"/>
      <c r="GI23" s="232"/>
      <c r="GJ23" s="232"/>
      <c r="GK23" s="232"/>
      <c r="GL23" s="232"/>
      <c r="GM23" s="232"/>
      <c r="GN23" s="232"/>
      <c r="GO23" s="232"/>
      <c r="GP23" s="232"/>
      <c r="GQ23" s="232"/>
      <c r="GR23" s="232"/>
      <c r="GS23" s="232"/>
      <c r="GT23" s="232"/>
      <c r="GU23" s="232"/>
      <c r="GV23" s="232"/>
      <c r="GW23" s="232"/>
      <c r="GX23" s="232"/>
      <c r="GY23" s="232"/>
      <c r="GZ23" s="232"/>
      <c r="HA23" s="232"/>
      <c r="HB23" s="232"/>
      <c r="HC23" s="232"/>
      <c r="HD23" s="232"/>
      <c r="HE23" s="232"/>
      <c r="HF23" s="232"/>
      <c r="HG23" s="232"/>
      <c r="HH23" s="232"/>
      <c r="HI23" s="232"/>
      <c r="HJ23" s="232"/>
      <c r="HK23" s="232"/>
      <c r="HL23" s="232"/>
      <c r="HM23" s="232"/>
      <c r="HN23" s="232"/>
      <c r="HO23" s="232"/>
      <c r="HP23" s="232"/>
      <c r="HQ23" s="232"/>
      <c r="HR23" s="232"/>
      <c r="HS23" s="232"/>
      <c r="HT23" s="232"/>
      <c r="HU23" s="232"/>
      <c r="HV23" s="232"/>
      <c r="HW23" s="232"/>
      <c r="HX23" s="232"/>
      <c r="HY23" s="232"/>
      <c r="HZ23" s="232"/>
      <c r="IA23" s="232"/>
      <c r="IB23" s="232"/>
      <c r="IC23" s="232"/>
      <c r="ID23" s="232"/>
      <c r="IE23" s="232"/>
      <c r="IF23" s="232"/>
      <c r="IG23" s="232"/>
      <c r="IH23" s="232"/>
      <c r="II23" s="232"/>
      <c r="IJ23" s="232"/>
      <c r="IK23" s="232"/>
      <c r="IL23" s="232"/>
      <c r="IM23" s="232"/>
      <c r="IN23" s="232"/>
      <c r="IO23" s="232"/>
      <c r="IP23" s="232"/>
      <c r="IQ23" s="232"/>
      <c r="IR23" s="232"/>
      <c r="IS23" s="232"/>
      <c r="IT23" s="232"/>
      <c r="IU23" s="232"/>
      <c r="IV23" s="232"/>
      <c r="IW23" s="232"/>
      <c r="IX23" s="232"/>
      <c r="IY23" s="232"/>
      <c r="IZ23" s="232"/>
      <c r="JA23" s="232"/>
      <c r="JB23" s="232"/>
      <c r="JC23" s="232"/>
      <c r="JD23" s="232"/>
      <c r="JE23" s="232"/>
      <c r="JF23" s="232"/>
      <c r="JG23" s="232"/>
      <c r="JH23" s="232"/>
      <c r="JI23" s="232"/>
      <c r="JJ23" s="232"/>
      <c r="JK23" s="232"/>
      <c r="JL23" s="232"/>
      <c r="JM23" s="232"/>
      <c r="JN23" s="232"/>
      <c r="JO23" s="232"/>
      <c r="JP23" s="232"/>
      <c r="JQ23" s="232"/>
      <c r="JR23" s="232"/>
      <c r="JS23" s="232"/>
      <c r="JT23" s="232"/>
      <c r="JU23" s="232"/>
      <c r="JV23" s="232"/>
      <c r="JW23" s="232"/>
      <c r="JX23" s="232"/>
      <c r="JY23" s="232"/>
      <c r="JZ23" s="232"/>
      <c r="KA23" s="232"/>
      <c r="KB23" s="232"/>
      <c r="KC23" s="232"/>
      <c r="KD23" s="232"/>
      <c r="KE23" s="232"/>
      <c r="KF23" s="232"/>
      <c r="KG23" s="232"/>
      <c r="KH23" s="232"/>
      <c r="KI23" s="232"/>
      <c r="KJ23" s="232"/>
      <c r="KK23" s="232"/>
      <c r="KL23" s="232"/>
      <c r="KM23" s="232"/>
      <c r="KN23" s="232"/>
      <c r="KO23" s="232"/>
      <c r="KP23" s="232"/>
      <c r="KQ23" s="232"/>
      <c r="KR23" s="232"/>
      <c r="KS23" s="232"/>
      <c r="KT23" s="232"/>
      <c r="KU23" s="232"/>
      <c r="KV23" s="232"/>
      <c r="KW23" s="232"/>
      <c r="KX23" s="232"/>
      <c r="KY23" s="232"/>
      <c r="KZ23" s="232"/>
      <c r="LA23" s="232"/>
      <c r="LB23" s="232"/>
      <c r="LC23" s="232"/>
      <c r="LD23" s="232"/>
      <c r="LE23" s="232"/>
      <c r="LF23" s="232"/>
      <c r="LG23" s="232"/>
      <c r="LH23" s="232"/>
      <c r="LI23" s="232"/>
      <c r="LJ23" s="232"/>
      <c r="LK23" s="232"/>
      <c r="LL23" s="232"/>
      <c r="LM23" s="232"/>
      <c r="LN23" s="232"/>
      <c r="LO23" s="232"/>
      <c r="LP23" s="232"/>
      <c r="LQ23" s="232"/>
      <c r="LR23" s="232"/>
      <c r="LS23" s="232"/>
      <c r="LT23" s="232"/>
      <c r="LU23" s="232"/>
      <c r="LV23" s="232"/>
      <c r="LW23" s="232"/>
      <c r="LX23" s="232"/>
      <c r="LY23" s="232"/>
      <c r="LZ23" s="232"/>
      <c r="MA23" s="232"/>
      <c r="MB23" s="232"/>
      <c r="MC23" s="232"/>
      <c r="MD23" s="232"/>
      <c r="ME23" s="232"/>
      <c r="MF23" s="232"/>
      <c r="MG23" s="232"/>
      <c r="MH23" s="232"/>
      <c r="MI23" s="232"/>
      <c r="MJ23" s="232"/>
      <c r="MK23" s="232"/>
      <c r="ML23" s="232"/>
      <c r="MM23" s="232"/>
      <c r="MN23" s="232"/>
      <c r="MO23" s="232"/>
      <c r="MP23" s="232"/>
      <c r="MQ23" s="232"/>
      <c r="MR23" s="232"/>
      <c r="MS23" s="232"/>
      <c r="MT23" s="232"/>
      <c r="MU23" s="232"/>
      <c r="MV23" s="232"/>
      <c r="MW23" s="232"/>
      <c r="MX23" s="232"/>
      <c r="MY23" s="232"/>
      <c r="MZ23" s="232"/>
      <c r="NA23" s="232"/>
      <c r="NB23" s="232"/>
      <c r="NC23" s="232"/>
      <c r="ND23" s="232"/>
      <c r="NE23" s="232"/>
      <c r="NF23" s="232"/>
      <c r="NG23" s="232"/>
    </row>
    <row r="24" spans="1:371" ht="30" hidden="1" customHeight="1" x14ac:dyDescent="0.25">
      <c r="A24" s="3" t="s">
        <v>68</v>
      </c>
      <c r="B24" s="75" t="s">
        <v>89</v>
      </c>
      <c r="C24" s="232" t="s">
        <v>89</v>
      </c>
      <c r="D24" s="232" t="s">
        <v>90</v>
      </c>
      <c r="E24" s="232"/>
      <c r="F24" s="232" t="s">
        <v>0</v>
      </c>
      <c r="G24" s="232" t="s">
        <v>1</v>
      </c>
      <c r="H24" s="232" t="s">
        <v>3</v>
      </c>
      <c r="I24" s="232"/>
      <c r="J24" s="232"/>
      <c r="K24" s="232"/>
      <c r="L24" s="232"/>
      <c r="M24" s="232"/>
      <c r="N24" s="232"/>
      <c r="O24" s="232"/>
      <c r="P24" s="232"/>
      <c r="Q24" s="232"/>
      <c r="R24" s="232"/>
      <c r="S24" s="232"/>
      <c r="T24" s="232"/>
      <c r="U24" s="232"/>
      <c r="V24" s="232"/>
      <c r="W24" s="232"/>
      <c r="X24" s="232"/>
      <c r="Y24" s="232"/>
      <c r="Z24" s="232"/>
      <c r="AA24" s="232"/>
      <c r="AB24" s="232"/>
      <c r="AC24" s="232"/>
      <c r="AD24" s="232"/>
      <c r="AE24" s="232"/>
      <c r="AF24" s="232"/>
      <c r="AG24" s="232"/>
      <c r="AH24" s="232"/>
      <c r="AI24" s="232"/>
      <c r="AJ24" s="232"/>
      <c r="AK24" s="232"/>
      <c r="AL24" s="232"/>
      <c r="AM24" s="232"/>
      <c r="AN24" s="232"/>
      <c r="AO24" s="232"/>
      <c r="AP24" s="232"/>
      <c r="AQ24" s="232"/>
      <c r="AR24" s="232"/>
      <c r="AS24" s="232"/>
      <c r="AT24" s="232"/>
      <c r="AU24" s="232"/>
      <c r="AV24" s="232"/>
      <c r="AW24" s="232"/>
      <c r="AX24" s="232"/>
      <c r="AY24" s="232"/>
      <c r="AZ24" s="232"/>
      <c r="BA24" s="232"/>
      <c r="BB24" s="232"/>
      <c r="BC24" s="232"/>
      <c r="BD24" s="232"/>
      <c r="BE24" s="232"/>
      <c r="BF24" s="232"/>
      <c r="BG24" s="232"/>
      <c r="BH24" s="232"/>
      <c r="BI24" s="232"/>
      <c r="BJ24" s="232"/>
      <c r="BK24" s="232"/>
      <c r="BL24" s="232"/>
      <c r="BM24" s="232"/>
      <c r="BN24" s="232"/>
      <c r="BO24" s="232"/>
      <c r="BP24" s="232"/>
      <c r="BQ24" s="232"/>
      <c r="BR24" s="232"/>
      <c r="BS24" s="232"/>
      <c r="BT24" s="232"/>
      <c r="BU24" s="232"/>
      <c r="BV24" s="232"/>
      <c r="BW24" s="232"/>
      <c r="BX24" s="232"/>
      <c r="BY24" s="232"/>
      <c r="BZ24" s="232"/>
      <c r="CA24" s="232"/>
      <c r="CB24" s="232"/>
      <c r="CC24" s="232"/>
      <c r="CD24" s="232"/>
      <c r="CE24" s="232"/>
      <c r="CF24" s="232"/>
      <c r="CG24" s="232"/>
      <c r="CH24" s="232"/>
      <c r="CI24" s="232"/>
      <c r="CJ24" s="232"/>
      <c r="CK24" s="232"/>
      <c r="CL24" s="232"/>
      <c r="CM24" s="232"/>
      <c r="CN24" s="232"/>
      <c r="CO24" s="232"/>
      <c r="CP24" s="232"/>
      <c r="CQ24" s="232"/>
      <c r="CR24" s="232"/>
      <c r="CS24" s="232"/>
      <c r="CT24" s="232"/>
      <c r="CU24" s="232"/>
      <c r="CV24" s="232"/>
      <c r="CW24" s="232"/>
      <c r="CX24" s="232"/>
      <c r="CY24" s="232"/>
      <c r="CZ24" s="232"/>
      <c r="DA24" s="232"/>
      <c r="DB24" s="232"/>
      <c r="DC24" s="232"/>
      <c r="DD24" s="232"/>
      <c r="DE24" s="232"/>
      <c r="DF24" s="232"/>
      <c r="DG24" s="232"/>
      <c r="DH24" s="232"/>
      <c r="DI24" s="232"/>
      <c r="DJ24" s="232"/>
      <c r="DK24" s="232"/>
      <c r="DL24" s="232"/>
      <c r="DM24" s="232"/>
      <c r="DN24" s="232"/>
      <c r="DO24" s="232"/>
      <c r="DP24" s="232"/>
      <c r="DQ24" s="232"/>
      <c r="DR24" s="232"/>
      <c r="DS24" s="232"/>
      <c r="DT24" s="232"/>
      <c r="DU24" s="232"/>
      <c r="DV24" s="232"/>
      <c r="DW24" s="232"/>
      <c r="DX24" s="232"/>
      <c r="DY24" s="232"/>
      <c r="DZ24" s="232"/>
      <c r="EA24" s="232"/>
      <c r="EB24" s="232"/>
      <c r="EC24" s="232"/>
      <c r="ED24" s="232"/>
      <c r="EE24" s="232"/>
      <c r="EF24" s="232"/>
      <c r="EG24" s="232"/>
      <c r="EH24" s="232"/>
      <c r="EI24" s="232"/>
      <c r="EJ24" s="232"/>
      <c r="EK24" s="232"/>
      <c r="EL24" s="232"/>
      <c r="EM24" s="232"/>
      <c r="EN24" s="232"/>
      <c r="EO24" s="232"/>
      <c r="EP24" s="232"/>
      <c r="EQ24" s="232"/>
      <c r="ER24" s="232"/>
      <c r="ES24" s="232"/>
      <c r="ET24" s="232"/>
      <c r="EU24" s="232"/>
      <c r="EV24" s="232"/>
      <c r="EW24" s="232"/>
      <c r="EX24" s="232"/>
      <c r="EY24" s="232"/>
      <c r="EZ24" s="232"/>
      <c r="FA24" s="232"/>
      <c r="FB24" s="232"/>
      <c r="FC24" s="232"/>
      <c r="FD24" s="232"/>
      <c r="FE24" s="232"/>
      <c r="FF24" s="232"/>
      <c r="FG24" s="232"/>
      <c r="FH24" s="232"/>
      <c r="FI24" s="232"/>
      <c r="FJ24" s="232"/>
      <c r="FK24" s="232"/>
      <c r="FL24" s="232"/>
      <c r="FM24" s="232"/>
      <c r="FN24" s="232"/>
      <c r="FO24" s="232"/>
      <c r="FP24" s="232"/>
      <c r="FQ24" s="232"/>
      <c r="FR24" s="232"/>
      <c r="FS24" s="232"/>
      <c r="FT24" s="232"/>
      <c r="FU24" s="232"/>
      <c r="FV24" s="232"/>
      <c r="FW24" s="232"/>
      <c r="FX24" s="232"/>
      <c r="FY24" s="232"/>
      <c r="FZ24" s="232"/>
      <c r="GA24" s="232"/>
      <c r="GB24" s="232"/>
      <c r="GC24" s="232"/>
      <c r="GD24" s="232"/>
      <c r="GE24" s="232"/>
      <c r="GF24" s="232"/>
      <c r="GG24" s="232"/>
      <c r="GH24" s="232"/>
      <c r="GI24" s="232"/>
      <c r="GJ24" s="232"/>
      <c r="GK24" s="232"/>
      <c r="GL24" s="232"/>
      <c r="GM24" s="232"/>
      <c r="GN24" s="232"/>
      <c r="GO24" s="232"/>
      <c r="GP24" s="232"/>
      <c r="GQ24" s="232"/>
      <c r="GR24" s="232"/>
      <c r="GS24" s="232"/>
      <c r="GT24" s="232"/>
      <c r="GU24" s="232"/>
      <c r="GV24" s="232"/>
      <c r="GW24" s="232"/>
      <c r="GX24" s="232"/>
      <c r="GY24" s="232"/>
      <c r="GZ24" s="232"/>
      <c r="HA24" s="232"/>
      <c r="HB24" s="232"/>
      <c r="HC24" s="232"/>
      <c r="HD24" s="232"/>
      <c r="HE24" s="232"/>
      <c r="HF24" s="232"/>
      <c r="HG24" s="232"/>
      <c r="HH24" s="232"/>
      <c r="HI24" s="232"/>
      <c r="HJ24" s="232"/>
      <c r="HK24" s="232"/>
      <c r="HL24" s="232"/>
      <c r="HM24" s="232"/>
      <c r="HN24" s="232"/>
      <c r="HO24" s="232"/>
      <c r="HP24" s="232"/>
      <c r="HQ24" s="232"/>
      <c r="HR24" s="232"/>
      <c r="HS24" s="232"/>
      <c r="HT24" s="232"/>
      <c r="HU24" s="232"/>
      <c r="HV24" s="232"/>
      <c r="HW24" s="232"/>
      <c r="HX24" s="232"/>
      <c r="HY24" s="232"/>
      <c r="HZ24" s="232"/>
      <c r="IA24" s="232"/>
      <c r="IB24" s="232"/>
      <c r="IC24" s="232"/>
      <c r="ID24" s="232"/>
      <c r="IE24" s="232"/>
      <c r="IF24" s="232"/>
      <c r="IG24" s="232"/>
      <c r="IH24" s="232"/>
      <c r="II24" s="232"/>
      <c r="IJ24" s="232"/>
      <c r="IK24" s="232"/>
      <c r="IL24" s="232"/>
      <c r="IM24" s="232"/>
      <c r="IN24" s="232"/>
      <c r="IO24" s="232"/>
      <c r="IP24" s="232"/>
      <c r="IQ24" s="232"/>
      <c r="IR24" s="232"/>
      <c r="IS24" s="232"/>
      <c r="IT24" s="232"/>
      <c r="IU24" s="232"/>
      <c r="IV24" s="232"/>
      <c r="IW24" s="232"/>
      <c r="IX24" s="232"/>
      <c r="IY24" s="232"/>
      <c r="IZ24" s="232"/>
      <c r="JA24" s="232"/>
      <c r="JB24" s="232"/>
      <c r="JC24" s="232"/>
      <c r="JD24" s="232"/>
      <c r="JE24" s="232"/>
      <c r="JF24" s="232"/>
      <c r="JG24" s="232"/>
      <c r="JH24" s="232"/>
      <c r="JI24" s="232"/>
      <c r="JJ24" s="232"/>
      <c r="JK24" s="232"/>
      <c r="JL24" s="232"/>
      <c r="JM24" s="232"/>
      <c r="JN24" s="232"/>
      <c r="JO24" s="232"/>
      <c r="JP24" s="232"/>
      <c r="JQ24" s="232"/>
      <c r="JR24" s="232"/>
      <c r="JS24" s="232"/>
      <c r="JT24" s="232"/>
      <c r="JU24" s="232"/>
      <c r="JV24" s="232"/>
      <c r="JW24" s="232"/>
      <c r="JX24" s="232"/>
      <c r="JY24" s="232"/>
      <c r="JZ24" s="232"/>
      <c r="KA24" s="232"/>
      <c r="KB24" s="232"/>
      <c r="KC24" s="232"/>
      <c r="KD24" s="232"/>
      <c r="KE24" s="232"/>
      <c r="KF24" s="232"/>
      <c r="KG24" s="232"/>
      <c r="KH24" s="232"/>
      <c r="KI24" s="232"/>
      <c r="KJ24" s="232"/>
      <c r="KK24" s="232"/>
      <c r="KL24" s="232"/>
      <c r="KM24" s="232"/>
      <c r="KN24" s="232"/>
      <c r="KO24" s="232"/>
      <c r="KP24" s="232"/>
      <c r="KQ24" s="232"/>
      <c r="KR24" s="232"/>
      <c r="KS24" s="232"/>
      <c r="KT24" s="232"/>
      <c r="KU24" s="232"/>
      <c r="KV24" s="232"/>
      <c r="KW24" s="232"/>
      <c r="KX24" s="232"/>
      <c r="KY24" s="232"/>
      <c r="KZ24" s="232"/>
      <c r="LA24" s="232"/>
      <c r="LB24" s="232"/>
      <c r="LC24" s="232"/>
      <c r="LD24" s="232"/>
      <c r="LE24" s="232"/>
      <c r="LF24" s="232"/>
      <c r="LG24" s="232"/>
      <c r="LH24" s="232"/>
      <c r="LI24" s="232"/>
      <c r="LJ24" s="232"/>
      <c r="LK24" s="232"/>
      <c r="LL24" s="232"/>
      <c r="LM24" s="232"/>
      <c r="LN24" s="232"/>
      <c r="LO24" s="232"/>
      <c r="LP24" s="232"/>
      <c r="LQ24" s="232"/>
      <c r="LR24" s="232"/>
      <c r="LS24" s="232"/>
      <c r="LT24" s="232"/>
      <c r="LU24" s="232"/>
      <c r="LV24" s="232"/>
      <c r="LW24" s="232"/>
      <c r="LX24" s="232"/>
      <c r="LY24" s="232"/>
      <c r="LZ24" s="232"/>
      <c r="MA24" s="232"/>
      <c r="MB24" s="232"/>
      <c r="MC24" s="232"/>
      <c r="MD24" s="232"/>
      <c r="ME24" s="232"/>
      <c r="MF24" s="232"/>
      <c r="MG24" s="232"/>
      <c r="MH24" s="232"/>
      <c r="MI24" s="232"/>
      <c r="MJ24" s="232"/>
      <c r="MK24" s="232"/>
      <c r="ML24" s="232"/>
      <c r="MM24" s="232"/>
      <c r="MN24" s="232"/>
      <c r="MO24" s="232"/>
      <c r="MP24" s="232"/>
      <c r="MQ24" s="232"/>
      <c r="MR24" s="232"/>
      <c r="MS24" s="232"/>
      <c r="MT24" s="232"/>
      <c r="MU24" s="232"/>
      <c r="MV24" s="232"/>
      <c r="MW24" s="232"/>
      <c r="MX24" s="232"/>
      <c r="MY24" s="232"/>
      <c r="MZ24" s="232"/>
      <c r="NA24" s="232"/>
      <c r="NB24" s="232"/>
      <c r="NC24" s="232"/>
      <c r="ND24" s="232"/>
      <c r="NE24" s="232"/>
      <c r="NF24" s="232"/>
      <c r="NG24" s="232"/>
    </row>
    <row r="25" spans="1:371" x14ac:dyDescent="0.25">
      <c r="A25" s="3" t="s">
        <v>69</v>
      </c>
      <c r="B25" s="49" t="s">
        <v>434</v>
      </c>
      <c r="C25" s="232"/>
      <c r="D25" s="232"/>
      <c r="E25" s="232"/>
      <c r="F25" s="232"/>
      <c r="G25" s="232"/>
      <c r="H25" s="232"/>
      <c r="I25" s="232"/>
      <c r="J25" s="232"/>
      <c r="K25" s="232"/>
      <c r="L25" s="232"/>
      <c r="M25" s="232"/>
      <c r="N25" s="232"/>
      <c r="O25" s="232"/>
      <c r="P25" s="232"/>
      <c r="Q25" s="232"/>
      <c r="R25" s="232"/>
      <c r="S25" s="232"/>
      <c r="T25" s="232"/>
      <c r="U25" s="232"/>
      <c r="V25" s="232"/>
      <c r="W25" s="232"/>
      <c r="X25" s="232"/>
      <c r="Y25" s="232"/>
      <c r="Z25" s="232"/>
      <c r="AA25" s="232"/>
      <c r="AB25" s="232"/>
      <c r="AC25" s="232"/>
      <c r="AD25" s="232"/>
      <c r="AE25" s="232"/>
      <c r="AF25" s="232"/>
      <c r="AG25" s="232"/>
      <c r="AH25" s="232"/>
      <c r="AI25" s="232"/>
      <c r="AJ25" s="232"/>
      <c r="AK25" s="232"/>
      <c r="AL25" s="232"/>
      <c r="AM25" s="232"/>
      <c r="AN25" s="232"/>
      <c r="AO25" s="232"/>
      <c r="AP25" s="232"/>
      <c r="AQ25" s="232"/>
      <c r="AR25" s="232"/>
      <c r="AS25" s="232"/>
      <c r="AT25" s="232"/>
      <c r="AU25" s="232"/>
      <c r="AV25" s="232"/>
      <c r="AW25" s="232"/>
      <c r="AX25" s="232"/>
      <c r="AY25" s="232"/>
      <c r="AZ25" s="232"/>
      <c r="BA25" s="232"/>
      <c r="BB25" s="232"/>
      <c r="BC25" s="232"/>
      <c r="BD25" s="232"/>
      <c r="BE25" s="232"/>
      <c r="BF25" s="232"/>
      <c r="BG25" s="232"/>
      <c r="BH25" s="232"/>
      <c r="BI25" s="232"/>
      <c r="BJ25" s="232"/>
      <c r="BK25" s="232"/>
      <c r="BL25" s="232"/>
      <c r="BM25" s="232"/>
      <c r="BN25" s="232"/>
      <c r="BO25" s="232"/>
      <c r="BP25" s="232"/>
      <c r="BQ25" s="232"/>
      <c r="BR25" s="232"/>
      <c r="BS25" s="232"/>
      <c r="BT25" s="232"/>
      <c r="BU25" s="232"/>
      <c r="BV25" s="232"/>
      <c r="BW25" s="232"/>
      <c r="BX25" s="232"/>
      <c r="BY25" s="232"/>
      <c r="BZ25" s="232"/>
      <c r="CA25" s="232"/>
      <c r="CB25" s="232"/>
      <c r="CC25" s="232"/>
      <c r="CD25" s="232"/>
      <c r="CE25" s="232"/>
      <c r="CF25" s="232"/>
      <c r="CG25" s="232"/>
      <c r="CH25" s="232"/>
      <c r="CI25" s="232"/>
      <c r="CJ25" s="232"/>
      <c r="CK25" s="232"/>
      <c r="CL25" s="232"/>
      <c r="CM25" s="232"/>
      <c r="CN25" s="232"/>
      <c r="CO25" s="232"/>
      <c r="CP25" s="232"/>
      <c r="CQ25" s="232"/>
      <c r="CR25" s="232"/>
      <c r="CS25" s="232"/>
      <c r="CT25" s="232"/>
      <c r="CU25" s="232"/>
      <c r="CV25" s="232"/>
      <c r="CW25" s="232"/>
      <c r="CX25" s="232"/>
      <c r="CY25" s="232"/>
      <c r="CZ25" s="232"/>
      <c r="DA25" s="232"/>
      <c r="DB25" s="232"/>
      <c r="DC25" s="232"/>
      <c r="DD25" s="232"/>
      <c r="DE25" s="232"/>
      <c r="DF25" s="232"/>
      <c r="DG25" s="232"/>
      <c r="DH25" s="232"/>
      <c r="DI25" s="232"/>
      <c r="DJ25" s="232"/>
      <c r="DK25" s="232"/>
      <c r="DL25" s="232"/>
      <c r="DM25" s="232"/>
      <c r="DN25" s="232"/>
      <c r="DO25" s="232"/>
      <c r="DP25" s="232"/>
      <c r="DQ25" s="232"/>
      <c r="DR25" s="232"/>
      <c r="DS25" s="232"/>
      <c r="DT25" s="232"/>
      <c r="DU25" s="232"/>
      <c r="DV25" s="232"/>
      <c r="DW25" s="232"/>
      <c r="DX25" s="232"/>
      <c r="DY25" s="232"/>
      <c r="DZ25" s="232"/>
      <c r="EA25" s="232"/>
      <c r="EB25" s="232"/>
      <c r="EC25" s="232"/>
      <c r="ED25" s="232"/>
      <c r="EE25" s="232"/>
      <c r="EF25" s="232"/>
      <c r="EG25" s="232"/>
      <c r="EH25" s="232"/>
      <c r="EI25" s="232"/>
      <c r="EJ25" s="232"/>
      <c r="EK25" s="232"/>
      <c r="EL25" s="232"/>
      <c r="EM25" s="232"/>
      <c r="EN25" s="232"/>
      <c r="EO25" s="232"/>
      <c r="EP25" s="232"/>
      <c r="EQ25" s="232"/>
      <c r="ER25" s="232"/>
      <c r="ES25" s="232"/>
      <c r="ET25" s="232"/>
      <c r="EU25" s="232"/>
      <c r="EV25" s="232"/>
      <c r="EW25" s="232"/>
      <c r="EX25" s="232"/>
      <c r="EY25" s="232"/>
      <c r="EZ25" s="232"/>
      <c r="FA25" s="232"/>
      <c r="FB25" s="232"/>
      <c r="FC25" s="232"/>
      <c r="FD25" s="232"/>
      <c r="FE25" s="232"/>
      <c r="FF25" s="232"/>
      <c r="FG25" s="232"/>
      <c r="FH25" s="232"/>
      <c r="FI25" s="232"/>
      <c r="FJ25" s="232"/>
      <c r="FK25" s="232"/>
      <c r="FL25" s="232"/>
      <c r="FM25" s="232"/>
      <c r="FN25" s="232"/>
      <c r="FO25" s="232"/>
      <c r="FP25" s="232"/>
      <c r="FQ25" s="232"/>
      <c r="FR25" s="232"/>
      <c r="FS25" s="232"/>
      <c r="FT25" s="232"/>
      <c r="FU25" s="232"/>
      <c r="FV25" s="232"/>
      <c r="FW25" s="232"/>
      <c r="FX25" s="232"/>
      <c r="FY25" s="232"/>
      <c r="FZ25" s="232"/>
      <c r="GA25" s="232"/>
      <c r="GB25" s="232"/>
      <c r="GC25" s="232"/>
      <c r="GD25" s="232"/>
      <c r="GE25" s="232"/>
      <c r="GF25" s="232"/>
      <c r="GG25" s="232"/>
      <c r="GH25" s="232"/>
      <c r="GI25" s="232"/>
      <c r="GJ25" s="232"/>
      <c r="GK25" s="232"/>
      <c r="GL25" s="232"/>
      <c r="GM25" s="232"/>
      <c r="GN25" s="232"/>
      <c r="GO25" s="232"/>
      <c r="GP25" s="232"/>
      <c r="GQ25" s="232"/>
      <c r="GR25" s="232"/>
      <c r="GS25" s="232"/>
      <c r="GT25" s="232"/>
      <c r="GU25" s="232"/>
      <c r="GV25" s="232"/>
      <c r="GW25" s="232"/>
      <c r="GX25" s="232"/>
      <c r="GY25" s="232"/>
      <c r="GZ25" s="232"/>
      <c r="HA25" s="232"/>
      <c r="HB25" s="232"/>
      <c r="HC25" s="232"/>
      <c r="HD25" s="232"/>
      <c r="HE25" s="232"/>
      <c r="HF25" s="232"/>
      <c r="HG25" s="232"/>
      <c r="HH25" s="232"/>
      <c r="HI25" s="232"/>
      <c r="HJ25" s="232"/>
      <c r="HK25" s="232"/>
      <c r="HL25" s="232"/>
      <c r="HM25" s="232"/>
      <c r="HN25" s="232"/>
      <c r="HO25" s="232"/>
      <c r="HP25" s="232"/>
      <c r="HQ25" s="232"/>
      <c r="HR25" s="232"/>
      <c r="HS25" s="232"/>
      <c r="HT25" s="232"/>
      <c r="HU25" s="232"/>
      <c r="HV25" s="232"/>
      <c r="HW25" s="232"/>
      <c r="HX25" s="232"/>
      <c r="HY25" s="232"/>
      <c r="HZ25" s="232"/>
      <c r="IA25" s="232"/>
      <c r="IB25" s="232"/>
      <c r="IC25" s="232"/>
      <c r="ID25" s="232"/>
      <c r="IE25" s="232"/>
      <c r="IF25" s="232"/>
      <c r="IG25" s="232"/>
      <c r="IH25" s="232"/>
      <c r="II25" s="232"/>
      <c r="IJ25" s="232"/>
      <c r="IK25" s="232"/>
      <c r="IL25" s="232"/>
      <c r="IM25" s="232"/>
      <c r="IN25" s="232"/>
      <c r="IO25" s="232"/>
      <c r="IP25" s="232"/>
      <c r="IQ25" s="232"/>
      <c r="IR25" s="232"/>
      <c r="IS25" s="232"/>
      <c r="IT25" s="232"/>
      <c r="IU25" s="232"/>
      <c r="IV25" s="232"/>
      <c r="IW25" s="232"/>
      <c r="IX25" s="232"/>
      <c r="IY25" s="232"/>
      <c r="IZ25" s="232"/>
      <c r="JA25" s="232"/>
      <c r="JB25" s="232"/>
      <c r="JC25" s="232"/>
      <c r="JD25" s="232"/>
      <c r="JE25" s="232"/>
      <c r="JF25" s="232"/>
      <c r="JG25" s="232"/>
      <c r="JH25" s="232"/>
      <c r="JI25" s="232"/>
      <c r="JJ25" s="232"/>
      <c r="JK25" s="232"/>
      <c r="JL25" s="232"/>
      <c r="JM25" s="232"/>
      <c r="JN25" s="232"/>
      <c r="JO25" s="232"/>
      <c r="JP25" s="232"/>
      <c r="JQ25" s="232"/>
      <c r="JR25" s="232"/>
      <c r="JS25" s="232"/>
      <c r="JT25" s="232"/>
      <c r="JU25" s="232"/>
      <c r="JV25" s="232"/>
      <c r="JW25" s="232"/>
      <c r="JX25" s="232"/>
      <c r="JY25" s="232"/>
      <c r="JZ25" s="232"/>
      <c r="KA25" s="232"/>
      <c r="KB25" s="232"/>
      <c r="KC25" s="232"/>
      <c r="KD25" s="232"/>
      <c r="KE25" s="232"/>
      <c r="KF25" s="232"/>
      <c r="KG25" s="232"/>
      <c r="KH25" s="232"/>
      <c r="KI25" s="232"/>
      <c r="KJ25" s="232"/>
      <c r="KK25" s="232"/>
      <c r="KL25" s="232"/>
      <c r="KM25" s="232"/>
      <c r="KN25" s="232"/>
      <c r="KO25" s="232"/>
      <c r="KP25" s="232"/>
      <c r="KQ25" s="232"/>
      <c r="KR25" s="232"/>
      <c r="KS25" s="232"/>
      <c r="KT25" s="232"/>
      <c r="KU25" s="232"/>
      <c r="KV25" s="232"/>
      <c r="KW25" s="232"/>
      <c r="KX25" s="232"/>
      <c r="KY25" s="232"/>
      <c r="KZ25" s="232"/>
      <c r="LA25" s="232"/>
      <c r="LB25" s="232"/>
      <c r="LC25" s="232"/>
      <c r="LD25" s="232"/>
      <c r="LE25" s="232"/>
      <c r="LF25" s="232"/>
      <c r="LG25" s="232"/>
      <c r="LH25" s="232"/>
      <c r="LI25" s="232"/>
      <c r="LJ25" s="232"/>
      <c r="LK25" s="232"/>
      <c r="LL25" s="232"/>
      <c r="LM25" s="232"/>
      <c r="LN25" s="232"/>
      <c r="LO25" s="232"/>
      <c r="LP25" s="232"/>
      <c r="LQ25" s="232"/>
      <c r="LR25" s="232"/>
      <c r="LS25" s="232"/>
      <c r="LT25" s="232"/>
      <c r="LU25" s="232"/>
      <c r="LV25" s="232"/>
      <c r="LW25" s="232"/>
      <c r="LX25" s="232"/>
      <c r="LY25" s="232"/>
      <c r="LZ25" s="232"/>
      <c r="MA25" s="232"/>
      <c r="MB25" s="232"/>
      <c r="MC25" s="232"/>
      <c r="MD25" s="232"/>
      <c r="ME25" s="232"/>
      <c r="MF25" s="232"/>
      <c r="MG25" s="232"/>
      <c r="MH25" s="232"/>
      <c r="MI25" s="232"/>
      <c r="MJ25" s="232"/>
      <c r="MK25" s="232"/>
      <c r="ML25" s="232"/>
      <c r="MM25" s="232"/>
      <c r="MN25" s="232"/>
      <c r="MO25" s="232"/>
      <c r="MP25" s="232"/>
      <c r="MQ25" s="232"/>
      <c r="MR25" s="232"/>
      <c r="MS25" s="232"/>
      <c r="MT25" s="232"/>
      <c r="MU25" s="232"/>
      <c r="MV25" s="232"/>
      <c r="MW25" s="232"/>
      <c r="MX25" s="232"/>
      <c r="MY25" s="232"/>
      <c r="MZ25" s="232"/>
      <c r="NA25" s="232"/>
      <c r="NB25" s="232"/>
      <c r="NC25" s="232"/>
      <c r="ND25" s="232"/>
      <c r="NE25" s="232"/>
      <c r="NF25" s="232"/>
      <c r="NG25" s="232"/>
    </row>
    <row r="26" spans="1:371" ht="44.25" customHeight="1" x14ac:dyDescent="0.25">
      <c r="A26" s="3" t="s">
        <v>70</v>
      </c>
      <c r="B26" s="49" t="s">
        <v>435</v>
      </c>
      <c r="C26" s="232" t="s">
        <v>23</v>
      </c>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2"/>
      <c r="AD26" s="232"/>
      <c r="AE26" s="232"/>
      <c r="AF26" s="232"/>
      <c r="AG26" s="232"/>
      <c r="AH26" s="232"/>
      <c r="AI26" s="232"/>
      <c r="AJ26" s="232"/>
      <c r="AK26" s="232"/>
      <c r="AL26" s="232"/>
      <c r="AM26" s="232"/>
      <c r="AN26" s="232"/>
      <c r="AO26" s="232"/>
      <c r="AP26" s="232"/>
      <c r="AQ26" s="232"/>
      <c r="AR26" s="232"/>
      <c r="AS26" s="232"/>
      <c r="AT26" s="232"/>
      <c r="AU26" s="232"/>
      <c r="AV26" s="232"/>
      <c r="AW26" s="232"/>
      <c r="AX26" s="232"/>
      <c r="AY26" s="232"/>
      <c r="AZ26" s="232"/>
      <c r="BA26" s="232"/>
      <c r="BB26" s="232"/>
      <c r="BC26" s="232"/>
      <c r="BD26" s="232"/>
      <c r="BE26" s="232"/>
      <c r="BF26" s="232"/>
      <c r="BG26" s="232"/>
      <c r="BH26" s="232"/>
      <c r="BI26" s="232"/>
      <c r="BJ26" s="232"/>
      <c r="BK26" s="232"/>
      <c r="BL26" s="232"/>
      <c r="BM26" s="232"/>
      <c r="BN26" s="232"/>
      <c r="BO26" s="232"/>
      <c r="BP26" s="232"/>
      <c r="BQ26" s="232"/>
      <c r="BR26" s="232"/>
      <c r="BS26" s="232"/>
      <c r="BT26" s="232"/>
      <c r="BU26" s="232"/>
      <c r="BV26" s="232"/>
      <c r="BW26" s="232"/>
      <c r="BX26" s="232"/>
      <c r="BY26" s="232"/>
      <c r="BZ26" s="232"/>
      <c r="CA26" s="232"/>
      <c r="CB26" s="232"/>
      <c r="CC26" s="232"/>
      <c r="CD26" s="232"/>
      <c r="CE26" s="232"/>
      <c r="CF26" s="232"/>
      <c r="CG26" s="232"/>
      <c r="CH26" s="232"/>
      <c r="CI26" s="232"/>
      <c r="CJ26" s="232"/>
      <c r="CK26" s="232"/>
      <c r="CL26" s="232"/>
      <c r="CM26" s="232"/>
      <c r="CN26" s="232"/>
      <c r="CO26" s="232"/>
      <c r="CP26" s="232"/>
      <c r="CQ26" s="232"/>
      <c r="CR26" s="232"/>
      <c r="CS26" s="232"/>
      <c r="CT26" s="232"/>
      <c r="CU26" s="232"/>
      <c r="CV26" s="232"/>
      <c r="CW26" s="232"/>
      <c r="CX26" s="232"/>
      <c r="CY26" s="232"/>
      <c r="CZ26" s="232"/>
      <c r="DA26" s="232"/>
      <c r="DB26" s="232"/>
      <c r="DC26" s="232"/>
      <c r="DD26" s="232"/>
      <c r="DE26" s="232"/>
      <c r="DF26" s="232"/>
      <c r="DG26" s="232"/>
      <c r="DH26" s="232"/>
      <c r="DI26" s="232"/>
      <c r="DJ26" s="232"/>
      <c r="DK26" s="232"/>
      <c r="DL26" s="232"/>
      <c r="DM26" s="232"/>
      <c r="DN26" s="232"/>
      <c r="DO26" s="232"/>
      <c r="DP26" s="232"/>
      <c r="DQ26" s="232"/>
      <c r="DR26" s="232"/>
      <c r="DS26" s="232"/>
      <c r="DT26" s="232"/>
      <c r="DU26" s="232"/>
      <c r="DV26" s="232"/>
      <c r="DW26" s="232"/>
      <c r="DX26" s="232"/>
      <c r="DY26" s="232"/>
      <c r="DZ26" s="232"/>
      <c r="EA26" s="232"/>
      <c r="EB26" s="232"/>
      <c r="EC26" s="232"/>
      <c r="ED26" s="232"/>
      <c r="EE26" s="232"/>
      <c r="EF26" s="232"/>
      <c r="EG26" s="232"/>
      <c r="EH26" s="232"/>
      <c r="EI26" s="232"/>
      <c r="EJ26" s="232"/>
      <c r="EK26" s="232"/>
      <c r="EL26" s="232"/>
      <c r="EM26" s="232"/>
      <c r="EN26" s="232"/>
      <c r="EO26" s="232"/>
      <c r="EP26" s="232"/>
      <c r="EQ26" s="232"/>
      <c r="ER26" s="232"/>
      <c r="ES26" s="232"/>
      <c r="ET26" s="232"/>
      <c r="EU26" s="232"/>
      <c r="EV26" s="232"/>
      <c r="EW26" s="232"/>
      <c r="EX26" s="232"/>
      <c r="EY26" s="232"/>
      <c r="EZ26" s="232"/>
      <c r="FA26" s="232"/>
      <c r="FB26" s="232"/>
      <c r="FC26" s="232"/>
      <c r="FD26" s="232"/>
      <c r="FE26" s="232"/>
      <c r="FF26" s="232"/>
      <c r="FG26" s="232"/>
      <c r="FH26" s="232"/>
      <c r="FI26" s="232"/>
      <c r="FJ26" s="232"/>
      <c r="FK26" s="232"/>
      <c r="FL26" s="232"/>
      <c r="FM26" s="232"/>
      <c r="FN26" s="232"/>
      <c r="FO26" s="232"/>
      <c r="FP26" s="232"/>
      <c r="FQ26" s="232"/>
      <c r="FR26" s="232"/>
      <c r="FS26" s="232"/>
      <c r="FT26" s="232"/>
      <c r="FU26" s="232"/>
      <c r="FV26" s="232"/>
      <c r="FW26" s="232"/>
      <c r="FX26" s="232"/>
      <c r="FY26" s="232"/>
      <c r="FZ26" s="232"/>
      <c r="GA26" s="232"/>
      <c r="GB26" s="232"/>
      <c r="GC26" s="232"/>
      <c r="GD26" s="232"/>
      <c r="GE26" s="232"/>
      <c r="GF26" s="232"/>
      <c r="GG26" s="232"/>
      <c r="GH26" s="232"/>
      <c r="GI26" s="232"/>
      <c r="GJ26" s="232"/>
      <c r="GK26" s="232"/>
      <c r="GL26" s="232"/>
      <c r="GM26" s="232"/>
      <c r="GN26" s="232"/>
      <c r="GO26" s="232"/>
      <c r="GP26" s="232"/>
      <c r="GQ26" s="232"/>
      <c r="GR26" s="232"/>
      <c r="GS26" s="232"/>
      <c r="GT26" s="232"/>
      <c r="GU26" s="232"/>
      <c r="GV26" s="232"/>
      <c r="GW26" s="232"/>
      <c r="GX26" s="232"/>
      <c r="GY26" s="232"/>
      <c r="GZ26" s="232"/>
      <c r="HA26" s="232"/>
      <c r="HB26" s="232"/>
      <c r="HC26" s="232"/>
      <c r="HD26" s="232"/>
      <c r="HE26" s="232"/>
      <c r="HF26" s="232"/>
      <c r="HG26" s="232"/>
      <c r="HH26" s="232"/>
      <c r="HI26" s="232"/>
      <c r="HJ26" s="232"/>
      <c r="HK26" s="232"/>
      <c r="HL26" s="232"/>
      <c r="HM26" s="232"/>
      <c r="HN26" s="232"/>
      <c r="HO26" s="232"/>
      <c r="HP26" s="232"/>
      <c r="HQ26" s="232"/>
      <c r="HR26" s="232"/>
      <c r="HS26" s="232"/>
      <c r="HT26" s="232"/>
      <c r="HU26" s="232"/>
      <c r="HV26" s="232"/>
      <c r="HW26" s="232"/>
      <c r="HX26" s="232"/>
      <c r="HY26" s="232"/>
      <c r="HZ26" s="232"/>
      <c r="IA26" s="232"/>
      <c r="IB26" s="232"/>
      <c r="IC26" s="232"/>
      <c r="ID26" s="232"/>
      <c r="IE26" s="232"/>
      <c r="IF26" s="232"/>
      <c r="IG26" s="232"/>
      <c r="IH26" s="232"/>
      <c r="II26" s="232"/>
      <c r="IJ26" s="232"/>
      <c r="IK26" s="232"/>
      <c r="IL26" s="232"/>
      <c r="IM26" s="232"/>
      <c r="IN26" s="232"/>
      <c r="IO26" s="232"/>
      <c r="IP26" s="232"/>
      <c r="IQ26" s="232"/>
      <c r="IR26" s="232"/>
      <c r="IS26" s="232"/>
      <c r="IT26" s="232"/>
      <c r="IU26" s="232"/>
      <c r="IV26" s="232"/>
      <c r="IW26" s="232"/>
      <c r="IX26" s="232"/>
      <c r="IY26" s="232"/>
      <c r="IZ26" s="232"/>
      <c r="JA26" s="232"/>
      <c r="JB26" s="232"/>
      <c r="JC26" s="232"/>
      <c r="JD26" s="232"/>
      <c r="JE26" s="232"/>
      <c r="JF26" s="232"/>
      <c r="JG26" s="232"/>
      <c r="JH26" s="232"/>
      <c r="JI26" s="232"/>
      <c r="JJ26" s="232"/>
      <c r="JK26" s="232"/>
      <c r="JL26" s="232"/>
      <c r="JM26" s="232"/>
      <c r="JN26" s="232"/>
      <c r="JO26" s="232"/>
      <c r="JP26" s="232"/>
      <c r="JQ26" s="232"/>
      <c r="JR26" s="232"/>
      <c r="JS26" s="232"/>
      <c r="JT26" s="232"/>
      <c r="JU26" s="232"/>
      <c r="JV26" s="232"/>
      <c r="JW26" s="232"/>
      <c r="JX26" s="232"/>
      <c r="JY26" s="232"/>
      <c r="JZ26" s="232"/>
      <c r="KA26" s="232"/>
      <c r="KB26" s="232"/>
      <c r="KC26" s="232"/>
      <c r="KD26" s="232"/>
      <c r="KE26" s="232"/>
      <c r="KF26" s="232"/>
      <c r="KG26" s="232"/>
      <c r="KH26" s="232"/>
      <c r="KI26" s="232"/>
      <c r="KJ26" s="232"/>
      <c r="KK26" s="232"/>
      <c r="KL26" s="232"/>
      <c r="KM26" s="232"/>
      <c r="KN26" s="232"/>
      <c r="KO26" s="232"/>
      <c r="KP26" s="232"/>
      <c r="KQ26" s="232"/>
      <c r="KR26" s="232"/>
      <c r="KS26" s="232"/>
      <c r="KT26" s="232"/>
      <c r="KU26" s="232"/>
      <c r="KV26" s="232"/>
      <c r="KW26" s="232"/>
      <c r="KX26" s="232"/>
      <c r="KY26" s="232"/>
      <c r="KZ26" s="232"/>
      <c r="LA26" s="232"/>
      <c r="LB26" s="232"/>
      <c r="LC26" s="232"/>
      <c r="LD26" s="232"/>
      <c r="LE26" s="232"/>
      <c r="LF26" s="232"/>
      <c r="LG26" s="232"/>
      <c r="LH26" s="232"/>
      <c r="LI26" s="232"/>
      <c r="LJ26" s="232"/>
      <c r="LK26" s="232"/>
      <c r="LL26" s="232"/>
      <c r="LM26" s="232"/>
      <c r="LN26" s="232"/>
      <c r="LO26" s="232"/>
      <c r="LP26" s="232"/>
      <c r="LQ26" s="232"/>
      <c r="LR26" s="232"/>
      <c r="LS26" s="232"/>
      <c r="LT26" s="232"/>
      <c r="LU26" s="232"/>
      <c r="LV26" s="232"/>
      <c r="LW26" s="232"/>
      <c r="LX26" s="232"/>
      <c r="LY26" s="232"/>
      <c r="LZ26" s="232"/>
      <c r="MA26" s="232"/>
      <c r="MB26" s="232"/>
      <c r="MC26" s="232"/>
      <c r="MD26" s="232"/>
      <c r="ME26" s="232"/>
      <c r="MF26" s="232"/>
      <c r="MG26" s="232"/>
      <c r="MH26" s="232"/>
      <c r="MI26" s="232"/>
      <c r="MJ26" s="232"/>
      <c r="MK26" s="232"/>
      <c r="ML26" s="232"/>
      <c r="MM26" s="232"/>
      <c r="MN26" s="232"/>
      <c r="MO26" s="232"/>
      <c r="MP26" s="232"/>
      <c r="MQ26" s="232"/>
      <c r="MR26" s="232"/>
      <c r="MS26" s="232"/>
      <c r="MT26" s="232"/>
      <c r="MU26" s="232"/>
      <c r="MV26" s="232"/>
      <c r="MW26" s="232"/>
      <c r="MX26" s="232"/>
      <c r="MY26" s="232"/>
      <c r="MZ26" s="232"/>
      <c r="NA26" s="232"/>
      <c r="NB26" s="232"/>
      <c r="NC26" s="232"/>
      <c r="ND26" s="232"/>
      <c r="NE26" s="232"/>
      <c r="NF26" s="232"/>
      <c r="NG26" s="232"/>
    </row>
    <row r="27" spans="1:371" ht="44.25" hidden="1" customHeight="1" x14ac:dyDescent="0.25">
      <c r="A27" s="3"/>
      <c r="B27" s="49" t="str">
        <f>IF(B23="mos keladi",B22,B28)</f>
        <v>BUXORO VILOYATI KOGON SHAHRI ZAFAROBOD 17-UY</v>
      </c>
    </row>
    <row r="28" spans="1:371" ht="27.6" x14ac:dyDescent="0.25">
      <c r="A28" s="3" t="s">
        <v>71</v>
      </c>
      <c r="B28" s="49" t="s">
        <v>433</v>
      </c>
    </row>
    <row r="29" spans="1:371" x14ac:dyDescent="0.25">
      <c r="A29" s="3" t="s">
        <v>72</v>
      </c>
      <c r="B29" s="49" t="s">
        <v>89</v>
      </c>
      <c r="C29" s="182" t="s">
        <v>89</v>
      </c>
      <c r="D29" s="187" t="s">
        <v>90</v>
      </c>
      <c r="F29" s="187" t="s">
        <v>324</v>
      </c>
      <c r="G29" s="187" t="s">
        <v>325</v>
      </c>
      <c r="H29" s="187" t="s">
        <v>3</v>
      </c>
    </row>
    <row r="30" spans="1:371" ht="27.6" x14ac:dyDescent="0.25">
      <c r="A30" s="3" t="s">
        <v>73</v>
      </c>
      <c r="B30" s="173" t="s">
        <v>144</v>
      </c>
      <c r="C30" s="182" t="s">
        <v>144</v>
      </c>
      <c r="D30" s="187" t="s">
        <v>328</v>
      </c>
    </row>
    <row r="31" spans="1:371" x14ac:dyDescent="0.25">
      <c r="A31" s="3" t="s">
        <v>74</v>
      </c>
      <c r="B31" s="49" t="s">
        <v>436</v>
      </c>
    </row>
    <row r="32" spans="1:371" x14ac:dyDescent="0.25">
      <c r="A32" s="3" t="s">
        <v>59</v>
      </c>
      <c r="B32" s="49" t="s">
        <v>62</v>
      </c>
    </row>
    <row r="33" spans="1:4" x14ac:dyDescent="0.25">
      <c r="A33" s="227" t="s">
        <v>419</v>
      </c>
      <c r="B33" s="150" t="str">
        <f>B25</f>
        <v>91 923 50 54 MIJOZ</v>
      </c>
    </row>
    <row r="34" spans="1:4" ht="15" hidden="1" customHeight="1" x14ac:dyDescent="0.25">
      <c r="A34" s="3"/>
      <c r="B34" s="49" t="str">
        <f>IF(B23="mos keladi",B26,B35)</f>
        <v>BGGK ZONA</v>
      </c>
    </row>
    <row r="35" spans="1:4" x14ac:dyDescent="0.25">
      <c r="A35" s="3" t="s">
        <v>70</v>
      </c>
      <c r="B35" s="49"/>
    </row>
    <row r="36" spans="1:4" x14ac:dyDescent="0.25">
      <c r="A36" s="3" t="s">
        <v>75</v>
      </c>
      <c r="B36" s="49"/>
    </row>
    <row r="37" spans="1:4" x14ac:dyDescent="0.25">
      <c r="A37" s="3" t="s">
        <v>76</v>
      </c>
      <c r="B37" s="49"/>
    </row>
    <row r="38" spans="1:4" x14ac:dyDescent="0.25">
      <c r="A38" s="3" t="s">
        <v>77</v>
      </c>
      <c r="B38" s="49"/>
    </row>
    <row r="39" spans="1:4" x14ac:dyDescent="0.25">
      <c r="A39" s="3" t="s">
        <v>78</v>
      </c>
      <c r="B39" s="49"/>
    </row>
    <row r="40" spans="1:4" ht="24.75" customHeight="1" x14ac:dyDescent="0.25">
      <c r="A40" s="227" t="s">
        <v>420</v>
      </c>
      <c r="B40" s="150" t="str">
        <f>B25</f>
        <v>91 923 50 54 MIJOZ</v>
      </c>
    </row>
    <row r="41" spans="1:4" ht="24.75" customHeight="1" x14ac:dyDescent="0.25">
      <c r="A41" s="3" t="s">
        <v>80</v>
      </c>
      <c r="B41" s="49" t="s">
        <v>437</v>
      </c>
    </row>
    <row r="42" spans="1:4" ht="24.75" customHeight="1" x14ac:dyDescent="0.25">
      <c r="A42" s="3" t="s">
        <v>79</v>
      </c>
      <c r="B42" s="49" t="s">
        <v>438</v>
      </c>
    </row>
    <row r="43" spans="1:4" x14ac:dyDescent="0.25">
      <c r="A43" s="3" t="s">
        <v>80</v>
      </c>
      <c r="B43" s="49"/>
    </row>
    <row r="44" spans="1:4" ht="22.8" x14ac:dyDescent="0.25">
      <c r="A44" s="175" t="s">
        <v>81</v>
      </c>
      <c r="B44" s="174" t="s">
        <v>340</v>
      </c>
      <c r="C44" s="182" t="s">
        <v>340</v>
      </c>
      <c r="D44" s="187" t="s">
        <v>345</v>
      </c>
    </row>
    <row r="45" spans="1:4" ht="15" hidden="1" customHeight="1" x14ac:dyDescent="0.25">
      <c r="A45" s="3"/>
      <c r="B45" s="172" t="str">
        <f>IF(B44=D44,CONCATENATE("MA'LUMOTNOMA ",B47,B46),C44)</f>
        <v>Yakka tartibdagi tadbirkor</v>
      </c>
    </row>
    <row r="46" spans="1:4" ht="45.6" x14ac:dyDescent="0.25">
      <c r="A46" s="175" t="s">
        <v>346</v>
      </c>
      <c r="B46" s="226"/>
    </row>
    <row r="47" spans="1:4" ht="23.25" hidden="1" customHeight="1" x14ac:dyDescent="0.25">
      <c r="A47" s="175"/>
      <c r="B47" s="172" t="str">
        <f>CONCATENATE(C47," ",B46)</f>
        <v xml:space="preserve">№ </v>
      </c>
      <c r="C47" s="182" t="s">
        <v>14</v>
      </c>
    </row>
    <row r="48" spans="1:4" ht="68.400000000000006" x14ac:dyDescent="0.25">
      <c r="A48" s="175" t="s">
        <v>347</v>
      </c>
      <c r="B48" s="172"/>
    </row>
    <row r="49" spans="1:4" ht="15" hidden="1" customHeight="1" x14ac:dyDescent="0.25">
      <c r="A49" s="3" t="s">
        <v>82</v>
      </c>
      <c r="B49" s="49" t="str">
        <f>IF(B44=C44,C44,B48)</f>
        <v>Yakka tartibdagi tadbirkor</v>
      </c>
    </row>
    <row r="50" spans="1:4" ht="27.6" x14ac:dyDescent="0.25">
      <c r="A50" s="3" t="s">
        <v>83</v>
      </c>
      <c r="B50" s="49"/>
    </row>
    <row r="51" spans="1:4" x14ac:dyDescent="0.25">
      <c r="A51" s="3" t="s">
        <v>70</v>
      </c>
      <c r="B51" s="49"/>
    </row>
    <row r="52" spans="1:4" x14ac:dyDescent="0.25">
      <c r="A52" s="3" t="s">
        <v>84</v>
      </c>
      <c r="B52" s="49"/>
    </row>
    <row r="53" spans="1:4" x14ac:dyDescent="0.25">
      <c r="A53" s="3" t="s">
        <v>85</v>
      </c>
      <c r="B53" s="49"/>
    </row>
    <row r="54" spans="1:4" x14ac:dyDescent="0.25">
      <c r="A54" s="3" t="s">
        <v>86</v>
      </c>
      <c r="B54" s="49"/>
    </row>
    <row r="55" spans="1:4" x14ac:dyDescent="0.25">
      <c r="A55" s="3" t="s">
        <v>87</v>
      </c>
      <c r="B55" s="2"/>
    </row>
    <row r="56" spans="1:4" x14ac:dyDescent="0.25">
      <c r="A56" s="3" t="s">
        <v>88</v>
      </c>
      <c r="B56" s="2" t="s">
        <v>21</v>
      </c>
    </row>
    <row r="57" spans="1:4" ht="30" customHeight="1" x14ac:dyDescent="0.25">
      <c r="A57" s="237" t="s">
        <v>93</v>
      </c>
      <c r="B57" s="238"/>
    </row>
    <row r="58" spans="1:4" ht="20.25" hidden="1" customHeight="1" x14ac:dyDescent="0.25">
      <c r="A58" s="3" t="s">
        <v>94</v>
      </c>
      <c r="B58" s="49" t="str">
        <f>IF(B44=C44,C44,CONCATENATE(B44," ",B47))</f>
        <v>Yakka tartibdagi tadbirkor</v>
      </c>
    </row>
    <row r="59" spans="1:4" ht="31.5" hidden="1" customHeight="1" x14ac:dyDescent="0.25">
      <c r="A59" s="3" t="s">
        <v>82</v>
      </c>
      <c r="B59" s="49" t="str">
        <f>B49</f>
        <v>Yakka tartibdagi tadbirkor</v>
      </c>
    </row>
    <row r="60" spans="1:4" ht="22.8" x14ac:dyDescent="0.25">
      <c r="A60" s="175" t="s">
        <v>95</v>
      </c>
      <c r="B60" s="179">
        <v>5000000</v>
      </c>
      <c r="C60" s="220">
        <f>C63/B75</f>
        <v>0.47934550606060611</v>
      </c>
    </row>
    <row r="61" spans="1:4" x14ac:dyDescent="0.25">
      <c r="A61" s="3" t="s">
        <v>96</v>
      </c>
      <c r="B61" s="5">
        <v>5000000</v>
      </c>
      <c r="C61" s="221" t="s">
        <v>411</v>
      </c>
    </row>
    <row r="62" spans="1:4" hidden="1" x14ac:dyDescent="0.25">
      <c r="A62" s="3" t="s">
        <v>97</v>
      </c>
      <c r="B62" s="49">
        <f>B53</f>
        <v>0</v>
      </c>
      <c r="C62" s="222"/>
    </row>
    <row r="63" spans="1:4" x14ac:dyDescent="0.25">
      <c r="A63" s="3" t="s">
        <v>98</v>
      </c>
      <c r="B63" s="49"/>
      <c r="C63" s="223">
        <f>SUM(grafik!E9:E20)</f>
        <v>15818401.700000001</v>
      </c>
    </row>
    <row r="64" spans="1:4" ht="14.4" thickBot="1" x14ac:dyDescent="0.3">
      <c r="A64" s="236" t="s">
        <v>99</v>
      </c>
      <c r="B64" s="236"/>
      <c r="C64" s="182" t="str">
        <f>PROPER(B65)</f>
        <v>Mikroqarz</v>
      </c>
      <c r="D64" s="187" t="str">
        <f>UPPER(B65)</f>
        <v>MIKROQARZ</v>
      </c>
    </row>
    <row r="65" spans="1:15" hidden="1" x14ac:dyDescent="0.25">
      <c r="A65" s="3" t="s">
        <v>100</v>
      </c>
      <c r="B65" s="1" t="str">
        <f>IF(B75&gt;100000001,"mikrokredit",IF(B75&lt;100000001,"mikroqarz",0))</f>
        <v>mikroqarz</v>
      </c>
      <c r="C65" s="196">
        <f>DATE(YEAR(B67),MONTH(B67)+B81,DAY(B67))</f>
        <v>47124</v>
      </c>
    </row>
    <row r="66" spans="1:15" hidden="1" x14ac:dyDescent="0.25">
      <c r="A66" s="3" t="s">
        <v>101</v>
      </c>
      <c r="B66" s="49" t="str">
        <f>B1</f>
        <v>№3-BR</v>
      </c>
      <c r="C66" s="182">
        <f>MONTH(C65)</f>
        <v>1</v>
      </c>
      <c r="D66" s="187" t="str">
        <f>IF(C66=C68,C70,IF(C66=D68,D70,IF(C66=F68,F70,IF(C66=G68,G70,IF(C66=H68,H70,IF(C66=I68,I70,IF(C66=J68,J70,IF(C66=K68,K70,IF(C66=L68,L70,IF(C66=M68,M70,IF(C66=N68,N70,IF(C66=O68,O70,))))))))))))</f>
        <v>yanvar</v>
      </c>
      <c r="F66" s="187">
        <f>DAY(C65)</f>
        <v>6</v>
      </c>
      <c r="G66" s="187">
        <f>YEAR(C65)</f>
        <v>2029</v>
      </c>
      <c r="H66" s="187">
        <f>MONTH(C65)</f>
        <v>1</v>
      </c>
      <c r="I66" s="187" t="str">
        <f>IF(C66=C68,C71,IF(C66=D68,D71,IF(C66=F68,F71,IF(C66=G68,G71,IF(C66=H68,H71,IF(C66=I68,I71,IF(C66=J68,J71,IF(C66=K68,K71,IF(C66=L68,L71,IF(C66=M68,M71,IF(C66=N68,N71,IF(C66=O68,O71,))))))))))))</f>
        <v>yanvar</v>
      </c>
      <c r="J66" s="187">
        <f>YEAR(C65)</f>
        <v>2029</v>
      </c>
    </row>
    <row r="67" spans="1:15" hidden="1" x14ac:dyDescent="0.25">
      <c r="A67" s="3" t="s">
        <v>102</v>
      </c>
      <c r="B67" s="84" t="str">
        <f>B2</f>
        <v>06.01.2026</v>
      </c>
      <c r="C67" s="182">
        <f>MONTH(B67)</f>
        <v>1</v>
      </c>
      <c r="D67" s="187" t="str">
        <f>IF(C67=C68,C70,IF(C67=D68,D70,IF(C67=F68,F70,IF(C67=G68,G70,IF(C67=H68,H70,IF(C67=I68,I70,IF(C67=J68,J70,IF(C67=K68,K70,IF(C67=L68,L70,IF(C67=M68,M70,IF(C67=N68,N70,IF(C67=O68,O70,))))))))))))</f>
        <v>yanvar</v>
      </c>
      <c r="F67" s="187">
        <f>DAY(B67)</f>
        <v>6</v>
      </c>
      <c r="G67" s="187">
        <f>YEAR(B67)</f>
        <v>2026</v>
      </c>
      <c r="H67" s="187">
        <f>MONTH(B67)</f>
        <v>1</v>
      </c>
      <c r="I67" s="187" t="str">
        <f>IF(C67=C68,C71,IF(C67=D68,D71,IF(C67=F68,F71,IF(C67=G68,G71,IF(C67=H68,H71,IF(C67=I68,I71,IF(C67=J68,J71,IF(C67=K68,K71,IF(C67=L68,L71,IF(C67=M68,M71,IF(C67=N68,N71,IF(C67=O68,O71,))))))))))))</f>
        <v>yanvar</v>
      </c>
      <c r="J67" s="187">
        <f>YEAR(B67)</f>
        <v>2026</v>
      </c>
    </row>
    <row r="68" spans="1:15" hidden="1" x14ac:dyDescent="0.25">
      <c r="A68" s="3" t="s">
        <v>103</v>
      </c>
      <c r="B68" s="76" t="str">
        <f>""&amp;F67&amp;" "&amp;D67&amp;" "&amp;G67&amp;" y."</f>
        <v>6 yanvar 2026 y.</v>
      </c>
      <c r="C68" s="182">
        <v>1</v>
      </c>
      <c r="D68" s="187">
        <v>2</v>
      </c>
      <c r="F68" s="187">
        <v>3</v>
      </c>
      <c r="G68" s="187">
        <v>4</v>
      </c>
      <c r="H68" s="187">
        <v>5</v>
      </c>
      <c r="I68" s="187">
        <v>6</v>
      </c>
      <c r="J68" s="187">
        <v>7</v>
      </c>
      <c r="K68" s="187">
        <v>8</v>
      </c>
      <c r="L68" s="187">
        <v>9</v>
      </c>
      <c r="M68" s="187">
        <v>10</v>
      </c>
      <c r="N68" s="187">
        <v>11</v>
      </c>
      <c r="O68" s="187">
        <v>12</v>
      </c>
    </row>
    <row r="69" spans="1:15" hidden="1" x14ac:dyDescent="0.25">
      <c r="A69" s="3"/>
      <c r="B69" s="76" t="str">
        <f>""&amp;F67&amp;" "&amp;I67&amp;" "&amp;G67&amp;" y."</f>
        <v>6 yanvar 2026 y.</v>
      </c>
    </row>
    <row r="70" spans="1:15" hidden="1" x14ac:dyDescent="0.25">
      <c r="A70" s="3"/>
      <c r="B70" s="59" t="str">
        <f>B68</f>
        <v>6 yanvar 2026 y.</v>
      </c>
      <c r="C70" s="182" t="s">
        <v>115</v>
      </c>
      <c r="D70" s="187" t="s">
        <v>116</v>
      </c>
      <c r="F70" s="187" t="s">
        <v>105</v>
      </c>
      <c r="G70" s="187" t="s">
        <v>106</v>
      </c>
      <c r="H70" s="187" t="s">
        <v>107</v>
      </c>
      <c r="I70" s="187" t="s">
        <v>108</v>
      </c>
      <c r="J70" s="187" t="s">
        <v>109</v>
      </c>
      <c r="K70" s="187" t="s">
        <v>110</v>
      </c>
      <c r="L70" s="187" t="s">
        <v>111</v>
      </c>
      <c r="M70" s="187" t="s">
        <v>112</v>
      </c>
      <c r="N70" s="187" t="s">
        <v>113</v>
      </c>
      <c r="O70" s="187" t="s">
        <v>114</v>
      </c>
    </row>
    <row r="71" spans="1:15" hidden="1" x14ac:dyDescent="0.25">
      <c r="A71" s="3"/>
      <c r="B71" s="59" t="str">
        <f>B69</f>
        <v>6 yanvar 2026 y.</v>
      </c>
      <c r="C71" s="182" t="s">
        <v>115</v>
      </c>
      <c r="D71" s="187" t="s">
        <v>116</v>
      </c>
      <c r="F71" s="187" t="s">
        <v>105</v>
      </c>
      <c r="G71" s="187" t="s">
        <v>106</v>
      </c>
      <c r="H71" s="187" t="s">
        <v>107</v>
      </c>
      <c r="I71" s="187" t="s">
        <v>108</v>
      </c>
      <c r="J71" s="187" t="s">
        <v>109</v>
      </c>
      <c r="K71" s="187" t="s">
        <v>110</v>
      </c>
      <c r="L71" s="187" t="s">
        <v>111</v>
      </c>
      <c r="M71" s="187" t="s">
        <v>112</v>
      </c>
      <c r="N71" s="187" t="s">
        <v>113</v>
      </c>
      <c r="O71" s="187" t="s">
        <v>114</v>
      </c>
    </row>
    <row r="72" spans="1:15" hidden="1" x14ac:dyDescent="0.25">
      <c r="A72" s="3" t="s">
        <v>104</v>
      </c>
      <c r="B72" s="58" t="str">
        <f>""&amp;F66&amp;" "&amp;D66&amp;" "&amp;G66&amp;" y."</f>
        <v>6 yanvar 2029 y.</v>
      </c>
    </row>
    <row r="73" spans="1:15" hidden="1" x14ac:dyDescent="0.25">
      <c r="A73" s="3"/>
      <c r="B73" s="58" t="str">
        <f>""&amp;F66&amp;" "&amp;I66&amp;" "&amp;G66&amp;" y."</f>
        <v>6 yanvar 2029 y.</v>
      </c>
    </row>
    <row r="74" spans="1:15" ht="14.4" hidden="1" thickBot="1" x14ac:dyDescent="0.3">
      <c r="A74" s="3" t="s">
        <v>117</v>
      </c>
      <c r="B74" s="1" t="str">
        <f>""&amp;B68&amp;"dan "&amp;B66&amp;""</f>
        <v>6 yanvar 2026 y.dan №3-BR</v>
      </c>
    </row>
    <row r="75" spans="1:15" ht="15" x14ac:dyDescent="0.25">
      <c r="A75" s="3" t="str">
        <f>CONCATENATE(B65," miqdori (summasi)")</f>
        <v>mikroqarz miqdori (summasi)</v>
      </c>
      <c r="B75" s="230">
        <v>33000000</v>
      </c>
      <c r="C75" s="197" t="s">
        <v>123</v>
      </c>
    </row>
    <row r="76" spans="1:15" x14ac:dyDescent="0.25">
      <c r="A76" s="225" t="s">
        <v>413</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uch million so'm</v>
      </c>
      <c r="C76" s="198"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O'ttiz uch million so'm</v>
      </c>
    </row>
    <row r="77" spans="1:15" x14ac:dyDescent="0.25">
      <c r="A77" s="3" t="s">
        <v>119</v>
      </c>
      <c r="B77" s="49" t="s">
        <v>125</v>
      </c>
      <c r="C77" s="182" t="s">
        <v>125</v>
      </c>
      <c r="D77" s="187" t="s">
        <v>124</v>
      </c>
    </row>
    <row r="78" spans="1:15" x14ac:dyDescent="0.25">
      <c r="A78" s="3" t="str">
        <f>CONCATENATE(B65,"ni to'lash sanasi (14.10.2011)")</f>
        <v>mikroqarzni to'lash sanasi (14.10.2011)</v>
      </c>
      <c r="B78" s="49">
        <v>15</v>
      </c>
      <c r="C78" s="196">
        <f>DATE(YEAR(B67),MONTH(B67)+1,DAY(B78))</f>
        <v>46068</v>
      </c>
      <c r="D78" s="187" t="s">
        <v>25</v>
      </c>
      <c r="F78" s="187" t="s">
        <v>26</v>
      </c>
      <c r="G78" s="187" t="s">
        <v>27</v>
      </c>
      <c r="H78" s="187" t="s">
        <v>28</v>
      </c>
      <c r="I78" s="187" t="s">
        <v>29</v>
      </c>
      <c r="J78" s="187" t="s">
        <v>30</v>
      </c>
      <c r="K78" s="187" t="s">
        <v>31</v>
      </c>
    </row>
    <row r="79" spans="1:15" hidden="1" x14ac:dyDescent="0.25">
      <c r="A79" s="3" t="str">
        <f>CONCATENATE(B65,"ni to'lash sanasi (14.10.2011 y.) QO’L BILAN KIRITILADI")</f>
        <v>mikroqarzni to'lash sanasi (14.10.2011 y.) QO’L BILAN KIRITILADI</v>
      </c>
      <c r="B79" s="77">
        <f>DATE(YEAR(B67),MONTH(B67)+1,DAY(B78+C80))</f>
        <v>46069</v>
      </c>
      <c r="C79" s="199" t="str">
        <f>TEXT(C78,"ддд")</f>
        <v>Вс</v>
      </c>
      <c r="D79" s="187" t="s">
        <v>25</v>
      </c>
      <c r="F79" s="187" t="s">
        <v>26</v>
      </c>
      <c r="G79" s="187" t="s">
        <v>27</v>
      </c>
      <c r="H79" s="187" t="s">
        <v>28</v>
      </c>
      <c r="I79" s="187" t="s">
        <v>29</v>
      </c>
      <c r="J79" s="187" t="s">
        <v>30</v>
      </c>
      <c r="K79" s="187" t="s">
        <v>31</v>
      </c>
    </row>
    <row r="80" spans="1:15" hidden="1" x14ac:dyDescent="0.25">
      <c r="A80" s="3" t="s">
        <v>120</v>
      </c>
      <c r="B80" s="78">
        <f>B79</f>
        <v>46069</v>
      </c>
      <c r="C80" s="182">
        <f>IF(C79=J79,2,IF(C79=K79,1,0))</f>
        <v>1</v>
      </c>
    </row>
    <row r="81" spans="1:64" x14ac:dyDescent="0.25">
      <c r="A81" s="3" t="str">
        <f>CONCATENATE(B65," muddati")</f>
        <v>mikroqarz muddati</v>
      </c>
      <c r="B81" s="49">
        <v>36</v>
      </c>
      <c r="C81" s="224">
        <v>6</v>
      </c>
      <c r="D81" s="218">
        <v>12</v>
      </c>
      <c r="E81" s="218">
        <v>16</v>
      </c>
      <c r="F81" s="218">
        <v>18</v>
      </c>
      <c r="G81" s="218">
        <v>24</v>
      </c>
      <c r="H81" s="218">
        <v>28</v>
      </c>
      <c r="I81" s="218">
        <v>30</v>
      </c>
      <c r="J81" s="218">
        <v>36</v>
      </c>
      <c r="K81" s="102"/>
      <c r="L81" s="102"/>
      <c r="M81" s="102">
        <v>48</v>
      </c>
      <c r="N81" s="102"/>
      <c r="O81" s="102"/>
      <c r="P81" s="102"/>
      <c r="Q81" s="102"/>
      <c r="R81" s="102"/>
      <c r="S81" s="102"/>
      <c r="T81" s="102"/>
      <c r="U81" s="102"/>
      <c r="V81" s="102"/>
    </row>
    <row r="82" spans="1:64" x14ac:dyDescent="0.25">
      <c r="A82" s="219" t="str">
        <f>CONCATENATE(B65," TEGILMASIN")</f>
        <v>mikroqarz TEGILMASIN</v>
      </c>
      <c r="B82" s="195" t="str">
        <f>IF(B81=C81,"olti",IF(B81=D81,"o'n ikki",IF(B81=E81,"o'n sakkiz",IF(B81=F81,"o'n sakkiz",IF(B81=G81,"yigirma to'rt",IF(B81=H81,"yigirma sakkiz",IF(B81=I81,"o'ttiz",IF(B81=J81,"o'ttiz olti",IF(B81=M81,"qirq sakkiz",0)))))))))</f>
        <v>o'ttiz olti</v>
      </c>
      <c r="C82" s="224" t="s">
        <v>393</v>
      </c>
      <c r="D82" s="218" t="s">
        <v>394</v>
      </c>
      <c r="E82" s="218" t="s">
        <v>379</v>
      </c>
      <c r="F82" s="218" t="s">
        <v>395</v>
      </c>
      <c r="G82" s="218" t="s">
        <v>396</v>
      </c>
      <c r="H82" s="218" t="s">
        <v>402</v>
      </c>
      <c r="I82" s="218" t="s">
        <v>406</v>
      </c>
      <c r="J82" s="218" t="s">
        <v>397</v>
      </c>
      <c r="K82" s="102"/>
      <c r="L82" s="102"/>
      <c r="M82" s="102" t="s">
        <v>410</v>
      </c>
      <c r="N82" s="102"/>
      <c r="O82" s="102"/>
      <c r="P82" s="102"/>
      <c r="Q82" s="102"/>
      <c r="R82" s="102"/>
      <c r="S82" s="102"/>
      <c r="T82" s="102"/>
      <c r="U82" s="102"/>
      <c r="V82" s="102"/>
    </row>
    <row r="83" spans="1:64" ht="30" x14ac:dyDescent="0.25">
      <c r="A83" s="170" t="s">
        <v>342</v>
      </c>
      <c r="B83" s="145">
        <v>0</v>
      </c>
      <c r="BK83" s="187">
        <v>1</v>
      </c>
      <c r="BL83" s="187">
        <v>0</v>
      </c>
    </row>
    <row r="84" spans="1:64" hidden="1" x14ac:dyDescent="0.25">
      <c r="A84" s="3" t="str">
        <f>CONCATENATE(B65," stavkasi")</f>
        <v>mikroqarz stavkasi</v>
      </c>
      <c r="B84" s="80">
        <v>0.55000000000000004</v>
      </c>
    </row>
    <row r="85" spans="1:64" hidden="1" x14ac:dyDescent="0.25">
      <c r="A85" s="3" t="str">
        <f>CONCATENATE(B65," stavkasi")</f>
        <v>mikroqarz stavkasi</v>
      </c>
      <c r="B85" s="81" t="s">
        <v>408</v>
      </c>
    </row>
    <row r="86" spans="1:64" hidden="1" x14ac:dyDescent="0.25">
      <c r="A86" s="3" t="str">
        <f>CONCATENATE(B65," stavkasi (so’z bilan)")</f>
        <v>mikroqarz stavkasi (so’z bilan)</v>
      </c>
      <c r="B86" s="79" t="s">
        <v>412</v>
      </c>
      <c r="C86" s="182" t="s">
        <v>409</v>
      </c>
    </row>
    <row r="87" spans="1:64" hidden="1" x14ac:dyDescent="0.25">
      <c r="A87" s="3" t="str">
        <f>CONCATENATE("Muddati o'tgan ",B65," bo’yicha stavka")</f>
        <v>Muddati o'tgan mikroqarz bo’yicha stavka</v>
      </c>
      <c r="B87" s="80">
        <v>1.05</v>
      </c>
    </row>
    <row r="88" spans="1:64" hidden="1" x14ac:dyDescent="0.25">
      <c r="A88" s="149" t="s">
        <v>118</v>
      </c>
      <c r="B88" s="81" t="s">
        <v>415</v>
      </c>
    </row>
    <row r="89" spans="1:64" hidden="1" x14ac:dyDescent="0.25">
      <c r="A89" s="3" t="str">
        <f>CONCATENATE("Muddati o'tgan ",B65," bo’yicha stavka")</f>
        <v>Muddati o'tgan mikroqarz bo’yicha stavka</v>
      </c>
      <c r="B89" s="79" t="s">
        <v>414</v>
      </c>
      <c r="C89" s="182" t="s">
        <v>414</v>
      </c>
    </row>
    <row r="90" spans="1:64" hidden="1" x14ac:dyDescent="0.25">
      <c r="A90" s="3" t="s">
        <v>121</v>
      </c>
      <c r="B90" s="82">
        <f>IF(B77=C77,LARGE(grafik!F9:F26,1),ROUND(PMT(B84/12,B81,-B75,0),-3))</f>
        <v>2955433.9</v>
      </c>
    </row>
    <row r="91" spans="1:64" x14ac:dyDescent="0.25">
      <c r="A91" s="236" t="s">
        <v>122</v>
      </c>
      <c r="B91" s="236"/>
    </row>
    <row r="92" spans="1:64" ht="17.399999999999999" x14ac:dyDescent="0.25">
      <c r="A92" s="83"/>
      <c r="B92" s="139" t="s">
        <v>127</v>
      </c>
      <c r="C92" s="200" t="s">
        <v>127</v>
      </c>
      <c r="D92" s="187" t="s">
        <v>128</v>
      </c>
    </row>
    <row r="93" spans="1:64" ht="17.399999999999999" x14ac:dyDescent="0.25">
      <c r="A93" s="8" t="s">
        <v>133</v>
      </c>
      <c r="B93" s="139" t="s">
        <v>130</v>
      </c>
      <c r="C93" s="201" t="s">
        <v>129</v>
      </c>
      <c r="D93" s="187" t="s">
        <v>130</v>
      </c>
    </row>
    <row r="94" spans="1:64" ht="34.799999999999997" x14ac:dyDescent="0.25">
      <c r="A94" s="8" t="s">
        <v>134</v>
      </c>
      <c r="B94" s="139" t="s">
        <v>132</v>
      </c>
      <c r="C94" s="182" t="s">
        <v>131</v>
      </c>
      <c r="D94" s="187" t="s">
        <v>132</v>
      </c>
    </row>
    <row r="95" spans="1:64" ht="17.399999999999999" x14ac:dyDescent="0.25">
      <c r="A95" s="8" t="s">
        <v>135</v>
      </c>
      <c r="B95" s="139" t="s">
        <v>439</v>
      </c>
    </row>
    <row r="96" spans="1:64" ht="34.799999999999997" x14ac:dyDescent="0.25">
      <c r="A96" s="8" t="s">
        <v>136</v>
      </c>
      <c r="B96" s="139" t="s">
        <v>440</v>
      </c>
    </row>
    <row r="97" spans="1:4" x14ac:dyDescent="0.25">
      <c r="A97" s="236"/>
      <c r="B97" s="236"/>
    </row>
    <row r="98" spans="1:4" ht="34.799999999999997" x14ac:dyDescent="0.25">
      <c r="A98" s="8" t="s">
        <v>137</v>
      </c>
      <c r="B98" s="139" t="s">
        <v>441</v>
      </c>
    </row>
    <row r="99" spans="1:4" ht="34.799999999999997" x14ac:dyDescent="0.25">
      <c r="A99" s="8" t="s">
        <v>138</v>
      </c>
      <c r="B99" s="139" t="s">
        <v>442</v>
      </c>
    </row>
    <row r="100" spans="1:4" ht="17.399999999999999" x14ac:dyDescent="0.25">
      <c r="A100" s="8" t="s">
        <v>139</v>
      </c>
      <c r="B100" s="146" t="s">
        <v>443</v>
      </c>
    </row>
    <row r="101" spans="1:4" ht="17.399999999999999" x14ac:dyDescent="0.25">
      <c r="A101" s="8" t="s">
        <v>140</v>
      </c>
      <c r="B101" s="231">
        <v>46028</v>
      </c>
    </row>
    <row r="102" spans="1:4" ht="17.399999999999999" hidden="1" x14ac:dyDescent="0.25">
      <c r="A102" s="8"/>
      <c r="B102" s="139" t="str">
        <f>TEXT(B101,"ДД.ММ.ГГГГ")</f>
        <v>06.01.2026</v>
      </c>
    </row>
    <row r="103" spans="1:4" ht="17.399999999999999" x14ac:dyDescent="0.25">
      <c r="A103" s="8"/>
      <c r="B103" s="9" t="s">
        <v>141</v>
      </c>
      <c r="C103" s="182" t="s">
        <v>141</v>
      </c>
      <c r="D103" s="187" t="s">
        <v>142</v>
      </c>
    </row>
    <row r="104" spans="1:4" ht="60" x14ac:dyDescent="0.25">
      <c r="A104" s="178" t="s">
        <v>344</v>
      </c>
      <c r="B104" s="177" t="s">
        <v>343</v>
      </c>
      <c r="C104" s="202" t="s">
        <v>142</v>
      </c>
    </row>
    <row r="105" spans="1:4" ht="30" x14ac:dyDescent="0.25">
      <c r="A105" s="169" t="s">
        <v>365</v>
      </c>
      <c r="B105" s="9" t="s">
        <v>439</v>
      </c>
      <c r="C105" s="202"/>
    </row>
    <row r="106" spans="1:4" ht="30" x14ac:dyDescent="0.25">
      <c r="A106" s="169" t="s">
        <v>366</v>
      </c>
      <c r="B106" s="9" t="s">
        <v>440</v>
      </c>
      <c r="C106" s="202"/>
    </row>
    <row r="107" spans="1:4" ht="60" x14ac:dyDescent="0.25">
      <c r="A107" s="169" t="str">
        <f>A113</f>
        <v>Tug’ilgan sanasi (01.10.2011 y.)</v>
      </c>
      <c r="B107" s="229" t="s">
        <v>444</v>
      </c>
      <c r="C107" s="202"/>
    </row>
    <row r="108" spans="1:4" ht="60" x14ac:dyDescent="0.25">
      <c r="A108" s="169" t="str">
        <f>A114</f>
        <v>Pasport seriyasi (СА №1234567)</v>
      </c>
      <c r="B108" s="9" t="s">
        <v>445</v>
      </c>
      <c r="C108" s="202"/>
    </row>
    <row r="109" spans="1:4" ht="120" x14ac:dyDescent="0.25">
      <c r="A109" s="169" t="str">
        <f>A115</f>
        <v xml:space="preserve">Kim va qachon berilgan
(Toshkent shahri Chilonzor IIB tomonidan 2011 yil __.____)
</v>
      </c>
      <c r="B109" s="9" t="s">
        <v>446</v>
      </c>
      <c r="C109" s="202"/>
    </row>
    <row r="110" spans="1:4" ht="150" x14ac:dyDescent="0.25">
      <c r="A110" s="169" t="str">
        <f>A116</f>
        <v xml:space="preserve">doimiy ro’yhatdan o’tgan joyi
(Toshkent sh., Mirobod tumani, Nukus ko’chasi, 1 uy, 1 honadon)
</v>
      </c>
      <c r="B110" s="9" t="s">
        <v>447</v>
      </c>
      <c r="C110" s="202"/>
    </row>
    <row r="111" spans="1:4" hidden="1" x14ac:dyDescent="0.25">
      <c r="A111" s="137" t="s">
        <v>154</v>
      </c>
      <c r="B111" s="128" t="str">
        <f t="shared" ref="B111:B114" si="0">B105</f>
        <v>USMONOV NURIDDID IXTIYOROVICH</v>
      </c>
      <c r="C111" s="203">
        <f>IF(B93="HA",B5,C105)</f>
        <v>0</v>
      </c>
    </row>
    <row r="112" spans="1:4" hidden="1" x14ac:dyDescent="0.25">
      <c r="A112" s="137"/>
      <c r="B112" s="128" t="str">
        <f t="shared" si="0"/>
        <v>USMONOV N.I.</v>
      </c>
      <c r="C112" s="203" t="s">
        <v>398</v>
      </c>
    </row>
    <row r="113" spans="1:19" hidden="1" x14ac:dyDescent="0.25">
      <c r="A113" s="138" t="s">
        <v>155</v>
      </c>
      <c r="B113" s="168" t="str">
        <f t="shared" si="0"/>
        <v>16.12.1995 y.</v>
      </c>
      <c r="C113" s="203">
        <f>IF(B93="HA",B15,C107)</f>
        <v>0</v>
      </c>
    </row>
    <row r="114" spans="1:19" hidden="1" x14ac:dyDescent="0.25">
      <c r="A114" s="138" t="s">
        <v>61</v>
      </c>
      <c r="B114" s="168" t="str">
        <f t="shared" si="0"/>
        <v>AD 6809876</v>
      </c>
      <c r="C114" s="203">
        <f>IF(B93="HA",B16,C108)</f>
        <v>0</v>
      </c>
    </row>
    <row r="115" spans="1:19" ht="42" hidden="1" customHeight="1" x14ac:dyDescent="0.25">
      <c r="A115" s="138" t="s">
        <v>64</v>
      </c>
      <c r="B115" s="128" t="str">
        <f>B109</f>
        <v>BUXORO VILOYATI BUXORO SHAHRI IIB tomondan 15.04.2024 yilda berilgan</v>
      </c>
      <c r="C115" s="203">
        <f>IF(B93="HA",B20,C109)</f>
        <v>0</v>
      </c>
      <c r="D115" s="187">
        <v>493193762</v>
      </c>
    </row>
    <row r="116" spans="1:19" ht="53.25" hidden="1" customHeight="1" x14ac:dyDescent="0.25">
      <c r="A116" s="138" t="s">
        <v>66</v>
      </c>
      <c r="B116" s="128" t="str">
        <f>B110</f>
        <v>BUXORO VILOYATI BUXORO SHAHRI CHO'LPON KO'CHASI 22-A-UY</v>
      </c>
      <c r="C116" s="204">
        <f>IF(B93="HA",B22,C110)</f>
        <v>0</v>
      </c>
    </row>
    <row r="117" spans="1:19" x14ac:dyDescent="0.25">
      <c r="A117" s="138" t="s">
        <v>156</v>
      </c>
      <c r="B117" s="215" t="str">
        <f>IF(B93="ha",B5,B111)</f>
        <v>USMONOV NURIDDID IXTIYOROVICH</v>
      </c>
      <c r="C117" s="205">
        <f>IF(B93="ha",B5,C111)</f>
        <v>0</v>
      </c>
    </row>
    <row r="118" spans="1:19" x14ac:dyDescent="0.25">
      <c r="A118" s="138"/>
      <c r="B118" s="215" t="str">
        <f>IF(B93="ha",B7,B112)</f>
        <v>USMONOV N.I.</v>
      </c>
      <c r="C118" s="205" t="str">
        <f>IF(B93="ha",B7,C112)</f>
        <v>qurbon</v>
      </c>
    </row>
    <row r="119" spans="1:19" x14ac:dyDescent="0.25">
      <c r="A119" s="3" t="s">
        <v>155</v>
      </c>
      <c r="B119" s="217" t="str">
        <f>IF(B93="ha",B15,B113)</f>
        <v>16.12.1995 y.</v>
      </c>
      <c r="C119" s="205">
        <f>IF(B93="ha",B15,C113)</f>
        <v>0</v>
      </c>
    </row>
    <row r="120" spans="1:19" x14ac:dyDescent="0.25">
      <c r="A120" s="3" t="s">
        <v>61</v>
      </c>
      <c r="B120" s="215" t="str">
        <f>IF(B93="ha",B16,B114)</f>
        <v>AD 6809876</v>
      </c>
      <c r="C120" s="205">
        <f>IF(B93="ha",B16,C114)</f>
        <v>0</v>
      </c>
    </row>
    <row r="121" spans="1:19" ht="41.4" x14ac:dyDescent="0.25">
      <c r="A121" s="3" t="s">
        <v>64</v>
      </c>
      <c r="B121" s="215" t="str">
        <f>IF(B93="ha",B20,B115)</f>
        <v>BUXORO VILOYATI BUXORO SHAHRI IIB tomondan 15.04.2024 yilda berilgan</v>
      </c>
      <c r="C121" s="205">
        <f>IF(B93="ha",B20,C115)</f>
        <v>0</v>
      </c>
    </row>
    <row r="122" spans="1:19" ht="41.4" x14ac:dyDescent="0.25">
      <c r="A122" s="3" t="s">
        <v>66</v>
      </c>
      <c r="B122" s="216" t="str">
        <f>IF(B93="ha",B22,B116)</f>
        <v>BUXORO VILOYATI BUXORO SHAHRI CHO'LPON KO'CHASI 22-A-UY</v>
      </c>
      <c r="C122" s="206">
        <f>IF(B93="ha",B22,C116)</f>
        <v>0</v>
      </c>
    </row>
    <row r="123" spans="1:19" ht="55.2" x14ac:dyDescent="0.25">
      <c r="A123" s="3" t="s">
        <v>157</v>
      </c>
      <c r="B123" s="49" t="s">
        <v>424</v>
      </c>
      <c r="C123" s="207" t="s">
        <v>44</v>
      </c>
      <c r="O123" s="187" t="str">
        <f>IF(B103=C103,B117,IF(B103=D103,C117,0))</f>
        <v>USMONOV NURIDDID IXTIYOROVICH</v>
      </c>
    </row>
    <row r="124" spans="1:19" ht="27.6" x14ac:dyDescent="0.25">
      <c r="A124" s="3" t="s">
        <v>158</v>
      </c>
      <c r="B124" s="49" t="s">
        <v>454</v>
      </c>
      <c r="C124" s="205" t="s">
        <v>374</v>
      </c>
      <c r="D124" s="188" t="s">
        <v>147</v>
      </c>
      <c r="E124" s="188"/>
      <c r="R124" s="187" t="str">
        <f>""&amp;B95&amp;" (по генеральному доверенестью №"&amp;B100&amp;" от "&amp;B102&amp;")"</f>
        <v>USMONOV NURIDDID IXTIYOROVICH (по генеральному доверенестью №202602386000102 от 06.01.2026)</v>
      </c>
      <c r="S124" s="187" t="str">
        <f>""&amp;B95&amp;" ("&amp;B102&amp;"y. sanasidagi reestr raqami №"&amp;B100&amp;" bo'lgan Ishonchnomaga asosan)"</f>
        <v>USMONOV NURIDDID IXTIYOROVICH (06.01.2026y. sanasidagi reestr raqami №202602386000102 bo'lgan Ishonchnomaga asosan)</v>
      </c>
    </row>
    <row r="125" spans="1:19" ht="27.6" x14ac:dyDescent="0.25">
      <c r="A125" s="3" t="s">
        <v>159</v>
      </c>
      <c r="B125" s="49" t="s">
        <v>448</v>
      </c>
      <c r="C125" s="206" t="str">
        <f>""&amp;D126&amp;" "&amp;IF(C129=D129,"- xonali yakka tartibdagi uy-joy", IF(C129=F129,"-  xonali ko'p qavatli uydagi xonadon",0))&amp;""</f>
        <v>3 - xonali yakka tartibdagi uy-joy</v>
      </c>
      <c r="D125" s="189" t="s">
        <v>145</v>
      </c>
      <c r="E125" s="190"/>
      <c r="F125" s="187" t="str">
        <f>IF($C$129=$D$129,J125,IF($C$129=$F$129,I125,0))</f>
        <v>3 - xonali yakka tartibdagi uy-joy</v>
      </c>
      <c r="G125" s="187" t="str">
        <f>IF($C$129=$D$129,J125,IF($C$129=$F$129,I125,0))</f>
        <v>3 - xonali yakka tartibdagi uy-joy</v>
      </c>
      <c r="I125" s="187" t="str">
        <f>"Ko'p qavatli uydagi "&amp;D126&amp;" - xonali xonadon"</f>
        <v>Ko'p qavatli uydagi 3 - xonali xonadon</v>
      </c>
      <c r="J125" s="187" t="str">
        <f>""&amp;D126&amp;" - xonali yakka tartibdagi uy-joy"</f>
        <v>3 - xonali yakka tartibdagi uy-joy</v>
      </c>
      <c r="O125" s="187" t="str">
        <f>IF(B93=C93,R126,IF(B93=D93,R125,0))</f>
        <v>Микрофинансовой организацией, Заемщиком и USMONOV NURIDDID IXTIYOROVICH (по генеральному доверенестью №202602386000102 от 06.01.2026)</v>
      </c>
      <c r="R125" s="187" t="str">
        <f>"Микрофинансовой организацией, Заемщиком и "&amp;IF(B94=D94,R124,IF(B94=C94,B111,0))&amp;""</f>
        <v>Микрофинансовой организацией, Заемщиком и USMONOV NURIDDID IXTIYOROVICH (по генеральному доверенестью №202602386000102 от 06.01.2026)</v>
      </c>
      <c r="S125" s="187" t="str">
        <f>"Mikromoliya tashkiloti, Qarz oluvchi va "&amp;IF(B94=D94,S124,IF(B94=C94,B111))&amp;""</f>
        <v>Mikromoliya tashkiloti, Qarz oluvchi va USMONOV NURIDDID IXTIYOROVICH (06.01.2026y. sanasidagi reestr raqami №202602386000102 bo'lgan Ishonchnomaga asosan)</v>
      </c>
    </row>
    <row r="126" spans="1:19" x14ac:dyDescent="0.25">
      <c r="A126" s="3" t="s">
        <v>160</v>
      </c>
      <c r="B126" s="186" t="s">
        <v>449</v>
      </c>
      <c r="C126" s="206" t="str">
        <f>C125</f>
        <v>3 - xonali yakka tartibdagi uy-joy</v>
      </c>
      <c r="D126" s="191">
        <v>3</v>
      </c>
      <c r="E126" s="190"/>
      <c r="F126" s="187" t="str">
        <f>IF($C$129=$D$129,J126,IF($C$129=$F$129,I126,0))</f>
        <v>yer uchastkasi maydoni - , umumiy maydoni - 72,13, yashash maydoni - 37,39</v>
      </c>
      <c r="G126" s="187" t="str">
        <f>IF($C$129=$D$129,J126,IF($C$129=$F$129,I126,0))</f>
        <v>yer uchastkasi maydoni - , umumiy maydoni - 72,13, yashash maydoni - 37,39</v>
      </c>
      <c r="I126" s="187" t="str">
        <f>"umumiy maydoni - "&amp;C130&amp;", yashash maydoni - "&amp;C133&amp;""</f>
        <v>umumiy maydoni - 72,13, yashash maydoni - 37,39</v>
      </c>
      <c r="J126" s="187" t="str">
        <f>"yer uchastkasi maydoni - "&amp;C131&amp;", umumiy maydoni - "&amp;C130&amp;", yashash maydoni - "&amp;C133&amp;""</f>
        <v>yer uchastkasi maydoni - , umumiy maydoni - 72,13, yashash maydoni - 37,39</v>
      </c>
      <c r="O126" s="187" t="str">
        <f>IF(B93=C93,S126,IF(B93=D93,S125,0))</f>
        <v>Mikromoliya tashkiloti, Qarz oluvchi va USMONOV NURIDDID IXTIYOROVICH (06.01.2026y. sanasidagi reestr raqami №202602386000102 bo'lgan Ishonchnomaga asosan)</v>
      </c>
      <c r="R126" s="187" t="s">
        <v>48</v>
      </c>
      <c r="S126" s="187" t="s">
        <v>146</v>
      </c>
    </row>
    <row r="127" spans="1:19" ht="27" hidden="1" customHeight="1" x14ac:dyDescent="0.25">
      <c r="A127" s="3" t="s">
        <v>161</v>
      </c>
      <c r="B127" s="75" t="str">
        <f>"kuzov turi - "&amp;B128&amp;", kuzov raqami "&amp;B129&amp;""</f>
        <v>kuzov turi - YENGIL SEDAN, kuzov raqami XWBJF69VEGA010429</v>
      </c>
      <c r="C127" s="205" t="s">
        <v>373</v>
      </c>
      <c r="D127" s="188" t="s">
        <v>375</v>
      </c>
      <c r="E127" s="188"/>
    </row>
    <row r="128" spans="1:19" x14ac:dyDescent="0.25">
      <c r="A128" s="68" t="s">
        <v>162</v>
      </c>
      <c r="B128" s="49" t="s">
        <v>422</v>
      </c>
      <c r="C128" s="208"/>
    </row>
    <row r="129" spans="1:7" x14ac:dyDescent="0.25">
      <c r="A129" s="68" t="s">
        <v>163</v>
      </c>
      <c r="B129" s="49" t="s">
        <v>450</v>
      </c>
      <c r="C129" s="209" t="s">
        <v>148</v>
      </c>
      <c r="D129" s="187" t="s">
        <v>148</v>
      </c>
      <c r="F129" s="187" t="s">
        <v>149</v>
      </c>
    </row>
    <row r="130" spans="1:7" ht="27.6" hidden="1" x14ac:dyDescent="0.25">
      <c r="A130" s="3" t="s">
        <v>164</v>
      </c>
      <c r="B130" s="75" t="str">
        <f>"dvigatel raqami "&amp;B131&amp;", shassi raqami - "&amp;B132&amp;""</f>
        <v>dvigatel raqami B15D211163412DJCX0337, shassi raqami - RAKAMSIZ</v>
      </c>
      <c r="C130" s="209">
        <v>72.13</v>
      </c>
      <c r="D130" s="192" t="s">
        <v>150</v>
      </c>
      <c r="E130" s="192"/>
      <c r="F130" s="187" t="str">
        <f>CONCATENATE(C130," ","kv.m")</f>
        <v>72,13 kv.m</v>
      </c>
      <c r="G130" s="193">
        <f>C130-C133</f>
        <v>34.739999999999995</v>
      </c>
    </row>
    <row r="131" spans="1:7" x14ac:dyDescent="0.25">
      <c r="A131" s="68" t="s">
        <v>165</v>
      </c>
      <c r="B131" s="84" t="s">
        <v>451</v>
      </c>
      <c r="C131" s="209"/>
      <c r="D131" s="192" t="s">
        <v>151</v>
      </c>
      <c r="E131" s="192"/>
    </row>
    <row r="132" spans="1:7" x14ac:dyDescent="0.25">
      <c r="A132" s="68" t="s">
        <v>166</v>
      </c>
      <c r="B132" s="49" t="s">
        <v>425</v>
      </c>
      <c r="C132" s="209"/>
    </row>
    <row r="133" spans="1:7" ht="25.5" hidden="1" customHeight="1" x14ac:dyDescent="0.25">
      <c r="A133" s="3" t="s">
        <v>167</v>
      </c>
      <c r="B133" s="75" t="str">
        <f>"rangi -  "&amp;B134&amp;", ishlab chiqarilgan yili - "&amp;B135&amp;""</f>
        <v>rangi -  OQ OLIMPIYSKAYA BELAYA, ishlab chiqarilgan yili - 2016</v>
      </c>
      <c r="C133" s="210" t="s">
        <v>372</v>
      </c>
      <c r="D133" s="192" t="s">
        <v>247</v>
      </c>
      <c r="E133" s="192"/>
      <c r="F133" s="187" t="str">
        <f>CONCATENATE(C133," ","kv.m")</f>
        <v>37,39 kv.m</v>
      </c>
    </row>
    <row r="134" spans="1:7" x14ac:dyDescent="0.25">
      <c r="A134" s="68" t="s">
        <v>168</v>
      </c>
      <c r="B134" s="49" t="s">
        <v>453</v>
      </c>
      <c r="C134" s="209"/>
    </row>
    <row r="135" spans="1:7" x14ac:dyDescent="0.25">
      <c r="A135" s="68" t="s">
        <v>169</v>
      </c>
      <c r="B135" s="57" t="s">
        <v>452</v>
      </c>
      <c r="C135" s="208">
        <v>44181</v>
      </c>
      <c r="D135" s="194" t="s">
        <v>376</v>
      </c>
      <c r="E135" s="194"/>
    </row>
    <row r="136" spans="1:7" hidden="1" x14ac:dyDescent="0.25">
      <c r="A136" s="3" t="s">
        <v>170</v>
      </c>
      <c r="B136" s="21">
        <f>B75*1.4</f>
        <v>46200000</v>
      </c>
      <c r="C136" s="211">
        <f>B136</f>
        <v>46200000</v>
      </c>
      <c r="D136" s="192" t="s">
        <v>170</v>
      </c>
      <c r="E136" s="192"/>
    </row>
    <row r="137" spans="1:7" ht="27.75" hidden="1" customHeight="1" x14ac:dyDescent="0.25">
      <c r="A137" s="175"/>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olti million ikki yuz ming so'm</v>
      </c>
      <c r="C137" s="211" t="str">
        <f>B137</f>
        <v>qirq olti million ikki yuz ming so'm</v>
      </c>
    </row>
    <row r="138" spans="1:7" ht="27.75" hidden="1" customHeight="1" x14ac:dyDescent="0.25">
      <c r="A138" s="3"/>
      <c r="B138" s="147" t="str">
        <f>B137</f>
        <v>qirq olti million ikki yuz ming so'm</v>
      </c>
      <c r="C138" s="212"/>
    </row>
    <row r="139" spans="1:7" ht="21" x14ac:dyDescent="0.25">
      <c r="A139" s="3" t="s">
        <v>341</v>
      </c>
      <c r="B139" s="52">
        <v>144587</v>
      </c>
    </row>
    <row r="140" spans="1:7" x14ac:dyDescent="0.25">
      <c r="A140" s="3" t="s">
        <v>367</v>
      </c>
      <c r="B140" s="49">
        <v>1</v>
      </c>
    </row>
    <row r="141" spans="1:7" x14ac:dyDescent="0.25">
      <c r="A141" s="3" t="s">
        <v>152</v>
      </c>
      <c r="B141" s="2" t="s">
        <v>143</v>
      </c>
      <c r="C141" s="182">
        <v>1</v>
      </c>
    </row>
    <row r="142" spans="1:7" x14ac:dyDescent="0.25">
      <c r="A142" s="3" t="s">
        <v>153</v>
      </c>
      <c r="B142" s="4" t="str">
        <f>B70</f>
        <v>6 yanvar 2026 y.</v>
      </c>
      <c r="C142" s="182" t="str">
        <f>B70</f>
        <v>6 yanvar 2026 y.</v>
      </c>
    </row>
    <row r="143" spans="1:7" x14ac:dyDescent="0.25">
      <c r="A143" s="3"/>
      <c r="B143" s="1">
        <f>YEAR(B67)</f>
        <v>2026</v>
      </c>
    </row>
    <row r="144" spans="1:7" x14ac:dyDescent="0.25">
      <c r="A144" s="3"/>
      <c r="B144" s="150" t="str">
        <f>D67</f>
        <v>yanvar</v>
      </c>
    </row>
    <row r="145" spans="1:3" x14ac:dyDescent="0.25">
      <c r="A145" s="3"/>
      <c r="B145" s="1">
        <f>DAY(B67)</f>
        <v>6</v>
      </c>
    </row>
    <row r="146" spans="1:3" x14ac:dyDescent="0.25">
      <c r="A146" s="236" t="s">
        <v>348</v>
      </c>
      <c r="B146" s="236"/>
    </row>
    <row r="147" spans="1:3" x14ac:dyDescent="0.25">
      <c r="A147" s="3" t="s">
        <v>171</v>
      </c>
      <c r="B147" s="1" t="s">
        <v>380</v>
      </c>
    </row>
    <row r="148" spans="1:3" x14ac:dyDescent="0.25">
      <c r="A148" s="3"/>
      <c r="B148" s="1" t="s">
        <v>380</v>
      </c>
    </row>
    <row r="149" spans="1:3" x14ac:dyDescent="0.25">
      <c r="A149" s="3"/>
      <c r="B149" s="1" t="s">
        <v>380</v>
      </c>
    </row>
    <row r="150" spans="1:3" x14ac:dyDescent="0.25">
      <c r="A150" s="3" t="s">
        <v>405</v>
      </c>
      <c r="B150" s="1" t="s">
        <v>416</v>
      </c>
    </row>
    <row r="151" spans="1:3" x14ac:dyDescent="0.25">
      <c r="A151" s="3"/>
      <c r="B151" s="1" t="s">
        <v>417</v>
      </c>
    </row>
    <row r="152" spans="1:3" x14ac:dyDescent="0.25">
      <c r="A152" s="3" t="s">
        <v>173</v>
      </c>
      <c r="B152" s="1" t="s">
        <v>172</v>
      </c>
    </row>
    <row r="153" spans="1:3" ht="27.6" x14ac:dyDescent="0.25">
      <c r="A153" s="3" t="s">
        <v>174</v>
      </c>
      <c r="B153" s="1" t="s">
        <v>382</v>
      </c>
    </row>
    <row r="154" spans="1:3" x14ac:dyDescent="0.25">
      <c r="A154" s="3" t="s">
        <v>175</v>
      </c>
      <c r="B154" s="1" t="s">
        <v>383</v>
      </c>
    </row>
    <row r="155" spans="1:3" x14ac:dyDescent="0.25">
      <c r="A155" s="3" t="s">
        <v>176</v>
      </c>
      <c r="B155" s="1" t="s">
        <v>384</v>
      </c>
    </row>
    <row r="156" spans="1:3" x14ac:dyDescent="0.25">
      <c r="A156" s="3" t="s">
        <v>177</v>
      </c>
      <c r="B156" s="1" t="s">
        <v>385</v>
      </c>
    </row>
    <row r="157" spans="1:3" x14ac:dyDescent="0.25">
      <c r="A157" s="3" t="s">
        <v>178</v>
      </c>
      <c r="B157" s="2" t="s">
        <v>386</v>
      </c>
    </row>
    <row r="158" spans="1:3" x14ac:dyDescent="0.25">
      <c r="A158" s="3" t="s">
        <v>179</v>
      </c>
      <c r="B158" s="1" t="s">
        <v>381</v>
      </c>
    </row>
    <row r="159" spans="1:3" x14ac:dyDescent="0.25">
      <c r="A159" s="3" t="s">
        <v>378</v>
      </c>
      <c r="B159" s="235" t="s">
        <v>418</v>
      </c>
      <c r="C159" s="235"/>
    </row>
    <row r="160" spans="1:3" x14ac:dyDescent="0.25">
      <c r="A160" s="3" t="s">
        <v>370</v>
      </c>
      <c r="B160" s="1"/>
    </row>
    <row r="161" spans="1:2" x14ac:dyDescent="0.25">
      <c r="A161" s="3" t="s">
        <v>404</v>
      </c>
      <c r="B161" s="1" t="s">
        <v>416</v>
      </c>
    </row>
    <row r="162" spans="1:2" x14ac:dyDescent="0.25">
      <c r="A162" s="3" t="s">
        <v>180</v>
      </c>
      <c r="B162" s="2" t="s">
        <v>387</v>
      </c>
    </row>
    <row r="163" spans="1:2" x14ac:dyDescent="0.25">
      <c r="A163" s="3" t="s">
        <v>181</v>
      </c>
      <c r="B163" s="2" t="s">
        <v>388</v>
      </c>
    </row>
    <row r="164" spans="1:2" x14ac:dyDescent="0.25">
      <c r="A164" s="3" t="s">
        <v>182</v>
      </c>
      <c r="B164" s="1" t="str">
        <f>B1</f>
        <v>№3-BR</v>
      </c>
    </row>
    <row r="165" spans="1:2" x14ac:dyDescent="0.25">
      <c r="A165" s="3" t="s">
        <v>183</v>
      </c>
      <c r="B165" s="4" t="str">
        <f>B70</f>
        <v>6 yanvar 2026 y.</v>
      </c>
    </row>
  </sheetData>
  <mergeCells count="7">
    <mergeCell ref="B159:C159"/>
    <mergeCell ref="A146:B146"/>
    <mergeCell ref="A97:B97"/>
    <mergeCell ref="A4:B4"/>
    <mergeCell ref="A57:B57"/>
    <mergeCell ref="A64:B64"/>
    <mergeCell ref="A91:B91"/>
  </mergeCells>
  <dataValidations count="13">
    <dataValidation type="list" allowBlank="1" showInputMessage="1" showErrorMessage="1" sqref="B30" xr:uid="{00000000-0002-0000-0200-000000000000}">
      <formula1>$C$30:$D$30</formula1>
    </dataValidation>
    <dataValidation type="list" allowBlank="1" showInputMessage="1" showErrorMessage="1" sqref="B93" xr:uid="{00000000-0002-0000-0200-000001000000}">
      <formula1>$C$93:$D$93</formula1>
    </dataValidation>
    <dataValidation type="list" allowBlank="1" showInputMessage="1" showErrorMessage="1" sqref="B103" xr:uid="{00000000-0002-0000-0200-000002000000}">
      <formula1>$C$103:$D$103</formula1>
    </dataValidation>
    <dataValidation type="list" allowBlank="1" showInputMessage="1" showErrorMessage="1" sqref="B77" xr:uid="{00000000-0002-0000-0200-000003000000}">
      <formula1>$C$77:$D$77</formula1>
    </dataValidation>
    <dataValidation type="list" allowBlank="1" showInputMessage="1" showErrorMessage="1" sqref="C129" xr:uid="{00000000-0002-0000-0200-000004000000}">
      <formula1>$D$129:$F$129</formula1>
    </dataValidation>
    <dataValidation type="list" allowBlank="1" showInputMessage="1" showErrorMessage="1" sqref="B92" xr:uid="{00000000-0002-0000-0200-000005000000}">
      <formula1>$C$92:$D$92</formula1>
    </dataValidation>
    <dataValidation type="list" allowBlank="1" showInputMessage="1" showErrorMessage="1" sqref="B94" xr:uid="{00000000-0002-0000-0200-000006000000}">
      <formula1>$C$94:$D$94</formula1>
    </dataValidation>
    <dataValidation type="list" allowBlank="1" showInputMessage="1" showErrorMessage="1" sqref="B23" xr:uid="{00000000-0002-0000-0200-000007000000}">
      <formula1>$C$23:$D$23</formula1>
    </dataValidation>
    <dataValidation type="list" allowBlank="1" showInputMessage="1" showErrorMessage="1" sqref="B24" xr:uid="{00000000-0002-0000-0200-000008000000}">
      <formula1>$C$24:$D$24</formula1>
    </dataValidation>
    <dataValidation type="list" allowBlank="1" showInputMessage="1" showErrorMessage="1" sqref="B83" xr:uid="{00000000-0002-0000-0200-000009000000}">
      <formula1>$BK$83:$BL$83</formula1>
    </dataValidation>
    <dataValidation type="list" allowBlank="1" showInputMessage="1" showErrorMessage="1" sqref="B6" xr:uid="{00000000-0002-0000-0200-00000A000000}">
      <formula1>$C$6:$D$6</formula1>
    </dataValidation>
    <dataValidation type="list" allowBlank="1" showInputMessage="1" showErrorMessage="1" sqref="B44" xr:uid="{00000000-0002-0000-0200-00000B000000}">
      <formula1>$C$44:$D$44</formula1>
    </dataValidation>
    <dataValidation type="list" allowBlank="1" showInputMessage="1" showErrorMessage="1" sqref="B29" xr:uid="{00000000-0002-0000-0200-00000C000000}">
      <formula1>$C$29:$F$29</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25" zoomScaleSheetLayoutView="100" workbookViewId="0">
      <selection activeCell="B19" sqref="B19:F19"/>
    </sheetView>
  </sheetViews>
  <sheetFormatPr defaultColWidth="9.109375" defaultRowHeight="13.8" x14ac:dyDescent="0.25"/>
  <cols>
    <col min="1" max="1" width="3.44140625" style="15" customWidth="1"/>
    <col min="2" max="3" width="17.88671875" style="20" customWidth="1"/>
    <col min="4" max="4" width="15" style="20" customWidth="1"/>
    <col min="5" max="5" width="17.88671875" style="20" customWidth="1"/>
    <col min="6" max="6" width="9" style="20" customWidth="1"/>
    <col min="7" max="7" width="4.6640625" style="20" customWidth="1"/>
    <col min="8" max="16384" width="9.109375" style="15"/>
  </cols>
  <sheetData>
    <row r="1" spans="2:7" ht="14.4" thickBot="1" x14ac:dyDescent="0.3"/>
    <row r="2" spans="2:7" ht="62.25" customHeight="1" x14ac:dyDescent="0.4">
      <c r="B2" s="349" t="str">
        <f>umumiy_malumot!B148</f>
        <v>«PULLOL BUSINESS MIKROMOLIYA TASHKILOTI»  MChJ</v>
      </c>
      <c r="C2" s="350"/>
      <c r="D2" s="350"/>
      <c r="E2" s="350"/>
      <c r="F2" s="351"/>
      <c r="G2" s="41"/>
    </row>
    <row r="3" spans="2:7" x14ac:dyDescent="0.25">
      <c r="B3" s="344"/>
      <c r="C3" s="258"/>
      <c r="D3" s="258"/>
      <c r="E3" s="258"/>
      <c r="F3" s="345"/>
      <c r="G3" s="42"/>
    </row>
    <row r="4" spans="2:7" ht="8.25" customHeight="1" x14ac:dyDescent="0.25">
      <c r="B4" s="54"/>
      <c r="F4" s="55"/>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344" t="s">
        <v>23</v>
      </c>
      <c r="C10" s="258"/>
      <c r="D10" s="258"/>
      <c r="E10" s="258"/>
      <c r="F10" s="345"/>
      <c r="G10" s="42"/>
    </row>
    <row r="11" spans="2:7" x14ac:dyDescent="0.25">
      <c r="B11" s="344" t="s">
        <v>23</v>
      </c>
      <c r="C11" s="258"/>
      <c r="D11" s="258"/>
      <c r="E11" s="258"/>
      <c r="F11" s="345"/>
      <c r="G11" s="42"/>
    </row>
    <row r="12" spans="2:7" ht="135" customHeight="1" x14ac:dyDescent="0.95">
      <c r="B12" s="352" t="str">
        <f>umumiy_malumot!B5</f>
        <v>TURAYEV ISROIL BURIYEVICH</v>
      </c>
      <c r="C12" s="353"/>
      <c r="D12" s="353"/>
      <c r="E12" s="353"/>
      <c r="F12" s="354"/>
      <c r="G12" s="43"/>
    </row>
    <row r="13" spans="2:7" x14ac:dyDescent="0.25">
      <c r="B13" s="344"/>
      <c r="C13" s="258"/>
      <c r="D13" s="258"/>
      <c r="E13" s="258"/>
      <c r="F13" s="345"/>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344"/>
      <c r="C18" s="258"/>
      <c r="D18" s="258"/>
      <c r="E18" s="258"/>
      <c r="F18" s="345"/>
      <c r="G18" s="42"/>
    </row>
    <row r="19" spans="2:7" ht="20.399999999999999" x14ac:dyDescent="0.35">
      <c r="B19" s="346" t="str">
        <f>""&amp;umumiy_malumot!C64&amp;" shartnoma "&amp;umumiy_malumot!B74&amp;""</f>
        <v>Mikroqarz shartnoma 6 yanvar 2026 y.dan №3-BR</v>
      </c>
      <c r="C19" s="347"/>
      <c r="D19" s="347"/>
      <c r="E19" s="347"/>
      <c r="F19" s="348"/>
      <c r="G19" s="42"/>
    </row>
    <row r="20" spans="2:7" x14ac:dyDescent="0.25">
      <c r="B20" s="344"/>
      <c r="C20" s="258"/>
      <c r="D20" s="258"/>
      <c r="E20" s="258"/>
      <c r="F20" s="345"/>
      <c r="G20" s="42"/>
    </row>
    <row r="21" spans="2:7" x14ac:dyDescent="0.25">
      <c r="B21" s="344"/>
      <c r="C21" s="258"/>
      <c r="D21" s="258"/>
      <c r="E21" s="258"/>
      <c r="F21" s="345"/>
      <c r="G21" s="42"/>
    </row>
    <row r="22" spans="2:7" x14ac:dyDescent="0.25">
      <c r="B22" s="344"/>
      <c r="C22" s="258"/>
      <c r="D22" s="258"/>
      <c r="E22" s="258"/>
      <c r="F22" s="345"/>
      <c r="G22" s="42"/>
    </row>
    <row r="23" spans="2:7" x14ac:dyDescent="0.25">
      <c r="B23" s="344"/>
      <c r="C23" s="258"/>
      <c r="D23" s="258"/>
      <c r="E23" s="258"/>
      <c r="F23" s="345"/>
      <c r="G23" s="42"/>
    </row>
    <row r="24" spans="2:7" x14ac:dyDescent="0.25">
      <c r="B24" s="358" t="str">
        <f>" Foiz stavkasi: "&amp;umumiy_malumot!B85&amp;"%"</f>
        <v xml:space="preserve"> Foiz stavkasi: 55%</v>
      </c>
      <c r="C24" s="239"/>
      <c r="D24" s="239"/>
      <c r="E24" s="239"/>
      <c r="F24" s="359"/>
      <c r="G24" s="42"/>
    </row>
    <row r="25" spans="2:7" ht="15" customHeight="1" x14ac:dyDescent="0.25">
      <c r="B25" s="358" t="str">
        <f>" "&amp;umumiy_malumot!C64&amp;" muddati: "&amp;umumiy_malumot!B81&amp;" oy"</f>
        <v xml:space="preserve"> Mikroqarz muddati: 36 oy</v>
      </c>
      <c r="C25" s="239"/>
      <c r="D25" s="239"/>
      <c r="E25" s="239"/>
      <c r="F25" s="359"/>
      <c r="G25" s="42"/>
    </row>
    <row r="26" spans="2:7" x14ac:dyDescent="0.25">
      <c r="B26" s="358" t="str">
        <f>" "&amp;umumiy_malumot!C64&amp;" miqdori: "&amp;FIXED(umumiy_malumot!B75,2)&amp;" so'm"</f>
        <v xml:space="preserve"> Mikroqarz miqdori: 33 000 000,00 so'm</v>
      </c>
      <c r="C26" s="239"/>
      <c r="D26" s="239"/>
      <c r="E26" s="239"/>
      <c r="F26" s="359"/>
      <c r="G26" s="42"/>
    </row>
    <row r="27" spans="2:7" x14ac:dyDescent="0.25">
      <c r="B27" s="344"/>
      <c r="C27" s="258"/>
      <c r="D27" s="258"/>
      <c r="E27" s="258"/>
      <c r="F27" s="345"/>
      <c r="G27" s="42"/>
    </row>
    <row r="28" spans="2:7" hidden="1" x14ac:dyDescent="0.25">
      <c r="G28" s="42"/>
    </row>
    <row r="29" spans="2:7" x14ac:dyDescent="0.25">
      <c r="B29" s="344"/>
      <c r="C29" s="258"/>
      <c r="D29" s="258"/>
      <c r="E29" s="258"/>
      <c r="F29" s="345"/>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4.4" thickBot="1" x14ac:dyDescent="0.3">
      <c r="B40" s="355" t="str">
        <f>"Toshkent sh., "&amp;umumiy_malumot!B70&amp;""</f>
        <v>Toshkent sh., 6 yanvar 2026 y.</v>
      </c>
      <c r="C40" s="356"/>
      <c r="D40" s="356"/>
      <c r="E40" s="356"/>
      <c r="F40" s="357"/>
      <c r="G40" s="42"/>
    </row>
    <row r="41" spans="2:7" x14ac:dyDescent="0.25">
      <c r="B41" s="258"/>
      <c r="C41" s="258"/>
      <c r="D41" s="258"/>
      <c r="E41" s="258"/>
      <c r="F41" s="258"/>
      <c r="G41" s="42"/>
    </row>
    <row r="42" spans="2:7" x14ac:dyDescent="0.25">
      <c r="B42" s="258"/>
      <c r="C42" s="258"/>
      <c r="D42" s="258"/>
      <c r="E42" s="258"/>
      <c r="F42" s="258"/>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3" zoomScaleNormal="100" zoomScaleSheetLayoutView="100" workbookViewId="0">
      <selection activeCell="F29" sqref="F29"/>
    </sheetView>
  </sheetViews>
  <sheetFormatPr defaultColWidth="9.109375" defaultRowHeight="15.6" x14ac:dyDescent="0.3"/>
  <cols>
    <col min="1" max="2" width="17.44140625" style="121" customWidth="1"/>
    <col min="3" max="3" width="29.88671875" style="121" customWidth="1"/>
    <col min="4" max="4" width="18.109375" style="121" customWidth="1"/>
    <col min="5" max="5" width="6.5546875" style="121" customWidth="1"/>
    <col min="6" max="16384" width="9.109375" style="121"/>
  </cols>
  <sheetData>
    <row r="2" spans="1:5" x14ac:dyDescent="0.3">
      <c r="A2" s="305" t="s">
        <v>232</v>
      </c>
      <c r="B2" s="305"/>
      <c r="C2" s="305"/>
      <c r="D2" s="305"/>
      <c r="E2" s="305"/>
    </row>
    <row r="3" spans="1:5" x14ac:dyDescent="0.3">
      <c r="E3" s="120" t="str">
        <f>umumiy_malumot!B68</f>
        <v>6 yanvar 2026 y.</v>
      </c>
    </row>
    <row r="5" spans="1:5" s="122" customFormat="1" ht="27" customHeight="1" x14ac:dyDescent="0.3">
      <c r="A5" s="309" t="s">
        <v>233</v>
      </c>
      <c r="B5" s="310"/>
      <c r="C5" s="306" t="str">
        <f>umumiy_malumot!B8</f>
        <v>TURAYEV ISROIL BURIYEVICH</v>
      </c>
      <c r="D5" s="307"/>
      <c r="E5" s="308"/>
    </row>
    <row r="7" spans="1:5" ht="15.75" customHeight="1" x14ac:dyDescent="0.3">
      <c r="A7" s="311" t="s">
        <v>349</v>
      </c>
      <c r="B7" s="312"/>
      <c r="C7" s="313"/>
      <c r="D7" s="123" t="s">
        <v>129</v>
      </c>
      <c r="E7" s="123"/>
    </row>
    <row r="8" spans="1:5" x14ac:dyDescent="0.3">
      <c r="A8" s="314"/>
      <c r="B8" s="315"/>
      <c r="C8" s="316"/>
      <c r="D8" s="123" t="s">
        <v>237</v>
      </c>
      <c r="E8" s="123"/>
    </row>
    <row r="9" spans="1:5" ht="15.75" customHeight="1" x14ac:dyDescent="0.3">
      <c r="A9" s="317" t="s">
        <v>234</v>
      </c>
      <c r="B9" s="317"/>
      <c r="C9" s="317"/>
      <c r="D9" s="123" t="s">
        <v>129</v>
      </c>
      <c r="E9" s="123"/>
    </row>
    <row r="10" spans="1:5" x14ac:dyDescent="0.3">
      <c r="A10" s="317"/>
      <c r="B10" s="317"/>
      <c r="C10" s="317"/>
      <c r="D10" s="123" t="s">
        <v>237</v>
      </c>
      <c r="E10" s="123"/>
    </row>
    <row r="11" spans="1:5" ht="15.75" customHeight="1" x14ac:dyDescent="0.3">
      <c r="A11" s="317" t="s">
        <v>235</v>
      </c>
      <c r="B11" s="317"/>
      <c r="C11" s="317"/>
      <c r="D11" s="123" t="s">
        <v>129</v>
      </c>
      <c r="E11" s="123"/>
    </row>
    <row r="12" spans="1:5" x14ac:dyDescent="0.3">
      <c r="A12" s="317"/>
      <c r="B12" s="317"/>
      <c r="C12" s="317"/>
      <c r="D12" s="123" t="s">
        <v>237</v>
      </c>
      <c r="E12" s="123"/>
    </row>
    <row r="13" spans="1:5" ht="34.5" customHeight="1" x14ac:dyDescent="0.3">
      <c r="A13" s="318" t="s">
        <v>236</v>
      </c>
      <c r="B13" s="318"/>
      <c r="C13" s="318"/>
      <c r="D13" s="318"/>
      <c r="E13" s="318"/>
    </row>
    <row r="14" spans="1:5" ht="16.2" thickBot="1" x14ac:dyDescent="0.35">
      <c r="A14" s="319"/>
      <c r="B14" s="319"/>
      <c r="C14" s="319"/>
      <c r="D14" s="319"/>
      <c r="E14" s="319"/>
    </row>
    <row r="15" spans="1:5" ht="16.2" thickBot="1" x14ac:dyDescent="0.35">
      <c r="A15" s="319"/>
      <c r="B15" s="319"/>
      <c r="C15" s="319"/>
      <c r="D15" s="319"/>
      <c r="E15" s="319"/>
    </row>
    <row r="16" spans="1:5" ht="16.2" thickBot="1" x14ac:dyDescent="0.35">
      <c r="A16" s="319"/>
      <c r="B16" s="319"/>
      <c r="C16" s="319"/>
      <c r="D16" s="319"/>
      <c r="E16" s="319"/>
    </row>
    <row r="18" spans="1:8" ht="18.75" customHeight="1" x14ac:dyDescent="0.3">
      <c r="A18" s="317" t="s">
        <v>238</v>
      </c>
      <c r="B18" s="317"/>
      <c r="C18" s="317"/>
      <c r="D18" s="123" t="s">
        <v>129</v>
      </c>
      <c r="E18" s="123"/>
    </row>
    <row r="19" spans="1:8" ht="18.75" customHeight="1" x14ac:dyDescent="0.3">
      <c r="A19" s="317"/>
      <c r="B19" s="317"/>
      <c r="C19" s="317"/>
      <c r="D19" s="123" t="s">
        <v>237</v>
      </c>
      <c r="E19" s="123"/>
    </row>
    <row r="20" spans="1:8" ht="29.25" customHeight="1" x14ac:dyDescent="0.3">
      <c r="A20" s="317" t="s">
        <v>239</v>
      </c>
      <c r="B20" s="317"/>
      <c r="C20" s="317"/>
      <c r="D20" s="123" t="s">
        <v>129</v>
      </c>
      <c r="E20" s="123"/>
    </row>
    <row r="21" spans="1:8" ht="29.25" customHeight="1" x14ac:dyDescent="0.3">
      <c r="A21" s="317"/>
      <c r="B21" s="317"/>
      <c r="C21" s="317"/>
      <c r="D21" s="123" t="s">
        <v>237</v>
      </c>
      <c r="E21" s="123"/>
    </row>
    <row r="23" spans="1:8" ht="15.75" customHeight="1" x14ac:dyDescent="0.3">
      <c r="A23" s="318" t="s">
        <v>240</v>
      </c>
      <c r="B23" s="318"/>
      <c r="C23" s="318"/>
      <c r="D23" s="318"/>
      <c r="E23" s="318"/>
    </row>
    <row r="24" spans="1:8" ht="16.2" thickBot="1" x14ac:dyDescent="0.35">
      <c r="A24" s="319"/>
      <c r="B24" s="319"/>
      <c r="C24" s="319"/>
      <c r="D24" s="319"/>
      <c r="E24" s="319"/>
    </row>
    <row r="25" spans="1:8" ht="16.2" thickBot="1" x14ac:dyDescent="0.35">
      <c r="A25" s="319"/>
      <c r="B25" s="319"/>
      <c r="C25" s="319"/>
      <c r="D25" s="319"/>
      <c r="E25" s="319"/>
    </row>
    <row r="26" spans="1:8" ht="16.2" thickBot="1" x14ac:dyDescent="0.35">
      <c r="A26" s="319"/>
      <c r="B26" s="319"/>
      <c r="C26" s="319"/>
      <c r="D26" s="319"/>
      <c r="E26" s="319"/>
    </row>
    <row r="28" spans="1:8" ht="78.75" customHeight="1" x14ac:dyDescent="0.3">
      <c r="A28" s="320" t="s">
        <v>241</v>
      </c>
      <c r="B28" s="320"/>
      <c r="C28" s="320"/>
      <c r="D28" s="320"/>
      <c r="E28" s="320"/>
    </row>
    <row r="30" spans="1:8" ht="33" customHeight="1" x14ac:dyDescent="0.3">
      <c r="A30" s="320" t="s">
        <v>242</v>
      </c>
      <c r="B30" s="320"/>
      <c r="C30" s="320"/>
      <c r="D30" s="320"/>
      <c r="E30" s="320"/>
      <c r="F30" s="124"/>
      <c r="G30" s="124"/>
      <c r="H30" s="124"/>
    </row>
    <row r="33" spans="1:5" ht="16.2" thickBot="1" x14ac:dyDescent="0.35">
      <c r="A33" s="125" t="str">
        <f>C5</f>
        <v>TURAYEV ISROIL BURIYEVICH</v>
      </c>
      <c r="D33" s="126"/>
      <c r="E33" s="127"/>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00B050"/>
  </sheetPr>
  <dimension ref="A1:F43"/>
  <sheetViews>
    <sheetView view="pageBreakPreview" topLeftCell="A28" zoomScaleSheetLayoutView="100" workbookViewId="0">
      <selection activeCell="A34" sqref="A34:C34"/>
    </sheetView>
  </sheetViews>
  <sheetFormatPr defaultColWidth="9.109375" defaultRowHeight="13.2" x14ac:dyDescent="0.25"/>
  <cols>
    <col min="1" max="6" width="14.33203125" style="24" customWidth="1"/>
    <col min="7" max="16384" width="9.109375" style="24"/>
  </cols>
  <sheetData>
    <row r="1" spans="1:6" x14ac:dyDescent="0.25">
      <c r="A1" s="299" t="s">
        <v>212</v>
      </c>
      <c r="B1" s="299"/>
      <c r="C1" s="299"/>
      <c r="D1" s="299"/>
      <c r="E1" s="299"/>
      <c r="F1" s="299"/>
    </row>
    <row r="2" spans="1:6" ht="35.25" customHeight="1" x14ac:dyDescent="0.25">
      <c r="A2" s="300" t="s">
        <v>322</v>
      </c>
      <c r="B2" s="300"/>
      <c r="C2" s="300"/>
      <c r="D2" s="300"/>
      <c r="E2" s="300"/>
      <c r="F2" s="300"/>
    </row>
    <row r="3" spans="1:6" x14ac:dyDescent="0.25">
      <c r="A3" s="299" t="s">
        <v>213</v>
      </c>
      <c r="B3" s="299"/>
      <c r="C3" s="299"/>
      <c r="D3" s="299"/>
      <c r="E3" s="299"/>
      <c r="F3" s="299"/>
    </row>
    <row r="4" spans="1:6" x14ac:dyDescent="0.25">
      <c r="A4" s="295" t="str">
        <f>xulosa!A4:E4</f>
        <v>Mijozning to'liq ismi sharifi: TURAYEV ISROIL BURIYEVICH</v>
      </c>
      <c r="B4" s="295"/>
      <c r="C4" s="295"/>
      <c r="D4" s="295"/>
      <c r="E4" s="295"/>
      <c r="F4" s="295"/>
    </row>
    <row r="5" spans="1:6" x14ac:dyDescent="0.25">
      <c r="A5" s="295" t="str">
        <f>xulosa!A5:E5</f>
        <v>Tug'ilgan sanasi: 14.11.1983 yil</v>
      </c>
      <c r="B5" s="295"/>
      <c r="C5" s="295"/>
      <c r="D5" s="295"/>
      <c r="E5" s="295"/>
      <c r="F5" s="295"/>
    </row>
    <row r="6" spans="1:6" ht="32.25" customHeight="1" x14ac:dyDescent="0.25">
      <c r="A6" s="295" t="str">
        <f>xulosa!A6:E6</f>
        <v>Pasport seriyasi AD 6760672 IIV 61013 tomonidan 08.04.2024 yilda berilgan, amal qilish muddati - 07.04.2034 y.</v>
      </c>
      <c r="B6" s="295"/>
      <c r="C6" s="295"/>
      <c r="D6" s="295"/>
      <c r="E6" s="295"/>
      <c r="F6" s="295"/>
    </row>
    <row r="7" spans="1:6" x14ac:dyDescent="0.25">
      <c r="A7" s="295" t="str">
        <f>"Fuqaroligi: "&amp;umumiy_malumot!B32&amp;""</f>
        <v>Fuqaroligi: O’zbekiston Respublikasi</v>
      </c>
      <c r="B7" s="295"/>
      <c r="C7" s="295"/>
      <c r="D7" s="295"/>
      <c r="E7" s="295"/>
      <c r="F7" s="295"/>
    </row>
    <row r="8" spans="1:6" ht="26.25" customHeight="1" x14ac:dyDescent="0.25">
      <c r="A8" s="295" t="str">
        <f>xulosa!A7:E7</f>
        <v>Ro‘yxatdan o‘tgan manzili: BUXORO VILOYATI KOGON SHAHRI ZAFAROBOD 17-UY, mo'ljal: BGGK ZONA</v>
      </c>
      <c r="B8" s="295"/>
      <c r="C8" s="295"/>
      <c r="D8" s="295"/>
      <c r="E8" s="295"/>
      <c r="F8" s="295"/>
    </row>
    <row r="9" spans="1:6" x14ac:dyDescent="0.25">
      <c r="A9" s="295" t="str">
        <f>IF(umumiy_malumot!B23="mos keladi"," ",mijoz_anketasi!A10:F10)</f>
        <v xml:space="preserve"> </v>
      </c>
      <c r="B9" s="295"/>
      <c r="C9" s="295"/>
      <c r="D9" s="295"/>
      <c r="E9" s="295"/>
      <c r="F9" s="295"/>
    </row>
    <row r="10" spans="1:6" ht="31.5" hidden="1" customHeight="1" x14ac:dyDescent="0.25">
      <c r="A10" s="295" t="str">
        <f>"Haqiqatdan yashash joy manzili: "&amp;umumiy_malumot!B28&amp;""</f>
        <v>Haqiqatdan yashash joy manzili: BUXORO VILOYATI KOGON SHAHRI ZAFAROBOD 17-UY</v>
      </c>
      <c r="B10" s="295"/>
      <c r="C10" s="295"/>
      <c r="D10" s="295"/>
      <c r="E10" s="295"/>
      <c r="F10" s="295"/>
    </row>
    <row r="11" spans="1:6" ht="16.5" hidden="1" customHeight="1" x14ac:dyDescent="0.25">
      <c r="A11" s="295" t="str">
        <f>xulosa!A8:E8</f>
        <v>Ish joyi:  lavozimi Yakka tartibdagi tadbirkorda Yakka tartibdagi tadbirkor</v>
      </c>
      <c r="B11" s="295"/>
      <c r="C11" s="295"/>
      <c r="D11" s="295"/>
      <c r="E11" s="295"/>
      <c r="F11" s="295"/>
    </row>
    <row r="12" spans="1:6" x14ac:dyDescent="0.25">
      <c r="A12" s="299" t="s">
        <v>214</v>
      </c>
      <c r="B12" s="299"/>
      <c r="C12" s="299"/>
      <c r="D12" s="299"/>
      <c r="E12" s="299"/>
      <c r="F12" s="299"/>
    </row>
    <row r="13" spans="1:6" x14ac:dyDescent="0.25">
      <c r="A13" s="295" t="str">
        <f>"Uy telefoni raqami: "&amp;umumiy_malumot!B40&amp;""</f>
        <v>Uy telefoni raqami: 91 923 50 54 MIJOZ</v>
      </c>
      <c r="B13" s="295"/>
      <c r="C13" s="295"/>
      <c r="D13" s="295"/>
      <c r="E13" s="295"/>
      <c r="F13" s="295"/>
    </row>
    <row r="14" spans="1:6" x14ac:dyDescent="0.25">
      <c r="A14" s="295" t="str">
        <f>"Uyali telefon raqami: "&amp;umumiy_malumot!B41&amp;""</f>
        <v>Uyali telefon raqami: 50 377 80 88 OTASI TO'LOVCHI</v>
      </c>
      <c r="B14" s="295"/>
      <c r="C14" s="295"/>
      <c r="D14" s="295"/>
      <c r="E14" s="295"/>
      <c r="F14" s="295"/>
    </row>
    <row r="15" spans="1:6" x14ac:dyDescent="0.25">
      <c r="A15" s="295" t="str">
        <f>"Uyali telefon raqami: "&amp;umumiy_malumot!B42&amp;""</f>
        <v>Uyali telefon raqami: 93 000 16 05 O'G'LI</v>
      </c>
      <c r="B15" s="295"/>
      <c r="C15" s="295"/>
      <c r="D15" s="295"/>
      <c r="E15" s="295"/>
      <c r="F15" s="295"/>
    </row>
    <row r="16" spans="1:6" hidden="1" x14ac:dyDescent="0.25">
      <c r="A16" s="295" t="str">
        <f>"Uyali telefon raqami: "&amp;umumiy_malumot!B42&amp;""</f>
        <v>Uyali telefon raqami: 93 000 16 05 O'G'LI</v>
      </c>
      <c r="B16" s="295"/>
      <c r="C16" s="295"/>
      <c r="D16" s="295"/>
      <c r="E16" s="295"/>
      <c r="F16" s="295"/>
    </row>
    <row r="17" spans="1:6" x14ac:dyDescent="0.25">
      <c r="A17" s="295" t="str">
        <f>"Ish telefoni raqami: "&amp;umumiy_malumot!B43&amp;""</f>
        <v xml:space="preserve">Ish telefoni raqami: </v>
      </c>
      <c r="B17" s="295"/>
      <c r="C17" s="295"/>
      <c r="D17" s="295"/>
      <c r="E17" s="295"/>
      <c r="F17" s="295"/>
    </row>
    <row r="18" spans="1:6" x14ac:dyDescent="0.25">
      <c r="A18" s="299" t="s">
        <v>215</v>
      </c>
      <c r="B18" s="299"/>
      <c r="C18" s="299"/>
      <c r="D18" s="299"/>
      <c r="E18" s="299"/>
      <c r="F18" s="299"/>
    </row>
    <row r="19" spans="1:6" x14ac:dyDescent="0.25">
      <c r="A19" s="295" t="str">
        <f>"Muassasa nomlanishi:"&amp;umumiy_malumot!B58&amp;""</f>
        <v>Muassasa nomlanishi:Yakka tartibdagi tadbirkor</v>
      </c>
      <c r="B19" s="295"/>
      <c r="C19" s="295"/>
      <c r="D19" s="295"/>
      <c r="E19" s="295"/>
      <c r="F19" s="295"/>
    </row>
    <row r="20" spans="1:6" x14ac:dyDescent="0.25">
      <c r="A20" s="295" t="str">
        <f>"Ro‘yxatdan o‘tish manzili:"&amp;umumiy_malumot!B50&amp;""</f>
        <v>Ro‘yxatdan o‘tish manzili:</v>
      </c>
      <c r="B20" s="295"/>
      <c r="C20" s="295"/>
      <c r="D20" s="295"/>
      <c r="E20" s="295"/>
      <c r="F20" s="295"/>
    </row>
    <row r="21" spans="1:6" x14ac:dyDescent="0.25">
      <c r="A21" s="295" t="str">
        <f>"Lavozimi: "&amp;umumiy_malumot!B59&amp;""</f>
        <v>Lavozimi: Yakka tartibdagi tadbirkor</v>
      </c>
      <c r="B21" s="295"/>
      <c r="C21" s="295"/>
      <c r="D21" s="295"/>
      <c r="E21" s="295"/>
      <c r="F21" s="295"/>
    </row>
    <row r="22" spans="1:6" x14ac:dyDescent="0.25">
      <c r="A22" s="299" t="s">
        <v>216</v>
      </c>
      <c r="B22" s="296"/>
      <c r="C22" s="296"/>
      <c r="D22" s="296"/>
      <c r="E22" s="296"/>
      <c r="F22" s="296"/>
    </row>
    <row r="23" spans="1:6" s="26" customFormat="1" ht="26.4" x14ac:dyDescent="0.3">
      <c r="A23" s="25" t="s">
        <v>217</v>
      </c>
      <c r="B23" s="25" t="s">
        <v>218</v>
      </c>
      <c r="C23" s="25" t="s">
        <v>219</v>
      </c>
      <c r="D23" s="25" t="s">
        <v>220</v>
      </c>
      <c r="E23" s="25" t="s">
        <v>221</v>
      </c>
      <c r="F23" s="25" t="s">
        <v>222</v>
      </c>
    </row>
    <row r="24" spans="1:6" ht="52.8" x14ac:dyDescent="0.25">
      <c r="A24" s="27" t="s">
        <v>223</v>
      </c>
      <c r="B24" s="28">
        <f>umumiy_malumot!B60</f>
        <v>5000000</v>
      </c>
      <c r="C24" s="28">
        <v>0</v>
      </c>
      <c r="D24" s="28">
        <v>0</v>
      </c>
      <c r="E24" s="27" t="s">
        <v>226</v>
      </c>
      <c r="F24" s="28">
        <v>700000</v>
      </c>
    </row>
    <row r="25" spans="1:6" ht="26.4" x14ac:dyDescent="0.25">
      <c r="A25" s="27" t="s">
        <v>224</v>
      </c>
      <c r="B25" s="28">
        <v>0</v>
      </c>
      <c r="C25" s="28">
        <v>0</v>
      </c>
      <c r="D25" s="28">
        <v>0</v>
      </c>
      <c r="E25" s="27" t="s">
        <v>227</v>
      </c>
      <c r="F25" s="28">
        <v>500000</v>
      </c>
    </row>
    <row r="26" spans="1:6" ht="28.5" customHeight="1" x14ac:dyDescent="0.25">
      <c r="A26" s="27" t="s">
        <v>225</v>
      </c>
      <c r="B26" s="28">
        <f>umumiy_malumot!B61</f>
        <v>5000000</v>
      </c>
      <c r="C26" s="28">
        <v>0</v>
      </c>
      <c r="D26" s="28">
        <v>0</v>
      </c>
      <c r="E26" s="27" t="s">
        <v>228</v>
      </c>
      <c r="F26" s="28">
        <v>500000</v>
      </c>
    </row>
    <row r="27" spans="1:6" s="31" customFormat="1" x14ac:dyDescent="0.25">
      <c r="A27" s="29" t="s">
        <v>204</v>
      </c>
      <c r="B27" s="30">
        <f>B24+B25+B26</f>
        <v>10000000</v>
      </c>
      <c r="C27" s="30">
        <f t="shared" ref="C27:F27" si="0">SUM(C24:C26)</f>
        <v>0</v>
      </c>
      <c r="D27" s="30">
        <f t="shared" si="0"/>
        <v>0</v>
      </c>
      <c r="E27" s="29"/>
      <c r="F27" s="30">
        <f t="shared" si="0"/>
        <v>1700000</v>
      </c>
    </row>
    <row r="28" spans="1:6" ht="31.5" customHeight="1" x14ac:dyDescent="0.25">
      <c r="A28" s="295" t="str">
        <f>"Men, "&amp;umumiy_malumot!B5&amp;", ushbu anketada ko‘rsatilgan barcha ma'lumotlar anketa to'ldirilgan sanada  to'g'ri va aniq ekanligini tasdiqlayman."</f>
        <v>Men, TURAYEV ISROIL BURIYEVICH, ushbu anketada ko‘rsatilgan barcha ma'lumotlar anketa to'ldirilgan sanada  to'g'ri va aniq ekanligini tasdiqlayman.</v>
      </c>
      <c r="B28" s="295"/>
      <c r="C28" s="295"/>
      <c r="D28" s="295"/>
      <c r="E28" s="295"/>
      <c r="F28" s="295"/>
    </row>
    <row r="29" spans="1:6" x14ac:dyDescent="0.25">
      <c r="A29" s="295" t="str">
        <f>"Men,  "&amp;umumiy_malumot!B5&amp;", quyidagilarni tan olaman va roziman::"</f>
        <v>Men,  TURAYEV ISROIL BURIYEVICH, quyidagilarni tan olaman va roziman::</v>
      </c>
      <c r="B29" s="295"/>
      <c r="C29" s="295"/>
      <c r="D29" s="295"/>
      <c r="E29" s="295"/>
      <c r="F29" s="295"/>
    </row>
    <row r="30" spans="1:6" ht="45.75" customHeight="1" x14ac:dyDescent="0.25">
      <c r="A30" s="295" t="str">
        <f>"1.  Ushbu anketada ko‘rsatilgan har qanday ma’lumot  "&amp;umumiy_malumot!B147&amp;",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95"/>
      <c r="C30" s="295"/>
      <c r="D30" s="295"/>
      <c r="E30" s="295"/>
      <c r="F30" s="295"/>
    </row>
    <row r="31" spans="1:6" ht="42.75" customHeight="1" x14ac:dyDescent="0.25">
      <c r="A31" s="295" t="str">
        <f>"2. Mazkur anketaning "&amp;umumiy_malumot!B147&amp;" tomonidan qabul qilinishi «PULLOL BUSINESS MIKROMOLIYA TASHKILOTI»  MChJ tomonidan menga "&amp;umumiy_malumot!B65&amp;" berish majburiyatini yuklamaydi."</f>
        <v>2. Mazkur anketaning «PULLOL BUSINESS MIKROMOLIYA TASHKILOTI»  MChJ tomonidan qabul qilinishi «PULLOL BUSINESS MIKROMOLIYA TASHKILOTI»  MChJ tomonidan menga mikroqarz berish majburiyatini yuklamaydi.</v>
      </c>
      <c r="B31" s="295"/>
      <c r="C31" s="295"/>
      <c r="D31" s="295"/>
      <c r="E31" s="295"/>
      <c r="F31" s="295"/>
    </row>
    <row r="32" spans="1:6" ht="71.25" customHeight="1" x14ac:dyDescent="0.25">
      <c r="A32" s="295" t="s">
        <v>229</v>
      </c>
      <c r="B32" s="295"/>
      <c r="C32" s="295"/>
      <c r="D32" s="295"/>
      <c r="E32" s="295"/>
      <c r="F32" s="295"/>
    </row>
    <row r="33" spans="1:6" x14ac:dyDescent="0.25">
      <c r="A33" s="295"/>
      <c r="B33" s="295"/>
      <c r="C33" s="295"/>
      <c r="D33" s="295"/>
      <c r="E33" s="295"/>
      <c r="F33" s="295"/>
    </row>
    <row r="34" spans="1:6" ht="12.75" customHeight="1" x14ac:dyDescent="0.25">
      <c r="A34" s="296" t="s">
        <v>230</v>
      </c>
      <c r="B34" s="296"/>
      <c r="C34" s="296"/>
      <c r="D34" s="148" t="s">
        <v>153</v>
      </c>
      <c r="E34" s="296" t="s">
        <v>231</v>
      </c>
      <c r="F34" s="296"/>
    </row>
    <row r="35" spans="1:6" ht="25.5" customHeight="1" x14ac:dyDescent="0.25">
      <c r="A35" s="297"/>
      <c r="B35" s="297"/>
      <c r="C35" s="297"/>
      <c r="D35" s="298" t="str">
        <f>umumiy_malumot!B2</f>
        <v>06.01.2026</v>
      </c>
      <c r="E35" s="297"/>
      <c r="F35" s="297"/>
    </row>
    <row r="36" spans="1:6" ht="25.5" customHeight="1" x14ac:dyDescent="0.25">
      <c r="A36" s="297"/>
      <c r="B36" s="297"/>
      <c r="C36" s="297"/>
      <c r="D36" s="298"/>
      <c r="E36" s="297"/>
      <c r="F36" s="297"/>
    </row>
    <row r="37" spans="1:6" x14ac:dyDescent="0.25">
      <c r="A37" s="295"/>
      <c r="B37" s="295"/>
      <c r="C37" s="295"/>
      <c r="D37" s="295"/>
      <c r="E37" s="295"/>
      <c r="F37" s="295"/>
    </row>
    <row r="38" spans="1:6" x14ac:dyDescent="0.25">
      <c r="A38" s="295"/>
      <c r="B38" s="295"/>
      <c r="C38" s="295"/>
      <c r="D38" s="295"/>
      <c r="E38" s="295"/>
      <c r="F38" s="295"/>
    </row>
    <row r="39" spans="1:6" x14ac:dyDescent="0.25">
      <c r="A39" s="295"/>
      <c r="B39" s="295"/>
      <c r="C39" s="295"/>
      <c r="D39" s="295"/>
      <c r="E39" s="295"/>
      <c r="F39" s="295"/>
    </row>
    <row r="40" spans="1:6" x14ac:dyDescent="0.25">
      <c r="A40" s="295"/>
      <c r="B40" s="295"/>
      <c r="C40" s="295"/>
      <c r="D40" s="295"/>
      <c r="E40" s="295"/>
      <c r="F40" s="295"/>
    </row>
    <row r="41" spans="1:6" x14ac:dyDescent="0.25">
      <c r="A41" s="295"/>
      <c r="B41" s="295"/>
      <c r="C41" s="295"/>
      <c r="D41" s="295"/>
      <c r="E41" s="295"/>
      <c r="F41" s="295"/>
    </row>
    <row r="42" spans="1:6" x14ac:dyDescent="0.25">
      <c r="A42" s="295"/>
      <c r="B42" s="295"/>
      <c r="C42" s="295"/>
      <c r="D42" s="295"/>
      <c r="E42" s="295"/>
      <c r="F42" s="295"/>
    </row>
    <row r="43" spans="1:6" x14ac:dyDescent="0.25">
      <c r="A43" s="295"/>
      <c r="B43" s="295"/>
      <c r="C43" s="295"/>
      <c r="D43" s="295"/>
      <c r="E43" s="295"/>
      <c r="F43" s="295"/>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6">
    <tabColor rgb="FF00B050"/>
  </sheetPr>
  <dimension ref="A1:E77"/>
  <sheetViews>
    <sheetView view="pageBreakPreview" topLeftCell="A32" zoomScaleSheetLayoutView="100" workbookViewId="0">
      <selection activeCell="A22" sqref="A22:D22"/>
    </sheetView>
  </sheetViews>
  <sheetFormatPr defaultColWidth="9.109375" defaultRowHeight="15.6" x14ac:dyDescent="0.3"/>
  <cols>
    <col min="1" max="1" width="20.109375" style="6" customWidth="1"/>
    <col min="2" max="2" width="18.6640625" style="6" customWidth="1"/>
    <col min="3" max="3" width="19.6640625" style="6" customWidth="1"/>
    <col min="4" max="4" width="28.6640625" style="6" customWidth="1"/>
    <col min="5" max="16384" width="9.109375" style="6"/>
  </cols>
  <sheetData>
    <row r="1" spans="1:4" ht="66.75" customHeight="1" x14ac:dyDescent="0.3">
      <c r="C1" s="304" t="str">
        <f>""&amp;umumiy_malumot!B147&amp;"ning
"&amp;umumiy_malumot!A150&amp;""</f>
        <v>«PULLOL BUSINESS MIKROMOLIYA TASHKILOTI»  MChJning
Buxoro filiali boshlig'i</v>
      </c>
      <c r="D1" s="304"/>
    </row>
    <row r="2" spans="1:4" x14ac:dyDescent="0.3">
      <c r="C2" s="13"/>
      <c r="D2" s="14" t="str">
        <f>""&amp;umumiy_malumot!B150&amp;"ga"</f>
        <v>IKROMOV B.A.ga</v>
      </c>
    </row>
    <row r="4" spans="1:4" x14ac:dyDescent="0.3">
      <c r="A4" s="262" t="str">
        <f>""&amp;umumiy_malumot!C64&amp;" olish uchun Ariza"</f>
        <v>Mikroqarz olish uchun Ariza</v>
      </c>
      <c r="B4" s="262"/>
      <c r="C4" s="262"/>
      <c r="D4" s="262"/>
    </row>
    <row r="5" spans="1:4" x14ac:dyDescent="0.3">
      <c r="A5" s="262"/>
      <c r="B5" s="262"/>
      <c r="C5" s="262"/>
      <c r="D5" s="262"/>
    </row>
    <row r="6" spans="1:4" ht="66" customHeight="1" x14ac:dyDescent="0.3">
      <c r="A6" s="301" t="str">
        <f>""&amp;umumiy_malumot!B28&amp;".-da yashovchi O‘zbekiston Respublikasi fuqarosi "&amp;umumiy_malumot!B8&amp;"dan. "</f>
        <v xml:space="preserve">BUXORO VILOYATI KOGON SHAHRI ZAFAROBOD 17-UY.-da yashovchi O‘zbekiston Respublikasi fuqarosi TURAYEV ISROIL BURIYEVICHdan. </v>
      </c>
      <c r="B6" s="301"/>
      <c r="C6" s="301"/>
      <c r="D6" s="301"/>
    </row>
    <row r="7" spans="1:4" ht="21.75" customHeight="1" x14ac:dyDescent="0.3">
      <c r="A7" s="301" t="str">
        <f>"Tug'ilgan kuni: "&amp;umumiy_malumot!B15&amp;""</f>
        <v>Tug'ilgan kuni: 14.11.1983 yil</v>
      </c>
      <c r="B7" s="301"/>
      <c r="C7" s="301"/>
      <c r="D7" s="301"/>
    </row>
    <row r="8" spans="1:4" ht="40.5" customHeight="1" x14ac:dyDescent="0.3">
      <c r="A8" s="301" t="str">
        <f>"Pasport seriyasi: "&amp;umumiy_malumot!B16&amp;" "&amp;umumiy_malumot!B20&amp;""</f>
        <v>Pasport seriyasi: AD 6760672 IIV 61013 tomonidan 08.04.2024 yilda berilgan</v>
      </c>
      <c r="B8" s="301"/>
      <c r="C8" s="301"/>
      <c r="D8" s="301"/>
    </row>
    <row r="9" spans="1:4" ht="16.5" customHeight="1" x14ac:dyDescent="0.3">
      <c r="A9" s="301" t="str">
        <f>"Asosiy ish joyi : "&amp;umumiy_malumot!B58&amp;""</f>
        <v>Asosiy ish joyi : Yakka tartibdagi tadbirkor</v>
      </c>
      <c r="B9" s="301"/>
      <c r="C9" s="301"/>
      <c r="D9" s="301"/>
    </row>
    <row r="10" spans="1:4" ht="15.75" customHeight="1" x14ac:dyDescent="0.3">
      <c r="A10" s="301" t="str">
        <f>"Lavozimi: "&amp;umumiy_malumot!B59&amp;""</f>
        <v>Lavozimi: Yakka tartibdagi tadbirkor</v>
      </c>
      <c r="B10" s="301"/>
      <c r="C10" s="301"/>
      <c r="D10" s="301"/>
    </row>
    <row r="11" spans="1:4" x14ac:dyDescent="0.3">
      <c r="A11" s="301" t="str">
        <f>"O’rtacha oylik daromadi: "&amp;FIXED(mijoz_anketasi!B27,2)&amp;" so'm."</f>
        <v>O’rtacha oylik daromadi: 10 000 000,00 so'm.</v>
      </c>
      <c r="B11" s="301"/>
      <c r="C11" s="301"/>
      <c r="D11" s="301"/>
    </row>
    <row r="12" spans="1:4" x14ac:dyDescent="0.3">
      <c r="A12" s="301" t="str">
        <f>"Menga quyidagi shartlarda "&amp;umumiy_malumot!B65&amp;" berishingizni so’rayman:"</f>
        <v>Menga quyidagi shartlarda mikroqarz berishingizni so’rayman:</v>
      </c>
      <c r="B12" s="301"/>
      <c r="C12" s="301"/>
      <c r="D12" s="301"/>
    </row>
    <row r="13" spans="1:4" x14ac:dyDescent="0.3">
      <c r="A13" s="301" t="str">
        <f>""&amp;umumiy_malumot!C64&amp;" summasi: "&amp;FIXED(umumiy_malumot!B75,2)&amp;" ("&amp;umumiy_malumot!B76&amp;") so'm."</f>
        <v>Mikroqarz summasi: 33 000 000,00 (o'ttiz uch million so'm) so'm.</v>
      </c>
      <c r="B13" s="301"/>
      <c r="C13" s="301"/>
      <c r="D13" s="301"/>
    </row>
    <row r="14" spans="1:4" x14ac:dyDescent="0.3">
      <c r="A14" s="301" t="str">
        <f>""&amp;umumiy_malumot!C64&amp;" muddati: "&amp;umumiy_malumot!B81&amp;" ("&amp;umumiy_malumot!B82&amp;") oy."</f>
        <v>Mikroqarz muddati: 36 (o'ttiz olti) oy.</v>
      </c>
      <c r="B14" s="301"/>
      <c r="C14" s="301"/>
      <c r="D14" s="301"/>
    </row>
    <row r="15" spans="1:4" ht="17.25" customHeight="1" x14ac:dyDescent="0.3">
      <c r="A15" s="301" t="str">
        <f>""&amp;umumiy_malumot!C64&amp;"dan foydalanganlik uchun foiz stavkasi: yillik  "&amp;umumiy_malumot!B85&amp;"% ("&amp;umumiy_malumot!B86&amp;") foiz"</f>
        <v>Mikroqarzdan foydalanganlik uchun foiz stavkasi: yillik  55% (ellik besh) foiz</v>
      </c>
      <c r="B15" s="301"/>
      <c r="C15" s="301"/>
      <c r="D15" s="301"/>
    </row>
    <row r="16" spans="1:4" x14ac:dyDescent="0.3">
      <c r="A16" s="301" t="str">
        <f>""&amp;umumiy_malumot!C64&amp;" bo'yicha asosiy qarz va foizlarni to'lash:"</f>
        <v>Mikroqarz bo'yicha asosiy qarz va foizlarni to'lash:</v>
      </c>
      <c r="B16" s="301"/>
      <c r="C16" s="301"/>
      <c r="D16" s="301"/>
    </row>
    <row r="17" spans="1:5" ht="20.25" hidden="1" customHeight="1" x14ac:dyDescent="0.3">
      <c r="A17" s="303" t="str">
        <f>" - "&amp;umumiy_malumot!B65&amp;" shartnomasi bo'yicha har oy differensial to'lovlari amalga oshiriladi"</f>
        <v xml:space="preserve"> - mikroqarz shartnomasi bo'yicha har oy differensial to'lovlari amalga oshiriladi</v>
      </c>
      <c r="B17" s="303"/>
      <c r="C17" s="303"/>
      <c r="D17" s="303"/>
    </row>
    <row r="18" spans="1:5" ht="33.75" hidden="1" customHeight="1" x14ac:dyDescent="0.3">
      <c r="A18" s="303" t="str">
        <f>" - "&amp;umumiy_malumot!B65&amp;" shartnomasi bo'yicha har oy annuitet to'lovlari amalga oshiriladi"</f>
        <v xml:space="preserve"> - mikroqarz shartnomasi bo'yicha har oy annuitet to'lovlari amalga oshiriladi</v>
      </c>
      <c r="B18" s="303"/>
      <c r="C18" s="303"/>
      <c r="D18" s="303"/>
    </row>
    <row r="19" spans="1:5" ht="33.75" customHeight="1" x14ac:dyDescent="0.3">
      <c r="A19" s="303" t="str">
        <f>IF(umumiy_malumot!B77=umumiy_malumot!C77,kredit_ariza!A17:D17,IF(umumiy_malumot!B77=umumiy_malumot!D77,kredit_ariza!A18:D18))</f>
        <v xml:space="preserve"> - mikroqarz shartnomasi bo'yicha har oy differensial to'lovlari amalga oshiriladi</v>
      </c>
      <c r="B19" s="303"/>
      <c r="C19" s="303"/>
      <c r="D19" s="303"/>
    </row>
    <row r="20" spans="1:5" ht="33.75" hidden="1" customHeight="1" x14ac:dyDescent="0.3">
      <c r="A20" s="301" t="str">
        <f>IF(DAY(umumiy_malumot!F67)&lt;15,"   ","  Oxirgi yakuniy to'lov "&amp;umumiy_malumot!B65&amp;" shartnomasi tuzilgan kundan boshlab oxirgi oyning oxirgi kunida amalga oshiriladi")</f>
        <v xml:space="preserve">   </v>
      </c>
      <c r="B20" s="301"/>
      <c r="C20" s="301"/>
      <c r="D20" s="301"/>
    </row>
    <row r="21" spans="1:5" x14ac:dyDescent="0.3">
      <c r="A21" s="301" t="str">
        <f>""&amp;umumiy_malumot!C64&amp;" ta’minoti::"</f>
        <v>Mikroqarz ta’minoti::</v>
      </c>
      <c r="B21" s="301"/>
      <c r="C21" s="301"/>
      <c r="D21" s="301"/>
    </row>
    <row r="22" spans="1:5" ht="90" customHeight="1" x14ac:dyDescent="0.3">
      <c r="A22" s="303" t="str">
        <f>IF(umumiy_malumot!B103="Avtotransport",A26,A23)</f>
        <v xml:space="preserve">  Egalik huquqi USMONOV NURIDDID IXTIYOROVICHga tegishli bo'lgan garovga olingan avtomobil markasi   COBALT, rangi -  OQ OLIMPIYSKAYA BELAYA, ishlab chiqarilgan yili - 2016, davlat raqam belgisi 80G291QA, kuzov turi - YENGIL SEDAN, kuzov raqami XWBJF69VEGA010429, dvigatel raqami B15D211163412DJCX0337, shassi raqami - RAKAMSIZ</v>
      </c>
      <c r="B22" s="303"/>
      <c r="C22" s="303"/>
      <c r="D22" s="303"/>
    </row>
    <row r="23" spans="1:5" ht="79.5" hidden="1" customHeight="1" x14ac:dyDescent="0.3">
      <c r="A23" s="303" t="str">
        <f>IF(umumiy_malumot!B92=umumiy_malumot!C92,A25,IF(umumiy_malumot!B92=umumiy_malumot!D92,A24,0))</f>
        <v xml:space="preserve"> Egalik huquqi 0ga tegishli bo'lgan umumiy maydoni - 72,13  va yashash maydoni - 37,39 3 - xonali yakka tartibdagi uy-joy, SAMARQAND VILOYATI TAYLOQ TUMANI CHAROG'BON MFY YANGI TAYLOQ QISHLOG'I 6 TURAR JOY 12 QAVAT 58 XONADON </v>
      </c>
      <c r="B23" s="303"/>
      <c r="C23" s="303"/>
      <c r="D23" s="303"/>
    </row>
    <row r="24" spans="1:5" ht="96.75" hidden="1" customHeight="1" x14ac:dyDescent="0.3">
      <c r="A24" s="303" t="str">
        <f>" - Navbatdagi garov (ipoteka) Egalik huquqi asosida  "&amp;umumiy_malumot!C117&amp;"ga "&amp;umumiy_malumot!C126&amp;", umumiy maydoni - "&amp;umumiy_malumot!C130&amp;" va yashash maydoni - "&amp;umumiy_malumot!C133&amp;", manzili: "&amp;umumiy_malumot!C123&amp;"."</f>
        <v xml:space="preserve"> - Navbatdagi garov (ipoteka) Egalik huquqi asosida  0ga 3 - xonali yakka tartibdagi uy-joy, umumiy maydoni - 72,13 va yashash maydoni - 37,39, manzili: SAMARQAND VILOYATI TAYLOQ TUMANI CHAROG'BON MFY YANGI TAYLOQ QISHLOG'I 6 TURAR JOY 12 QAVAT 58 XONADON.</v>
      </c>
      <c r="B24" s="303"/>
      <c r="C24" s="303"/>
      <c r="D24" s="303"/>
      <c r="E24" s="154"/>
    </row>
    <row r="25" spans="1:5" ht="92.25" hidden="1" customHeight="1" x14ac:dyDescent="0.3">
      <c r="A25" s="303" t="str">
        <f>" Egalik huquqi "&amp;umumiy_malumot!C117&amp;"ga tegishli bo'lgan umumiy maydoni - "&amp;umumiy_malumot!C130&amp;"  va yashash maydoni - "&amp;umumiy_malumot!C133&amp;" "&amp;umumiy_malumot!C126&amp;", "&amp;umumiy_malumot!C123&amp;" "</f>
        <v xml:space="preserve"> Egalik huquqi 0ga tegishli bo'lgan umumiy maydoni - 72,13  va yashash maydoni - 37,39 3 - xonali yakka tartibdagi uy-joy, SAMARQAND VILOYATI TAYLOQ TUMANI CHAROG'BON MFY YANGI TAYLOQ QISHLOG'I 6 TURAR JOY 12 QAVAT 58 XONADON </v>
      </c>
      <c r="B25" s="303"/>
      <c r="C25" s="303"/>
      <c r="D25" s="303"/>
    </row>
    <row r="26" spans="1:5" ht="78" hidden="1" customHeight="1" x14ac:dyDescent="0.3">
      <c r="A26" s="303" t="str">
        <f>IF(umumiy_malumot!B92=umumiy_malumot!C92,kredit_ariza!A28:D28,IF(umumiy_malumot!B92=umumiy_malumot!D92,kredit_ariza!A27:D27,0))</f>
        <v xml:space="preserve">  Egalik huquqi USMONOV NURIDDID IXTIYOROVICHga tegishli bo'lgan garovga olingan avtomobil markasi   COBALT, rangi -  OQ OLIMPIYSKAYA BELAYA, ishlab chiqarilgan yili - 2016, davlat raqam belgisi 80G291QA, kuzov turi - YENGIL SEDAN, kuzov raqami XWBJF69VEGA010429, dvigatel raqami B15D211163412DJCX0337, shassi raqami - RAKAMSIZ</v>
      </c>
      <c r="B26" s="303"/>
      <c r="C26" s="303"/>
      <c r="D26" s="303"/>
    </row>
    <row r="27" spans="1:5" ht="93" hidden="1" customHeight="1" x14ac:dyDescent="0.3">
      <c r="A27" s="303" t="str">
        <f>" Egalik huquqi "&amp;umumiy_malumot!B117&amp;"ga tegishli bo'lgan "&amp;umumiy_malumot!B125&amp;", "&amp;umumiy_malumot!B133&amp;", davlat raqam belgisi "&amp;umumiy_malumot!B126&amp;", "&amp;umumiy_malumot!B127&amp;", "&amp;umumiy_malumot!B130&amp;" avtotransport vositasi "</f>
        <v xml:space="preserve"> Egalik huquqi USMONOV NURIDDID IXTIYOROVICHga tegishli bo'lgan COBALT, rangi -  OQ OLIMPIYSKAYA BELAYA, ishlab chiqarilgan yili - 2016, davlat raqam belgisi 80G291QA, kuzov turi - YENGIL SEDAN, kuzov raqami XWBJF69VEGA010429, dvigatel raqami B15D211163412DJCX0337, shassi raqami - RAKAMSIZ avtotransport vositasi </v>
      </c>
      <c r="B27" s="303"/>
      <c r="C27" s="303"/>
      <c r="D27" s="303"/>
    </row>
    <row r="28" spans="1:5" ht="93.75" hidden="1" customHeight="1" x14ac:dyDescent="0.3">
      <c r="A28" s="303" t="str">
        <f>"  Egalik huquqi "&amp;umumiy_malumot!B117&amp;"ga tegishli bo'lgan garovga olingan avtomobil markasi   "&amp;umumiy_malumot!B125&amp;", "&amp;umumiy_malumot!B133&amp;", davlat raqam belgisi "&amp;umumiy_malumot!B126&amp;", "&amp;umumiy_malumot!B127&amp;", "&amp;umumiy_malumot!B130&amp;""</f>
        <v xml:space="preserve">  Egalik huquqi USMONOV NURIDDID IXTIYOROVICHga tegishli bo'lgan garovga olingan avtomobil markasi   COBALT, rangi -  OQ OLIMPIYSKAYA BELAYA, ishlab chiqarilgan yili - 2016, davlat raqam belgisi 80G291QA, kuzov turi - YENGIL SEDAN, kuzov raqami XWBJF69VEGA010429, dvigatel raqami B15D211163412DJCX0337, shassi raqami - RAKAMSIZ</v>
      </c>
      <c r="B28" s="303"/>
      <c r="C28" s="303"/>
      <c r="D28" s="303"/>
    </row>
    <row r="29" spans="1:5" ht="10.5" customHeight="1" x14ac:dyDescent="0.3">
      <c r="A29" s="301"/>
      <c r="B29" s="301"/>
      <c r="C29" s="301"/>
      <c r="D29" s="301"/>
    </row>
    <row r="30" spans="1:5" ht="53.25" customHeight="1" x14ac:dyDescent="0.3">
      <c r="A30" s="303" t="str">
        <f>"Mazkur ariza bilan "&amp;umumiy_malumot!B147&amp;"ga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0" s="303"/>
      <c r="C30" s="303"/>
      <c r="D30" s="303"/>
    </row>
    <row r="31" spans="1:5" ht="15.75" customHeight="1" x14ac:dyDescent="0.3">
      <c r="A31" s="303" t="s">
        <v>243</v>
      </c>
      <c r="B31" s="303"/>
      <c r="C31" s="303"/>
      <c r="D31" s="303"/>
    </row>
    <row r="32" spans="1:5" x14ac:dyDescent="0.3">
      <c r="A32" s="303" t="s">
        <v>244</v>
      </c>
      <c r="B32" s="303"/>
      <c r="C32" s="303"/>
      <c r="D32" s="303"/>
    </row>
    <row r="33" spans="1:4" x14ac:dyDescent="0.3">
      <c r="A33" s="303" t="s">
        <v>245</v>
      </c>
      <c r="B33" s="303"/>
      <c r="C33" s="303"/>
      <c r="D33" s="303"/>
    </row>
    <row r="34" spans="1:4" x14ac:dyDescent="0.3">
      <c r="A34" s="301" t="str">
        <f>"Ariza berilgan sana: "&amp;TEXT(umumiy_malumot!B2,"ДД.ММ.ГГГГ")&amp;"y."</f>
        <v>Ariza berilgan sana: 06.01.2026y.</v>
      </c>
      <c r="B34" s="301"/>
      <c r="C34" s="301"/>
      <c r="D34" s="301"/>
    </row>
    <row r="35" spans="1:4" x14ac:dyDescent="0.3">
      <c r="A35" s="301"/>
      <c r="B35" s="301"/>
      <c r="C35" s="301"/>
      <c r="D35" s="301"/>
    </row>
    <row r="36" spans="1:4" x14ac:dyDescent="0.3">
      <c r="A36" s="301" t="s">
        <v>246</v>
      </c>
      <c r="B36" s="301"/>
      <c r="C36" s="301"/>
      <c r="D36" s="301"/>
    </row>
    <row r="37" spans="1:4" x14ac:dyDescent="0.3">
      <c r="A37" s="301"/>
      <c r="B37" s="301"/>
      <c r="C37" s="301"/>
      <c r="D37" s="301"/>
    </row>
    <row r="38" spans="1:4" x14ac:dyDescent="0.3">
      <c r="A38" s="301"/>
      <c r="B38" s="301"/>
      <c r="C38" s="301"/>
      <c r="D38" s="301"/>
    </row>
    <row r="39" spans="1:4" ht="15.75" customHeight="1" x14ac:dyDescent="0.3">
      <c r="A39" s="302" t="str">
        <f>umumiy_malumot!B5</f>
        <v>TURAYEV ISROIL BURIYEVICH</v>
      </c>
      <c r="B39" s="302"/>
      <c r="C39" s="302"/>
      <c r="D39" s="11" t="s">
        <v>4</v>
      </c>
    </row>
    <row r="40" spans="1:4" x14ac:dyDescent="0.3">
      <c r="A40" s="10"/>
      <c r="B40" s="10"/>
      <c r="D40" s="12" t="s">
        <v>327</v>
      </c>
    </row>
    <row r="41" spans="1:4" x14ac:dyDescent="0.3">
      <c r="A41" s="301"/>
      <c r="B41" s="301"/>
      <c r="C41" s="301"/>
      <c r="D41" s="301"/>
    </row>
    <row r="42" spans="1:4" x14ac:dyDescent="0.3">
      <c r="A42" s="301"/>
      <c r="B42" s="301"/>
      <c r="C42" s="301"/>
      <c r="D42" s="301"/>
    </row>
    <row r="43" spans="1:4" x14ac:dyDescent="0.3">
      <c r="A43" s="301"/>
      <c r="B43" s="301"/>
      <c r="C43" s="301"/>
      <c r="D43" s="301"/>
    </row>
    <row r="44" spans="1:4" x14ac:dyDescent="0.3">
      <c r="A44" s="301"/>
      <c r="B44" s="301"/>
      <c r="C44" s="301"/>
      <c r="D44" s="301"/>
    </row>
    <row r="45" spans="1:4" x14ac:dyDescent="0.3">
      <c r="A45" s="301"/>
      <c r="B45" s="301"/>
      <c r="C45" s="301"/>
      <c r="D45" s="301"/>
    </row>
    <row r="46" spans="1:4" x14ac:dyDescent="0.3">
      <c r="A46" s="301"/>
      <c r="B46" s="301"/>
      <c r="C46" s="301"/>
      <c r="D46" s="301"/>
    </row>
    <row r="47" spans="1:4" x14ac:dyDescent="0.3">
      <c r="A47" s="301"/>
      <c r="B47" s="301"/>
      <c r="C47" s="301"/>
      <c r="D47" s="301"/>
    </row>
    <row r="48" spans="1:4" x14ac:dyDescent="0.3">
      <c r="A48" s="301"/>
      <c r="B48" s="301"/>
      <c r="C48" s="301"/>
      <c r="D48" s="301"/>
    </row>
    <row r="49" spans="1:4" x14ac:dyDescent="0.3">
      <c r="A49" s="301"/>
      <c r="B49" s="301"/>
      <c r="C49" s="301"/>
      <c r="D49" s="301"/>
    </row>
    <row r="50" spans="1:4" x14ac:dyDescent="0.3">
      <c r="A50" s="301"/>
      <c r="B50" s="301"/>
      <c r="C50" s="301"/>
      <c r="D50" s="301"/>
    </row>
    <row r="51" spans="1:4" x14ac:dyDescent="0.3">
      <c r="A51" s="301"/>
      <c r="B51" s="301"/>
      <c r="C51" s="301"/>
      <c r="D51" s="301"/>
    </row>
    <row r="52" spans="1:4" x14ac:dyDescent="0.3">
      <c r="A52" s="301"/>
      <c r="B52" s="301"/>
      <c r="C52" s="301"/>
      <c r="D52" s="301"/>
    </row>
    <row r="53" spans="1:4" x14ac:dyDescent="0.3">
      <c r="A53" s="301"/>
      <c r="B53" s="301"/>
      <c r="C53" s="301"/>
      <c r="D53" s="301"/>
    </row>
    <row r="54" spans="1:4" x14ac:dyDescent="0.3">
      <c r="A54" s="301"/>
      <c r="B54" s="301"/>
      <c r="C54" s="301"/>
      <c r="D54" s="301"/>
    </row>
    <row r="55" spans="1:4" x14ac:dyDescent="0.3">
      <c r="A55" s="301"/>
      <c r="B55" s="301"/>
      <c r="C55" s="301"/>
      <c r="D55" s="301"/>
    </row>
    <row r="56" spans="1:4" x14ac:dyDescent="0.3">
      <c r="A56" s="301"/>
      <c r="B56" s="301"/>
      <c r="C56" s="301"/>
      <c r="D56" s="301"/>
    </row>
    <row r="57" spans="1:4" x14ac:dyDescent="0.3">
      <c r="A57" s="301"/>
      <c r="B57" s="301"/>
      <c r="C57" s="301"/>
      <c r="D57" s="301"/>
    </row>
    <row r="58" spans="1:4" x14ac:dyDescent="0.3">
      <c r="A58" s="301"/>
      <c r="B58" s="301"/>
      <c r="C58" s="301"/>
      <c r="D58" s="301"/>
    </row>
    <row r="59" spans="1:4" x14ac:dyDescent="0.3">
      <c r="A59" s="301"/>
      <c r="B59" s="301"/>
      <c r="C59" s="301"/>
      <c r="D59" s="301"/>
    </row>
    <row r="60" spans="1:4" x14ac:dyDescent="0.3">
      <c r="A60" s="301"/>
      <c r="B60" s="301"/>
      <c r="C60" s="301"/>
      <c r="D60" s="301"/>
    </row>
    <row r="61" spans="1:4" x14ac:dyDescent="0.3">
      <c r="A61" s="301"/>
      <c r="B61" s="301"/>
      <c r="C61" s="301"/>
      <c r="D61" s="301"/>
    </row>
    <row r="62" spans="1:4" x14ac:dyDescent="0.3">
      <c r="A62" s="301"/>
      <c r="B62" s="301"/>
      <c r="C62" s="301"/>
      <c r="D62" s="301"/>
    </row>
    <row r="63" spans="1:4" x14ac:dyDescent="0.3">
      <c r="A63" s="301"/>
      <c r="B63" s="301"/>
      <c r="C63" s="301"/>
      <c r="D63" s="301"/>
    </row>
    <row r="64" spans="1:4" x14ac:dyDescent="0.3">
      <c r="A64" s="301"/>
      <c r="B64" s="301"/>
      <c r="C64" s="301"/>
      <c r="D64" s="301"/>
    </row>
    <row r="65" spans="1:4" x14ac:dyDescent="0.3">
      <c r="A65" s="301"/>
      <c r="B65" s="301"/>
      <c r="C65" s="301"/>
      <c r="D65" s="301"/>
    </row>
    <row r="66" spans="1:4" x14ac:dyDescent="0.3">
      <c r="A66" s="301"/>
      <c r="B66" s="301"/>
      <c r="C66" s="301"/>
      <c r="D66" s="301"/>
    </row>
    <row r="67" spans="1:4" x14ac:dyDescent="0.3">
      <c r="A67" s="301"/>
      <c r="B67" s="301"/>
      <c r="C67" s="301"/>
      <c r="D67" s="301"/>
    </row>
    <row r="68" spans="1:4" x14ac:dyDescent="0.3">
      <c r="A68" s="301"/>
      <c r="B68" s="301"/>
      <c r="C68" s="301"/>
      <c r="D68" s="301"/>
    </row>
    <row r="69" spans="1:4" x14ac:dyDescent="0.3">
      <c r="A69" s="301"/>
      <c r="B69" s="301"/>
      <c r="C69" s="301"/>
      <c r="D69" s="301"/>
    </row>
    <row r="70" spans="1:4" x14ac:dyDescent="0.3">
      <c r="A70" s="301"/>
      <c r="B70" s="301"/>
      <c r="C70" s="301"/>
      <c r="D70" s="301"/>
    </row>
    <row r="71" spans="1:4" x14ac:dyDescent="0.3">
      <c r="A71" s="301"/>
      <c r="B71" s="301"/>
      <c r="C71" s="301"/>
      <c r="D71" s="301"/>
    </row>
    <row r="72" spans="1:4" x14ac:dyDescent="0.3">
      <c r="A72" s="301"/>
      <c r="B72" s="301"/>
      <c r="C72" s="301"/>
      <c r="D72" s="301"/>
    </row>
    <row r="73" spans="1:4" x14ac:dyDescent="0.3">
      <c r="A73" s="301"/>
      <c r="B73" s="301"/>
      <c r="C73" s="301"/>
      <c r="D73" s="301"/>
    </row>
    <row r="74" spans="1:4" x14ac:dyDescent="0.3">
      <c r="A74" s="301"/>
      <c r="B74" s="301"/>
      <c r="C74" s="301"/>
      <c r="D74" s="301"/>
    </row>
    <row r="75" spans="1:4" x14ac:dyDescent="0.3">
      <c r="A75" s="301"/>
      <c r="B75" s="301"/>
      <c r="C75" s="301"/>
      <c r="D75" s="301"/>
    </row>
    <row r="76" spans="1:4" x14ac:dyDescent="0.3">
      <c r="A76" s="301"/>
      <c r="B76" s="301"/>
      <c r="C76" s="301"/>
      <c r="D76" s="301"/>
    </row>
    <row r="77" spans="1:4" x14ac:dyDescent="0.3">
      <c r="A77" s="301"/>
      <c r="B77" s="301"/>
      <c r="C77" s="301"/>
      <c r="D77" s="301"/>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22">
    <tabColor rgb="FF00B050"/>
  </sheetPr>
  <dimension ref="A3:B11"/>
  <sheetViews>
    <sheetView view="pageBreakPreview" zoomScale="85" zoomScaleNormal="100" zoomScaleSheetLayoutView="85" workbookViewId="0">
      <selection activeCell="A4" sqref="A4:B4"/>
    </sheetView>
  </sheetViews>
  <sheetFormatPr defaultRowHeight="14.4" x14ac:dyDescent="0.3"/>
  <cols>
    <col min="1" max="1" width="54.44140625" style="15" customWidth="1"/>
    <col min="2" max="2" width="32.33203125" style="15" customWidth="1"/>
  </cols>
  <sheetData>
    <row r="3" spans="1:2" ht="35.25" customHeight="1" x14ac:dyDescent="0.3">
      <c r="A3" s="321" t="s">
        <v>209</v>
      </c>
      <c r="B3" s="321"/>
    </row>
    <row r="4" spans="1:2" ht="92.25" customHeight="1" x14ac:dyDescent="0.3">
      <c r="A4" s="243" t="str">
        <f>"     Men, fuqaro "&amp;umumiy_malumot!B5&amp;" "&amp;umumiy_malumot!B149&amp;" bilan "&amp;umumiy_malumot!B69&amp;" sanasidagi "&amp;umumiy_malumot!B66&amp;"-sonli shartnomaning garov ta'minoti sifatida taqdim etilayotgan mulk "&amp;umumiy_malumot!B125&amp;" rusumli avtotransport vositasini qonunga xilof ravishda o‘zlashtirmaslikka, yashirmaslikka, nobud qilmaslikka yoki unga shikast yetkazmaslik majburiyatini olaman."</f>
        <v xml:space="preserve">     Men, fuqaro TURAYEV ISROIL BURIYEVICH «PULLOL BUSINESS MIKROMOLIYA TASHKILOTI»  MChJ bilan 6 yanvar 2026 y. sanasidagi №3-BR-sonli shartnomaning garov ta'minoti sifatida taqdim etilayotgan mulk COBALT rusumli avtotransport vositasini qonunga xilof ravishda o‘zlashtirmaslikka, yashirmaslikka, nobud qilmaslikka yoki unga shikast yetkazmaslik majburiyatini olaman.</v>
      </c>
      <c r="B4" s="243"/>
    </row>
    <row r="5" spans="1:2" ht="56.25" customHeight="1" x14ac:dyDescent="0.3">
      <c r="A5" s="322" t="s">
        <v>210</v>
      </c>
      <c r="B5" s="322"/>
    </row>
    <row r="6" spans="1:2" ht="42.75" customHeight="1" x14ac:dyDescent="0.3"/>
    <row r="7" spans="1:2" x14ac:dyDescent="0.3">
      <c r="A7" s="15" t="str">
        <f>umumiy_malumot!B5</f>
        <v>TURAYEV ISROIL BURIYEVICH</v>
      </c>
      <c r="B7" s="136" t="s">
        <v>211</v>
      </c>
    </row>
    <row r="9" spans="1:2" hidden="1" x14ac:dyDescent="0.3">
      <c r="A9" s="15" t="str">
        <f>umumiy_malumot!B105</f>
        <v>USMONOV NURIDDID IXTIYOROVICH</v>
      </c>
      <c r="B9" s="136" t="s">
        <v>211</v>
      </c>
    </row>
    <row r="10" spans="1:2" ht="26.25" customHeight="1" x14ac:dyDescent="0.3"/>
    <row r="11" spans="1:2" x14ac:dyDescent="0.3">
      <c r="A11" s="15" t="str">
        <f>"sana:   "&amp;TEXT(umumiy_malumot!B2,"ДД.ММ.ГГГГ")&amp;" y."</f>
        <v>sana:   06.01.2026 y.</v>
      </c>
    </row>
  </sheetData>
  <mergeCells count="3">
    <mergeCell ref="A3:B3"/>
    <mergeCell ref="A4:B4"/>
    <mergeCell ref="A5:B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XFA29"/>
  <sheetViews>
    <sheetView view="pageBreakPreview" topLeftCell="A22" zoomScaleNormal="100" zoomScaleSheetLayoutView="100" workbookViewId="0">
      <selection activeCell="B17" sqref="B17"/>
    </sheetView>
  </sheetViews>
  <sheetFormatPr defaultColWidth="0" defaultRowHeight="15.6" zeroHeight="1" x14ac:dyDescent="0.3"/>
  <cols>
    <col min="1" max="1" width="33" style="6" customWidth="1"/>
    <col min="2" max="2" width="53.44140625" style="6" customWidth="1"/>
    <col min="3" max="16381" width="9.109375" style="6" hidden="1"/>
    <col min="16382" max="16382" width="69.33203125" style="6" customWidth="1"/>
    <col min="16383" max="16383" width="15.33203125" style="6" customWidth="1"/>
    <col min="16384" max="16384" width="4" style="6" customWidth="1"/>
  </cols>
  <sheetData>
    <row r="5" spans="1:2" x14ac:dyDescent="0.3"/>
    <row r="6" spans="1:2" ht="17.25" customHeight="1" x14ac:dyDescent="0.3">
      <c r="B6" s="14" t="str">
        <f>umumiy_malumot!B148</f>
        <v>«PULLOL BUSINESS MIKROMOLIYA TASHKILOTI»  MChJ</v>
      </c>
    </row>
    <row r="7" spans="1:2" ht="33" customHeight="1" x14ac:dyDescent="0.3">
      <c r="A7" s="176"/>
      <c r="B7" s="167" t="str">
        <f>""&amp;umumiy_malumot!A150&amp;" "&amp;umumiy_malumot!B150&amp;"ga"</f>
        <v>Buxoro filiali boshlig'i IKROMOV B.A.ga</v>
      </c>
    </row>
    <row r="8" spans="1:2" x14ac:dyDescent="0.3">
      <c r="A8" s="155"/>
      <c r="B8" s="167" t="str">
        <f>""&amp;umumiy_malumot!B111&amp;"dan"</f>
        <v>USMONOV NURIDDID IXTIYOROVICHdan</v>
      </c>
    </row>
    <row r="9" spans="1:2" ht="15.75" hidden="1" customHeight="1" x14ac:dyDescent="0.3">
      <c r="B9" s="7" t="str">
        <f>umumiy_malumot!B111</f>
        <v>USMONOV NURIDDID IXTIYOROVICH</v>
      </c>
    </row>
    <row r="10" spans="1:2" ht="15.75" hidden="1" customHeight="1" x14ac:dyDescent="0.3">
      <c r="B10" s="7">
        <f>umumiy_malumot!C111</f>
        <v>0</v>
      </c>
    </row>
    <row r="11" spans="1:2" ht="15.75" hidden="1" customHeight="1" x14ac:dyDescent="0.3">
      <c r="B11" s="155" t="s">
        <v>269</v>
      </c>
    </row>
    <row r="12" spans="1:2" x14ac:dyDescent="0.3"/>
    <row r="13" spans="1:2" ht="115.5" customHeight="1" x14ac:dyDescent="0.3">
      <c r="A13" s="303" t="str">
        <f>IF(umumiy_malumot!B103="Avtotransport",A14,A15)</f>
        <v>TURAYEV ISROIL BURIYEVICH tomonidan so’ralayotgan 36 (o'ttiz olti) oy muddatga, 33 000 000 (o'ttiz uch million so'm) miqdoridagi mikroqarzning ta’minoti sifatida menga mulk huquqi asosida tegishli bo’lgan  COBALT, kuzov turi - YENGIL SEDAN, kuzov raqami XWBJF69VEGA010429, dvigatel raqami B15D211163412DJCX0337, shassi raqami - RAKAMSIZ, rangi -  OQ OLIMPIYSKAYA BELAYA, ishlab chiqarilgan yili - 2016, avtotransport vositasini qabul qilishingizni so’rayman:</v>
      </c>
      <c r="B13" s="303"/>
    </row>
    <row r="14" spans="1:2" ht="124.5" hidden="1" customHeight="1" x14ac:dyDescent="0.3">
      <c r="A14" s="303"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"&amp;umumiy_malumot!B125&amp;", "&amp;umumiy_malumot!B127&amp;", "&amp;umumiy_malumot!B130&amp;", "&amp;umumiy_malumot!B133&amp;", avtotransport vositasini qabul qilishingizni so’rayman:"</f>
        <v>TURAYEV ISROIL BURIYEVICH tomonidan so’ralayotgan 36 (o'ttiz olti) oy muddatga, 33 000 000 (o'ttiz uch million so'm) miqdoridagi mikroqarzning ta’minoti sifatida menga mulk huquqi asosida tegishli bo’lgan  COBALT, kuzov turi - YENGIL SEDAN, kuzov raqami XWBJF69VEGA010429, dvigatel raqami B15D211163412DJCX0337, shassi raqami - RAKAMSIZ, rangi -  OQ OLIMPIYSKAYA BELAYA, ishlab chiqarilgan yili - 2016, avtotransport vositasini qabul qilishingizni so’rayman:</v>
      </c>
      <c r="B14" s="303"/>
    </row>
    <row r="15" spans="1:2" ht="116.25" hidden="1" customHeight="1" x14ac:dyDescent="0.3">
      <c r="A15" s="303"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"&amp;umumiy_malumot!C126&amp;", umumiy maydoni "&amp;umumiy_malumot!C130&amp;" va yashash maydoni "&amp;umumiy_malumot!C133&amp;"  "&amp;umumiy_malumot!C123&amp;" manzilda joylashgan ko'chmas mulkni qabul qilishingizni so’rayman:"</f>
        <v>TURAYEV ISROIL BURIYEVICH tomonidan so’ralayotgan 36 (o'ttiz olti) oy muddatga, 33 000 000 (o'ttiz uch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03"/>
    </row>
    <row r="16" spans="1:2" x14ac:dyDescent="0.3"/>
    <row r="17" spans="1:2" x14ac:dyDescent="0.3"/>
    <row r="18" spans="1:2" x14ac:dyDescent="0.3">
      <c r="B18" s="7" t="s">
        <v>268</v>
      </c>
    </row>
    <row r="19" spans="1:2" ht="18.75" customHeight="1" x14ac:dyDescent="0.3">
      <c r="A19" s="6" t="str">
        <f>IF(umumiy_malumot!B94=umumiy_malumot!C94,umumiy_malumot!B112,umumiy_malumot!B7)</f>
        <v>TURAYEV I.B.</v>
      </c>
      <c r="B19" s="56" t="str">
        <f>umumiy_malumot!B2</f>
        <v>06.01.2026</v>
      </c>
    </row>
    <row r="20" spans="1:2" ht="60.75" hidden="1" customHeight="1" x14ac:dyDescent="0.3">
      <c r="A20" s="341" t="str">
        <f>IF(umumiy_malumot!B94=umumiy_malumot!D94,CONCATENATE(A23," ",A28,A22),"")</f>
        <v xml:space="preserve">№202602386000102 06.01.2026 sanasidan xususiy faoliyat ko'rsatuvchi notarius tomonidan BUXORO VILOYATI BUXORO SHAHRI ASHXOBOD KO'CHASI 1/3-UY SHARIPOV ZAFAR JO'RABOYEVICH berilgan ishonchnomaga asosan </v>
      </c>
      <c r="B20" s="341"/>
    </row>
    <row r="21" spans="1:2" hidden="1" x14ac:dyDescent="0.3">
      <c r="A21" s="6" t="s">
        <v>23</v>
      </c>
    </row>
    <row r="22" spans="1:2" ht="67.5" customHeight="1" x14ac:dyDescent="0.3">
      <c r="A22" s="342" t="str">
        <f>" xususiy faoliyat ko'rsatuvchi notarius tomonidan "&amp;umumiy_malumot!B98&amp;" "&amp;umumiy_malumot!B99&amp;" berilgan ishonchnomaga asosan "</f>
        <v xml:space="preserve"> xususiy faoliyat ko'rsatuvchi notarius tomonidan BUXORO VILOYATI BUXORO SHAHRI ASHXOBOD KO'CHASI 1/3-UY SHARIPOV ZAFAR JO'RABOYEVICH berilgan ishonchnomaga asosan </v>
      </c>
      <c r="B22" s="343"/>
    </row>
    <row r="23" spans="1:2" x14ac:dyDescent="0.3">
      <c r="A23" s="339" t="str">
        <f>"№"&amp;umumiy_malumot!B100&amp; ""</f>
        <v>№202602386000102</v>
      </c>
      <c r="B23" s="340"/>
    </row>
    <row r="24" spans="1:2" x14ac:dyDescent="0.3">
      <c r="A24" s="339"/>
      <c r="B24" s="340"/>
    </row>
    <row r="25" spans="1:2" ht="14.25" hidden="1" customHeight="1" x14ac:dyDescent="0.3">
      <c r="A25" s="213" t="str">
        <f>umumiy_malumot!B102</f>
        <v>06.01.2026</v>
      </c>
      <c r="B25" s="214"/>
    </row>
    <row r="26" spans="1:2" ht="15.75" hidden="1" customHeight="1" x14ac:dyDescent="0.3">
      <c r="A26" s="213" t="str">
        <f>TEXT(A25,"ДД.ММ.ГГГГ")</f>
        <v>06.01.2026</v>
      </c>
      <c r="B26" s="214"/>
    </row>
    <row r="27" spans="1:2" ht="15.75" hidden="1" customHeight="1" x14ac:dyDescent="0.3">
      <c r="A27" s="213" t="s">
        <v>377</v>
      </c>
      <c r="B27" s="214"/>
    </row>
    <row r="28" spans="1:2" x14ac:dyDescent="0.3">
      <c r="A28" s="337" t="str">
        <f>CONCATENATE(A26,A27)</f>
        <v>06.01.2026 sanasidan</v>
      </c>
      <c r="B28" s="338"/>
    </row>
    <row r="29" spans="1:2" x14ac:dyDescent="0.3">
      <c r="A29" s="154"/>
      <c r="B29" s="154"/>
    </row>
  </sheetData>
  <mergeCells count="7">
    <mergeCell ref="A28:B28"/>
    <mergeCell ref="A23:B24"/>
    <mergeCell ref="A13:B13"/>
    <mergeCell ref="A14:B14"/>
    <mergeCell ref="A15:B15"/>
    <mergeCell ref="A20:B20"/>
    <mergeCell ref="A22:B22"/>
  </mergeCells>
  <pageMargins left="0.7" right="0.7" top="0.75" bottom="0.75" header="0.3" footer="0.3"/>
  <pageSetup paperSize="9"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7">
    <tabColor rgb="FF00B050"/>
  </sheetPr>
  <dimension ref="A1:E59"/>
  <sheetViews>
    <sheetView tabSelected="1" view="pageBreakPreview" topLeftCell="A11" zoomScaleNormal="100" zoomScaleSheetLayoutView="100" workbookViewId="0">
      <selection activeCell="A5" sqref="A5:E5"/>
    </sheetView>
  </sheetViews>
  <sheetFormatPr defaultColWidth="9.109375" defaultRowHeight="13.8" outlineLevelRow="1" x14ac:dyDescent="0.25"/>
  <cols>
    <col min="1" max="1" width="23.6640625" style="15" customWidth="1"/>
    <col min="2" max="3" width="17" style="15" customWidth="1"/>
    <col min="4" max="4" width="15" style="15" customWidth="1"/>
    <col min="5" max="5" width="24.5546875" style="15" customWidth="1"/>
    <col min="6" max="16384" width="9.109375" style="15"/>
  </cols>
  <sheetData>
    <row r="1" spans="1:5" ht="36" customHeight="1" x14ac:dyDescent="0.25">
      <c r="A1" s="254" t="str">
        <f>""&amp;umumiy_malumot!B147&amp;"
mikromoliya tashkilotining Xulosasi"</f>
        <v>«PULLOL BUSINESS MIKROMOLIYA TASHKILOTI»  MChJ
mikromoliya tashkilotining Xulosasi</v>
      </c>
      <c r="B1" s="254"/>
      <c r="C1" s="254"/>
      <c r="D1" s="254"/>
      <c r="E1" s="254"/>
    </row>
    <row r="2" spans="1:5" x14ac:dyDescent="0.25">
      <c r="A2" s="243"/>
      <c r="B2" s="243"/>
      <c r="C2" s="243"/>
      <c r="D2" s="243"/>
      <c r="E2" s="243"/>
    </row>
    <row r="3" spans="1:5" x14ac:dyDescent="0.25">
      <c r="A3" s="254" t="s">
        <v>198</v>
      </c>
      <c r="B3" s="254"/>
      <c r="C3" s="254"/>
      <c r="D3" s="254"/>
      <c r="E3" s="254"/>
    </row>
    <row r="4" spans="1:5" x14ac:dyDescent="0.25">
      <c r="A4" s="243" t="str">
        <f>"Mijozning to'liq ismi sharifi: "&amp;umumiy_malumot!B5&amp;""</f>
        <v>Mijozning to'liq ismi sharifi: TURAYEV ISROIL BURIYEVICH</v>
      </c>
      <c r="B4" s="243"/>
      <c r="C4" s="243"/>
      <c r="D4" s="243"/>
      <c r="E4" s="243"/>
    </row>
    <row r="5" spans="1:5" x14ac:dyDescent="0.25">
      <c r="A5" s="243" t="str">
        <f>"Tug'ilgan sanasi: "&amp;umumiy_malumot!B15&amp;""</f>
        <v>Tug'ilgan sanasi: 14.11.1983 yil</v>
      </c>
      <c r="B5" s="243"/>
      <c r="C5" s="243"/>
      <c r="D5" s="243"/>
      <c r="E5" s="243"/>
    </row>
    <row r="6" spans="1:5" ht="31.5" customHeight="1" x14ac:dyDescent="0.25">
      <c r="A6" s="243" t="str">
        <f>"Pasport seriyasi "&amp;umumiy_malumot!B16&amp;" "&amp;umumiy_malumot!B20&amp;", amal qilish muddati - "&amp;umumiy_malumot!B21&amp;""</f>
        <v>Pasport seriyasi AD 6760672 IIV 61013 tomonidan 08.04.2024 yilda berilgan, amal qilish muddati - 07.04.2034 y.</v>
      </c>
      <c r="B6" s="243"/>
      <c r="C6" s="243"/>
      <c r="D6" s="243"/>
      <c r="E6" s="243"/>
    </row>
    <row r="7" spans="1:5" ht="48" customHeight="1" x14ac:dyDescent="0.25">
      <c r="A7" s="243" t="str">
        <f>"Ro‘yxatdan o‘tgan manzili: "&amp;umumiy_malumot!B28&amp;", mo'ljal: "&amp;umumiy_malumot!B26&amp;""</f>
        <v>Ro‘yxatdan o‘tgan manzili: BUXORO VILOYATI KOGON SHAHRI ZAFAROBOD 17-UY, mo'ljal: BGGK ZONA</v>
      </c>
      <c r="B7" s="243"/>
      <c r="C7" s="243"/>
      <c r="D7" s="243"/>
      <c r="E7" s="243"/>
    </row>
    <row r="8" spans="1:5" ht="33" customHeight="1" x14ac:dyDescent="0.25">
      <c r="A8" s="243" t="str">
        <f>"Ish joyi: "&amp;umumiy_malumot!B52&amp;" lavozimi "&amp;umumiy_malumot!B49&amp;"da "&amp;umumiy_malumot!B44&amp;""</f>
        <v>Ish joyi:  lavozimi Yakka tartibdagi tadbirkorda Yakka tartibdagi tadbirkor</v>
      </c>
      <c r="B8" s="243"/>
      <c r="C8" s="243"/>
      <c r="D8" s="243"/>
      <c r="E8" s="243"/>
    </row>
    <row r="9" spans="1:5" hidden="1" x14ac:dyDescent="0.25">
      <c r="A9" s="243"/>
      <c r="B9" s="243"/>
      <c r="C9" s="243"/>
      <c r="D9" s="243"/>
      <c r="E9" s="243"/>
    </row>
    <row r="10" spans="1:5" x14ac:dyDescent="0.25">
      <c r="A10" s="254" t="str">
        <f>"Mijoz tomonidan so’ralgan "&amp;umumiy_malumot!B65&amp;" shartlari:"</f>
        <v>Mijoz tomonidan so’ralgan mikroqarz shartlari:</v>
      </c>
      <c r="B10" s="254"/>
      <c r="C10" s="254"/>
      <c r="D10" s="254"/>
      <c r="E10" s="254"/>
    </row>
    <row r="11" spans="1:5" x14ac:dyDescent="0.25">
      <c r="A11" s="243" t="str">
        <f>kredit_ariza!A13:D13</f>
        <v>Mikroqarz summasi: 33 000 000,00 (o'ttiz uch million so'm) so'm.</v>
      </c>
      <c r="B11" s="243"/>
      <c r="C11" s="243"/>
      <c r="D11" s="243"/>
      <c r="E11" s="243"/>
    </row>
    <row r="12" spans="1:5" x14ac:dyDescent="0.25">
      <c r="A12" s="243" t="str">
        <f>kredit_ariza!A14:D14</f>
        <v>Mikroqarz muddati: 36 (o'ttiz olti) oy.</v>
      </c>
      <c r="B12" s="243"/>
      <c r="C12" s="243"/>
      <c r="D12" s="243"/>
      <c r="E12" s="243"/>
    </row>
    <row r="13" spans="1:5" x14ac:dyDescent="0.25">
      <c r="A13" s="243" t="str">
        <f>kredit_ariza!A15:D15</f>
        <v>Mikroqarzdan foydalanganlik uchun foiz stavkasi: yillik  55% (ellik besh) foiz</v>
      </c>
      <c r="B13" s="243"/>
      <c r="C13" s="243"/>
      <c r="D13" s="243"/>
      <c r="E13" s="243"/>
    </row>
    <row r="14" spans="1:5" x14ac:dyDescent="0.25">
      <c r="A14" s="243" t="str">
        <f>kredit_ariza!A16:D16</f>
        <v>Mikroqarz bo'yicha asosiy qarz va foizlarni to'lash:</v>
      </c>
      <c r="B14" s="243"/>
      <c r="C14" s="243"/>
      <c r="D14" s="243"/>
      <c r="E14" s="243"/>
    </row>
    <row r="15" spans="1:5" ht="18.75" customHeight="1" x14ac:dyDescent="0.25">
      <c r="A15" s="243" t="str">
        <f>kredit_ariza!A19:D19</f>
        <v xml:space="preserve"> - mikroqarz shartnomasi bo'yicha har oy differensial to'lovlari amalga oshiriladi</v>
      </c>
      <c r="B15" s="243"/>
      <c r="C15" s="243"/>
      <c r="D15" s="243"/>
      <c r="E15" s="243"/>
    </row>
    <row r="16" spans="1:5" ht="14.25" customHeight="1" x14ac:dyDescent="0.25">
      <c r="A16" s="235" t="str">
        <f>kredit_ariza!A20:D20</f>
        <v xml:space="preserve">   </v>
      </c>
      <c r="B16" s="235"/>
      <c r="C16" s="235"/>
      <c r="D16" s="235"/>
      <c r="E16" s="235"/>
    </row>
    <row r="17" spans="1:5" x14ac:dyDescent="0.25">
      <c r="A17" s="243" t="str">
        <f>kredit_ariza!A21:D21</f>
        <v>Mikroqarz ta’minoti::</v>
      </c>
      <c r="B17" s="243"/>
      <c r="C17" s="243"/>
      <c r="D17" s="243"/>
      <c r="E17" s="243"/>
    </row>
    <row r="18" spans="1:5" ht="67.5" customHeight="1" x14ac:dyDescent="0.25">
      <c r="A18" s="243" t="str">
        <f>kredit_ariza!A22:D22</f>
        <v xml:space="preserve">  Egalik huquqi USMONOV NURIDDID IXTIYOROVICHga tegishli bo'lgan garovga olingan avtomobil markasi   COBALT, rangi -  OQ OLIMPIYSKAYA BELAYA, ishlab chiqarilgan yili - 2016, davlat raqam belgisi 80G291QA, kuzov turi - YENGIL SEDAN, kuzov raqami XWBJF69VEGA010429, dvigatel raqami B15D211163412DJCX0337, shassi raqami - RAKAMSIZ</v>
      </c>
      <c r="B18" s="243"/>
      <c r="C18" s="243"/>
      <c r="D18" s="243"/>
      <c r="E18" s="243"/>
    </row>
    <row r="19" spans="1:5" x14ac:dyDescent="0.25">
      <c r="A19" s="254" t="s">
        <v>199</v>
      </c>
      <c r="B19" s="254"/>
      <c r="C19" s="254"/>
      <c r="D19" s="254"/>
      <c r="E19" s="254"/>
    </row>
    <row r="20" spans="1:5" ht="21" customHeight="1" x14ac:dyDescent="0.25">
      <c r="A20" s="243" t="str">
        <f>"Anketaga muvofiq "&amp;umumiy_malumot!B9&amp;"ning o‘rtacha oylik daromadi  "&amp;FIXED(mijoz_anketasi!B27)&amp;" so‘mni tashkil etdi."</f>
        <v>Anketaga muvofiq TURAYEV I.B.ning o‘rtacha oylik daromadi  10 000 000,00 so‘mni tashkil etdi.</v>
      </c>
      <c r="B20" s="243"/>
      <c r="C20" s="243"/>
      <c r="D20" s="243"/>
      <c r="E20" s="243"/>
    </row>
    <row r="21" spans="1:5" ht="21" customHeight="1" x14ac:dyDescent="0.25">
      <c r="A21" s="243" t="str">
        <f>"Mijozning o'rtacha oylik xarajatlari "&amp;FIXED(mijoz_anketasi!F27)&amp;" so'mni tashkil etdi"</f>
        <v>Mijozning o'rtacha oylik xarajatlari 1 700 000,00 so'mni tashkil etdi</v>
      </c>
      <c r="B21" s="243"/>
      <c r="C21" s="243"/>
      <c r="D21" s="243"/>
      <c r="E21" s="243"/>
    </row>
    <row r="22" spans="1:5" ht="15" hidden="1" customHeight="1" x14ac:dyDescent="0.25">
      <c r="A22" s="243" t="str">
        <f>IF(umumiy_malumot!B77=umumiy_malumot!C77,xulosa!A23:E23,xulosa!A24:E24)</f>
        <v>Mikroqarz shartnomasi bo'yicha birinchi oy uchun to'lov 2 955 433,90 so'mni tashkil etadi.</v>
      </c>
      <c r="B22" s="243"/>
      <c r="C22" s="243"/>
      <c r="D22" s="243"/>
      <c r="E22" s="243"/>
    </row>
    <row r="23" spans="1:5" x14ac:dyDescent="0.25">
      <c r="A23" s="243" t="str">
        <f>""&amp;umumiy_malumot!C64&amp;" shartnomasi bo'yicha birinchi oy uchun to'lov "&amp;FIXED(umumiy_malumot!B90)&amp;" so'mni tashkil etadi."</f>
        <v>Mikroqarz shartnomasi bo'yicha birinchi oy uchun to'lov 2 955 433,90 so'mni tashkil etadi.</v>
      </c>
      <c r="B23" s="243"/>
      <c r="C23" s="243"/>
      <c r="D23" s="243"/>
      <c r="E23" s="243"/>
    </row>
    <row r="24" spans="1:5" hidden="1" x14ac:dyDescent="0.25">
      <c r="A24" s="243" t="str">
        <f>""&amp;umumiy_malumot!C64&amp;" bo‘yicha oylik "&amp;umumiy_malumot!B77&amp;" to‘lovi miqdori "&amp;FIXED(umumiy_malumot!B90)&amp;" so‘mni tashkil etadi."</f>
        <v>Mikroqarz bo‘yicha oylik differensial to‘lovi miqdori 2 955 433,90 so‘mni tashkil etadi.</v>
      </c>
      <c r="B24" s="243"/>
      <c r="C24" s="243"/>
      <c r="D24" s="243"/>
      <c r="E24" s="243"/>
    </row>
    <row r="25" spans="1:5" ht="64.5" hidden="1" customHeight="1" x14ac:dyDescent="0.25">
      <c r="A25" s="235" t="s">
        <v>423</v>
      </c>
      <c r="B25" s="235"/>
      <c r="C25" s="235"/>
      <c r="D25" s="235"/>
      <c r="E25" s="235"/>
    </row>
    <row r="26" spans="1:5" x14ac:dyDescent="0.25">
      <c r="A26" s="254" t="str">
        <f>""&amp;umumiy_malumot!C64&amp;" bo’yicha ta’minot:"</f>
        <v>Mikroqarz bo’yicha ta’minot:</v>
      </c>
      <c r="B26" s="254"/>
      <c r="C26" s="254"/>
      <c r="D26" s="254"/>
      <c r="E26" s="254"/>
    </row>
    <row r="27" spans="1:5" ht="31.5" hidden="1" customHeight="1" x14ac:dyDescent="0.25">
      <c r="A27" s="243" t="str">
        <f>" - "&amp;umumiy_malumot!B117&amp;" ga mulk huquqi asosida tegishli avtotransport vositasi "&amp;umumiy_malumot!B125&amp;" , quyidagi tafsilotlarga muvofiq:"</f>
        <v xml:space="preserve"> - USMONOV NURIDDID IXTIYOROVICH ga mulk huquqi asosida tegishli avtotransport vositasi COBALT , quyidagi tafsilotlarga muvofiq:</v>
      </c>
      <c r="B27" s="243"/>
      <c r="C27" s="243"/>
      <c r="D27" s="243"/>
      <c r="E27" s="243"/>
    </row>
    <row r="28" spans="1:5" ht="67.5" hidden="1" customHeight="1" x14ac:dyDescent="0.25">
      <c r="A28" s="243" t="str">
        <f>" -   "&amp;umumiy_malumot!C117&amp;" ga mulk huquqi asosida tegishli ko'chmas mulk shaklida "&amp;umumiy_malumot!C126&amp;", manzili: "&amp;umumiy_malumot!C123&amp;",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43"/>
      <c r="C28" s="243"/>
      <c r="D28" s="243"/>
      <c r="E28" s="243"/>
    </row>
    <row r="29" spans="1:5" ht="44.25" customHeight="1" x14ac:dyDescent="0.25">
      <c r="A29" s="243" t="str">
        <f>IF(umumiy_malumot!B103="Avtotransport",xulosa!A27:E27,xulosa!A28:E28)</f>
        <v xml:space="preserve"> - USMONOV NURIDDID IXTIYOROVICH ga mulk huquqi asosida tegishli avtotransport vositasi COBALT , quyidagi tafsilotlarga muvofiq:</v>
      </c>
      <c r="B29" s="243"/>
      <c r="C29" s="243"/>
      <c r="D29" s="243"/>
      <c r="E29" s="243"/>
    </row>
    <row r="30" spans="1:5" s="16" customFormat="1" ht="47.25" customHeight="1" outlineLevel="1" x14ac:dyDescent="0.3">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2.25" customHeight="1" outlineLevel="1" x14ac:dyDescent="0.25">
      <c r="A31" s="17" t="str">
        <f>dalolatnoma!A30</f>
        <v>COBALT</v>
      </c>
      <c r="B31" s="17" t="str">
        <f>dalolatnoma!B30</f>
        <v>kuzov turi - YENGIL SEDAN, kuzov raqami XWBJF69VEGA010429</v>
      </c>
      <c r="C31" s="17" t="str">
        <f>dalolatnoma!C30</f>
        <v>dvigatel raqami B15D211163412DJCX0337, shassi raqami - RAKAMSIZ</v>
      </c>
      <c r="D31" s="17" t="str">
        <f>dalolatnoma!D30</f>
        <v>rangi -  OQ OLIMPIYSKAYA BELAYA, ishlab chiqarilgan yili - 2016</v>
      </c>
      <c r="E31" s="17" t="str">
        <f>dalolatnoma!E30</f>
        <v>46 200 000,00 
(qirq olti million ikki yuz ming so'm)</v>
      </c>
    </row>
    <row r="32" spans="1:5" ht="15.75" customHeight="1" outlineLevel="1" x14ac:dyDescent="0.25">
      <c r="A32" s="243" t="str">
        <f>dalolatnoma!A22</f>
        <v>-* avtotransport egasi: USMONOV NURIDDID IXTIYOROVICH</v>
      </c>
      <c r="B32" s="243"/>
      <c r="C32" s="243"/>
      <c r="D32" s="243"/>
      <c r="E32" s="243"/>
    </row>
    <row r="33" spans="1:5" ht="15" customHeight="1" outlineLevel="1" x14ac:dyDescent="0.25">
      <c r="A33" s="243" t="str">
        <f>dalolatnoma!A23</f>
        <v>-* texnik pasport: AAF      2401056      01.12.2020 y.</v>
      </c>
      <c r="B33" s="243"/>
      <c r="C33" s="243"/>
      <c r="D33" s="243"/>
      <c r="E33" s="243"/>
    </row>
    <row r="34" spans="1:5" ht="33" customHeight="1" outlineLevel="1" x14ac:dyDescent="0.25">
      <c r="A34" s="243" t="str">
        <f>dalolatnoma!A24</f>
        <v>-* roʻyxatdan oʻtgan manzili/garaj manzili: BUXORO VILOYATI BUXORO SHAHRI CHO'LPON KO'CHASI 22-A-UY</v>
      </c>
      <c r="B34" s="243"/>
      <c r="C34" s="243"/>
      <c r="D34" s="243"/>
      <c r="E34" s="243"/>
    </row>
    <row r="35" spans="1:5" ht="15" customHeight="1" outlineLevel="1" x14ac:dyDescent="0.25">
      <c r="A35" s="243" t="str">
        <f>dalolatnoma!A25</f>
        <v>-* davlat raqami: 80G291QA</v>
      </c>
      <c r="B35" s="243"/>
      <c r="C35" s="243"/>
      <c r="D35" s="243"/>
      <c r="E35" s="243"/>
    </row>
    <row r="36" spans="1:5" ht="9" customHeight="1" x14ac:dyDescent="0.25">
      <c r="A36" s="243"/>
      <c r="B36" s="243"/>
      <c r="C36" s="243"/>
      <c r="D36" s="243"/>
      <c r="E36" s="243"/>
    </row>
    <row r="37" spans="1:5" ht="39" customHeight="1" x14ac:dyDescent="0.25">
      <c r="A37" s="254" t="str">
        <f>""&amp;umumiy_malumot!B147&amp;"
mikromoliya tashkilotining Xulosasi"</f>
        <v>«PULLOL BUSINESS MIKROMOLIYA TASHKILOTI»  MChJ
mikromoliya tashkilotining Xulosasi</v>
      </c>
      <c r="B37" s="254"/>
      <c r="C37" s="254"/>
      <c r="D37" s="254"/>
      <c r="E37" s="254"/>
    </row>
    <row r="38" spans="1:5" ht="48" customHeight="1" x14ac:dyDescent="0.25">
      <c r="A38" s="243" t="str">
        <f>""&amp;umumiy_malumot!B147&amp;" kredit qo‘mitasining xulosasiga quyidagi shartlarda "&amp;umumiy_malumot!B10&amp;"ga "&amp;umumiy_malumot!B65&amp;" berish masalasi kiritiladi:"</f>
        <v>«PULLOL BUSINESS MIKROMOLIYA TASHKILOTI»  MChJ kredit qo‘mitasining xulosasiga quyidagi shartlarda TURAYEV ISROIL BURIYEVICHga mikroqarz berish masalasi kiritiladi:</v>
      </c>
      <c r="B38" s="243"/>
      <c r="C38" s="243"/>
      <c r="D38" s="243"/>
      <c r="E38" s="243"/>
    </row>
    <row r="39" spans="1:5" x14ac:dyDescent="0.25">
      <c r="A39" s="243" t="str">
        <f>A11</f>
        <v>Mikroqarz summasi: 33 000 000,00 (o'ttiz uch million so'm) so'm.</v>
      </c>
      <c r="B39" s="243"/>
      <c r="C39" s="243"/>
      <c r="D39" s="243"/>
      <c r="E39" s="243"/>
    </row>
    <row r="40" spans="1:5" x14ac:dyDescent="0.25">
      <c r="A40" s="243" t="str">
        <f t="shared" ref="A40:A46" si="0">A12</f>
        <v>Mikroqarz muddati: 36 (o'ttiz olti) oy.</v>
      </c>
      <c r="B40" s="243"/>
      <c r="C40" s="243"/>
      <c r="D40" s="243"/>
      <c r="E40" s="243"/>
    </row>
    <row r="41" spans="1:5" x14ac:dyDescent="0.25">
      <c r="A41" s="243" t="str">
        <f t="shared" si="0"/>
        <v>Mikroqarzdan foydalanganlik uchun foiz stavkasi: yillik  55% (ellik besh) foiz</v>
      </c>
      <c r="B41" s="243"/>
      <c r="C41" s="243"/>
      <c r="D41" s="243"/>
      <c r="E41" s="243"/>
    </row>
    <row r="42" spans="1:5" x14ac:dyDescent="0.25">
      <c r="A42" s="243" t="str">
        <f t="shared" si="0"/>
        <v>Mikroqarz bo'yicha asosiy qarz va foizlarni to'lash:</v>
      </c>
      <c r="B42" s="243"/>
      <c r="C42" s="243"/>
      <c r="D42" s="243"/>
      <c r="E42" s="243"/>
    </row>
    <row r="43" spans="1:5" ht="20.25" customHeight="1" x14ac:dyDescent="0.25">
      <c r="A43" s="243" t="str">
        <f t="shared" si="0"/>
        <v xml:space="preserve"> - mikroqarz shartnomasi bo'yicha har oy differensial to'lovlari amalga oshiriladi</v>
      </c>
      <c r="B43" s="243"/>
      <c r="C43" s="243"/>
      <c r="D43" s="243"/>
      <c r="E43" s="243"/>
    </row>
    <row r="44" spans="1:5" ht="26.25" customHeight="1" x14ac:dyDescent="0.25">
      <c r="A44" s="243" t="str">
        <f t="shared" si="0"/>
        <v xml:space="preserve">   </v>
      </c>
      <c r="B44" s="243"/>
      <c r="C44" s="243"/>
      <c r="D44" s="243"/>
      <c r="E44" s="243"/>
    </row>
    <row r="45" spans="1:5" x14ac:dyDescent="0.25">
      <c r="A45" s="243" t="str">
        <f t="shared" si="0"/>
        <v>Mikroqarz ta’minoti::</v>
      </c>
      <c r="B45" s="243"/>
      <c r="C45" s="243"/>
      <c r="D45" s="243"/>
      <c r="E45" s="243"/>
    </row>
    <row r="46" spans="1:5" ht="72" customHeight="1" x14ac:dyDescent="0.25">
      <c r="A46" s="243" t="str">
        <f t="shared" si="0"/>
        <v xml:space="preserve">  Egalik huquqi USMONOV NURIDDID IXTIYOROVICHga tegishli bo'lgan garovga olingan avtomobil markasi   COBALT, rangi -  OQ OLIMPIYSKAYA BELAYA, ishlab chiqarilgan yili - 2016, davlat raqam belgisi 80G291QA, kuzov turi - YENGIL SEDAN, kuzov raqami XWBJF69VEGA010429, dvigatel raqami B15D211163412DJCX0337, shassi raqami - RAKAMSIZ</v>
      </c>
      <c r="B46" s="243"/>
      <c r="C46" s="243"/>
      <c r="D46" s="243"/>
      <c r="E46" s="243"/>
    </row>
    <row r="47" spans="1:5" x14ac:dyDescent="0.25">
      <c r="A47" s="243"/>
      <c r="B47" s="243"/>
      <c r="C47" s="243"/>
      <c r="D47" s="243"/>
      <c r="E47" s="243"/>
    </row>
    <row r="48" spans="1:5" ht="36.75" customHeight="1" x14ac:dyDescent="0.25">
      <c r="A48" s="243" t="str">
        <f>""&amp;umumiy_malumot!B147&amp;" mikromoliya tashkilotining xulosasi  "&amp;TEXT(umumiy_malumot!B2,"ДД.ММ.ГГГГ")&amp;" y. tayyorlangan"</f>
        <v>«PULLOL BUSINESS MIKROMOLIYA TASHKILOTI»  MChJ mikromoliya tashkilotining xulosasi  06.01.2026 y. tayyorlangan</v>
      </c>
      <c r="B48" s="243"/>
      <c r="C48" s="243"/>
      <c r="D48" s="243"/>
      <c r="E48" s="243"/>
    </row>
    <row r="49" spans="1:5" x14ac:dyDescent="0.25">
      <c r="A49" s="243"/>
      <c r="B49" s="243"/>
      <c r="C49" s="243"/>
      <c r="D49" s="243"/>
      <c r="E49" s="243"/>
    </row>
    <row r="50" spans="1:5" ht="15.75" customHeight="1" x14ac:dyDescent="0.25">
      <c r="A50" s="235"/>
      <c r="B50" s="235"/>
      <c r="C50" s="235"/>
      <c r="D50" s="22"/>
      <c r="E50" s="23"/>
    </row>
    <row r="51" spans="1:5" ht="35.25" customHeight="1" x14ac:dyDescent="0.25">
      <c r="A51" s="241" t="str">
        <f>umumiy_malumot!A161</f>
        <v>Buxoro filiali boshlig’i</v>
      </c>
      <c r="B51" s="241"/>
      <c r="C51" s="241"/>
      <c r="D51" s="23"/>
      <c r="E51" s="23" t="str">
        <f>umumiy_malumot!B161</f>
        <v>IKROMOV B.A.</v>
      </c>
    </row>
    <row r="52" spans="1:5" x14ac:dyDescent="0.25">
      <c r="A52" s="243"/>
      <c r="B52" s="243"/>
      <c r="C52" s="243"/>
      <c r="D52" s="243"/>
      <c r="E52" s="243"/>
    </row>
    <row r="53" spans="1:5" ht="47.25" customHeight="1" x14ac:dyDescent="0.25">
      <c r="A53" s="243" t="str">
        <f>""&amp;umumiy_malumot!B147&amp;" mikromoliya tashkilotining Kredit qo‘mitasi a’zolari "&amp;umumiy_malumot!B147&amp;"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53" s="243"/>
      <c r="C53" s="243"/>
      <c r="D53" s="243"/>
      <c r="E53" s="243"/>
    </row>
    <row r="54" spans="1:5" x14ac:dyDescent="0.25">
      <c r="A54" s="19"/>
      <c r="B54" s="19"/>
      <c r="C54" s="19"/>
      <c r="D54" s="19"/>
      <c r="E54" s="19"/>
    </row>
    <row r="55" spans="1:5" x14ac:dyDescent="0.25">
      <c r="A55" s="235" t="s">
        <v>389</v>
      </c>
      <c r="B55" s="235"/>
      <c r="C55" s="19"/>
      <c r="D55" s="19"/>
      <c r="E55" s="19"/>
    </row>
    <row r="56" spans="1:5" x14ac:dyDescent="0.25">
      <c r="A56" s="19"/>
      <c r="B56" s="19"/>
      <c r="C56" s="19"/>
      <c r="D56" s="19"/>
      <c r="E56" s="19"/>
    </row>
    <row r="57" spans="1:5" x14ac:dyDescent="0.25">
      <c r="A57" s="235" t="str">
        <f>umumiy_malumot!B159</f>
        <v>Akramov R.N.</v>
      </c>
      <c r="B57" s="235"/>
      <c r="C57" s="22"/>
      <c r="D57" s="22"/>
      <c r="E57" s="22"/>
    </row>
    <row r="58" spans="1:5" x14ac:dyDescent="0.25">
      <c r="A58" s="53"/>
      <c r="B58" s="53"/>
      <c r="C58" s="22"/>
      <c r="D58" s="22"/>
      <c r="E58" s="22"/>
    </row>
    <row r="59" spans="1:5" ht="21" customHeight="1" x14ac:dyDescent="0.25">
      <c r="A59" s="243" t="s">
        <v>400</v>
      </c>
      <c r="B59" s="243"/>
      <c r="C59" s="243"/>
      <c r="D59" s="243"/>
      <c r="E59" s="243"/>
    </row>
  </sheetData>
  <mergeCells count="54">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1:C51"/>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s>
  <pageMargins left="0.70866141732283472" right="0.70866141732283472" top="0.74803149606299213" bottom="0.74803149606299213" header="0.31496062992125984" footer="0.31496062992125984"/>
  <pageSetup paperSize="9" scale="5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A2" sqref="A2:E2"/>
    </sheetView>
  </sheetViews>
  <sheetFormatPr defaultRowHeight="14.4" x14ac:dyDescent="0.3"/>
  <cols>
    <col min="1" max="1" width="22.88671875" style="61" customWidth="1"/>
    <col min="2" max="2" width="24.33203125" style="61" customWidth="1"/>
    <col min="3" max="3" width="21.33203125" style="61" customWidth="1"/>
    <col min="4" max="4" width="18" style="61" customWidth="1"/>
    <col min="5" max="5" width="29" style="61" customWidth="1"/>
    <col min="6" max="6" width="9.109375" customWidth="1"/>
    <col min="7" max="7" width="24.44140625" customWidth="1"/>
    <col min="8" max="8" width="17.109375" customWidth="1"/>
    <col min="9" max="34" width="9.109375" hidden="1" customWidth="1"/>
    <col min="35" max="35" width="8.6640625" customWidth="1"/>
  </cols>
  <sheetData>
    <row r="1" spans="1:33" ht="63.75" customHeight="1" x14ac:dyDescent="0.3">
      <c r="A1" s="242" t="str">
        <f>""&amp;umumiy_malumot!B147&amp;"
mikromoliya tashkiloti
Kredit qo‘mitasining yig‘ilishi"</f>
        <v>«PULLOL BUSINESS MIKROMOLIYA TASHKILOTI»  MChJ
mikromoliya tashkiloti
Kredit qo‘mitasining yig‘ilishi</v>
      </c>
      <c r="B1" s="242"/>
      <c r="C1" s="242"/>
      <c r="D1" s="242"/>
      <c r="E1" s="242"/>
    </row>
    <row r="2" spans="1:33" ht="29.25" customHeight="1" x14ac:dyDescent="0.3">
      <c r="A2" s="242" t="str">
        <f>""&amp;H7&amp;" protokolidan ko'chirma"</f>
        <v>№3-BR protokolidan ko'chirma</v>
      </c>
      <c r="B2" s="242"/>
      <c r="C2" s="242"/>
      <c r="D2" s="242"/>
      <c r="E2" s="242"/>
    </row>
    <row r="3" spans="1:33" ht="29.25" customHeight="1" x14ac:dyDescent="0.3">
      <c r="A3" s="131" t="s">
        <v>197</v>
      </c>
      <c r="B3" s="50"/>
      <c r="C3" s="50"/>
      <c r="D3" s="50"/>
      <c r="E3" s="132" t="str">
        <f>umumiy_malumot!B68</f>
        <v>6 yanvar 2026 y.</v>
      </c>
    </row>
    <row r="4" spans="1:33" ht="29.25" customHeight="1" x14ac:dyDescent="0.3">
      <c r="A4" s="50"/>
      <c r="B4" s="242" t="s">
        <v>196</v>
      </c>
      <c r="C4" s="242"/>
      <c r="D4" s="242"/>
      <c r="E4" s="50"/>
    </row>
    <row r="5" spans="1:33" ht="36" customHeight="1" x14ac:dyDescent="0.3">
      <c r="A5" s="241" t="str">
        <f>"         "&amp;H8&amp;"."&amp;umumiy_malumot!B5&amp;" ga "&amp;umumiy_malumot!B65&amp;" berish masalasini ko‘rib chiqish to‘g‘risida."</f>
        <v xml:space="preserve">         1.TURAYEV ISROIL BURIYEVICH ga mikroqarz berish masalasini ko‘rib chiqish to‘g‘risida.</v>
      </c>
      <c r="B5" s="241"/>
      <c r="C5" s="241"/>
      <c r="D5" s="241"/>
      <c r="E5" s="241"/>
    </row>
    <row r="7" spans="1:33" ht="21" customHeight="1" x14ac:dyDescent="0.45">
      <c r="A7" s="243" t="str">
        <f>"      "&amp;H9&amp;" masala yuzasidan: «PULLOL BUSINESS MIKROMOLIYA TASHKILOTI»  MChJ mikromoliya tashkiloti kredit bo‘yicha menejeri  "&amp;umumiy_malumot!B5&amp;"ga "&amp;FIXED(umumiy_malumot!B75)&amp;" ("&amp;umumiy_malumot!B76&amp;") so‘m miqdorida, muddati "&amp;umumiy_malumot!B81&amp;" ("&amp;umumiy_malumot!B82&amp;") oyga va yillik "&amp;umumiy_malumot!B85&amp;"% ("&amp;umumiy_malumot!B86&amp;") foiz miqdorida "&amp;umumiy_malumot!B65&amp;" berich bo‘yicha "&amp;umumiy_malumot!B5&amp;"ning kredit arizasi va "&amp;umumiy_malumot!B147&amp;"ning xulosasi bilan ishtirokchilarni tanishtirdi."</f>
        <v xml:space="preserve">      Birinchi masala yuzasidan: «PULLOL BUSINESS MIKROMOLIYA TASHKILOTI»  MChJ mikromoliya tashkiloti kredit bo‘yicha menejeri  TURAYEV ISROIL BURIYEVICHga 33 000 000,00 (o'ttiz uch million so'm) so‘m miqdorida, muddati 36 (o'ttiz olti) oyga va yillik 55% (ellik besh) foiz miqdorida mikroqarz berich bo‘yicha TURAYEV ISROIL BURIYEVICHning kredit arizasi va «PULLOL BUSINESS MIKROMOLIYA TASHKILOTI»  MChJning xulosasi bilan ishtirokchilarni tanishtirdi.</v>
      </c>
      <c r="B7" s="243"/>
      <c r="C7" s="243"/>
      <c r="D7" s="243"/>
      <c r="E7" s="243"/>
      <c r="G7" s="62" t="s">
        <v>252</v>
      </c>
      <c r="H7" s="63" t="str">
        <f>umumiy_malumot!B1</f>
        <v>№3-BR</v>
      </c>
    </row>
    <row r="8" spans="1:33" ht="23.4" x14ac:dyDescent="0.45">
      <c r="A8" s="243"/>
      <c r="B8" s="243"/>
      <c r="C8" s="243"/>
      <c r="D8" s="243"/>
      <c r="E8" s="243"/>
      <c r="G8" s="62" t="s">
        <v>253</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16.5" customHeight="1" x14ac:dyDescent="0.45">
      <c r="A9" s="243"/>
      <c r="B9" s="243"/>
      <c r="C9" s="243"/>
      <c r="D9" s="243"/>
      <c r="E9" s="243"/>
      <c r="G9" s="62" t="s">
        <v>254</v>
      </c>
      <c r="H9" s="63" t="str">
        <f>IF(H8=I8,I9,IF(H8=J8,J9,IF(H8=K8,K9,IF(H8=L8,L9,IF(H8=M8,M9,IF(H8=N8,N9,IF(H8=O8,O9,IF(H8=P8,P9,IF(H8=Q8,Q9,IF(H8=R8,R9,IF(H8=S8,S9,IF(H8=T8,T9,IF(H8=U8,U9,IF(H8=V8,V9,IF(H8=W8,W9,IF(H8=X8,X9,IF(H8=Y8,Y9,IF(H8=Z8,Z9,IF(H8=AA8,AA9,IF(H8=AB8,AB9,IF(H8=AC8,AC9,IF(H8=AD8,AD9,IF(H8=AE8,AE9,IF(H8=AF8,AF9,IF(H8=AG8,AG9)))))))))))))))))))))))))</f>
        <v>Birinchi</v>
      </c>
      <c r="I9" s="151" t="s">
        <v>184</v>
      </c>
      <c r="J9" s="152" t="s">
        <v>185</v>
      </c>
      <c r="K9" s="152" t="s">
        <v>186</v>
      </c>
      <c r="L9" s="152" t="s">
        <v>362</v>
      </c>
      <c r="M9" s="152" t="s">
        <v>187</v>
      </c>
      <c r="N9" s="152" t="s">
        <v>363</v>
      </c>
      <c r="O9" s="152" t="s">
        <v>188</v>
      </c>
      <c r="P9" s="152" t="s">
        <v>189</v>
      </c>
      <c r="Q9" s="152" t="s">
        <v>190</v>
      </c>
      <c r="R9" s="152" t="s">
        <v>352</v>
      </c>
      <c r="S9" s="152" t="s">
        <v>353</v>
      </c>
      <c r="T9" s="152" t="s">
        <v>354</v>
      </c>
      <c r="U9" s="152" t="s">
        <v>355</v>
      </c>
      <c r="V9" s="152" t="s">
        <v>364</v>
      </c>
      <c r="W9" s="152" t="s">
        <v>356</v>
      </c>
      <c r="X9" s="152" t="s">
        <v>357</v>
      </c>
      <c r="Y9" s="152" t="s">
        <v>358</v>
      </c>
      <c r="Z9" s="152" t="s">
        <v>359</v>
      </c>
      <c r="AA9" s="152" t="s">
        <v>360</v>
      </c>
      <c r="AB9" s="152" t="s">
        <v>191</v>
      </c>
      <c r="AC9" s="152" t="s">
        <v>192</v>
      </c>
      <c r="AD9" s="152" t="s">
        <v>193</v>
      </c>
      <c r="AE9" s="152" t="s">
        <v>194</v>
      </c>
      <c r="AF9" s="152" t="s">
        <v>361</v>
      </c>
      <c r="AG9" s="152" t="s">
        <v>195</v>
      </c>
    </row>
    <row r="10" spans="1:33" ht="10.5" hidden="1" customHeight="1" x14ac:dyDescent="0.3">
      <c r="A10" s="243"/>
      <c r="B10" s="243"/>
      <c r="C10" s="243"/>
      <c r="D10" s="243"/>
      <c r="E10" s="243"/>
    </row>
    <row r="11" spans="1:33" ht="9" hidden="1" customHeight="1" x14ac:dyDescent="0.3">
      <c r="A11" s="243"/>
      <c r="B11" s="243"/>
      <c r="C11" s="243"/>
      <c r="D11" s="243"/>
      <c r="E11" s="243"/>
    </row>
    <row r="12" spans="1:33" ht="3" customHeight="1" x14ac:dyDescent="0.3">
      <c r="A12" s="243"/>
      <c r="B12" s="243"/>
      <c r="C12" s="243"/>
      <c r="D12" s="243"/>
      <c r="E12" s="243"/>
    </row>
    <row r="13" spans="1:33" ht="7.5" customHeight="1" x14ac:dyDescent="0.3"/>
    <row r="14" spans="1:33" ht="15.75" customHeight="1" x14ac:dyDescent="0.3">
      <c r="A14" s="235" t="str">
        <f>""&amp;umumiy_malumot!C64&amp;" ta’minoti:"</f>
        <v>Mikroqarz ta’minoti:</v>
      </c>
      <c r="B14" s="235"/>
      <c r="C14" s="235"/>
      <c r="D14" s="235"/>
      <c r="E14" s="235"/>
    </row>
    <row r="15" spans="1:33" ht="7.5" customHeight="1" x14ac:dyDescent="0.3"/>
    <row r="16" spans="1:33" ht="54" customHeight="1" x14ac:dyDescent="0.3">
      <c r="A16" s="243" t="str">
        <f>xulosa!A18:E18</f>
        <v xml:space="preserve">  Egalik huquqi USMONOV NURIDDID IXTIYOROVICHga tegishli bo'lgan garovga olingan avtomobil markasi   COBALT, rangi -  OQ OLIMPIYSKAYA BELAYA, ishlab chiqarilgan yili - 2016, davlat raqam belgisi 80G291QA, kuzov turi - YENGIL SEDAN, kuzov raqami XWBJF69VEGA010429, dvigatel raqami B15D211163412DJCX0337, shassi raqami - RAKAMSIZ</v>
      </c>
      <c r="B16" s="243"/>
      <c r="C16" s="243"/>
      <c r="D16" s="243"/>
      <c r="E16" s="243"/>
    </row>
    <row r="17" spans="1:5" ht="17.25" customHeight="1" x14ac:dyDescent="0.3">
      <c r="C17" s="153" t="s">
        <v>371</v>
      </c>
      <c r="D17" s="153" t="str">
        <f>""&amp;umumiy_malumot!B147&amp;" kredit qo‘mitasi"</f>
        <v>«PULLOL BUSINESS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spans="1:5" ht="54" customHeight="1" x14ac:dyDescent="0.3">
      <c r="A18" s="243" t="str">
        <f>CONCATENATE(H9,E17)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8" s="243"/>
      <c r="C18" s="243"/>
      <c r="D18" s="243"/>
      <c r="E18" s="243"/>
    </row>
    <row r="19" spans="1:5" ht="24" customHeight="1" x14ac:dyDescent="0.3">
      <c r="A19" s="244" t="s">
        <v>255</v>
      </c>
      <c r="B19" s="244"/>
      <c r="C19" s="244"/>
      <c r="D19" s="244"/>
      <c r="E19" s="244"/>
    </row>
    <row r="20" spans="1:5" ht="32.25" customHeight="1" x14ac:dyDescent="0.3">
      <c r="A20" s="243" t="str">
        <f>"       "&amp;umumiy_malumot!B5&amp;"ga quyidagi shartlarda "&amp;umumiy_malumot!B65&amp;" berish masalasi ma’qullansin:"</f>
        <v xml:space="preserve">       TURAYEV ISROIL BURIYEVICHga quyidagi shartlarda mikroqarz berish masalasi ma’qullansin:</v>
      </c>
      <c r="B20" s="243"/>
      <c r="C20" s="243"/>
      <c r="D20" s="243"/>
      <c r="E20" s="243"/>
    </row>
    <row r="21" spans="1:5" s="133" customFormat="1" ht="18.75" customHeight="1" x14ac:dyDescent="0.3">
      <c r="A21" s="241" t="str">
        <f>"1. "&amp;umumiy_malumot!C64&amp;" summasi: "&amp;FIXED(umumiy_malumot!B75)&amp;" ("&amp;umumiy_malumot!B76&amp;") so'm."</f>
        <v>1. Mikroqarz summasi: 33 000 000,00 (o'ttiz uch million so'm) so'm.</v>
      </c>
      <c r="B21" s="241"/>
      <c r="C21" s="241"/>
      <c r="D21" s="241"/>
      <c r="E21" s="241"/>
    </row>
    <row r="22" spans="1:5" s="133" customFormat="1" ht="18.75" customHeight="1" x14ac:dyDescent="0.3">
      <c r="A22" s="241" t="str">
        <f>"2. "&amp;umumiy_malumot!C64&amp;" muddati: "&amp;umumiy_malumot!B81&amp;" ("&amp;umumiy_malumot!B82&amp;") oy "</f>
        <v xml:space="preserve">2. Mikroqarz muddati: 36 (o'ttiz olti) oy </v>
      </c>
      <c r="B22" s="241"/>
      <c r="C22" s="241"/>
      <c r="D22" s="241"/>
      <c r="E22" s="241"/>
    </row>
    <row r="23" spans="1:5" s="133" customFormat="1" ht="18.75" customHeight="1" x14ac:dyDescent="0.3">
      <c r="A23" s="241" t="str">
        <f>"3. "&amp;umumiy_malumot!C64&amp;"dan foydalanganlik uchun foiz stavkasi:yillik "&amp;umumiy_malumot!B85&amp;"% ("&amp;umumiy_malumot!B86&amp;") foiz."</f>
        <v>3. Mikroqarzdan foydalanganlik uchun foiz stavkasi:yillik 55% (ellik besh) foiz.</v>
      </c>
      <c r="B23" s="241"/>
      <c r="C23" s="241"/>
      <c r="D23" s="241"/>
      <c r="E23" s="241"/>
    </row>
    <row r="24" spans="1:5" s="133" customFormat="1" ht="18.75" customHeight="1" x14ac:dyDescent="0.3">
      <c r="A24" s="241" t="str">
        <f>"4. "&amp;umumiy_malumot!C64&amp;" bo‘yicha asosiy qarz va foizlarni to‘lash:"</f>
        <v>4. Mikroqarz bo‘yicha asosiy qarz va foizlarni to‘lash:</v>
      </c>
      <c r="B24" s="241"/>
      <c r="C24" s="241"/>
      <c r="D24" s="241"/>
      <c r="E24" s="241"/>
    </row>
    <row r="25" spans="1:5" s="133" customFormat="1" ht="18.75" customHeight="1" x14ac:dyDescent="0.3">
      <c r="A25" s="241" t="str">
        <f>kredit_ariza!A19:D19</f>
        <v xml:space="preserve"> - mikroqarz shartnomasi bo'yicha har oy differensial to'lovlari amalga oshiriladi</v>
      </c>
      <c r="B25" s="241"/>
      <c r="C25" s="241"/>
      <c r="D25" s="241"/>
      <c r="E25" s="241"/>
    </row>
    <row r="26" spans="1:5" ht="48" customHeight="1" x14ac:dyDescent="0.3">
      <c r="A26" s="243" t="str">
        <f>"5. "&amp;umumiy_malumot!C64&amp;" bo‘yicha garov  "&amp;xulosa!A29:E29&amp;""</f>
        <v>5. Mikroqarz bo‘yicha garov   - USMONOV NURIDDID IXTIYOROVICH ga mulk huquqi asosida tegishli avtotransport vositasi COBALT , quyidagi tafsilotlarga muvofiq:</v>
      </c>
      <c r="B26" s="243"/>
      <c r="C26" s="243"/>
      <c r="D26" s="243"/>
      <c r="E26" s="243"/>
    </row>
    <row r="27" spans="1:5" ht="40.5" customHeight="1" x14ac:dyDescent="0.3">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75.75" customHeight="1" x14ac:dyDescent="0.3">
      <c r="A28" s="17" t="str">
        <f>dalolatnoma!A30</f>
        <v>COBALT</v>
      </c>
      <c r="B28" s="17" t="str">
        <f>dalolatnoma!B30</f>
        <v>kuzov turi - YENGIL SEDAN, kuzov raqami XWBJF69VEGA010429</v>
      </c>
      <c r="C28" s="17" t="str">
        <f>dalolatnoma!C30</f>
        <v>dvigatel raqami B15D211163412DJCX0337, shassi raqami - RAKAMSIZ</v>
      </c>
      <c r="D28" s="17" t="str">
        <f>dalolatnoma!D30</f>
        <v>rangi -  OQ OLIMPIYSKAYA BELAYA, ishlab chiqarilgan yili - 2016</v>
      </c>
      <c r="E28" s="17" t="str">
        <f>dalolatnoma!E30</f>
        <v>46 200 000,00 
(qirq olti million ikki yuz ming so'm)</v>
      </c>
    </row>
    <row r="29" spans="1:5" ht="20.25" customHeight="1" x14ac:dyDescent="0.3">
      <c r="A29" s="243" t="str">
        <f>dalolatnoma!A22:E22</f>
        <v>-* avtotransport egasi: USMONOV NURIDDID IXTIYOROVICH</v>
      </c>
      <c r="B29" s="243"/>
      <c r="C29" s="243"/>
      <c r="D29" s="243"/>
      <c r="E29" s="243"/>
    </row>
    <row r="30" spans="1:5" ht="20.25" customHeight="1" x14ac:dyDescent="0.3">
      <c r="A30" s="243" t="str">
        <f>dalolatnoma!A23:E23</f>
        <v>-* texnik pasport: AAF      2401056      01.12.2020 y.</v>
      </c>
      <c r="B30" s="243"/>
      <c r="C30" s="243"/>
      <c r="D30" s="243"/>
      <c r="E30" s="243"/>
    </row>
    <row r="31" spans="1:5" ht="34.5" customHeight="1" x14ac:dyDescent="0.3">
      <c r="A31" s="243" t="str">
        <f>dalolatnoma!A24:E24</f>
        <v>-* roʻyxatdan oʻtgan manzili/garaj manzili: BUXORO VILOYATI BUXORO SHAHRI CHO'LPON KO'CHASI 22-A-UY</v>
      </c>
      <c r="B31" s="243"/>
      <c r="C31" s="243"/>
      <c r="D31" s="243"/>
      <c r="E31" s="243"/>
    </row>
    <row r="32" spans="1:5" ht="21" customHeight="1" x14ac:dyDescent="0.3">
      <c r="A32" s="243" t="str">
        <f>dalolatnoma!A25:E25</f>
        <v>-* davlat raqami: 80G291QA</v>
      </c>
      <c r="B32" s="243"/>
      <c r="C32" s="243"/>
      <c r="D32" s="243"/>
      <c r="E32" s="243"/>
    </row>
    <row r="33" spans="1:5" ht="12" customHeight="1" x14ac:dyDescent="0.3">
      <c r="A33" s="134"/>
      <c r="B33" s="134"/>
      <c r="C33" s="134"/>
      <c r="D33" s="134"/>
      <c r="E33" s="134"/>
    </row>
    <row r="34" spans="1:5" ht="24" customHeight="1" x14ac:dyDescent="0.3">
      <c r="A34" s="243" t="s">
        <v>391</v>
      </c>
      <c r="B34" s="243"/>
      <c r="C34" s="243"/>
      <c r="D34" s="243"/>
      <c r="E34" s="243"/>
    </row>
    <row r="36" spans="1:5" ht="29.25" customHeight="1" x14ac:dyDescent="0.3">
      <c r="A36" s="245" t="s">
        <v>256</v>
      </c>
      <c r="B36" s="245"/>
      <c r="C36" s="245"/>
      <c r="D36" s="245"/>
      <c r="E36" s="245"/>
    </row>
    <row r="37" spans="1:5" ht="29.25" customHeight="1" x14ac:dyDescent="0.3">
      <c r="A37" s="240" t="s">
        <v>392</v>
      </c>
      <c r="B37" s="240"/>
      <c r="C37" s="162"/>
      <c r="D37" s="163"/>
      <c r="E37" s="163"/>
    </row>
    <row r="38" spans="1:5" ht="28.5" customHeight="1" x14ac:dyDescent="0.3">
      <c r="A38" s="239" t="s">
        <v>421</v>
      </c>
      <c r="B38" s="239"/>
      <c r="C38" s="162"/>
      <c r="D38" s="164"/>
      <c r="E38" s="164"/>
    </row>
    <row r="39" spans="1:5" ht="36" customHeight="1" x14ac:dyDescent="0.3">
      <c r="A39" s="239" t="s">
        <v>399</v>
      </c>
      <c r="B39" s="240"/>
      <c r="C39" s="130"/>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3" orientation="portrait" verticalDpi="300" r:id="rId1"/>
  <colBreaks count="1" manualBreakCount="1">
    <brk id="5"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0">
    <tabColor rgb="FFFF0000"/>
  </sheetPr>
  <dimension ref="A1:W30"/>
  <sheetViews>
    <sheetView zoomScale="85" zoomScaleNormal="85" zoomScaleSheetLayoutView="85" workbookViewId="0">
      <pane ySplit="1" topLeftCell="A2" activePane="bottomLeft" state="frozen"/>
      <selection pane="bottomLeft" activeCell="O2" sqref="O2"/>
    </sheetView>
  </sheetViews>
  <sheetFormatPr defaultRowHeight="14.4" x14ac:dyDescent="0.3"/>
  <cols>
    <col min="1" max="1" width="16.6640625" style="112" customWidth="1"/>
    <col min="2" max="2" width="13.33203125" hidden="1" customWidth="1"/>
    <col min="3" max="3" width="8.44140625" hidden="1" customWidth="1"/>
    <col min="4" max="4" width="18.109375" customWidth="1"/>
    <col min="5" max="5" width="45.44140625" customWidth="1"/>
    <col min="6" max="6" width="15.44140625" customWidth="1"/>
    <col min="7" max="10" width="15.44140625" hidden="1" customWidth="1"/>
    <col min="11" max="11" width="18.109375" hidden="1" customWidth="1"/>
    <col min="12" max="12" width="10.5546875" customWidth="1"/>
    <col min="13" max="13" width="22.6640625" customWidth="1"/>
    <col min="14" max="14" width="28.109375" customWidth="1"/>
    <col min="15" max="15" width="125.44140625" customWidth="1"/>
    <col min="16" max="22" width="9.109375" customWidth="1"/>
    <col min="23" max="23" width="117.6640625" customWidth="1"/>
    <col min="24" max="24" width="9.109375" customWidth="1"/>
    <col min="25" max="25" width="2.5546875" customWidth="1"/>
    <col min="26" max="38" width="9.109375" customWidth="1"/>
  </cols>
  <sheetData>
    <row r="1" spans="1:23" s="118" customFormat="1" ht="36.75" customHeight="1" x14ac:dyDescent="0.3">
      <c r="A1" s="117" t="s">
        <v>14</v>
      </c>
      <c r="B1" s="118" t="s">
        <v>3</v>
      </c>
      <c r="D1" s="117"/>
      <c r="E1" s="117" t="s">
        <v>36</v>
      </c>
      <c r="F1" s="117" t="s">
        <v>37</v>
      </c>
      <c r="G1" s="117"/>
      <c r="H1" s="117"/>
      <c r="I1" s="117"/>
      <c r="J1" s="117"/>
      <c r="K1" s="117"/>
      <c r="L1" s="117" t="s">
        <v>38</v>
      </c>
      <c r="M1" s="117" t="s">
        <v>40</v>
      </c>
      <c r="N1" s="117" t="s">
        <v>39</v>
      </c>
    </row>
    <row r="2" spans="1:23" ht="15" customHeight="1" x14ac:dyDescent="0.3">
      <c r="A2" s="111">
        <v>1</v>
      </c>
      <c r="B2" t="s">
        <v>251</v>
      </c>
      <c r="C2" t="s">
        <v>63</v>
      </c>
      <c r="D2" s="113" t="s">
        <v>251</v>
      </c>
      <c r="E2" s="113" t="s">
        <v>42</v>
      </c>
      <c r="F2" s="114">
        <v>44207</v>
      </c>
      <c r="G2" s="104">
        <f>MONTH(F2)</f>
        <v>1</v>
      </c>
      <c r="H2" s="114" t="str">
        <f>IF(G2=$A$26,$A$28,IF(G2=$B$26,$B$28,IF(G2=$C$26,$C$28,IF(G2=$D$26,$D$28,IF(G2=$E$26,$E$28,IF(G2=$F$26,$F$28,IF(G2=$K$26,$K$28,IF(G2=$L$26,$L$28,IF(G2=$M$26,$M$28,IF(G2=$N$26,$N$28,IF(G2=$O$26,$O$28,IF(G2=$P$26,$P$28,0))))))))))))</f>
        <v>yanvar</v>
      </c>
      <c r="I2" s="104">
        <f>DAY(F2)</f>
        <v>11</v>
      </c>
      <c r="J2" s="116">
        <f>YEAR(F2)</f>
        <v>2021</v>
      </c>
      <c r="K2" s="114" t="str">
        <f>""&amp;I2&amp;" "&amp;H2&amp;" "&amp;J2&amp;" г."</f>
        <v>11 yanvar 2021 г.</v>
      </c>
      <c r="L2" s="113">
        <v>5</v>
      </c>
      <c r="M2" s="115">
        <v>15000000</v>
      </c>
      <c r="N2" s="113" t="s">
        <v>126</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3">
      <c r="A3" s="111">
        <v>2</v>
      </c>
      <c r="D3" s="113" t="s">
        <v>251</v>
      </c>
      <c r="E3" s="113" t="s">
        <v>41</v>
      </c>
      <c r="F3" s="114">
        <v>43775</v>
      </c>
      <c r="G3" s="104">
        <f>MONTH(F3)</f>
        <v>11</v>
      </c>
      <c r="H3" s="114" t="str">
        <f>IF(G3=$A$26,$A$28,IF(G3=$B$26,$B$28,IF(G3=$C$26,$C$28,IF(G3=$D$26,$D$28,IF(G3=$E$26,$E$28,IF(G3=$F$26,$F$28,IF(G3=$K$26,$K$28,IF(G3=$L$26,$L$28,IF(G3=$M$26,$M$28,IF(G3=$N$26,$N$28,IF(G3=$O$26,$O$28,IF(G3=$P$26,$P$28,0))))))))))))</f>
        <v>noyabr</v>
      </c>
      <c r="I3" s="104">
        <f>DAY(F3)</f>
        <v>6</v>
      </c>
      <c r="J3" s="116">
        <f>YEAR(F3)</f>
        <v>2019</v>
      </c>
      <c r="K3" s="114" t="str">
        <f>""&amp;I3&amp;" "&amp;H3&amp;" "&amp;J3&amp;" г."</f>
        <v>6 noyabr 2019 г.</v>
      </c>
      <c r="L3" s="113">
        <v>386</v>
      </c>
      <c r="M3" s="115">
        <v>15000000</v>
      </c>
      <c r="N3" s="113" t="s">
        <v>126</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3">
      <c r="A4" s="111">
        <v>3</v>
      </c>
      <c r="D4" s="113" t="s">
        <v>251</v>
      </c>
      <c r="E4" s="113" t="s">
        <v>41</v>
      </c>
      <c r="F4" s="114">
        <v>44217</v>
      </c>
      <c r="G4" s="104">
        <f>MONTH(F4)</f>
        <v>1</v>
      </c>
      <c r="H4" s="114" t="str">
        <f>IF(G4=$A$26,$A$28,IF(G4=$B$26,$B$28,IF(G4=$C$26,$C$28,IF(G4=$D$26,$D$28,IF(G4=$E$26,$E$28,IF(G4=$F$26,$F$28,IF(G4=$K$26,$K$28,IF(G4=$L$26,$L$28,IF(G4=$M$26,$M$28,IF(G4=$N$26,$N$28,IF(G4=$O$26,$O$28,IF(G4=$P$26,$P$28,0))))))))))))</f>
        <v>yanvar</v>
      </c>
      <c r="I4" s="104">
        <f>DAY(F4)</f>
        <v>21</v>
      </c>
      <c r="J4" s="116">
        <f>YEAR(F4)</f>
        <v>2021</v>
      </c>
      <c r="K4" s="114" t="str">
        <f>""&amp;I4&amp;" "&amp;H4&amp;" "&amp;J4&amp;" г."</f>
        <v>21 yanvar 2021 г.</v>
      </c>
      <c r="L4" s="113">
        <v>33</v>
      </c>
      <c r="M4" s="115">
        <v>15000000</v>
      </c>
      <c r="N4" s="113" t="s">
        <v>126</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3">
      <c r="A5" s="111">
        <v>4</v>
      </c>
      <c r="D5" s="113" t="s">
        <v>251</v>
      </c>
      <c r="E5" s="113"/>
      <c r="F5" s="114"/>
      <c r="G5" s="104">
        <f t="shared" ref="G5:G21" si="2">MONTH(F5)</f>
        <v>1</v>
      </c>
      <c r="H5" s="114" t="str">
        <f t="shared" ref="H5:H21" si="3">IF(G5=$A$26,$A$28,IF(G5=$B$26,$B$28,IF(G5=$C$26,$C$28,IF(G5=$D$26,$D$28,IF(G5=$E$26,$E$28,IF(G5=$F$26,$F$28,IF(G5=$K$26,$K$28,IF(G5=$L$26,$L$28,IF(G5=$M$26,$M$28,IF(G5=$N$26,$N$28,IF(G5=$O$26,$O$28,IF(G5=$P$26,$P$28,0))))))))))))</f>
        <v>yanvar</v>
      </c>
      <c r="I5" s="104">
        <f t="shared" ref="I5:I21" si="4">DAY(F5)</f>
        <v>0</v>
      </c>
      <c r="J5" s="116">
        <f t="shared" ref="J5:J21" si="5">YEAR(F5)</f>
        <v>1900</v>
      </c>
      <c r="K5" s="114" t="str">
        <f t="shared" ref="K5:K21" si="6">""&amp;I5&amp;" "&amp;H5&amp;" "&amp;J5&amp;" г."</f>
        <v>0 yanvar 1900 г.</v>
      </c>
      <c r="L5" s="113"/>
      <c r="M5" s="115"/>
      <c r="N5" s="113"/>
      <c r="P5">
        <f t="shared" si="1"/>
        <v>0</v>
      </c>
    </row>
    <row r="6" spans="1:23" ht="15" customHeight="1" x14ac:dyDescent="0.3">
      <c r="A6" s="111">
        <v>5</v>
      </c>
      <c r="D6" s="113" t="s">
        <v>251</v>
      </c>
      <c r="E6" s="113"/>
      <c r="F6" s="114"/>
      <c r="G6" s="104">
        <f t="shared" si="2"/>
        <v>1</v>
      </c>
      <c r="H6" s="114" t="str">
        <f t="shared" si="3"/>
        <v>yanvar</v>
      </c>
      <c r="I6" s="104">
        <f t="shared" si="4"/>
        <v>0</v>
      </c>
      <c r="J6" s="116">
        <f t="shared" si="5"/>
        <v>1900</v>
      </c>
      <c r="K6" s="114" t="str">
        <f t="shared" si="6"/>
        <v>0 yanvar 1900 г.</v>
      </c>
      <c r="L6" s="113"/>
      <c r="M6" s="115"/>
      <c r="N6" s="113"/>
      <c r="P6">
        <f t="shared" si="1"/>
        <v>0</v>
      </c>
    </row>
    <row r="7" spans="1:23" ht="15" customHeight="1" x14ac:dyDescent="0.3">
      <c r="A7" s="111">
        <v>6</v>
      </c>
      <c r="D7" s="113" t="s">
        <v>251</v>
      </c>
      <c r="E7" s="113"/>
      <c r="F7" s="114"/>
      <c r="G7" s="104">
        <f t="shared" si="2"/>
        <v>1</v>
      </c>
      <c r="H7" s="114" t="str">
        <f t="shared" si="3"/>
        <v>yanvar</v>
      </c>
      <c r="I7" s="104">
        <f t="shared" si="4"/>
        <v>0</v>
      </c>
      <c r="J7" s="116">
        <f t="shared" si="5"/>
        <v>1900</v>
      </c>
      <c r="K7" s="114" t="str">
        <f t="shared" si="6"/>
        <v>0 yanvar 1900 г.</v>
      </c>
      <c r="L7" s="113"/>
      <c r="M7" s="115"/>
      <c r="N7" s="113"/>
      <c r="P7">
        <f t="shared" si="1"/>
        <v>0</v>
      </c>
    </row>
    <row r="8" spans="1:23" ht="15" customHeight="1" x14ac:dyDescent="0.3">
      <c r="A8" s="111">
        <v>7</v>
      </c>
      <c r="D8" s="113" t="s">
        <v>251</v>
      </c>
      <c r="E8" s="113"/>
      <c r="F8" s="114"/>
      <c r="G8" s="104">
        <f t="shared" si="2"/>
        <v>1</v>
      </c>
      <c r="H8" s="114" t="str">
        <f t="shared" si="3"/>
        <v>yanvar</v>
      </c>
      <c r="I8" s="104">
        <f t="shared" si="4"/>
        <v>0</v>
      </c>
      <c r="J8" s="116">
        <f t="shared" si="5"/>
        <v>1900</v>
      </c>
      <c r="K8" s="114" t="str">
        <f t="shared" si="6"/>
        <v>0 yanvar 1900 г.</v>
      </c>
      <c r="L8" s="113"/>
      <c r="M8" s="115"/>
      <c r="N8" s="113"/>
      <c r="P8">
        <f t="shared" si="1"/>
        <v>0</v>
      </c>
    </row>
    <row r="9" spans="1:23" ht="15" customHeight="1" x14ac:dyDescent="0.3">
      <c r="A9" s="111">
        <v>8</v>
      </c>
      <c r="D9" s="113" t="s">
        <v>251</v>
      </c>
      <c r="E9" s="113"/>
      <c r="F9" s="114"/>
      <c r="G9" s="104">
        <f t="shared" si="2"/>
        <v>1</v>
      </c>
      <c r="H9" s="114" t="str">
        <f t="shared" si="3"/>
        <v>yanvar</v>
      </c>
      <c r="I9" s="104">
        <f t="shared" si="4"/>
        <v>0</v>
      </c>
      <c r="J9" s="116">
        <f t="shared" si="5"/>
        <v>1900</v>
      </c>
      <c r="K9" s="114" t="str">
        <f t="shared" si="6"/>
        <v>0 yanvar 1900 г.</v>
      </c>
      <c r="L9" s="113"/>
      <c r="M9" s="115"/>
      <c r="N9" s="113"/>
      <c r="P9">
        <f t="shared" si="1"/>
        <v>0</v>
      </c>
    </row>
    <row r="10" spans="1:23" ht="15" customHeight="1" x14ac:dyDescent="0.3">
      <c r="A10" s="111">
        <v>9</v>
      </c>
      <c r="D10" s="113" t="s">
        <v>251</v>
      </c>
      <c r="E10" s="113"/>
      <c r="F10" s="114"/>
      <c r="G10" s="104">
        <f t="shared" si="2"/>
        <v>1</v>
      </c>
      <c r="H10" s="114" t="str">
        <f t="shared" si="3"/>
        <v>yanvar</v>
      </c>
      <c r="I10" s="104">
        <f t="shared" si="4"/>
        <v>0</v>
      </c>
      <c r="J10" s="116">
        <f t="shared" si="5"/>
        <v>1900</v>
      </c>
      <c r="K10" s="114" t="str">
        <f t="shared" si="6"/>
        <v>0 yanvar 1900 г.</v>
      </c>
      <c r="L10" s="113"/>
      <c r="M10" s="115"/>
      <c r="N10" s="113"/>
      <c r="P10">
        <f t="shared" si="1"/>
        <v>0</v>
      </c>
    </row>
    <row r="11" spans="1:23" ht="15" customHeight="1" x14ac:dyDescent="0.3">
      <c r="A11" s="111">
        <v>10</v>
      </c>
      <c r="D11" s="113" t="s">
        <v>251</v>
      </c>
      <c r="E11" s="113"/>
      <c r="F11" s="114"/>
      <c r="G11" s="104">
        <f t="shared" si="2"/>
        <v>1</v>
      </c>
      <c r="H11" s="114" t="str">
        <f t="shared" si="3"/>
        <v>yanvar</v>
      </c>
      <c r="I11" s="104">
        <f t="shared" si="4"/>
        <v>0</v>
      </c>
      <c r="J11" s="116">
        <f t="shared" si="5"/>
        <v>1900</v>
      </c>
      <c r="K11" s="114" t="str">
        <f t="shared" si="6"/>
        <v>0 yanvar 1900 г.</v>
      </c>
      <c r="L11" s="113"/>
      <c r="M11" s="115"/>
      <c r="N11" s="113"/>
      <c r="P11">
        <f t="shared" si="1"/>
        <v>0</v>
      </c>
    </row>
    <row r="12" spans="1:23" ht="15" customHeight="1" x14ac:dyDescent="0.3">
      <c r="A12" s="111">
        <v>11</v>
      </c>
      <c r="D12" s="113" t="s">
        <v>251</v>
      </c>
      <c r="E12" s="113"/>
      <c r="F12" s="114"/>
      <c r="G12" s="104">
        <f t="shared" si="2"/>
        <v>1</v>
      </c>
      <c r="H12" s="114" t="str">
        <f t="shared" si="3"/>
        <v>yanvar</v>
      </c>
      <c r="I12" s="104">
        <f t="shared" si="4"/>
        <v>0</v>
      </c>
      <c r="J12" s="116">
        <f t="shared" si="5"/>
        <v>1900</v>
      </c>
      <c r="K12" s="114" t="str">
        <f t="shared" si="6"/>
        <v>0 yanvar 1900 г.</v>
      </c>
      <c r="L12" s="113"/>
      <c r="M12" s="115"/>
      <c r="N12" s="113"/>
      <c r="P12">
        <f t="shared" si="1"/>
        <v>0</v>
      </c>
    </row>
    <row r="13" spans="1:23" ht="15" customHeight="1" x14ac:dyDescent="0.3">
      <c r="A13" s="111">
        <v>12</v>
      </c>
      <c r="D13" s="113" t="s">
        <v>251</v>
      </c>
      <c r="E13" s="113"/>
      <c r="F13" s="114"/>
      <c r="G13" s="104">
        <f t="shared" si="2"/>
        <v>1</v>
      </c>
      <c r="H13" s="114" t="str">
        <f t="shared" si="3"/>
        <v>yanvar</v>
      </c>
      <c r="I13" s="104">
        <f t="shared" si="4"/>
        <v>0</v>
      </c>
      <c r="J13" s="116">
        <f t="shared" si="5"/>
        <v>1900</v>
      </c>
      <c r="K13" s="114" t="str">
        <f t="shared" si="6"/>
        <v>0 yanvar 1900 г.</v>
      </c>
      <c r="L13" s="113"/>
      <c r="M13" s="115"/>
      <c r="N13" s="113"/>
      <c r="P13">
        <f t="shared" si="1"/>
        <v>0</v>
      </c>
    </row>
    <row r="14" spans="1:23" ht="15" customHeight="1" x14ac:dyDescent="0.3">
      <c r="A14" s="111">
        <v>13</v>
      </c>
      <c r="D14" s="113" t="s">
        <v>251</v>
      </c>
      <c r="E14" s="113"/>
      <c r="F14" s="114"/>
      <c r="G14" s="104">
        <f t="shared" si="2"/>
        <v>1</v>
      </c>
      <c r="H14" s="114" t="str">
        <f t="shared" si="3"/>
        <v>yanvar</v>
      </c>
      <c r="I14" s="104">
        <f t="shared" si="4"/>
        <v>0</v>
      </c>
      <c r="J14" s="116">
        <f t="shared" si="5"/>
        <v>1900</v>
      </c>
      <c r="K14" s="114" t="str">
        <f t="shared" si="6"/>
        <v>0 yanvar 1900 г.</v>
      </c>
      <c r="L14" s="113"/>
      <c r="M14" s="115"/>
      <c r="N14" s="113"/>
      <c r="P14">
        <f t="shared" si="1"/>
        <v>0</v>
      </c>
    </row>
    <row r="15" spans="1:23" ht="15" customHeight="1" x14ac:dyDescent="0.3">
      <c r="A15" s="111">
        <v>14</v>
      </c>
      <c r="D15" s="113" t="s">
        <v>251</v>
      </c>
      <c r="E15" s="113"/>
      <c r="F15" s="114"/>
      <c r="G15" s="104">
        <f t="shared" si="2"/>
        <v>1</v>
      </c>
      <c r="H15" s="114" t="str">
        <f t="shared" si="3"/>
        <v>yanvar</v>
      </c>
      <c r="I15" s="104">
        <f t="shared" si="4"/>
        <v>0</v>
      </c>
      <c r="J15" s="116">
        <f t="shared" si="5"/>
        <v>1900</v>
      </c>
      <c r="K15" s="114" t="str">
        <f t="shared" si="6"/>
        <v>0 yanvar 1900 г.</v>
      </c>
      <c r="L15" s="113"/>
      <c r="M15" s="115"/>
      <c r="N15" s="113"/>
      <c r="P15">
        <f t="shared" si="1"/>
        <v>0</v>
      </c>
    </row>
    <row r="16" spans="1:23" ht="15" customHeight="1" x14ac:dyDescent="0.3">
      <c r="A16" s="111">
        <v>15</v>
      </c>
      <c r="D16" s="113" t="s">
        <v>251</v>
      </c>
      <c r="E16" s="113"/>
      <c r="F16" s="114"/>
      <c r="G16" s="104">
        <f t="shared" si="2"/>
        <v>1</v>
      </c>
      <c r="H16" s="114" t="str">
        <f t="shared" si="3"/>
        <v>yanvar</v>
      </c>
      <c r="I16" s="104">
        <f t="shared" si="4"/>
        <v>0</v>
      </c>
      <c r="J16" s="116">
        <f t="shared" si="5"/>
        <v>1900</v>
      </c>
      <c r="K16" s="114" t="str">
        <f t="shared" si="6"/>
        <v>0 yanvar 1900 г.</v>
      </c>
      <c r="L16" s="113"/>
      <c r="M16" s="115"/>
      <c r="N16" s="113"/>
      <c r="P16">
        <f t="shared" si="1"/>
        <v>0</v>
      </c>
    </row>
    <row r="17" spans="1:17" ht="15" customHeight="1" x14ac:dyDescent="0.3">
      <c r="A17" s="111">
        <v>16</v>
      </c>
      <c r="D17" s="113" t="s">
        <v>251</v>
      </c>
      <c r="E17" s="113"/>
      <c r="F17" s="114"/>
      <c r="G17" s="104">
        <f t="shared" si="2"/>
        <v>1</v>
      </c>
      <c r="H17" s="114" t="str">
        <f t="shared" si="3"/>
        <v>yanvar</v>
      </c>
      <c r="I17" s="104">
        <f t="shared" si="4"/>
        <v>0</v>
      </c>
      <c r="J17" s="116">
        <f t="shared" si="5"/>
        <v>1900</v>
      </c>
      <c r="K17" s="114" t="str">
        <f t="shared" si="6"/>
        <v>0 yanvar 1900 г.</v>
      </c>
      <c r="L17" s="113"/>
      <c r="M17" s="115"/>
      <c r="N17" s="113"/>
      <c r="P17">
        <f t="shared" si="1"/>
        <v>0</v>
      </c>
    </row>
    <row r="18" spans="1:17" ht="15" customHeight="1" x14ac:dyDescent="0.3">
      <c r="A18" s="111">
        <v>17</v>
      </c>
      <c r="D18" s="113" t="s">
        <v>251</v>
      </c>
      <c r="E18" s="113"/>
      <c r="F18" s="114"/>
      <c r="G18" s="104">
        <f t="shared" si="2"/>
        <v>1</v>
      </c>
      <c r="H18" s="114" t="str">
        <f t="shared" si="3"/>
        <v>yanvar</v>
      </c>
      <c r="I18" s="104">
        <f t="shared" si="4"/>
        <v>0</v>
      </c>
      <c r="J18" s="116">
        <f t="shared" si="5"/>
        <v>1900</v>
      </c>
      <c r="K18" s="114" t="str">
        <f t="shared" si="6"/>
        <v>0 yanvar 1900 г.</v>
      </c>
      <c r="L18" s="113"/>
      <c r="M18" s="115"/>
      <c r="N18" s="113"/>
      <c r="P18">
        <f t="shared" si="1"/>
        <v>0</v>
      </c>
    </row>
    <row r="19" spans="1:17" ht="15" customHeight="1" x14ac:dyDescent="0.3">
      <c r="A19" s="111">
        <v>18</v>
      </c>
      <c r="D19" s="113" t="s">
        <v>251</v>
      </c>
      <c r="E19" s="113"/>
      <c r="F19" s="114"/>
      <c r="G19" s="104">
        <f t="shared" si="2"/>
        <v>1</v>
      </c>
      <c r="H19" s="114" t="str">
        <f t="shared" si="3"/>
        <v>yanvar</v>
      </c>
      <c r="I19" s="104">
        <f t="shared" si="4"/>
        <v>0</v>
      </c>
      <c r="J19" s="116">
        <f t="shared" si="5"/>
        <v>1900</v>
      </c>
      <c r="K19" s="114" t="str">
        <f t="shared" si="6"/>
        <v>0 yanvar 1900 г.</v>
      </c>
      <c r="L19" s="113"/>
      <c r="M19" s="115"/>
      <c r="N19" s="113"/>
      <c r="P19">
        <f t="shared" si="1"/>
        <v>0</v>
      </c>
    </row>
    <row r="20" spans="1:17" ht="15" customHeight="1" x14ac:dyDescent="0.3">
      <c r="A20" s="111">
        <v>19</v>
      </c>
      <c r="D20" s="113" t="s">
        <v>251</v>
      </c>
      <c r="E20" s="113"/>
      <c r="F20" s="114"/>
      <c r="G20" s="104">
        <f t="shared" si="2"/>
        <v>1</v>
      </c>
      <c r="H20" s="114" t="str">
        <f t="shared" si="3"/>
        <v>yanvar</v>
      </c>
      <c r="I20" s="104">
        <f t="shared" si="4"/>
        <v>0</v>
      </c>
      <c r="J20" s="116">
        <f t="shared" si="5"/>
        <v>1900</v>
      </c>
      <c r="K20" s="114" t="str">
        <f t="shared" si="6"/>
        <v>0 yanvar 1900 г.</v>
      </c>
      <c r="L20" s="113"/>
      <c r="M20" s="115"/>
      <c r="N20" s="113"/>
      <c r="P20">
        <f t="shared" si="1"/>
        <v>0</v>
      </c>
    </row>
    <row r="21" spans="1:17" ht="15" customHeight="1" x14ac:dyDescent="0.3">
      <c r="A21" s="111">
        <v>20</v>
      </c>
      <c r="D21" s="113" t="s">
        <v>251</v>
      </c>
      <c r="E21" s="113"/>
      <c r="F21" s="114"/>
      <c r="G21" s="104">
        <f t="shared" si="2"/>
        <v>1</v>
      </c>
      <c r="H21" s="114" t="str">
        <f t="shared" si="3"/>
        <v>yanvar</v>
      </c>
      <c r="I21" s="104">
        <f t="shared" si="4"/>
        <v>0</v>
      </c>
      <c r="J21" s="116">
        <f t="shared" si="5"/>
        <v>1900</v>
      </c>
      <c r="K21" s="114" t="str">
        <f t="shared" si="6"/>
        <v>0 yanvar 1900 г.</v>
      </c>
      <c r="L21" s="113"/>
      <c r="M21" s="115"/>
      <c r="N21" s="113"/>
      <c r="P21">
        <f t="shared" si="1"/>
        <v>0</v>
      </c>
    </row>
    <row r="22" spans="1:17" x14ac:dyDescent="0.3">
      <c r="M22" s="119">
        <f>SUM(M2:M21)+umumiy_malumot!B136</f>
        <v>91200000</v>
      </c>
      <c r="Q22" t="s">
        <v>250</v>
      </c>
    </row>
    <row r="23" spans="1:17" x14ac:dyDescent="0.3">
      <c r="A23" s="100"/>
      <c r="B23" s="101"/>
      <c r="C23" s="101"/>
      <c r="D23" s="101"/>
      <c r="E23" s="101"/>
      <c r="F23" s="101"/>
      <c r="G23" s="101"/>
      <c r="H23" s="101"/>
      <c r="I23" s="101"/>
      <c r="J23" s="101"/>
      <c r="K23" s="101"/>
      <c r="L23" s="101"/>
      <c r="M23" s="101"/>
      <c r="N23" s="101"/>
      <c r="O23" s="101"/>
    </row>
    <row r="24" spans="1:17" x14ac:dyDescent="0.3">
      <c r="A24" s="101"/>
      <c r="B24" s="101"/>
      <c r="C24" s="101"/>
      <c r="D24" s="101"/>
      <c r="E24" s="101"/>
      <c r="F24" s="101"/>
      <c r="G24" s="101"/>
      <c r="H24" s="101"/>
      <c r="I24" s="101"/>
      <c r="J24" s="101"/>
      <c r="K24" s="101"/>
      <c r="L24" s="101"/>
      <c r="M24" s="101"/>
      <c r="N24" s="101"/>
      <c r="O24" s="101"/>
    </row>
    <row r="25" spans="1:17" x14ac:dyDescent="0.3">
      <c r="A25" s="101">
        <f>MONTH(F2)</f>
        <v>1</v>
      </c>
      <c r="B25" s="101" t="str">
        <f>IF(A25=A26,A28,IF(A25=B26,B28,IF(A25=C26,C28,IF(A25=D26,D28,IF(A25=E26,E28,IF(A25=F26,F28,IF(A25=K26,K28,IF(A25=L26,L28,IF(A25=M26,M28,IF(A25=N26,N28,IF(A25=O26,O28,IF(A25=#REF!,#REF!,))))))))))))</f>
        <v>yanvar</v>
      </c>
      <c r="C25" s="101">
        <f>DAY(F2)</f>
        <v>11</v>
      </c>
      <c r="D25" s="101">
        <f>YEAR(F2)</f>
        <v>2021</v>
      </c>
      <c r="E25" s="101"/>
      <c r="F25" s="101"/>
      <c r="G25" s="101"/>
      <c r="H25" s="101"/>
      <c r="I25" s="101"/>
      <c r="J25" s="101"/>
      <c r="K25" s="101"/>
      <c r="L25" s="101"/>
      <c r="M25" s="101"/>
      <c r="N25" s="101"/>
      <c r="O25" s="101"/>
    </row>
    <row r="26" spans="1:17" x14ac:dyDescent="0.3">
      <c r="A26" s="101">
        <v>1</v>
      </c>
      <c r="B26" s="101">
        <v>2</v>
      </c>
      <c r="C26" s="101">
        <v>3</v>
      </c>
      <c r="D26" s="101">
        <v>4</v>
      </c>
      <c r="E26" s="101">
        <v>5</v>
      </c>
      <c r="F26" s="101">
        <v>6</v>
      </c>
      <c r="G26" s="101"/>
      <c r="H26" s="101"/>
      <c r="I26" s="101"/>
      <c r="J26" s="101"/>
      <c r="K26" s="101">
        <v>7</v>
      </c>
      <c r="L26" s="101">
        <v>8</v>
      </c>
      <c r="M26" s="101">
        <v>9</v>
      </c>
      <c r="N26" s="101">
        <v>10</v>
      </c>
      <c r="O26" s="101">
        <v>11</v>
      </c>
      <c r="P26" s="101">
        <v>12</v>
      </c>
    </row>
    <row r="27" spans="1:17" x14ac:dyDescent="0.3">
      <c r="A27" s="101"/>
      <c r="B27" s="101"/>
      <c r="C27" s="101"/>
      <c r="D27" s="101"/>
      <c r="E27" s="101"/>
      <c r="F27" s="101"/>
      <c r="G27" s="101"/>
      <c r="H27" s="101"/>
      <c r="I27" s="101"/>
      <c r="J27" s="101"/>
      <c r="K27" s="101"/>
      <c r="L27" s="101"/>
      <c r="M27" s="101"/>
      <c r="N27" s="101"/>
      <c r="O27" s="101"/>
    </row>
    <row r="28" spans="1:17" x14ac:dyDescent="0.3">
      <c r="A28" s="101" t="s">
        <v>115</v>
      </c>
      <c r="B28" s="101" t="s">
        <v>116</v>
      </c>
      <c r="C28" s="101" t="s">
        <v>105</v>
      </c>
      <c r="D28" s="101" t="s">
        <v>106</v>
      </c>
      <c r="E28" s="101" t="s">
        <v>107</v>
      </c>
      <c r="F28" s="101" t="s">
        <v>108</v>
      </c>
      <c r="G28" s="101"/>
      <c r="H28" s="101"/>
      <c r="I28" s="101"/>
      <c r="J28" s="101"/>
      <c r="K28" s="101" t="s">
        <v>22</v>
      </c>
      <c r="L28" s="101" t="s">
        <v>110</v>
      </c>
      <c r="M28" s="101" t="s">
        <v>249</v>
      </c>
      <c r="N28" s="101" t="s">
        <v>248</v>
      </c>
      <c r="O28" s="101" t="s">
        <v>113</v>
      </c>
      <c r="P28" s="101" t="s">
        <v>114</v>
      </c>
    </row>
    <row r="29" spans="1:17" x14ac:dyDescent="0.3">
      <c r="A29" s="101" t="s">
        <v>115</v>
      </c>
      <c r="B29" s="101" t="s">
        <v>116</v>
      </c>
      <c r="C29" s="101" t="s">
        <v>105</v>
      </c>
      <c r="D29" s="101" t="s">
        <v>106</v>
      </c>
      <c r="E29" s="101" t="s">
        <v>107</v>
      </c>
      <c r="F29" s="101" t="s">
        <v>108</v>
      </c>
      <c r="G29" s="101"/>
      <c r="H29" s="101"/>
      <c r="I29" s="101"/>
      <c r="J29" s="101"/>
      <c r="K29" s="101" t="s">
        <v>24</v>
      </c>
      <c r="L29" s="101" t="s">
        <v>110</v>
      </c>
      <c r="M29" s="101" t="s">
        <v>249</v>
      </c>
      <c r="N29" s="101" t="s">
        <v>248</v>
      </c>
      <c r="O29" s="101" t="s">
        <v>113</v>
      </c>
      <c r="P29" s="101" t="s">
        <v>114</v>
      </c>
    </row>
    <row r="30" spans="1:17" x14ac:dyDescent="0.3">
      <c r="A30" s="101"/>
      <c r="B30" s="101"/>
      <c r="C30" s="101"/>
      <c r="D30" s="101"/>
      <c r="E30" s="101"/>
      <c r="F30" s="101"/>
      <c r="G30" s="101"/>
      <c r="H30" s="101"/>
      <c r="I30" s="101"/>
      <c r="J30" s="101"/>
      <c r="K30" s="101"/>
      <c r="L30" s="102"/>
      <c r="M30" s="102"/>
      <c r="N30" s="102"/>
      <c r="O30" s="102"/>
    </row>
  </sheetData>
  <dataValidations count="1">
    <dataValidation type="list" allowBlank="1" showInputMessage="1" showErrorMessage="1" sqref="D2:D21" xr:uid="{00000000-0002-0000-0100-000000000000}">
      <formula1>$B$2:$C$2</formula1>
    </dataValidation>
  </dataValidations>
  <pageMargins left="0.7" right="0.7" top="0.75" bottom="0.75" header="0.3" footer="0.3"/>
  <pageSetup paperSize="9" scale="6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8">
    <tabColor theme="1"/>
  </sheetPr>
  <dimension ref="A1:H76"/>
  <sheetViews>
    <sheetView view="pageBreakPreview" topLeftCell="A25" zoomScaleSheetLayoutView="100" workbookViewId="0">
      <selection activeCell="C54" sqref="C54"/>
    </sheetView>
  </sheetViews>
  <sheetFormatPr defaultColWidth="9.109375" defaultRowHeight="13.8" outlineLevelCol="1" x14ac:dyDescent="0.25"/>
  <cols>
    <col min="1" max="1" width="9.109375" style="15"/>
    <col min="2" max="2" width="10.109375" style="15" bestFit="1" customWidth="1"/>
    <col min="3" max="3" width="16.5546875" style="15" customWidth="1"/>
    <col min="4" max="4" width="17.109375" style="15" customWidth="1"/>
    <col min="5" max="5" width="17.88671875" style="15" customWidth="1"/>
    <col min="6" max="6" width="20.88671875" style="15" customWidth="1"/>
    <col min="7" max="7" width="10.109375" style="15" customWidth="1" outlineLevel="1"/>
    <col min="8" max="16384" width="9.109375" style="15"/>
  </cols>
  <sheetData>
    <row r="1" spans="1:8" x14ac:dyDescent="0.25">
      <c r="A1" s="37"/>
      <c r="B1" s="37"/>
      <c r="C1" s="37"/>
      <c r="D1" s="37"/>
      <c r="E1" s="246" t="s">
        <v>15</v>
      </c>
      <c r="F1" s="246"/>
    </row>
    <row r="2" spans="1:8" x14ac:dyDescent="0.25">
      <c r="A2" s="37"/>
      <c r="B2" s="37"/>
      <c r="C2" s="37"/>
      <c r="D2" s="37"/>
      <c r="E2" s="37"/>
      <c r="F2" s="38" t="str">
        <f>"к договору микрозайма "&amp;umumiy_malumot!B74&amp;""</f>
        <v>к договору микрозайма 6 yanvar 2026 y.dan №3-BR</v>
      </c>
    </row>
    <row r="3" spans="1:8" ht="6.75" customHeight="1" x14ac:dyDescent="0.25">
      <c r="A3" s="37"/>
      <c r="B3" s="37"/>
      <c r="C3" s="37"/>
      <c r="D3" s="37"/>
      <c r="E3" s="37"/>
      <c r="F3" s="37"/>
    </row>
    <row r="4" spans="1:8" x14ac:dyDescent="0.25">
      <c r="A4" s="247" t="s">
        <v>16</v>
      </c>
      <c r="B4" s="247"/>
      <c r="C4" s="247"/>
      <c r="D4" s="247"/>
      <c r="E4" s="247"/>
      <c r="F4" s="247"/>
    </row>
    <row r="5" spans="1:8" ht="7.5" customHeight="1" x14ac:dyDescent="0.25"/>
    <row r="6" spans="1:8" x14ac:dyDescent="0.25">
      <c r="A6" s="248" t="s">
        <v>14</v>
      </c>
      <c r="B6" s="249" t="s">
        <v>8</v>
      </c>
      <c r="C6" s="249" t="s">
        <v>9</v>
      </c>
      <c r="D6" s="250" t="s">
        <v>10</v>
      </c>
      <c r="E6" s="250"/>
      <c r="F6" s="250"/>
    </row>
    <row r="7" spans="1:8" s="16" customFormat="1" x14ac:dyDescent="0.3">
      <c r="A7" s="248"/>
      <c r="B7" s="249"/>
      <c r="C7" s="249"/>
      <c r="D7" s="17" t="s">
        <v>11</v>
      </c>
      <c r="E7" s="17" t="s">
        <v>12</v>
      </c>
      <c r="F7" s="17" t="s">
        <v>13</v>
      </c>
    </row>
    <row r="8" spans="1:8" x14ac:dyDescent="0.25">
      <c r="A8" s="18">
        <v>1</v>
      </c>
      <c r="B8" s="33">
        <f>'График дифференц'!B8</f>
        <v>46069</v>
      </c>
      <c r="C8" s="34">
        <f>umumiy_malumot!B75</f>
        <v>33000000</v>
      </c>
      <c r="D8" s="34">
        <f>IF(A8&lt;umumiy_malumot!$B$81,'График аннуитет.'!F8-'График аннуитет.'!E8,'График аннуитет.'!C8)</f>
        <v>916666.66999999993</v>
      </c>
      <c r="E8" s="34">
        <f>ROUND(C8*umumiy_malumot!$B$84/H8,2)*'График аннуитет.'!G8</f>
        <v>2038767.23</v>
      </c>
      <c r="F8" s="34">
        <f>umumiy_malumot!B90</f>
        <v>2955433.9</v>
      </c>
      <c r="G8" s="15">
        <f>B8-umumiy_malumot!B67</f>
        <v>41</v>
      </c>
      <c r="H8" s="15">
        <f>DATE(YEAR(B8),12,31)-DATE(YEAR(B8),1,1)+1</f>
        <v>365</v>
      </c>
    </row>
    <row r="9" spans="1:8" x14ac:dyDescent="0.25">
      <c r="A9" s="18">
        <v>2</v>
      </c>
      <c r="B9" s="33">
        <f>'График дифференц'!B9</f>
        <v>46097</v>
      </c>
      <c r="C9" s="34">
        <f t="shared" ref="C9:C30" si="0">C8-D8</f>
        <v>32083333.329999998</v>
      </c>
      <c r="D9" s="34">
        <f>IF(A9&lt;umumiy_malumot!$B$81,'График аннуитет.'!F9-'График аннуитет.'!E9,'График аннуитет.'!C9)</f>
        <v>1601780.9</v>
      </c>
      <c r="E9" s="34">
        <f>ROUND(C9*umumiy_malumot!$B$84/H9,2)*'График аннуитет.'!G9</f>
        <v>1353653</v>
      </c>
      <c r="F9" s="34">
        <f>IF(A9&lt;umumiy_malumot!$B$81,'График аннуитет.'!F8,'График аннуитет.'!D9+'График аннуитет.'!E9)</f>
        <v>2955433.9</v>
      </c>
      <c r="G9" s="15">
        <f>B9-B8</f>
        <v>28</v>
      </c>
      <c r="H9" s="15">
        <f t="shared" ref="H9:H31" si="1">DATE(YEAR(B9),12,31)-DATE(YEAR(B9),1,1)+1</f>
        <v>365</v>
      </c>
    </row>
    <row r="10" spans="1:8" x14ac:dyDescent="0.25">
      <c r="A10" s="18">
        <v>3</v>
      </c>
      <c r="B10" s="33">
        <f>'График дифференц'!B10</f>
        <v>46127</v>
      </c>
      <c r="C10" s="34">
        <f t="shared" si="0"/>
        <v>30481552.43</v>
      </c>
      <c r="D10" s="34">
        <f>IF(A10&lt;umumiy_malumot!$B$81,'График аннуитет.'!F10-'График аннуитет.'!E10,'График аннуитет.'!C10)</f>
        <v>1577500.5999999999</v>
      </c>
      <c r="E10" s="34">
        <f>ROUND(C10*umumiy_malumot!$B$84/H10,2)*'График аннуитет.'!G10</f>
        <v>1377933.3</v>
      </c>
      <c r="F10" s="34">
        <f>IF(A10&lt;umumiy_malumot!$B$81,'График аннуитет.'!F9,'График аннуитет.'!D10+'График аннуитет.'!E10)</f>
        <v>2955433.9</v>
      </c>
      <c r="G10" s="15">
        <f t="shared" ref="G10:G24" si="2">B10-B9</f>
        <v>30</v>
      </c>
      <c r="H10" s="15">
        <f t="shared" si="1"/>
        <v>365</v>
      </c>
    </row>
    <row r="11" spans="1:8" x14ac:dyDescent="0.25">
      <c r="A11" s="18">
        <v>4</v>
      </c>
      <c r="B11" s="33">
        <f>'График дифференц'!B11</f>
        <v>46157</v>
      </c>
      <c r="C11" s="34">
        <f t="shared" si="0"/>
        <v>28904051.829999998</v>
      </c>
      <c r="D11" s="34">
        <f>IF(A11&lt;umumiy_malumot!$B$81,'График аннуитет.'!F11-'График аннуитет.'!E11,'График аннуитет.'!C11)</f>
        <v>1648812.4</v>
      </c>
      <c r="E11" s="34">
        <f>ROUND(C11*umumiy_malumot!$B$84/H11,2)*'График аннуитет.'!G11</f>
        <v>1306621.5</v>
      </c>
      <c r="F11" s="34">
        <f>IF(A11&lt;umumiy_malumot!$B$81,'График аннуитет.'!F10,'График аннуитет.'!D11+'График аннуитет.'!E11)</f>
        <v>2955433.9</v>
      </c>
      <c r="G11" s="15">
        <f t="shared" si="2"/>
        <v>30</v>
      </c>
      <c r="H11" s="15">
        <f t="shared" si="1"/>
        <v>365</v>
      </c>
    </row>
    <row r="12" spans="1:8" x14ac:dyDescent="0.25">
      <c r="A12" s="18">
        <v>5</v>
      </c>
      <c r="B12" s="33">
        <f>'График дифференц'!B12</f>
        <v>46188</v>
      </c>
      <c r="C12" s="34">
        <f t="shared" si="0"/>
        <v>27255239.43</v>
      </c>
      <c r="D12" s="34">
        <f>IF(A12&lt;umumiy_malumot!$B$81,'График аннуитет.'!F12-'График аннуитет.'!E12,'График аннуитет.'!C12)</f>
        <v>1682278.16</v>
      </c>
      <c r="E12" s="34">
        <f>ROUND(C12*umumiy_malumot!$B$84/H12,2)*'График аннуитет.'!G12</f>
        <v>1273155.74</v>
      </c>
      <c r="F12" s="34">
        <f>IF(A12&lt;umumiy_malumot!$B$81,'График аннуитет.'!F11,'График аннуитет.'!D12+'График аннуитет.'!E12)</f>
        <v>2955433.9</v>
      </c>
      <c r="G12" s="15">
        <f t="shared" si="2"/>
        <v>31</v>
      </c>
      <c r="H12" s="15">
        <f t="shared" si="1"/>
        <v>365</v>
      </c>
    </row>
    <row r="13" spans="1:8" x14ac:dyDescent="0.25">
      <c r="A13" s="18">
        <v>6</v>
      </c>
      <c r="B13" s="33">
        <f>'График дифференц'!B13</f>
        <v>46218</v>
      </c>
      <c r="C13" s="34">
        <f t="shared" si="0"/>
        <v>25572961.27</v>
      </c>
      <c r="D13" s="34">
        <f>IF(A13&lt;umumiy_malumot!$B$81,'График аннуитет.'!F13-'График аннуитет.'!E13,'График аннуитет.'!C13)</f>
        <v>1799395.9</v>
      </c>
      <c r="E13" s="34">
        <f>ROUND(C13*umumiy_malumot!$B$84/H13,2)*'График аннуитет.'!G13</f>
        <v>1156038</v>
      </c>
      <c r="F13" s="34">
        <f>IF(A13&lt;umumiy_malumot!$B$81,'График аннуитет.'!F12,'График аннуитет.'!D13+'График аннуитет.'!E13)</f>
        <v>2955433.9</v>
      </c>
      <c r="G13" s="15">
        <f t="shared" si="2"/>
        <v>30</v>
      </c>
      <c r="H13" s="15">
        <f t="shared" si="1"/>
        <v>365</v>
      </c>
    </row>
    <row r="14" spans="1:8" x14ac:dyDescent="0.25">
      <c r="A14" s="18">
        <v>7</v>
      </c>
      <c r="B14" s="33">
        <f>'График дифференц'!B14</f>
        <v>46251</v>
      </c>
      <c r="C14" s="34">
        <f t="shared" si="0"/>
        <v>23773565.370000001</v>
      </c>
      <c r="D14" s="34">
        <f>IF(A14&lt;umumiy_malumot!$B$81,'График аннуитет.'!F14-'График аннуитет.'!E14,'График аннуитет.'!C14)</f>
        <v>1773268.96</v>
      </c>
      <c r="E14" s="34">
        <f>ROUND(C14*umumiy_malumot!$B$84/H14,2)*'График аннуитет.'!G14</f>
        <v>1182164.94</v>
      </c>
      <c r="F14" s="34">
        <f>IF(A14&lt;umumiy_malumot!$B$81,'График аннуитет.'!F13,'График аннуитет.'!D14+'График аннуитет.'!E14)</f>
        <v>2955433.9</v>
      </c>
      <c r="G14" s="15">
        <f t="shared" si="2"/>
        <v>33</v>
      </c>
      <c r="H14" s="15">
        <f t="shared" si="1"/>
        <v>365</v>
      </c>
    </row>
    <row r="15" spans="1:8" x14ac:dyDescent="0.25">
      <c r="A15" s="18">
        <v>8</v>
      </c>
      <c r="B15" s="33">
        <f>'График дифференц'!B15</f>
        <v>46280</v>
      </c>
      <c r="C15" s="34">
        <f t="shared" si="0"/>
        <v>22000296.41</v>
      </c>
      <c r="D15" s="34">
        <f>IF(A15&lt;umumiy_malumot!$B$81,'График аннуитет.'!F15-'График аннуитет.'!E15,'График аннуитет.'!C15)</f>
        <v>1994051.13</v>
      </c>
      <c r="E15" s="34">
        <f>ROUND(C15*umumiy_malumot!$B$84/H15,2)*'График аннуитет.'!G15</f>
        <v>961382.7699999999</v>
      </c>
      <c r="F15" s="34">
        <f>IF(A15&lt;umumiy_malumot!$B$81,'График аннуитет.'!F14,'График аннуитет.'!D15+'График аннуитет.'!E15)</f>
        <v>2955433.9</v>
      </c>
      <c r="G15" s="15">
        <f t="shared" si="2"/>
        <v>29</v>
      </c>
      <c r="H15" s="15">
        <f t="shared" si="1"/>
        <v>365</v>
      </c>
    </row>
    <row r="16" spans="1:8" x14ac:dyDescent="0.25">
      <c r="A16" s="18">
        <v>9</v>
      </c>
      <c r="B16" s="33">
        <f>'График дифференц'!B16</f>
        <v>46310</v>
      </c>
      <c r="C16" s="34">
        <f t="shared" si="0"/>
        <v>20006245.280000001</v>
      </c>
      <c r="D16" s="34">
        <f>IF(A16&lt;umumiy_malumot!$B$81,'График аннуитет.'!F16-'График аннуитет.'!E16,'График аннуитет.'!C16)</f>
        <v>2051041.9</v>
      </c>
      <c r="E16" s="34">
        <f>ROUND(C16*umumiy_malumot!$B$84/H16,2)*'График аннуитет.'!G16</f>
        <v>904392</v>
      </c>
      <c r="F16" s="34">
        <f>IF(A16&lt;umumiy_malumot!$B$81,'График аннуитет.'!F15,'График аннуитет.'!D16+'График аннуитет.'!E16)</f>
        <v>2955433.9</v>
      </c>
      <c r="G16" s="15">
        <f t="shared" si="2"/>
        <v>30</v>
      </c>
      <c r="H16" s="15">
        <f t="shared" si="1"/>
        <v>365</v>
      </c>
    </row>
    <row r="17" spans="1:8" x14ac:dyDescent="0.25">
      <c r="A17" s="18">
        <v>10</v>
      </c>
      <c r="B17" s="33">
        <f>'График дифференц'!B17</f>
        <v>46342</v>
      </c>
      <c r="C17" s="34">
        <f t="shared" si="0"/>
        <v>17955203.380000003</v>
      </c>
      <c r="D17" s="34">
        <f>IF(A17&lt;umumiy_malumot!$B$81,'График аннуитет.'!F17-'График аннуитет.'!E17,'График аннуитет.'!C17)</f>
        <v>2089648.6199999999</v>
      </c>
      <c r="E17" s="34">
        <f>ROUND(C17*umumiy_malumot!$B$84/H17,2)*'График аннуитет.'!G17</f>
        <v>865785.28</v>
      </c>
      <c r="F17" s="34">
        <f>IF(A17&lt;umumiy_malumot!$B$81,'График аннуитет.'!F16,'График аннуитет.'!D17+'График аннуитет.'!E17)</f>
        <v>2955433.9</v>
      </c>
      <c r="G17" s="15">
        <f t="shared" si="2"/>
        <v>32</v>
      </c>
      <c r="H17" s="15">
        <f t="shared" si="1"/>
        <v>365</v>
      </c>
    </row>
    <row r="18" spans="1:8" x14ac:dyDescent="0.25">
      <c r="A18" s="18">
        <v>11</v>
      </c>
      <c r="B18" s="33">
        <f>'График дифференц'!B18</f>
        <v>46371</v>
      </c>
      <c r="C18" s="34">
        <f t="shared" si="0"/>
        <v>15865554.760000004</v>
      </c>
      <c r="D18" s="34">
        <f>IF(A18&lt;umumiy_malumot!$B$81,'График аннуитет.'!F18-'График аннуитет.'!E18,'График аннуитет.'!C18)</f>
        <v>2262130.9</v>
      </c>
      <c r="E18" s="34">
        <f>ROUND(C18*umumiy_malumot!$B$84/H18,2)*'График аннуитет.'!G18</f>
        <v>693303</v>
      </c>
      <c r="F18" s="34">
        <f>IF(A18&lt;umumiy_malumot!$B$81,'График аннуитет.'!F17,'График аннуитет.'!D18+'График аннуитет.'!E18)</f>
        <v>2955433.9</v>
      </c>
      <c r="G18" s="15">
        <f t="shared" si="2"/>
        <v>29</v>
      </c>
      <c r="H18" s="15">
        <f t="shared" si="1"/>
        <v>365</v>
      </c>
    </row>
    <row r="19" spans="1:8" x14ac:dyDescent="0.25">
      <c r="A19" s="18">
        <v>12</v>
      </c>
      <c r="B19" s="33">
        <f>'График дифференц'!B19</f>
        <v>46402</v>
      </c>
      <c r="C19" s="34">
        <f t="shared" si="0"/>
        <v>13603423.860000003</v>
      </c>
      <c r="D19" s="34">
        <f>IF(A19&lt;umumiy_malumot!$B$81,'График аннуитет.'!F19-'График аннуитет.'!E19,'График аннуитет.'!C19)</f>
        <v>2319986.29</v>
      </c>
      <c r="E19" s="34">
        <f>ROUND(C19*umumiy_malumot!$B$84/H19,2)*'График аннуитет.'!G19</f>
        <v>635447.61</v>
      </c>
      <c r="F19" s="34">
        <f>IF(A19&lt;umumiy_malumot!$B$81,'График аннуитет.'!F18,'График аннуитет.'!D19+'График аннуитет.'!E19)</f>
        <v>2955433.9</v>
      </c>
      <c r="G19" s="15">
        <f>B19-B18</f>
        <v>31</v>
      </c>
      <c r="H19" s="15">
        <f t="shared" si="1"/>
        <v>365</v>
      </c>
    </row>
    <row r="20" spans="1:8" x14ac:dyDescent="0.25">
      <c r="A20" s="18">
        <v>13</v>
      </c>
      <c r="B20" s="33">
        <f>'График дифференц'!B20</f>
        <v>46433</v>
      </c>
      <c r="C20" s="34">
        <f t="shared" si="0"/>
        <v>11283437.570000004</v>
      </c>
      <c r="D20" s="34">
        <f>IF(A20&lt;umumiy_malumot!$B$81,'График аннуитет.'!F20-'График аннуитет.'!E20,'График аннуитет.'!C20)</f>
        <v>2428358.2599999998</v>
      </c>
      <c r="E20" s="34">
        <f>ROUND(C20*umumiy_malumot!$B$84/H20,2)*'График аннуитет.'!G20</f>
        <v>527075.64</v>
      </c>
      <c r="F20" s="34">
        <f>IF(A20&lt;umumiy_malumot!$B$81,'График аннуитет.'!F19,'График аннуитет.'!D20+'График аннуитет.'!E20)</f>
        <v>2955433.9</v>
      </c>
      <c r="G20" s="15">
        <f t="shared" si="2"/>
        <v>31</v>
      </c>
      <c r="H20" s="15">
        <f t="shared" si="1"/>
        <v>365</v>
      </c>
    </row>
    <row r="21" spans="1:8" x14ac:dyDescent="0.25">
      <c r="A21" s="18">
        <v>14</v>
      </c>
      <c r="B21" s="33">
        <f>'График дифференц'!B21</f>
        <v>46461</v>
      </c>
      <c r="C21" s="34">
        <f t="shared" si="0"/>
        <v>8855079.3100000042</v>
      </c>
      <c r="D21" s="34">
        <f>IF(A21&lt;umumiy_malumot!$B$81,'График аннуитет.'!F21-'График аннуитет.'!E21,'График аннуитет.'!C21)</f>
        <v>2581822.34</v>
      </c>
      <c r="E21" s="34">
        <f>ROUND(C21*umumiy_malumot!$B$84/H21,2)*'График аннуитет.'!G21</f>
        <v>373611.56</v>
      </c>
      <c r="F21" s="34">
        <f>IF(A21&lt;umumiy_malumot!$B$81,'График аннуитет.'!F20,'График аннуитет.'!D21+'График аннуитет.'!E21)</f>
        <v>2955433.9</v>
      </c>
      <c r="G21" s="15">
        <f t="shared" si="2"/>
        <v>28</v>
      </c>
      <c r="H21" s="15">
        <f t="shared" si="1"/>
        <v>365</v>
      </c>
    </row>
    <row r="22" spans="1:8" x14ac:dyDescent="0.25">
      <c r="A22" s="18">
        <v>15</v>
      </c>
      <c r="B22" s="33">
        <f>'График дифференц'!B22</f>
        <v>46492</v>
      </c>
      <c r="C22" s="34">
        <f t="shared" si="0"/>
        <v>6273256.9700000044</v>
      </c>
      <c r="D22" s="34">
        <f>IF(A22&lt;umumiy_malumot!$B$81,'График аннуитет.'!F22-'График аннуитет.'!E22,'График аннуитет.'!C22)</f>
        <v>2662395.5499999998</v>
      </c>
      <c r="E22" s="34">
        <f>ROUND(C22*umumiy_malumot!$B$84/H22,2)*'График аннуитет.'!G22</f>
        <v>293038.35000000003</v>
      </c>
      <c r="F22" s="34">
        <f>IF(A22&lt;umumiy_malumot!$B$81,'График аннуитет.'!F21,'График аннуитет.'!D22+'График аннуитет.'!E22)</f>
        <v>2955433.9</v>
      </c>
      <c r="G22" s="15">
        <f t="shared" si="2"/>
        <v>31</v>
      </c>
      <c r="H22" s="15">
        <f t="shared" si="1"/>
        <v>365</v>
      </c>
    </row>
    <row r="23" spans="1:8" x14ac:dyDescent="0.25">
      <c r="A23" s="18">
        <v>16</v>
      </c>
      <c r="B23" s="33">
        <f>'График дифференц'!B23</f>
        <v>46524</v>
      </c>
      <c r="C23" s="34">
        <f t="shared" si="0"/>
        <v>3610861.4200000046</v>
      </c>
      <c r="D23" s="34">
        <f>IF(A23&lt;umumiy_malumot!$B$81,'График аннуитет.'!F23-'График аннуитет.'!E23,'График аннуитет.'!C23)</f>
        <v>2781321.26</v>
      </c>
      <c r="E23" s="34">
        <f>ROUND(C23*umumiy_malumot!$B$84/H23,2)*'График аннуитет.'!G23</f>
        <v>174112.64000000001</v>
      </c>
      <c r="F23" s="34">
        <f>IF(A23&lt;umumiy_malumot!$B$81,'График аннуитет.'!F22,'График аннуитет.'!D23+'График аннуитет.'!E23)</f>
        <v>2955433.9</v>
      </c>
      <c r="G23" s="15">
        <f t="shared" si="2"/>
        <v>32</v>
      </c>
      <c r="H23" s="15">
        <f t="shared" si="1"/>
        <v>365</v>
      </c>
    </row>
    <row r="24" spans="1:8" x14ac:dyDescent="0.25">
      <c r="A24" s="18">
        <v>17</v>
      </c>
      <c r="B24" s="33">
        <f>'График дифференц'!B24</f>
        <v>46553</v>
      </c>
      <c r="C24" s="34">
        <f t="shared" si="0"/>
        <v>829540.16000000481</v>
      </c>
      <c r="D24" s="34">
        <f>IF(A24&lt;umumiy_malumot!$B$81,'График аннуитет.'!F24-'График аннуитет.'!E24,'График аннуитет.'!C24)</f>
        <v>2919184.19</v>
      </c>
      <c r="E24" s="34">
        <f>ROUND(C24*umumiy_malumot!$B$84/H24,2)*'График аннуитет.'!G24</f>
        <v>36249.71</v>
      </c>
      <c r="F24" s="34">
        <f>IF(A24&lt;umumiy_malumot!$B$81,'График аннуитет.'!F23,'График аннуитет.'!D24+'График аннуитет.'!E24)</f>
        <v>2955433.9</v>
      </c>
      <c r="G24" s="15">
        <f t="shared" si="2"/>
        <v>29</v>
      </c>
      <c r="H24" s="15">
        <f t="shared" si="1"/>
        <v>365</v>
      </c>
    </row>
    <row r="25" spans="1:8" x14ac:dyDescent="0.25">
      <c r="A25" s="18">
        <v>18</v>
      </c>
      <c r="B25" s="33">
        <f>'График дифференц'!B25</f>
        <v>46583</v>
      </c>
      <c r="C25" s="34">
        <f t="shared" si="0"/>
        <v>-2089644.0299999951</v>
      </c>
      <c r="D25" s="34">
        <f>IF(A25&lt;umumiy_malumot!$B$81,'График аннуитет.'!F25-'График аннуитет.'!E25,'График аннуитет.'!C25)</f>
        <v>3049897.3</v>
      </c>
      <c r="E25" s="34">
        <f>ROUND(C25*umumiy_malumot!$B$84/H25,2)*'График аннуитет.'!G25</f>
        <v>-94463.400000000009</v>
      </c>
      <c r="F25" s="34">
        <f>IF(A25&lt;umumiy_malumot!$B$81,'График аннуитет.'!F24,'График аннуитет.'!D25+'График аннуитет.'!E25)</f>
        <v>2955433.9</v>
      </c>
      <c r="G25" s="15">
        <f>B25-B24</f>
        <v>30</v>
      </c>
      <c r="H25" s="15">
        <f t="shared" si="1"/>
        <v>365</v>
      </c>
    </row>
    <row r="26" spans="1:8" x14ac:dyDescent="0.25">
      <c r="A26" s="18">
        <v>19</v>
      </c>
      <c r="B26" s="33">
        <f>'График дифференц'!B26</f>
        <v>46615</v>
      </c>
      <c r="C26" s="34">
        <f t="shared" si="0"/>
        <v>-5139541.3299999945</v>
      </c>
      <c r="D26" s="34">
        <f>IF(A26&lt;umumiy_malumot!$B$81,'График аннуитет.'!F26-'График аннуитет.'!E26,'График аннуитет.'!C26)</f>
        <v>3203258.2199999997</v>
      </c>
      <c r="E26" s="34">
        <f>ROUND(C26*umumiy_malumot!$B$84/H26,2)*'График аннуитет.'!G26</f>
        <v>-247824.32</v>
      </c>
      <c r="F26" s="34">
        <f>IF(A26&lt;umumiy_malumot!$B$81,'График аннуитет.'!F25,'График аннуитет.'!D26+'График аннуитет.'!E26)</f>
        <v>2955433.9</v>
      </c>
      <c r="G26" s="15">
        <f t="shared" ref="G26:G30" si="3">B26-B25</f>
        <v>32</v>
      </c>
      <c r="H26" s="15">
        <f t="shared" si="1"/>
        <v>365</v>
      </c>
    </row>
    <row r="27" spans="1:8" x14ac:dyDescent="0.25">
      <c r="A27" s="18">
        <v>20</v>
      </c>
      <c r="B27" s="33">
        <f>'График дифференц'!B27</f>
        <v>46645</v>
      </c>
      <c r="C27" s="34">
        <f t="shared" si="0"/>
        <v>-8342799.5499999942</v>
      </c>
      <c r="D27" s="34">
        <f>IF(A27&lt;umumiy_malumot!$B$81,'График аннуитет.'!F27-'График аннуитет.'!E27,'График аннуитет.'!C27)</f>
        <v>3332574.1</v>
      </c>
      <c r="E27" s="34">
        <f>ROUND(C27*umumiy_malumot!$B$84/H27,2)*'График аннуитет.'!G27</f>
        <v>-377140.2</v>
      </c>
      <c r="F27" s="34">
        <f>IF(A27&lt;umumiy_malumot!$B$81,'График аннуитет.'!F26,'График аннуитет.'!D27+'График аннуитет.'!E27)</f>
        <v>2955433.9</v>
      </c>
      <c r="G27" s="15">
        <f t="shared" si="3"/>
        <v>30</v>
      </c>
      <c r="H27" s="15">
        <f t="shared" si="1"/>
        <v>365</v>
      </c>
    </row>
    <row r="28" spans="1:8" x14ac:dyDescent="0.25">
      <c r="A28" s="18">
        <v>21</v>
      </c>
      <c r="B28" s="33">
        <f>'График дифференц'!B28</f>
        <v>46675</v>
      </c>
      <c r="C28" s="34">
        <f t="shared" si="0"/>
        <v>-11675373.649999995</v>
      </c>
      <c r="D28" s="34">
        <f>IF(A28&lt;umumiy_malumot!$B$81,'График аннуитет.'!F28-'График аннуитет.'!E28,'График аннуитет.'!C28)</f>
        <v>3483224.8</v>
      </c>
      <c r="E28" s="34">
        <f>ROUND(C28*umumiy_malumot!$B$84/H28,2)*'График аннуитет.'!G28</f>
        <v>-527790.89999999991</v>
      </c>
      <c r="F28" s="34">
        <f>IF(A28&lt;umumiy_malumot!$B$81,'График аннуитет.'!F27,'График аннуитет.'!D28+'График аннуитет.'!E28)</f>
        <v>2955433.9</v>
      </c>
      <c r="G28" s="15">
        <f t="shared" si="3"/>
        <v>30</v>
      </c>
      <c r="H28" s="15">
        <f t="shared" si="1"/>
        <v>365</v>
      </c>
    </row>
    <row r="29" spans="1:8" x14ac:dyDescent="0.25">
      <c r="A29" s="18">
        <v>22</v>
      </c>
      <c r="B29" s="33">
        <f>'График дифференц'!B29</f>
        <v>46706</v>
      </c>
      <c r="C29" s="34">
        <f t="shared" si="0"/>
        <v>-15158598.449999996</v>
      </c>
      <c r="D29" s="34">
        <f>IF(A29&lt;umumiy_malumot!$B$81,'График аннуитет.'!F29-'График аннуитет.'!E29,'График аннуитет.'!C29)</f>
        <v>3663527.2199999997</v>
      </c>
      <c r="E29" s="34">
        <f>ROUND(C29*umumiy_malumot!$B$84/H29,2)*'График аннуитет.'!G29</f>
        <v>-708093.32000000007</v>
      </c>
      <c r="F29" s="34">
        <f>IF(A29&lt;umumiy_malumot!$B$81,'График аннуитет.'!F28,'График аннуитет.'!D29+'График аннуитет.'!E29)</f>
        <v>2955433.9</v>
      </c>
      <c r="G29" s="15">
        <f t="shared" si="3"/>
        <v>31</v>
      </c>
      <c r="H29" s="15">
        <f t="shared" si="1"/>
        <v>365</v>
      </c>
    </row>
    <row r="30" spans="1:8" x14ac:dyDescent="0.25">
      <c r="A30" s="18">
        <v>23</v>
      </c>
      <c r="B30" s="33">
        <f>'График дифференц'!B30</f>
        <v>46736</v>
      </c>
      <c r="C30" s="34">
        <f t="shared" si="0"/>
        <v>-18822125.669999994</v>
      </c>
      <c r="D30" s="34">
        <f>IF(A30&lt;umumiy_malumot!$B$81,'График аннуитет.'!F30-'График аннуитет.'!E30,'График аннуитет.'!C30)</f>
        <v>3806297.2</v>
      </c>
      <c r="E30" s="34">
        <f>ROUND(C30*umumiy_malumot!$B$84/H30,2)*'График аннуитет.'!G30</f>
        <v>-850863.3</v>
      </c>
      <c r="F30" s="34">
        <f>IF(A30&lt;umumiy_malumot!$B$81,'График аннуитет.'!F29,'График аннуитет.'!D30+'График аннуитет.'!E30)</f>
        <v>2955433.9</v>
      </c>
      <c r="G30" s="15">
        <f t="shared" si="3"/>
        <v>30</v>
      </c>
      <c r="H30" s="15">
        <f t="shared" si="1"/>
        <v>365</v>
      </c>
    </row>
    <row r="31" spans="1:8" x14ac:dyDescent="0.25">
      <c r="A31" s="18">
        <v>24</v>
      </c>
      <c r="B31" s="33">
        <f>'График дифференц'!B31</f>
        <v>46769</v>
      </c>
      <c r="C31" s="34">
        <f t="shared" ref="C31" si="4">C30-D30</f>
        <v>-22628422.869999994</v>
      </c>
      <c r="D31" s="34">
        <f>IF(A31&lt;umumiy_malumot!$B$81,'График аннуитет.'!F31-'График аннуитет.'!E31,'График аннуитет.'!C31)</f>
        <v>4077581.08</v>
      </c>
      <c r="E31" s="34">
        <f>ROUND(C31*umumiy_malumot!$B$84/H31,2)*'График аннуитет.'!G31</f>
        <v>-1122147.18</v>
      </c>
      <c r="F31" s="34">
        <f>IF(A31&lt;umumiy_malumot!$B$81,'График аннуитет.'!F30,'График аннуитет.'!D31+'График аннуитет.'!E31)</f>
        <v>2955433.9</v>
      </c>
      <c r="G31" s="15">
        <f>B31-B30</f>
        <v>33</v>
      </c>
      <c r="H31" s="15">
        <f t="shared" si="1"/>
        <v>366</v>
      </c>
    </row>
    <row r="32" spans="1:8" x14ac:dyDescent="0.25">
      <c r="A32" s="18">
        <f>1+A31</f>
        <v>25</v>
      </c>
      <c r="B32" s="33">
        <f>'График дифференц'!B32</f>
        <v>46798</v>
      </c>
      <c r="C32" s="34">
        <f t="shared" ref="C32:C55" si="5">C31-D31</f>
        <v>-26706003.949999996</v>
      </c>
      <c r="D32" s="34">
        <f>IF(A32&lt;umumiy_malumot!$B$81,'График аннуитет.'!F32-'График аннуитет.'!E32,'График аннуитет.'!C32)</f>
        <v>4119261.0300000003</v>
      </c>
      <c r="E32" s="34">
        <f>ROUND(C32*umumiy_malumot!$B$84/H32,2)*'График аннуитет.'!G32</f>
        <v>-1163827.1300000001</v>
      </c>
      <c r="F32" s="34">
        <f>IF(A32&lt;umumiy_malumot!$B$81,'График аннуитет.'!F31,'График аннуитет.'!D32+'График аннуитет.'!E32)</f>
        <v>2955433.9</v>
      </c>
      <c r="G32" s="15">
        <f t="shared" ref="G32:G55" si="6">B32-B31</f>
        <v>29</v>
      </c>
      <c r="H32" s="15">
        <f t="shared" ref="H32:H55" si="7">DATE(YEAR(B32),12,31)-DATE(YEAR(B32),1,1)+1</f>
        <v>366</v>
      </c>
    </row>
    <row r="33" spans="1:8" x14ac:dyDescent="0.25">
      <c r="A33" s="18">
        <f t="shared" ref="A33:A55" si="8">1+A32</f>
        <v>26</v>
      </c>
      <c r="B33" s="33">
        <f>'График дифференц'!B33</f>
        <v>46827</v>
      </c>
      <c r="C33" s="34">
        <f t="shared" si="5"/>
        <v>-30825264.979999997</v>
      </c>
      <c r="D33" s="34">
        <f>IF(A33&lt;umumiy_malumot!$B$81,'График аннуитет.'!F33-'График аннуитет.'!E33,'График аннуитет.'!C33)</f>
        <v>4298775.38</v>
      </c>
      <c r="E33" s="34">
        <f>ROUND(C33*umumiy_malumot!$B$84/H33,2)*'График аннуитет.'!G33</f>
        <v>-1343341.48</v>
      </c>
      <c r="F33" s="34">
        <f>IF(A33&lt;umumiy_malumot!$B$81,'График аннуитет.'!F32,'График аннуитет.'!D33+'График аннуитет.'!E33)</f>
        <v>2955433.9</v>
      </c>
      <c r="G33" s="15">
        <f t="shared" si="6"/>
        <v>29</v>
      </c>
      <c r="H33" s="15">
        <f t="shared" si="7"/>
        <v>366</v>
      </c>
    </row>
    <row r="34" spans="1:8" x14ac:dyDescent="0.25">
      <c r="A34" s="18">
        <f t="shared" si="8"/>
        <v>27</v>
      </c>
      <c r="B34" s="33">
        <f>'График дифференц'!B34</f>
        <v>46860</v>
      </c>
      <c r="C34" s="34">
        <f t="shared" si="5"/>
        <v>-35124040.359999999</v>
      </c>
      <c r="D34" s="34">
        <f>IF(A34&lt;umumiy_malumot!$B$81,'График аннуитет.'!F34-'График аннуитет.'!E34,'График аннуитет.'!C34)</f>
        <v>4697240.8899999997</v>
      </c>
      <c r="E34" s="34">
        <f>ROUND(C34*umumiy_malumot!$B$84/H34,2)*'График аннуитет.'!G34</f>
        <v>-1741806.99</v>
      </c>
      <c r="F34" s="34">
        <f>IF(A34&lt;umumiy_malumot!$B$81,'График аннуитет.'!F33,'График аннуитет.'!D34+'График аннуитет.'!E34)</f>
        <v>2955433.9</v>
      </c>
      <c r="G34" s="15">
        <f t="shared" si="6"/>
        <v>33</v>
      </c>
      <c r="H34" s="15">
        <f t="shared" si="7"/>
        <v>366</v>
      </c>
    </row>
    <row r="35" spans="1:8" x14ac:dyDescent="0.25">
      <c r="A35" s="18">
        <f t="shared" si="8"/>
        <v>28</v>
      </c>
      <c r="B35" s="33">
        <f>'График дифференц'!B35</f>
        <v>46888</v>
      </c>
      <c r="C35" s="34">
        <f t="shared" si="5"/>
        <v>-39821281.25</v>
      </c>
      <c r="D35" s="34">
        <f>IF(A35&lt;umumiy_malumot!$B$81,'График аннуитет.'!F35-'График аннуитет.'!E35,'График аннуитет.'!C35)</f>
        <v>4630974.0600000005</v>
      </c>
      <c r="E35" s="34">
        <f>ROUND(C35*umumiy_malumot!$B$84/H35,2)*'График аннуитет.'!G35</f>
        <v>-1675540.1600000001</v>
      </c>
      <c r="F35" s="34">
        <f>IF(A35&lt;umumiy_malumot!$B$81,'График аннуитет.'!F34,'График аннуитет.'!D35+'График аннуитет.'!E35)</f>
        <v>2955433.9</v>
      </c>
      <c r="G35" s="15">
        <f t="shared" si="6"/>
        <v>28</v>
      </c>
      <c r="H35" s="15">
        <f t="shared" si="7"/>
        <v>366</v>
      </c>
    </row>
    <row r="36" spans="1:8" x14ac:dyDescent="0.25">
      <c r="A36" s="18">
        <f t="shared" si="8"/>
        <v>29</v>
      </c>
      <c r="B36" s="33">
        <f>'График дифференц'!B36</f>
        <v>46919</v>
      </c>
      <c r="C36" s="34">
        <f t="shared" si="5"/>
        <v>-44452255.310000002</v>
      </c>
      <c r="D36" s="34">
        <f>IF(A36&lt;umumiy_malumot!$B$81,'График аннуитет.'!F36-'График аннуитет.'!E36,'График аннуитет.'!C36)</f>
        <v>5026228.9399999995</v>
      </c>
      <c r="E36" s="34">
        <f>ROUND(C36*umumiy_malumot!$B$84/H36,2)*'График аннуитет.'!G36</f>
        <v>-2070795.0399999998</v>
      </c>
      <c r="F36" s="34">
        <f>IF(A36&lt;umumiy_malumot!$B$81,'График аннуитет.'!F35,'График аннуитет.'!D36+'График аннуитет.'!E36)</f>
        <v>2955433.9</v>
      </c>
      <c r="G36" s="15">
        <f t="shared" si="6"/>
        <v>31</v>
      </c>
      <c r="H36" s="15">
        <f t="shared" si="7"/>
        <v>366</v>
      </c>
    </row>
    <row r="37" spans="1:8" x14ac:dyDescent="0.25">
      <c r="A37" s="18">
        <f t="shared" si="8"/>
        <v>30</v>
      </c>
      <c r="B37" s="33">
        <f>'График дифференц'!B37</f>
        <v>46951</v>
      </c>
      <c r="C37" s="34">
        <f t="shared" si="5"/>
        <v>-49478484.25</v>
      </c>
      <c r="D37" s="34">
        <f>IF(A37&lt;umumiy_malumot!$B$81,'График аннуитет.'!F37-'График аннуитет.'!E37,'График аннуитет.'!C37)</f>
        <v>5334727.0199999996</v>
      </c>
      <c r="E37" s="34">
        <f>ROUND(C37*umumiy_malumot!$B$84/H37,2)*'График аннуитет.'!G37</f>
        <v>-2379293.12</v>
      </c>
      <c r="F37" s="34">
        <f>IF(A37&lt;umumiy_malumot!$B$81,'График аннуитет.'!F36,'График аннуитет.'!D37+'График аннуитет.'!E37)</f>
        <v>2955433.9</v>
      </c>
      <c r="G37" s="15">
        <f t="shared" si="6"/>
        <v>32</v>
      </c>
      <c r="H37" s="15">
        <f t="shared" si="7"/>
        <v>366</v>
      </c>
    </row>
    <row r="38" spans="1:8" x14ac:dyDescent="0.25">
      <c r="A38" s="18">
        <f t="shared" si="8"/>
        <v>31</v>
      </c>
      <c r="B38" s="33">
        <f>'График дифференц'!B38</f>
        <v>46980</v>
      </c>
      <c r="C38" s="34">
        <f t="shared" si="5"/>
        <v>-54813211.269999996</v>
      </c>
      <c r="D38" s="34">
        <f>IF(A38&lt;umumiy_malumot!$B$81,'График аннуитет.'!F38-'График аннуитет.'!E38,'График аннуитет.'!C38)</f>
        <v>5344151.72</v>
      </c>
      <c r="E38" s="34">
        <f>ROUND(C38*umumiy_malumot!$B$84/H38,2)*'График аннуитет.'!G38</f>
        <v>-2388717.8199999998</v>
      </c>
      <c r="F38" s="34">
        <f>IF(A38&lt;umumiy_malumot!$B$81,'График аннуитет.'!F37,'График аннуитет.'!D38+'График аннуитет.'!E38)</f>
        <v>2955433.9</v>
      </c>
      <c r="G38" s="15">
        <f t="shared" si="6"/>
        <v>29</v>
      </c>
      <c r="H38" s="15">
        <f t="shared" si="7"/>
        <v>366</v>
      </c>
    </row>
    <row r="39" spans="1:8" x14ac:dyDescent="0.25">
      <c r="A39" s="18">
        <f t="shared" si="8"/>
        <v>32</v>
      </c>
      <c r="B39" s="33">
        <f>'График дифференц'!B39</f>
        <v>47011</v>
      </c>
      <c r="C39" s="34">
        <f t="shared" si="5"/>
        <v>-60157362.989999995</v>
      </c>
      <c r="D39" s="34">
        <f>IF(A39&lt;umumiy_malumot!$B$81,'График аннуитет.'!F39-'График аннуитет.'!E39,'График аннуитет.'!C39)</f>
        <v>5757846.6099999994</v>
      </c>
      <c r="E39" s="34">
        <f>ROUND(C39*umumiy_malumot!$B$84/H39,2)*'График аннуитет.'!G39</f>
        <v>-2802412.71</v>
      </c>
      <c r="F39" s="34">
        <f>IF(A39&lt;umumiy_malumot!$B$81,'График аннуитет.'!F38,'График аннуитет.'!D39+'График аннуитет.'!E39)</f>
        <v>2955433.9</v>
      </c>
      <c r="G39" s="15">
        <f t="shared" si="6"/>
        <v>31</v>
      </c>
      <c r="H39" s="15">
        <f t="shared" si="7"/>
        <v>366</v>
      </c>
    </row>
    <row r="40" spans="1:8" x14ac:dyDescent="0.25">
      <c r="A40" s="18">
        <f t="shared" si="8"/>
        <v>33</v>
      </c>
      <c r="B40" s="33">
        <f>'График дифференц'!B40</f>
        <v>47042</v>
      </c>
      <c r="C40" s="34">
        <f t="shared" si="5"/>
        <v>-65915209.599999994</v>
      </c>
      <c r="D40" s="34">
        <f>IF(A40&lt;umumiy_malumot!$B$81,'График аннуитет.'!F40-'График аннуитет.'!E40,'График аннуитет.'!C40)</f>
        <v>6026074.1099999994</v>
      </c>
      <c r="E40" s="34">
        <f>ROUND(C40*umumiy_malumot!$B$84/H40,2)*'График аннуитет.'!G40</f>
        <v>-3070640.21</v>
      </c>
      <c r="F40" s="34">
        <f>IF(A40&lt;umumiy_malumot!$B$81,'График аннуитет.'!F39,'График аннуитет.'!D40+'График аннуитет.'!E40)</f>
        <v>2955433.9</v>
      </c>
      <c r="G40" s="15">
        <f t="shared" si="6"/>
        <v>31</v>
      </c>
      <c r="H40" s="15">
        <f t="shared" si="7"/>
        <v>366</v>
      </c>
    </row>
    <row r="41" spans="1:8" x14ac:dyDescent="0.25">
      <c r="A41" s="18">
        <f t="shared" si="8"/>
        <v>34</v>
      </c>
      <c r="B41" s="33">
        <f>'График дифференц'!B41</f>
        <v>47072</v>
      </c>
      <c r="C41" s="34">
        <f t="shared" si="5"/>
        <v>-71941283.709999993</v>
      </c>
      <c r="D41" s="34">
        <f>IF(A41&lt;umumiy_malumot!$B$81,'График аннуитет.'!F41-'График аннуитет.'!E41,'График аннуитет.'!C41)</f>
        <v>6198688.5999999996</v>
      </c>
      <c r="E41" s="34">
        <f>ROUND(C41*umumiy_malumot!$B$84/H41,2)*'График аннуитет.'!G41</f>
        <v>-3243254.7</v>
      </c>
      <c r="F41" s="34">
        <f>IF(A41&lt;umumiy_malumot!$B$81,'График аннуитет.'!F40,'График аннуитет.'!D41+'График аннуитет.'!E41)</f>
        <v>2955433.9</v>
      </c>
      <c r="G41" s="15">
        <f t="shared" si="6"/>
        <v>30</v>
      </c>
      <c r="H41" s="15">
        <f t="shared" si="7"/>
        <v>366</v>
      </c>
    </row>
    <row r="42" spans="1:8" x14ac:dyDescent="0.25">
      <c r="A42" s="18">
        <f t="shared" si="8"/>
        <v>35</v>
      </c>
      <c r="B42" s="33">
        <f>'График дифференц'!B42</f>
        <v>47102</v>
      </c>
      <c r="C42" s="34">
        <f t="shared" si="5"/>
        <v>-78139972.309999987</v>
      </c>
      <c r="D42" s="34">
        <f>IF(A42&lt;umumiy_malumot!$B$81,'График аннуитет.'!F42-'График аннуитет.'!E42,'График аннуитет.'!C42)</f>
        <v>6478137.7000000002</v>
      </c>
      <c r="E42" s="34">
        <f>ROUND(C42*umumiy_malumot!$B$84/H42,2)*'График аннуитет.'!G42</f>
        <v>-3522703.8000000003</v>
      </c>
      <c r="F42" s="34">
        <f>IF(A42&lt;umumiy_malumot!$B$81,'График аннуитет.'!F41,'График аннуитет.'!D42+'График аннуитет.'!E42)</f>
        <v>2955433.9</v>
      </c>
      <c r="G42" s="15">
        <f t="shared" si="6"/>
        <v>30</v>
      </c>
      <c r="H42" s="15">
        <f t="shared" si="7"/>
        <v>366</v>
      </c>
    </row>
    <row r="43" spans="1:8" x14ac:dyDescent="0.25">
      <c r="A43" s="18">
        <f t="shared" si="8"/>
        <v>36</v>
      </c>
      <c r="B43" s="33">
        <f>'График дифференц'!B43</f>
        <v>47124</v>
      </c>
      <c r="C43" s="34">
        <f t="shared" si="5"/>
        <v>-84618110.00999999</v>
      </c>
      <c r="D43" s="34">
        <f>IF(A43&lt;umumiy_malumot!$B$81,'График аннуитет.'!F43-'График аннуитет.'!E43,'График аннуитет.'!C43)</f>
        <v>-84618110.00999999</v>
      </c>
      <c r="E43" s="34">
        <f>ROUND(C43*umumiy_malumot!$B$84/H43,2)*'График аннуитет.'!G43</f>
        <v>-2805148.2800000003</v>
      </c>
      <c r="F43" s="34">
        <f>IF(A43&lt;umumiy_malumot!$B$81,'График аннуитет.'!F42,'График аннуитет.'!D43+'График аннуитет.'!E43)</f>
        <v>-87423258.289999992</v>
      </c>
      <c r="G43" s="15">
        <f t="shared" si="6"/>
        <v>22</v>
      </c>
      <c r="H43" s="15">
        <f t="shared" si="7"/>
        <v>365</v>
      </c>
    </row>
    <row r="44" spans="1:8" x14ac:dyDescent="0.25">
      <c r="A44" s="18">
        <f t="shared" si="8"/>
        <v>37</v>
      </c>
      <c r="B44" s="33" t="b">
        <f>'График дифференц'!B44</f>
        <v>0</v>
      </c>
      <c r="C44" s="34">
        <f t="shared" si="5"/>
        <v>0</v>
      </c>
      <c r="D44" s="34">
        <f>IF(A44&lt;umumiy_malumot!$B$81,'График аннуитет.'!F44-'График аннуитет.'!E44,'График аннуитет.'!C44)</f>
        <v>0</v>
      </c>
      <c r="E44" s="34">
        <f>ROUND(C44*umumiy_malumot!$B$84/H44,2)*'График аннуитет.'!G44</f>
        <v>0</v>
      </c>
      <c r="F44" s="34">
        <f>IF(A44&lt;umumiy_malumot!$B$81,'График аннуитет.'!F43,'График аннуитет.'!D44+'График аннуитет.'!E44)</f>
        <v>0</v>
      </c>
      <c r="G44" s="15">
        <f t="shared" si="6"/>
        <v>-47124</v>
      </c>
      <c r="H44" s="15">
        <f t="shared" si="7"/>
        <v>366</v>
      </c>
    </row>
    <row r="45" spans="1:8" x14ac:dyDescent="0.25">
      <c r="A45" s="18">
        <f t="shared" si="8"/>
        <v>38</v>
      </c>
      <c r="B45" s="33" t="b">
        <f>'График дифференц'!B45</f>
        <v>0</v>
      </c>
      <c r="C45" s="34">
        <f t="shared" si="5"/>
        <v>0</v>
      </c>
      <c r="D45" s="34">
        <f>IF(A45&lt;umumiy_malumot!$B$81,'График аннуитет.'!F45-'График аннуитет.'!E45,'График аннуитет.'!C45)</f>
        <v>0</v>
      </c>
      <c r="E45" s="34">
        <f>ROUND(C45*umumiy_malumot!$B$84/H45,2)*'График аннуитет.'!G45</f>
        <v>0</v>
      </c>
      <c r="F45" s="34">
        <f>IF(A45&lt;umumiy_malumot!$B$81,'График аннуитет.'!F44,'График аннуитет.'!D45+'График аннуитет.'!E45)</f>
        <v>0</v>
      </c>
      <c r="G45" s="15">
        <f t="shared" si="6"/>
        <v>0</v>
      </c>
      <c r="H45" s="15">
        <f t="shared" si="7"/>
        <v>366</v>
      </c>
    </row>
    <row r="46" spans="1:8" x14ac:dyDescent="0.25">
      <c r="A46" s="18">
        <f t="shared" si="8"/>
        <v>39</v>
      </c>
      <c r="B46" s="33" t="b">
        <f>'График дифференц'!B46</f>
        <v>0</v>
      </c>
      <c r="C46" s="34">
        <f t="shared" si="5"/>
        <v>0</v>
      </c>
      <c r="D46" s="34">
        <f>IF(A46&lt;umumiy_malumot!$B$81,'График аннуитет.'!F46-'График аннуитет.'!E46,'График аннуитет.'!C46)</f>
        <v>0</v>
      </c>
      <c r="E46" s="34">
        <f>ROUND(C46*umumiy_malumot!$B$84/H46,2)*'График аннуитет.'!G46</f>
        <v>0</v>
      </c>
      <c r="F46" s="34">
        <f>IF(A46&lt;umumiy_malumot!$B$81,'График аннуитет.'!F45,'График аннуитет.'!D46+'График аннуитет.'!E46)</f>
        <v>0</v>
      </c>
      <c r="G46" s="15">
        <f t="shared" si="6"/>
        <v>0</v>
      </c>
      <c r="H46" s="15">
        <f t="shared" si="7"/>
        <v>366</v>
      </c>
    </row>
    <row r="47" spans="1:8" x14ac:dyDescent="0.25">
      <c r="A47" s="18">
        <f t="shared" si="8"/>
        <v>40</v>
      </c>
      <c r="B47" s="33" t="b">
        <f>'График дифференц'!B47</f>
        <v>0</v>
      </c>
      <c r="C47" s="34">
        <f t="shared" si="5"/>
        <v>0</v>
      </c>
      <c r="D47" s="34">
        <f>IF(A47&lt;umumiy_malumot!$B$81,'График аннуитет.'!F47-'График аннуитет.'!E47,'График аннуитет.'!C47)</f>
        <v>0</v>
      </c>
      <c r="E47" s="34">
        <f>ROUND(C47*umumiy_malumot!$B$84/H47,2)*'График аннуитет.'!G47</f>
        <v>0</v>
      </c>
      <c r="F47" s="34">
        <f>IF(A47&lt;umumiy_malumot!$B$81,'График аннуитет.'!F46,'График аннуитет.'!D47+'График аннуитет.'!E47)</f>
        <v>0</v>
      </c>
      <c r="G47" s="15">
        <f t="shared" si="6"/>
        <v>0</v>
      </c>
      <c r="H47" s="15">
        <f t="shared" si="7"/>
        <v>366</v>
      </c>
    </row>
    <row r="48" spans="1:8" x14ac:dyDescent="0.25">
      <c r="A48" s="18">
        <f t="shared" si="8"/>
        <v>41</v>
      </c>
      <c r="B48" s="33" t="b">
        <f>'График дифференц'!B48</f>
        <v>0</v>
      </c>
      <c r="C48" s="34">
        <f t="shared" si="5"/>
        <v>0</v>
      </c>
      <c r="D48" s="34">
        <f>IF(A48&lt;umumiy_malumot!$B$81,'График аннуитет.'!F48-'График аннуитет.'!E48,'График аннуитет.'!C48)</f>
        <v>0</v>
      </c>
      <c r="E48" s="34">
        <f>ROUND(C48*umumiy_malumot!$B$84/H48,2)*'График аннуитет.'!G48</f>
        <v>0</v>
      </c>
      <c r="F48" s="34">
        <f>IF(A48&lt;umumiy_malumot!$B$81,'График аннуитет.'!F47,'График аннуитет.'!D48+'График аннуитет.'!E48)</f>
        <v>0</v>
      </c>
      <c r="G48" s="15">
        <f t="shared" si="6"/>
        <v>0</v>
      </c>
      <c r="H48" s="15">
        <f t="shared" si="7"/>
        <v>366</v>
      </c>
    </row>
    <row r="49" spans="1:8" x14ac:dyDescent="0.25">
      <c r="A49" s="18">
        <f t="shared" si="8"/>
        <v>42</v>
      </c>
      <c r="B49" s="33" t="b">
        <f>'График дифференц'!B49</f>
        <v>0</v>
      </c>
      <c r="C49" s="34">
        <f t="shared" si="5"/>
        <v>0</v>
      </c>
      <c r="D49" s="34">
        <f>IF(A49&lt;umumiy_malumot!$B$81,'График аннуитет.'!F49-'График аннуитет.'!E49,'График аннуитет.'!C49)</f>
        <v>0</v>
      </c>
      <c r="E49" s="34">
        <f>ROUND(C49*umumiy_malumot!$B$84/H49,2)*'График аннуитет.'!G49</f>
        <v>0</v>
      </c>
      <c r="F49" s="34">
        <f>IF(A49&lt;umumiy_malumot!$B$81,'График аннуитет.'!F48,'График аннуитет.'!D49+'График аннуитет.'!E49)</f>
        <v>0</v>
      </c>
      <c r="G49" s="15">
        <f t="shared" si="6"/>
        <v>0</v>
      </c>
      <c r="H49" s="15">
        <f t="shared" si="7"/>
        <v>366</v>
      </c>
    </row>
    <row r="50" spans="1:8" x14ac:dyDescent="0.25">
      <c r="A50" s="18">
        <f t="shared" si="8"/>
        <v>43</v>
      </c>
      <c r="B50" s="33" t="b">
        <f>'График дифференц'!B50</f>
        <v>0</v>
      </c>
      <c r="C50" s="34">
        <f t="shared" si="5"/>
        <v>0</v>
      </c>
      <c r="D50" s="34">
        <f>IF(A50&lt;umumiy_malumot!$B$81,'График аннуитет.'!F50-'График аннуитет.'!E50,'График аннуитет.'!C50)</f>
        <v>0</v>
      </c>
      <c r="E50" s="34">
        <f>ROUND(C50*umumiy_malumot!$B$84/H50,2)*'График аннуитет.'!G50</f>
        <v>0</v>
      </c>
      <c r="F50" s="34">
        <f>IF(A50&lt;umumiy_malumot!$B$81,'График аннуитет.'!F49,'График аннуитет.'!D50+'График аннуитет.'!E50)</f>
        <v>0</v>
      </c>
      <c r="G50" s="15">
        <f t="shared" si="6"/>
        <v>0</v>
      </c>
      <c r="H50" s="15">
        <f t="shared" si="7"/>
        <v>366</v>
      </c>
    </row>
    <row r="51" spans="1:8" x14ac:dyDescent="0.25">
      <c r="A51" s="18">
        <f t="shared" si="8"/>
        <v>44</v>
      </c>
      <c r="B51" s="33" t="b">
        <f>'График дифференц'!B51</f>
        <v>0</v>
      </c>
      <c r="C51" s="34">
        <f t="shared" si="5"/>
        <v>0</v>
      </c>
      <c r="D51" s="34">
        <f>IF(A51&lt;umumiy_malumot!$B$81,'График аннуитет.'!F51-'График аннуитет.'!E51,'График аннуитет.'!C51)</f>
        <v>0</v>
      </c>
      <c r="E51" s="34">
        <f>ROUND(C51*umumiy_malumot!$B$84/H51,2)*'График аннуитет.'!G51</f>
        <v>0</v>
      </c>
      <c r="F51" s="34">
        <f>IF(A51&lt;umumiy_malumot!$B$81,'График аннуитет.'!F50,'График аннуитет.'!D51+'График аннуитет.'!E51)</f>
        <v>0</v>
      </c>
      <c r="G51" s="15">
        <f t="shared" si="6"/>
        <v>0</v>
      </c>
      <c r="H51" s="15">
        <f t="shared" si="7"/>
        <v>366</v>
      </c>
    </row>
    <row r="52" spans="1:8" x14ac:dyDescent="0.25">
      <c r="A52" s="18">
        <f t="shared" si="8"/>
        <v>45</v>
      </c>
      <c r="B52" s="33" t="b">
        <f>'График дифференц'!B52</f>
        <v>0</v>
      </c>
      <c r="C52" s="34">
        <f t="shared" si="5"/>
        <v>0</v>
      </c>
      <c r="D52" s="34">
        <f>IF(A52&lt;umumiy_malumot!$B$81,'График аннуитет.'!F52-'График аннуитет.'!E52,'График аннуитет.'!C52)</f>
        <v>0</v>
      </c>
      <c r="E52" s="34">
        <f>ROUND(C52*umumiy_malumot!$B$84/H52,2)*'График аннуитет.'!G52</f>
        <v>0</v>
      </c>
      <c r="F52" s="34">
        <f>IF(A52&lt;umumiy_malumot!$B$81,'График аннуитет.'!F51,'График аннуитет.'!D52+'График аннуитет.'!E52)</f>
        <v>0</v>
      </c>
      <c r="G52" s="15">
        <f t="shared" si="6"/>
        <v>0</v>
      </c>
      <c r="H52" s="15">
        <f t="shared" si="7"/>
        <v>366</v>
      </c>
    </row>
    <row r="53" spans="1:8" x14ac:dyDescent="0.25">
      <c r="A53" s="18">
        <f t="shared" si="8"/>
        <v>46</v>
      </c>
      <c r="B53" s="33" t="b">
        <f>'График дифференц'!B53</f>
        <v>0</v>
      </c>
      <c r="C53" s="34">
        <f t="shared" si="5"/>
        <v>0</v>
      </c>
      <c r="D53" s="34">
        <f>IF(A53&lt;umumiy_malumot!$B$81,'График аннуитет.'!F53-'График аннуитет.'!E53,'График аннуитет.'!C53)</f>
        <v>0</v>
      </c>
      <c r="E53" s="34">
        <f>ROUND(C53*umumiy_malumot!$B$84/H53,2)*'График аннуитет.'!G53</f>
        <v>0</v>
      </c>
      <c r="F53" s="34">
        <f>IF(A53&lt;umumiy_malumot!$B$81,'График аннуитет.'!F52,'График аннуитет.'!D53+'График аннуитет.'!E53)</f>
        <v>0</v>
      </c>
      <c r="G53" s="15">
        <f t="shared" si="6"/>
        <v>0</v>
      </c>
      <c r="H53" s="15">
        <f t="shared" si="7"/>
        <v>366</v>
      </c>
    </row>
    <row r="54" spans="1:8" x14ac:dyDescent="0.25">
      <c r="A54" s="18">
        <f t="shared" si="8"/>
        <v>47</v>
      </c>
      <c r="B54" s="33" t="b">
        <f>'График дифференц'!B54</f>
        <v>0</v>
      </c>
      <c r="C54" s="34">
        <f t="shared" si="5"/>
        <v>0</v>
      </c>
      <c r="D54" s="34">
        <f>IF(A54&lt;umumiy_malumot!$B$81,'График аннуитет.'!F54-'График аннуитет.'!E54,'График аннуитет.'!C54)</f>
        <v>0</v>
      </c>
      <c r="E54" s="34">
        <f>ROUND(C54*umumiy_malumot!$B$84/H54,2)*'График аннуитет.'!G54</f>
        <v>0</v>
      </c>
      <c r="F54" s="34">
        <f>IF(A54&lt;umumiy_malumot!$B$81,'График аннуитет.'!F53,'График аннуитет.'!D54+'График аннуитет.'!E54)</f>
        <v>0</v>
      </c>
      <c r="G54" s="15">
        <f t="shared" si="6"/>
        <v>0</v>
      </c>
      <c r="H54" s="15">
        <f t="shared" si="7"/>
        <v>366</v>
      </c>
    </row>
    <row r="55" spans="1:8" x14ac:dyDescent="0.25">
      <c r="A55" s="18">
        <f t="shared" si="8"/>
        <v>48</v>
      </c>
      <c r="B55" s="33" t="b">
        <f>'График дифференц'!B55</f>
        <v>0</v>
      </c>
      <c r="C55" s="34">
        <f t="shared" si="5"/>
        <v>0</v>
      </c>
      <c r="D55" s="34">
        <f>IF(A55&lt;umumiy_malumot!$B$81,'График аннуитет.'!F55-'График аннуитет.'!E55,'График аннуитет.'!C55)</f>
        <v>0</v>
      </c>
      <c r="E55" s="34">
        <f>ROUND(C55*umumiy_malumot!$B$84/H55,2)*'График аннуитет.'!G55</f>
        <v>0</v>
      </c>
      <c r="F55" s="34">
        <f>IF(A55&lt;umumiy_malumot!$B$81,'График аннуитет.'!F54,'График аннуитет.'!D55+'График аннуитет.'!E55)</f>
        <v>0</v>
      </c>
      <c r="G55" s="15">
        <f t="shared" si="6"/>
        <v>0</v>
      </c>
      <c r="H55" s="15">
        <f t="shared" si="7"/>
        <v>366</v>
      </c>
    </row>
    <row r="56" spans="1:8" x14ac:dyDescent="0.25">
      <c r="A56" s="46"/>
      <c r="B56" s="47" t="s">
        <v>7</v>
      </c>
      <c r="C56" s="48"/>
      <c r="D56" s="48">
        <f>SUM(D8:D43)</f>
        <v>32999999.999999985</v>
      </c>
      <c r="E56" s="48">
        <f t="shared" ref="E56:F56" si="9">SUM(E8:E43)</f>
        <v>-16983071.790000003</v>
      </c>
      <c r="F56" s="48">
        <f t="shared" si="9"/>
        <v>16016928.210000053</v>
      </c>
    </row>
    <row r="57" spans="1:8" ht="9" customHeight="1" x14ac:dyDescent="0.25">
      <c r="B57" s="35"/>
      <c r="C57" s="36"/>
      <c r="D57" s="36"/>
      <c r="E57" s="36"/>
      <c r="F57" s="36"/>
    </row>
    <row r="58" spans="1:8" ht="47.25" customHeight="1" x14ac:dyDescent="0.25">
      <c r="A58" s="243" t="s">
        <v>17</v>
      </c>
      <c r="B58" s="243"/>
      <c r="C58" s="243"/>
      <c r="D58" s="243"/>
      <c r="E58" s="243"/>
      <c r="F58" s="243"/>
    </row>
    <row r="59" spans="1:8" ht="7.5" customHeight="1" x14ac:dyDescent="0.25"/>
    <row r="60" spans="1:8" x14ac:dyDescent="0.25">
      <c r="A60" s="252" t="e">
        <f>#REF!</f>
        <v>#REF!</v>
      </c>
      <c r="B60" s="252"/>
      <c r="C60" s="252"/>
      <c r="D60" s="252" t="e">
        <f>#REF!</f>
        <v>#REF!</v>
      </c>
      <c r="E60" s="252"/>
      <c r="F60" s="252"/>
    </row>
    <row r="61" spans="1:8" ht="11.25" customHeight="1" x14ac:dyDescent="0.25">
      <c r="A61" s="253"/>
      <c r="B61" s="253"/>
      <c r="C61" s="253"/>
      <c r="D61" s="253"/>
      <c r="E61" s="253"/>
      <c r="F61" s="253"/>
    </row>
    <row r="62" spans="1:8" ht="30" customHeight="1" x14ac:dyDescent="0.25">
      <c r="A62" s="254" t="e">
        <f>#REF!</f>
        <v>#REF!</v>
      </c>
      <c r="B62" s="254"/>
      <c r="C62" s="254"/>
      <c r="D62" s="254" t="e">
        <f>#REF!</f>
        <v>#REF!</v>
      </c>
      <c r="E62" s="254"/>
      <c r="F62" s="254"/>
    </row>
    <row r="63" spans="1:8" ht="32.25" customHeight="1" x14ac:dyDescent="0.25">
      <c r="A63" s="251" t="e">
        <f>#REF!</f>
        <v>#REF!</v>
      </c>
      <c r="B63" s="251"/>
      <c r="C63" s="251"/>
      <c r="D63" s="251" t="e">
        <f>#REF!</f>
        <v>#REF!</v>
      </c>
      <c r="E63" s="251"/>
      <c r="F63" s="251"/>
    </row>
    <row r="64" spans="1:8" x14ac:dyDescent="0.25">
      <c r="A64" s="251" t="e">
        <f>#REF!</f>
        <v>#REF!</v>
      </c>
      <c r="B64" s="251"/>
      <c r="C64" s="251"/>
      <c r="D64" s="251" t="str">
        <f>"паспорт серии "&amp;umumiy_malumot!B16&amp;", "&amp;umumiy_malumot!B20&amp;""</f>
        <v>паспорт серии AD 6760672, IIV 61013 tomonidan 08.04.2024 yilda berilgan</v>
      </c>
      <c r="E64" s="251"/>
      <c r="F64" s="251"/>
    </row>
    <row r="65" spans="1:6" ht="32.25" customHeight="1" x14ac:dyDescent="0.25">
      <c r="A65" s="251" t="e">
        <f>#REF!</f>
        <v>#REF!</v>
      </c>
      <c r="B65" s="251"/>
      <c r="C65" s="251"/>
      <c r="D65" s="251"/>
      <c r="E65" s="251"/>
      <c r="F65" s="251"/>
    </row>
    <row r="66" spans="1:6" x14ac:dyDescent="0.25">
      <c r="A66" s="251" t="e">
        <f>#REF!</f>
        <v>#REF!</v>
      </c>
      <c r="B66" s="251"/>
      <c r="C66" s="251"/>
      <c r="D66" s="251" t="e">
        <f>#REF!</f>
        <v>#REF!</v>
      </c>
      <c r="E66" s="251"/>
      <c r="F66" s="251"/>
    </row>
    <row r="67" spans="1:6" x14ac:dyDescent="0.25">
      <c r="A67" s="251" t="e">
        <f>#REF!</f>
        <v>#REF!</v>
      </c>
      <c r="B67" s="251"/>
      <c r="C67" s="251"/>
      <c r="D67" s="251" t="e">
        <f>#REF!</f>
        <v>#REF!</v>
      </c>
      <c r="E67" s="251"/>
      <c r="F67" s="251"/>
    </row>
    <row r="68" spans="1:6" x14ac:dyDescent="0.25">
      <c r="A68" s="251" t="e">
        <f>#REF!</f>
        <v>#REF!</v>
      </c>
      <c r="B68" s="251"/>
      <c r="C68" s="251"/>
      <c r="D68" s="251" t="e">
        <f>#REF!</f>
        <v>#REF!</v>
      </c>
      <c r="E68" s="251"/>
      <c r="F68" s="251"/>
    </row>
    <row r="69" spans="1:6" ht="8.25" customHeight="1" x14ac:dyDescent="0.25">
      <c r="A69" s="251"/>
      <c r="B69" s="251"/>
      <c r="C69" s="251"/>
      <c r="D69" s="251"/>
      <c r="E69" s="251"/>
      <c r="F69" s="251"/>
    </row>
    <row r="70" spans="1:6" x14ac:dyDescent="0.25">
      <c r="A70" s="254" t="e">
        <f>#REF!</f>
        <v>#REF!</v>
      </c>
      <c r="B70" s="254"/>
      <c r="C70" s="254"/>
      <c r="D70" s="254" t="e">
        <f>#REF!</f>
        <v>#REF!</v>
      </c>
      <c r="E70" s="254"/>
      <c r="F70" s="254"/>
    </row>
    <row r="71" spans="1:6" ht="7.5" customHeight="1" x14ac:dyDescent="0.25">
      <c r="A71" s="254"/>
      <c r="B71" s="254"/>
      <c r="C71" s="254"/>
      <c r="D71" s="254"/>
      <c r="E71" s="254"/>
      <c r="F71" s="254"/>
    </row>
    <row r="72" spans="1:6" x14ac:dyDescent="0.25">
      <c r="A72" s="254" t="e">
        <f>#REF!</f>
        <v>#REF!</v>
      </c>
      <c r="B72" s="254"/>
      <c r="C72" s="254"/>
      <c r="D72" s="254" t="e">
        <f>#REF!</f>
        <v>#REF!</v>
      </c>
      <c r="E72" s="254"/>
      <c r="F72" s="254"/>
    </row>
    <row r="73" spans="1:6" ht="8.25" customHeight="1" x14ac:dyDescent="0.25">
      <c r="A73" s="251"/>
      <c r="B73" s="251"/>
      <c r="C73" s="251"/>
      <c r="D73" s="251"/>
      <c r="E73" s="251"/>
      <c r="F73" s="251"/>
    </row>
    <row r="74" spans="1:6" ht="30" customHeight="1" x14ac:dyDescent="0.25">
      <c r="A74" s="256"/>
      <c r="B74" s="256"/>
      <c r="C74" s="256"/>
      <c r="D74" s="257"/>
      <c r="E74" s="257"/>
      <c r="F74" s="257"/>
    </row>
    <row r="75" spans="1:6" x14ac:dyDescent="0.25">
      <c r="A75" s="258"/>
      <c r="B75" s="258"/>
      <c r="C75" s="258"/>
      <c r="D75" s="258"/>
      <c r="E75" s="258"/>
      <c r="F75" s="258"/>
    </row>
    <row r="76" spans="1:6" x14ac:dyDescent="0.25">
      <c r="A76" s="255"/>
      <c r="B76" s="255"/>
      <c r="C76" s="255"/>
      <c r="D76" s="255"/>
      <c r="E76" s="255"/>
      <c r="F76" s="255"/>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7" priority="4" operator="lessThan">
      <formula>22105</formula>
    </cfRule>
  </conditionalFormatting>
  <conditionalFormatting sqref="C8:C55">
    <cfRule type="cellIs" dxfId="6" priority="3" operator="lessThan">
      <formula>1</formula>
    </cfRule>
  </conditionalFormatting>
  <conditionalFormatting sqref="C8:F55">
    <cfRule type="cellIs" dxfId="5" priority="1" operator="lessThan">
      <formula>0.1</formula>
    </cfRule>
  </conditionalFormatting>
  <pageMargins left="0.7" right="0.7" top="0.75" bottom="0.75" header="0.3" footer="0.3"/>
  <pageSetup paperSize="9" scale="92"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3"/>
  <sheetViews>
    <sheetView view="pageBreakPreview" topLeftCell="A117" zoomScaleNormal="55" zoomScaleSheetLayoutView="100" workbookViewId="0">
      <selection activeCell="A15" sqref="A15:B15"/>
    </sheetView>
  </sheetViews>
  <sheetFormatPr defaultColWidth="9.109375" defaultRowHeight="15.6" x14ac:dyDescent="0.3"/>
  <cols>
    <col min="1" max="1" width="50.44140625" style="6" customWidth="1"/>
    <col min="2" max="2" width="57.44140625" style="6" customWidth="1"/>
    <col min="3" max="3" width="93.33203125" style="6" customWidth="1"/>
    <col min="4" max="7" width="9.109375" style="6" customWidth="1"/>
    <col min="8" max="8" width="111.5546875" style="6" customWidth="1"/>
    <col min="9" max="16" width="9.109375" style="6" customWidth="1"/>
    <col min="17" max="16384" width="9.109375" style="6"/>
  </cols>
  <sheetData>
    <row r="1" spans="1:3" x14ac:dyDescent="0.3">
      <c r="A1" s="272" t="str">
        <f>""&amp;umumiy_malumot!C64&amp;" shartnoma "&amp;umumiy_malumot!B66&amp;""</f>
        <v>Mikroqarz shartnoma №3-BR</v>
      </c>
      <c r="B1" s="272"/>
    </row>
    <row r="3" spans="1:3" x14ac:dyDescent="0.3">
      <c r="A3" s="272" t="str">
        <f>"Toshkent shahri                                                                               "&amp;umumiy_malumot!B70&amp;""</f>
        <v>Toshkent shahri                                                                               6 yanvar 2026 y.</v>
      </c>
      <c r="B3" s="272"/>
    </row>
    <row r="4" spans="1:3" x14ac:dyDescent="0.3">
      <c r="A4" s="66"/>
    </row>
    <row r="5" spans="1:3" ht="132.75" customHeight="1" x14ac:dyDescent="0.3">
      <c r="A5" s="261" t="str">
        <f>""&amp;umumiy_malumot!B147&amp;", bundan buyon «Mikromoliya tashkiloti» deb nomlanuvchi, ishonchnoma asosida xarakat qiluvchi "&amp;umumiy_malumot!A150&amp;" "&amp;umumiy_malumot!B150&amp;"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"&amp;umumiy_malumot!C64&amp;" shartnomasini (bundan keyin – «Shartnoma») quyidagilar haqida tuzdilar:"</f>
        <v>«PULLOL BUSINESS MIKROMOLIYA TASHKILOTI»  MChJ, bundan buyon «Mikromoliya tashkiloti» deb nomlanuvchi, ishonchnoma asosida xarakat qiluvchi Buxoro filiali boshlig'i IKROMOV B.A.  bir tomondan va o‘z manfaati yo‘lida hamda o‘z nomidan harakat qiluvchi O‘zbekiston Respublikasi fuqarosi TURAYEV ISROIL BURIYEVICH  (pasport raqami AD 6760672, IIV 61013 tomonidan 08.04.2024 yilda berilgan ), bundan buyon «Qarz oluvchi» deb nomlanuvchi, boshqa tomondan, birgalikda “Tomonlar” yoki alohida “Tomon” deb nomlanuvchilar, Qarz oluvchi tomonidan 06.01.2026 yil,mikroqarz olish uchun ariza berilganligini hisobga olib, ushbu Mikroqarz shartnomasini (bundan keyin – «Shartnoma») quyidagilar haqida tuzdilar:</v>
      </c>
      <c r="B5" s="261"/>
    </row>
    <row r="7" spans="1:3" x14ac:dyDescent="0.3">
      <c r="A7" s="272" t="s">
        <v>258</v>
      </c>
      <c r="B7" s="272"/>
    </row>
    <row r="8" spans="1:3" ht="51.75" customHeight="1" x14ac:dyDescent="0.3">
      <c r="A8" s="261" t="str">
        <f>"1.1. Mikromoliya tashkiloti Qarz oluvchiga umumiy miqdori "&amp;FIXED(umumiy_malumot!B75,2)&amp;" ("&amp;umumiy_malumot!C76&amp;") bo‘lgan "&amp;umumiy_malumot!B65&amp;"ni "&amp;umumiy_malumot!B71&amp;" dan "&amp;umumiy_malumot!B73&amp;" gacha bo'lgan muddatga naqd pul va/yoki o'tkazmasi shaklida ajratadi."</f>
        <v>1.1. Mikromoliya tashkiloti Qarz oluvchiga umumiy miqdori 33 000 000,00 (O'ttiz uch million so'm) bo‘lgan mikroqarzni 6 yanvar 2026 y. dan 6 yanvar 2029 y. gacha bo'lgan muddatga naqd pul va/yoki o'tkazmasi shaklida ajratadi.</v>
      </c>
      <c r="B8" s="261"/>
    </row>
    <row r="9" spans="1:3" ht="36" customHeight="1" x14ac:dyDescent="0.3">
      <c r="A9" s="261" t="str">
        <f>"1.2. Qarz oluvchi to‘lovlilik, muddatlilik va ta’minlanganlik tamoyillariga amal qilgan holda "&amp;umumiy_malumot!B65&amp;"dan foydalanish majburiyatini o‘z zimmasiga oladi."</f>
        <v>1.2. Qarz oluvchi to‘lovlilik, muddatlilik va ta’minlanganlik tamoyillariga amal qilgan holda mikroqarzdan foydalanish majburiyatini o‘z zimmasiga oladi.</v>
      </c>
      <c r="B9" s="261"/>
    </row>
    <row r="10" spans="1:3" x14ac:dyDescent="0.3">
      <c r="A10" s="32"/>
    </row>
    <row r="11" spans="1:3" x14ac:dyDescent="0.3">
      <c r="A11" s="263" t="str">
        <f>"2. "&amp;umumiy_malumot!D64&amp;" BERISH VA QAYTARISH TARTIBI"</f>
        <v>2. MIKROQARZ BERISH VA QAYTARISH TARTIBI</v>
      </c>
      <c r="B11" s="263"/>
      <c r="C11" s="64"/>
    </row>
    <row r="12" spans="1:3" ht="36" customHeight="1" x14ac:dyDescent="0.3">
      <c r="A12" s="261" t="str">
        <f>"2.1. Ushbu Shartnomaning 1.1.-bandida ko‘rsatilgan summa miqdoridagi "&amp;umumiy_malumot!B65&amp;"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1"/>
    </row>
    <row r="13" spans="1:3" ht="35.25" customHeight="1" x14ac:dyDescent="0.3">
      <c r="A13" s="261" t="str">
        <f>"2.2. "&amp;umumiy_malumot!C64&amp;"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1"/>
    </row>
    <row r="14" spans="1:3" ht="35.25" customHeight="1" x14ac:dyDescent="0.3">
      <c r="A14" s="261" t="str">
        <f>"2.3. "&amp;umumiy_malumot!C64&amp;"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1"/>
    </row>
    <row r="15" spans="1:3" ht="66" customHeight="1" x14ac:dyDescent="0.3">
      <c r="A15" s="261" t="str">
        <f>"2.4. Mikromoliya tashkiloti, "&amp;umumiy_malumot!B65&amp;" berilgan vaqtdan boshlab, "&amp;umumiy_malumot!B65&amp;" miqdorining qoldiq summasiga "&amp;umumiy_malumot!B85&amp;"% ("&amp;umumiy_malumot!C86&amp;")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"&amp;umumiy_malumot!B88&amp;" ("&amp;umumiy_malumot!B89&amp;") foiz miqdorida foizlar hisoblaydi."</f>
        <v>2.4. Mikromoliya tashkiloti, mikroqarz berilgan vaqtdan boshlab, mikroqarz miqdorining qoldiq summasiga 55% (Ellik besh) foiz yillik va yiliga 365/366 kunlik hisobidan foizlar hisoblaydi. To'lov jadvaliga muvofiq asosiy qarz bo'yicha navbatdagi to'lov buzilgan hollarda, foiz stavkasi oshiriladi va  Mikromoliya tashkiloti mikroqarzning muddati o'tgan asosiy qarz summasiga yillik 105 (bir yuz besh) foiz miqdorida foizlar hisoblaydi.</v>
      </c>
      <c r="B15" s="261"/>
    </row>
    <row r="16" spans="1:3" ht="177.75" customHeight="1" x14ac:dyDescent="0.3">
      <c r="A16" s="261" t="s">
        <v>326</v>
      </c>
      <c r="B16" s="261"/>
    </row>
    <row r="17" spans="1:11" ht="161.25" customHeight="1" x14ac:dyDescent="0.3">
      <c r="A17" s="26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1"/>
      <c r="C17" s="154" t="s">
        <v>329</v>
      </c>
      <c r="H17" s="6" t="str">
        <f>umumiy_malumot!B65</f>
        <v>mikroqarz</v>
      </c>
      <c r="I17" s="6" t="s">
        <v>330</v>
      </c>
    </row>
    <row r="18" spans="1:11" ht="100.5" customHeight="1" x14ac:dyDescent="0.3">
      <c r="A18" s="265" t="s">
        <v>368</v>
      </c>
      <c r="B18" s="265"/>
    </row>
    <row r="19" spans="1:11" ht="36" customHeight="1" x14ac:dyDescent="0.3">
      <c r="A19" s="261" t="str">
        <f>"2.7. Qarz oluvchi Mikromoliya tashkilotining "&amp;umumiy_malumot!B65&amp;"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1"/>
    </row>
    <row r="20" spans="1:11" ht="48.75" customHeight="1" x14ac:dyDescent="0.3">
      <c r="A20" s="261" t="str">
        <f>"2.8. Qarz oluvchi "&amp;umumiy_malumot!B65&amp;"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1"/>
    </row>
    <row r="21" spans="1:11" ht="113.25" customHeight="1" x14ac:dyDescent="0.3">
      <c r="A21" s="27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1"/>
      <c r="C21" s="6"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"&amp;umumiy_malumot!B65&amp;"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("&amp;umumiy_malumot!B65&amp;")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3">
      <c r="A22" s="263" t="str">
        <f>"3. "&amp;umumiy_malumot!D64&amp;" TA'MINOTI BO‘YICHA "</f>
        <v xml:space="preserve">3. MIKROQARZ TA'MINOTI BO‘YICHA </v>
      </c>
      <c r="B22" s="263"/>
    </row>
    <row r="23" spans="1:11" ht="19.5" customHeight="1" x14ac:dyDescent="0.3">
      <c r="A23" s="261" t="str">
        <f>"3.1. Ushbu Shartnoma bo‘yicha taqdim etilgan "&amp;umumiy_malumot!C64&amp;" quyidagi garov bilan ta'minlanadi:"</f>
        <v>3.1. Ushbu Shartnoma bo‘yicha taqdim etilgan Mikroqarz quyidagi garov bilan ta'minlanadi:</v>
      </c>
      <c r="B23" s="261"/>
    </row>
    <row r="24" spans="1:11" ht="144.75" customHeight="1" x14ac:dyDescent="0.3">
      <c r="A24" s="269" t="str">
        <f>IF(umumiy_malumot!B103=umumiy_malumot!C103,shartnoma!A28,IF(umumiy_malumot!B103=umumiy_malumot!D103,shartnoma!A25,0))</f>
        <v>3.1.1. Mikromoliya tashkiloti, Qarz oluvchi va USMONOV NURIDDID IXTIYOROVICH (06.01.2026y. sanasidagi reestr raqami №202602386000102 bo'lgan Ishonchnomaga asosan) tomonidan 2026 yil 6 yanvarda imzolangan 1-sonli garov predmeti qiymatini tasdiqlash dalolatnomasiga muvofiq OQ OLIMPIYSKAYA BELAYA rangli, ishlab chiqarilgan yili – 2016 yil,  dvigatel raqami B15D211163412DJCX0337, shassi - RAKAMSIZ,  kuzov turi - YENGIL SEDAN, kuzov raqami №XWBJF69VEGA010429, davlat raqam belgisi 80G291QA bo'lgan COBALT rusumli avtomashinasi (bundan keyin “Garov predmeti”), egalik huquqiga ega  USMONOV NURIDDID IXTIYOROVICHga tegishli va kelishilgan garov qiymati 2026 yil 6 yanvarda imzolangan 1-sonli Garov predmeti qiymatini tasdiqlash dalolatnomasiga muvifiq 46 200 000,00 (qirq olti million ikki yuz ming so'm) so'mni tashkil qiladi. Garov garovining aniq shartlari tegishli notarial rasmiylashtirilgan garov shartnomasi bilan belgilanadi.</v>
      </c>
      <c r="B24" s="269"/>
    </row>
    <row r="25" spans="1:11" ht="129" hidden="1" customHeight="1" x14ac:dyDescent="0.3">
      <c r="A25" s="261" t="str">
        <f>IF(umumiy_malumot!B92=umumiy_malumot!C92,shartnoma!A27,IF(umumiy_malumot!B92=umumiy_malumot!D92,shartnoma!A26,0))</f>
        <v>3.1.1. Mikromoliya tashkiloti, Qarz oluvchi va USMONOV NURIDDID IXTIYOROVICH (06.01.2026y. sanasidagi reestr raqami №202602386000102 bo'lgan Ishonchnomaga asosan) tomonidan 2026 yil 6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2026 yil 6 yanvarda imzolangan 1-sonli Garov predmeti qiymatini tasdiqlash dalolatnomasiga muvofiq 46 200 000,00 (qirq olti million ikki yuz ming so'm) so'mni tashkil qiladi. Garovning aniq shartlari tegishli tarzda notarial tasdiqlangan garov shartnomasi bilan belgilangan.</v>
      </c>
      <c r="B25" s="261"/>
    </row>
    <row r="26" spans="1:11" ht="129.75" hidden="1" customHeight="1" x14ac:dyDescent="0.3">
      <c r="A26" s="269" t="str">
        <f>"3.1.1. "&amp;umumiy_malumot!O126&amp;" tomonidan "&amp;umumiy_malumot!B143&amp;" yil "&amp;umumiy_malumot!B145&amp;" "&amp;umumiy_malumot!B144&amp;"da imzolangan 1-sonli navbatdagi garov predmeti qiymatini tasdiqlash dalolatnomasiga muvofiq "&amp;umumiy_malumot!C123&amp;" manzilida joylashgan, "&amp;umumiy_malumot!F126&amp;" bo'lgan, "&amp;umumiy_malumot!F125&amp;" ko'rinishidagi ko'chmas mulk (bundan keyin “navbatdagi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Qarz oluvchi va USMONOV NURIDDID IXTIYOROVICH (06.01.2026y. sanasidagi reestr raqami №202602386000102 bo'lgan Ishonchnomaga asosan) tomonidan 2026 yil 6 yanvarda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2026 yil 6 yanvarda imzolangan 1-sonli Garov predmeti qiymatini tasdiqlash dalolatnomasiga muvofiq 46 200 000,00 (qirq olti million ikki yuz ming so'm) so'mni tashkil qiladi. Garovning aniq shartlari tegishli tarzda notarial tasdiqlangan garov shartnomasi bilan belgilangan.</v>
      </c>
      <c r="B26" s="269"/>
    </row>
    <row r="27" spans="1:11" ht="131.25" hidden="1" customHeight="1" x14ac:dyDescent="0.3">
      <c r="A27" s="261" t="str">
        <f>"3.1.1. "&amp;umumiy_malumot!O126&amp;" tomonidan "&amp;umumiy_malumot!B143&amp;" yil "&amp;umumiy_malumot!B145&amp;" "&amp;umumiy_malumot!B144&amp;"da imzolangan 1-sonli Garov predmeti qiymatini tasdiqlash dalolatnomasiga muvofiq "&amp;umumiy_malumot!C123&amp;" manzilida joylashgan, "&amp;umumiy_malumot!F126&amp;" bo'lgan, "&amp;umumiy_malumot!F125&amp;" ko'rinishidagi ko'chmas mulk (bundan keyin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Qarz oluvchi va USMONOV NURIDDID IXTIYOROVICH (06.01.2026y. sanasidagi reestr raqami №202602386000102 bo'lgan Ishonchnomaga asosan) tomonidan 2026 yil 6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2026 yil 6 yanvarda imzolangan 1-sonli Garov predmeti qiymatini tasdiqlash dalolatnomasiga muvofiq 46 200 000,00 (qirq olti million ikki yuz ming so'm) so'mni tashkil qiladi. Garovning aniq shartlari tegishli tarzda notarial tasdiqlangan garov shartnomasi bilan belgilangan.</v>
      </c>
      <c r="B27" s="261"/>
    </row>
    <row r="28" spans="1:11" ht="114" hidden="1" customHeight="1" x14ac:dyDescent="0.3">
      <c r="A28" s="269" t="str">
        <f>IF(umumiy_malumot!B92=umumiy_malumot!C92,A29,IF(umumiy_malumot!B92=umumiy_malumot!D92,A30,0))</f>
        <v>3.1.1. Mikromoliya tashkiloti, Qarz oluvchi va USMONOV NURIDDID IXTIYOROVICH (06.01.2026y. sanasidagi reestr raqami №202602386000102 bo'lgan Ishonchnomaga asosan) tomonidan 2026 yil 6 yanvarda imzolangan 1-sonli garov predmeti qiymatini tasdiqlash dalolatnomasiga muvofiq OQ OLIMPIYSKAYA BELAYA rangli, ishlab chiqarilgan yili – 2016 yil,  dvigatel raqami B15D211163412DJCX0337, shassi - RAKAMSIZ,  kuzov turi - YENGIL SEDAN, kuzov raqami №XWBJF69VEGA010429, davlat raqam belgisi 80G291QA bo'lgan COBALT rusumli avtomashinasi (bundan keyin “Garov predmeti”), egalik huquqiga ega  USMONOV NURIDDID IXTIYOROVICHga tegishli va kelishilgan garov qiymati 2026 yil 6 yanvarda imzolangan 1-sonli Garov predmeti qiymatini tasdiqlash dalolatnomasiga muvifiq 46 200 000,00 (qirq olti million ikki yuz ming so'm) so'mni tashkil qiladi. Garov garovining aniq shartlari tegishli notarial rasmiylashtirilgan garov shartnomasi bilan belgilanadi.</v>
      </c>
      <c r="B28" s="269"/>
      <c r="K28" s="6" t="s">
        <v>323</v>
      </c>
    </row>
    <row r="29" spans="1:11" ht="114.75" hidden="1" customHeight="1" x14ac:dyDescent="0.3">
      <c r="A29" s="269" t="str">
        <f>"3.1.1. "&amp;umumiy_malumot!O126&amp;" tomonidan "&amp;umumiy_malumot!B143&amp;" yil "&amp;umumiy_malumot!B145&amp;" "&amp;umumiy_malumot!B144&amp;"da imzolangan 1-sonli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Qarz oluvchi va USMONOV NURIDDID IXTIYOROVICH (06.01.2026y. sanasidagi reestr raqami №202602386000102 bo'lgan Ishonchnomaga asosan) tomonidan 2026 yil 6 yanvarda imzolangan 1-sonli garov predmeti qiymatini tasdiqlash dalolatnomasiga muvofiq OQ OLIMPIYSKAYA BELAYA rangli, ishlab chiqarilgan yili – 2016 yil,  dvigatel raqami B15D211163412DJCX0337, shassi - RAKAMSIZ,  kuzov turi - YENGIL SEDAN, kuzov raqami №XWBJF69VEGA010429, davlat raqam belgisi 80G291QA bo'lgan COBALT rusumli avtomashinasi (bundan keyin “Garov predmeti”), egalik huquqiga ega  USMONOV NURIDDID IXTIYOROVICHga tegishli va kelishilgan garov qiymati 2026 yil 6 yanvarda imzolangan 1-sonli Garov predmeti qiymatini tasdiqlash dalolatnomasiga muvifiq 46 200 000,00 (qirq olti million ikki yuz ming so'm) so'mni tashkil qiladi. Garov garovining aniq shartlari tegishli notarial rasmiylashtirilgan garov shartnomasi bilan belgilanadi.</v>
      </c>
      <c r="B29" s="269"/>
    </row>
    <row r="30" spans="1:11" ht="115.5" hidden="1" customHeight="1" x14ac:dyDescent="0.3">
      <c r="A30" s="270" t="str">
        <f>"3.1.1. "&amp;umumiy_malumot!O126&amp;" tomonidan "&amp;umumiy_malumot!B143&amp;" yil "&amp;umumiy_malumot!B145&amp;" "&amp;umumiy_malumot!B144&amp;"da imzolangan 1-sonli navbatdagi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“navbatdagi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Qarz oluvchi va USMONOV NURIDDID IXTIYOROVICH (06.01.2026y. sanasidagi reestr raqami №202602386000102 bo'lgan Ishonchnomaga asosan) tomonidan 2026 yil 6 yanvarda imzolangan 1-sonli navbatdagi garov predmeti qiymatini tasdiqlash dalolatnomasiga muvofiq OQ OLIMPIYSKAYA BELAYA rangli, ishlab chiqarilgan yili – 2016 yil,  dvigatel raqami B15D211163412DJCX0337, shassi - RAKAMSIZ,  kuzov turi - YENGIL SEDAN, kuzov raqami №XWBJF69VEGA010429, davlat raqam belgisi 80G291QA bo'lgan COBALT rusumli avtomashinasi (bundan keyin “navbatdagi garov predmeti”), egalik huquqiga ega  USMONOV NURIDDID IXTIYOROVICHga tegishli va kelishilgan garov qiymati 2026 yil 6 yanvarda imzolangan 1-sonli Garov predmeti qiymatini tasdiqlash dalolatnomasiga muvifiq 46 200 000,00 (qirq olti million ikki yuz ming so'm) so'mni tashkil qiladi. Garov garovining aniq shartlari tegishli notarial rasmiylashtirilgan garov shartnomasi bilan belgilanadi.</v>
      </c>
      <c r="B30" s="270"/>
    </row>
    <row r="31" spans="1:11" ht="117" customHeight="1" x14ac:dyDescent="0.3">
      <c r="A31" s="26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67"/>
    </row>
    <row r="32" spans="1:11" ht="93.6" hidden="1" x14ac:dyDescent="0.3">
      <c r="A32" s="158" t="s">
        <v>350</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 hidden="1" x14ac:dyDescent="0.3">
      <c r="A33" s="158" t="str">
        <f>" Mikromoliya tashkilotiga taqdim etilishi lozim. Garov shartnomasi belgilangan muddatda taqdim etilmagan hollarda, Mikromoliya tashkiloti Qarz oluvchining manziliga yozma bildirishnoma yuborish orqali "&amp;umumiy_malumot!B65&amp;""</f>
        <v xml:space="preserve"> Mikromoliya tashkilotiga taqdim etilishi lozim. Garov shartnomasi belgilangan muddatda taqdim etilmagan hollarda, Mikromoliya tashkiloti Qarz oluvchining manziliga yozma bildirishnoma yuborish orqali mikroqarz</v>
      </c>
      <c r="B33" s="32" t="s">
        <v>332</v>
      </c>
    </row>
    <row r="34" spans="1:8" ht="85.5" customHeight="1" x14ac:dyDescent="0.3">
      <c r="A34" s="267" t="s">
        <v>259</v>
      </c>
      <c r="B34" s="267"/>
    </row>
    <row r="35" spans="1:8" ht="84" customHeight="1" x14ac:dyDescent="0.3">
      <c r="A35" s="267" t="s">
        <v>311</v>
      </c>
      <c r="B35" s="267"/>
    </row>
    <row r="37" spans="1:8" x14ac:dyDescent="0.3">
      <c r="A37" s="264" t="s">
        <v>310</v>
      </c>
      <c r="B37" s="264"/>
      <c r="C37" s="74"/>
    </row>
    <row r="38" spans="1:8" ht="16.2" x14ac:dyDescent="0.3">
      <c r="A38" s="268" t="s">
        <v>309</v>
      </c>
      <c r="B38" s="268"/>
    </row>
    <row r="39" spans="1:8" ht="101.25" customHeight="1" x14ac:dyDescent="0.3">
      <c r="A39" s="26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v>
      </c>
      <c r="B39" s="267"/>
      <c r="C39" s="6" t="str">
        <f>"4.1.1. Ushbu Shartnomada ko‘rsatilgan asoslar bo‘yicha Qarz oluvchiga Shartnomada ko‘zda tutilgan "&amp;umumiy_malumot!B65&amp;""</f>
        <v>4.1.1. Ushbu Shartnomada ko‘rsatilgan asoslar bo‘yicha Qarz oluvchiga Shartnomada ko‘zda tutilgan mikroqarz</v>
      </c>
      <c r="H39" s="154" t="s">
        <v>333</v>
      </c>
    </row>
    <row r="40" spans="1:8" ht="39" customHeight="1" x14ac:dyDescent="0.3">
      <c r="A40" s="267" t="str">
        <f>"4.1.2.1. "&amp;umumiy_malumot!C64&amp;"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67"/>
    </row>
    <row r="41" spans="1:8" x14ac:dyDescent="0.3">
      <c r="A41" s="267" t="s">
        <v>312</v>
      </c>
      <c r="B41" s="267"/>
    </row>
    <row r="42" spans="1:8" ht="20.25" customHeight="1" x14ac:dyDescent="0.3">
      <c r="A42" s="267" t="str">
        <f>"b) "&amp;umumiy_malumot!B65&amp;" summasiga hisoblanadigan asosiy qarz bo‘yicha muddati o‘tgan qarzdorlik va/yoki foizlarning yuzaga kelishi;"</f>
        <v>b) mikroqarz summasiga hisoblanadigan asosiy qarz bo‘yicha muddati o‘tgan qarzdorlik va/yoki foizlarning yuzaga kelishi;</v>
      </c>
      <c r="B42" s="267"/>
    </row>
    <row r="43" spans="1:8" ht="37.5" customHeight="1" x14ac:dyDescent="0.3">
      <c r="A43" s="267" t="s">
        <v>313</v>
      </c>
      <c r="B43" s="267"/>
    </row>
    <row r="44" spans="1:8" ht="52.5" customHeight="1" x14ac:dyDescent="0.3">
      <c r="A44" s="267" t="s">
        <v>314</v>
      </c>
      <c r="B44" s="267"/>
    </row>
    <row r="45" spans="1:8" ht="19.5" customHeight="1" x14ac:dyDescent="0.3">
      <c r="A45" s="267" t="s">
        <v>315</v>
      </c>
      <c r="B45" s="267"/>
    </row>
    <row r="46" spans="1:8" ht="51.75" customHeight="1" x14ac:dyDescent="0.3">
      <c r="A46" s="267"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67"/>
    </row>
    <row r="47" spans="1:8" ht="33.75" customHeight="1" x14ac:dyDescent="0.3">
      <c r="A47" s="267" t="s">
        <v>308</v>
      </c>
      <c r="B47" s="267"/>
    </row>
    <row r="48" spans="1:8" ht="36.75" customHeight="1" x14ac:dyDescent="0.3">
      <c r="A48" s="267" t="s">
        <v>307</v>
      </c>
      <c r="B48" s="267"/>
      <c r="C48" s="158"/>
    </row>
    <row r="49" spans="1:8" ht="100.5" customHeight="1" x14ac:dyDescent="0.3">
      <c r="A49" s="261" t="s">
        <v>306</v>
      </c>
      <c r="B49" s="261"/>
      <c r="C49" s="158"/>
    </row>
    <row r="50" spans="1:8" ht="70.5" customHeight="1" x14ac:dyDescent="0.3">
      <c r="A50" s="261" t="s">
        <v>305</v>
      </c>
      <c r="B50" s="261"/>
      <c r="C50" s="158"/>
    </row>
    <row r="51" spans="1:8" ht="39.75" customHeight="1" x14ac:dyDescent="0.3">
      <c r="A51" s="261" t="str">
        <f>"4.1.7. Qarz oluvchini oldindan ogohlantirmasdan "&amp;umumiy_malumot!B65&amp;"ni qaytarish uchun haqiqatdan ham garov ta'minoti mavjudligini tekshirishni amalga oshirish."</f>
        <v>4.1.7. Qarz oluvchini oldindan ogohlantirmasdan mikroqarzni qaytarish uchun haqiqatdan ham garov ta'minoti mavjudligini tekshirishni amalga oshirish.</v>
      </c>
      <c r="B51" s="261"/>
      <c r="C51" s="158"/>
    </row>
    <row r="52" spans="1:8" ht="33" customHeight="1" x14ac:dyDescent="0.3">
      <c r="A52" s="261" t="s">
        <v>316</v>
      </c>
      <c r="B52" s="261"/>
      <c r="C52" s="158"/>
    </row>
    <row r="53" spans="1:8" ht="39.75" customHeight="1" x14ac:dyDescent="0.3">
      <c r="A53" s="261" t="s">
        <v>304</v>
      </c>
      <c r="B53" s="261"/>
      <c r="C53" s="158"/>
    </row>
    <row r="54" spans="1:8" ht="50.25" customHeight="1" x14ac:dyDescent="0.3">
      <c r="A54" s="26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61"/>
      <c r="C54" s="158" t="str">
        <f>"4.1.10. Qarz oluvchi taqdim etilgan "&amp;umumiy_malumot!B65&amp;"dan Shartnoma tuzilgan kundan boshlab 1 (bir) oy davomida foydalanmagan"</f>
        <v>4.1.10. Qarz oluvchi taqdim etilgan mikroqarzdan Shartnoma tuzilgan kundan boshlab 1 (bir) oy davomida foydalanmagan</v>
      </c>
      <c r="H54" s="6" t="s">
        <v>334</v>
      </c>
    </row>
    <row r="55" spans="1:8" ht="19.5" customHeight="1" x14ac:dyDescent="0.3">
      <c r="A55" s="261" t="str">
        <f>"4.1.11. Oldingi "&amp;umumiy_malumot!B65&amp;" to‘liq to‘lanmagunga qadar yangi "&amp;umumiy_malumot!B65&amp;" berishni rad etish."</f>
        <v>4.1.11. Oldingi mikroqarz to‘liq to‘lanmagunga qadar yangi mikroqarz berishni rad etish.</v>
      </c>
      <c r="B55" s="261"/>
      <c r="C55" s="158"/>
    </row>
    <row r="57" spans="1:8" x14ac:dyDescent="0.3">
      <c r="A57" s="263" t="s">
        <v>303</v>
      </c>
      <c r="B57" s="263"/>
      <c r="C57" s="157"/>
    </row>
    <row r="58" spans="1:8" ht="16.2" x14ac:dyDescent="0.35">
      <c r="A58" s="266" t="s">
        <v>302</v>
      </c>
      <c r="B58" s="266"/>
      <c r="C58" s="159"/>
    </row>
    <row r="59" spans="1:8" ht="36" customHeight="1" x14ac:dyDescent="0.3">
      <c r="A59" s="261" t="str">
        <f>"5.1.1. Ushbu shartnomada nazarda tutilgan shartlar bo‘yicha "&amp;umumiy_malumot!B65&amp;"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61"/>
      <c r="C59" s="158"/>
    </row>
    <row r="60" spans="1:8" ht="36.75" customHeight="1" x14ac:dyDescent="0.3">
      <c r="A60" s="261"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mikroqarzning foydalanilmagan summasidan voz kechish.</v>
      </c>
      <c r="B60" s="261"/>
      <c r="C60" s="158"/>
    </row>
    <row r="61" spans="1:8" ht="17.25" customHeight="1" x14ac:dyDescent="0.3">
      <c r="A61" s="261" t="str">
        <f>"5.1.3. "&amp;umumiy_malumot!C64&amp;" xizmatlari ko‘rsatish qoidalari bilan tanishish."</f>
        <v>5.1.3. Mikroqarz xizmatlari ko‘rsatish qoidalari bilan tanishish.</v>
      </c>
      <c r="B61" s="261"/>
      <c r="C61" s="158"/>
    </row>
    <row r="62" spans="1:8" ht="36" customHeight="1" x14ac:dyDescent="0.3">
      <c r="A62" s="261" t="str">
        <f>"5.1.4. O‘z huquq va majburiyatlari, shu jumladan "&amp;umumiy_malumot!B65&amp;" xizmatlari ko‘rsatish bilan bog‘liq barcha xarajatlar haqida aniq va to‘liq ma'lumot olish."</f>
        <v>5.1.4. O‘z huquq va majburiyatlari, shu jumladan mikroqarz xizmatlari ko‘rsatish bilan bog‘liq barcha xarajatlar haqida aniq va to‘liq ma'lumot olish.</v>
      </c>
      <c r="B62" s="261"/>
      <c r="C62" s="158"/>
    </row>
    <row r="63" spans="1:8" ht="33.75" customHeight="1" x14ac:dyDescent="0.3">
      <c r="A63" s="261" t="s">
        <v>317</v>
      </c>
      <c r="B63" s="261"/>
      <c r="C63" s="158"/>
    </row>
    <row r="64" spans="1:8" ht="16.2" x14ac:dyDescent="0.35">
      <c r="A64" s="266" t="s">
        <v>301</v>
      </c>
      <c r="B64" s="266"/>
      <c r="C64" s="159"/>
    </row>
    <row r="65" spans="1:8" ht="37.5" customHeight="1" x14ac:dyDescent="0.3">
      <c r="A65" s="261"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61"/>
      <c r="C65" s="158"/>
    </row>
    <row r="66" spans="1:8" ht="39.75" customHeight="1" x14ac:dyDescent="0.3">
      <c r="A66" s="261" t="s">
        <v>318</v>
      </c>
      <c r="B66" s="261"/>
      <c r="C66" s="158"/>
    </row>
    <row r="67" spans="1:8" ht="27" customHeight="1" x14ac:dyDescent="0.3">
      <c r="A67" s="261" t="str">
        <f>"5.2.3. To‘lov jadvaliga muvofiq "&amp;umumiy_malumot!B65&amp;", shuningdek hisoblangan foizlar to‘lovlarini amalga oshirish."</f>
        <v>5.2.3. To‘lov jadvaliga muvofiq mikroqarz, shuningdek hisoblangan foizlar to‘lovlarini amalga oshirish.</v>
      </c>
      <c r="B67" s="261"/>
      <c r="C67" s="158"/>
    </row>
    <row r="68" spans="1:8" ht="84" customHeight="1" x14ac:dyDescent="0.3">
      <c r="A68" s="26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61"/>
      <c r="C68" s="158" t="s">
        <v>335</v>
      </c>
      <c r="H68" s="6" t="str">
        <f>" "&amp;umumiy_malumot!B65&amp;"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x14ac:dyDescent="0.3">
      <c r="A69" s="261" t="s">
        <v>319</v>
      </c>
      <c r="B69" s="261"/>
      <c r="C69" s="158"/>
    </row>
    <row r="70" spans="1:8" ht="36" customHeight="1" x14ac:dyDescent="0.3">
      <c r="A70" s="261" t="str">
        <f>"5.2.6. Quyidagi holatlarda Mikromoliya tashkilotning birinchi talabi bilan "&amp;umumiy_malumot!B65&amp;" qaytarilishi bo‘yicha qo‘shimcha garov ta'minotini taqdim etish: "</f>
        <v xml:space="preserve">5.2.6. Quyidagi holatlarda Mikromoliya tashkilotning birinchi talabi bilan mikroqarz qaytarilishi bo‘yicha qo‘shimcha garov ta'minotini taqdim etish: </v>
      </c>
      <c r="B70" s="261"/>
      <c r="C70" s="158"/>
    </row>
    <row r="71" spans="1:8" ht="51.75" customHeight="1" x14ac:dyDescent="0.3">
      <c r="A71" s="265" t="s">
        <v>336</v>
      </c>
      <c r="B71" s="265"/>
      <c r="C71" s="161"/>
    </row>
    <row r="72" spans="1:8" ht="71.25" customHeight="1" x14ac:dyDescent="0.3">
      <c r="A72" s="261"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61"/>
      <c r="C72" s="158"/>
    </row>
    <row r="73" spans="1:8" ht="33.75" customHeight="1" x14ac:dyDescent="0.3">
      <c r="A73" s="261" t="str">
        <f>"5.2.8. Mikromoliya tashkilotining "&amp;umumiy_malumot!B65&amp;"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61"/>
      <c r="C73" s="158"/>
      <c r="H73" s="6" t="s">
        <v>331</v>
      </c>
    </row>
    <row r="74" spans="1:8" ht="68.25" customHeight="1" x14ac:dyDescent="0.3">
      <c r="A74" s="26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61"/>
      <c r="C74" s="158" t="str">
        <f>"5.2.9. Mikromoliya tashkilotining talabi bo‘yicha Mikromoliya tashkiloti ko‘rgan, shu jumladan "&amp;umumiy_malumot!B65&amp;" bo‘yicha (asosiy qarz, foizlar va boshqalar)"</f>
        <v>5.2.9. Mikromoliya tashkilotining talabi bo‘yicha Mikromoliya tashkiloti ko‘rgan, shu jumladan mikroqarz bo‘yicha (asosiy qarz, foizlar va boshqalar)</v>
      </c>
      <c r="H74" s="6" t="s">
        <v>337</v>
      </c>
    </row>
    <row r="75" spans="1:8" x14ac:dyDescent="0.3">
      <c r="A75" s="70"/>
    </row>
    <row r="76" spans="1:8" x14ac:dyDescent="0.3">
      <c r="A76" s="264" t="s">
        <v>300</v>
      </c>
      <c r="B76" s="264"/>
      <c r="C76" s="160"/>
    </row>
    <row r="77" spans="1:8" ht="98.25" customHeight="1" x14ac:dyDescent="0.3">
      <c r="A77" s="26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61"/>
      <c r="C77" s="158" t="s">
        <v>338</v>
      </c>
      <c r="H77" s="6" t="str">
        <f>""&amp;umumiy_malumot!B65&amp;"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x14ac:dyDescent="0.3">
      <c r="A78" s="261" t="s">
        <v>299</v>
      </c>
      <c r="B78" s="261"/>
      <c r="C78" s="158"/>
    </row>
    <row r="79" spans="1:8" ht="35.25" customHeight="1" x14ac:dyDescent="0.3">
      <c r="A79" s="261" t="s">
        <v>298</v>
      </c>
      <c r="B79" s="261"/>
      <c r="C79" s="158"/>
    </row>
    <row r="80" spans="1:8" ht="33" customHeight="1" x14ac:dyDescent="0.3">
      <c r="A80" s="261" t="s">
        <v>297</v>
      </c>
      <c r="B80" s="261"/>
      <c r="C80" s="158"/>
    </row>
    <row r="82" spans="1:3" x14ac:dyDescent="0.3">
      <c r="A82" s="262" t="s">
        <v>296</v>
      </c>
      <c r="B82" s="262"/>
      <c r="C82" s="65"/>
    </row>
    <row r="83" spans="1:3" ht="162.75" customHeight="1" x14ac:dyDescent="0.3">
      <c r="A83" s="261" t="s">
        <v>295</v>
      </c>
      <c r="B83" s="261"/>
      <c r="C83" s="158"/>
    </row>
    <row r="84" spans="1:3" ht="33.75" customHeight="1" x14ac:dyDescent="0.3">
      <c r="A84" s="261" t="s">
        <v>339</v>
      </c>
      <c r="B84" s="261"/>
      <c r="C84" s="158"/>
    </row>
    <row r="85" spans="1:3" ht="51.75" customHeight="1" x14ac:dyDescent="0.3">
      <c r="A85" s="261" t="s">
        <v>294</v>
      </c>
      <c r="B85" s="261"/>
      <c r="C85" s="158"/>
    </row>
    <row r="86" spans="1:3" ht="36" customHeight="1" x14ac:dyDescent="0.3">
      <c r="A86" s="261" t="s">
        <v>293</v>
      </c>
      <c r="B86" s="261"/>
      <c r="C86" s="158"/>
    </row>
    <row r="88" spans="1:3" x14ac:dyDescent="0.3">
      <c r="A88" s="262" t="s">
        <v>292</v>
      </c>
      <c r="B88" s="262"/>
      <c r="C88" s="65"/>
    </row>
    <row r="89" spans="1:3" ht="114.75" customHeight="1" x14ac:dyDescent="0.3">
      <c r="A89" s="261" t="s">
        <v>351</v>
      </c>
      <c r="B89" s="261"/>
      <c r="C89" s="158"/>
    </row>
    <row r="90" spans="1:3" ht="36" customHeight="1" x14ac:dyDescent="0.3">
      <c r="A90" s="261" t="s">
        <v>320</v>
      </c>
      <c r="B90" s="261"/>
      <c r="C90" s="158"/>
    </row>
    <row r="91" spans="1:3" ht="64.5" customHeight="1" x14ac:dyDescent="0.3">
      <c r="A91" s="261"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61"/>
      <c r="C91" s="158"/>
    </row>
    <row r="93" spans="1:3" x14ac:dyDescent="0.3">
      <c r="A93" s="260" t="s">
        <v>291</v>
      </c>
      <c r="B93" s="260"/>
      <c r="C93" s="72"/>
    </row>
    <row r="94" spans="1:3" ht="20.25" customHeight="1" x14ac:dyDescent="0.3">
      <c r="A94" s="261" t="s">
        <v>290</v>
      </c>
      <c r="B94" s="261"/>
      <c r="C94" s="158"/>
    </row>
    <row r="95" spans="1:3" ht="33.75" customHeight="1" x14ac:dyDescent="0.3">
      <c r="A95" s="261" t="str">
        <f>"9.2. Shartnomaning amal qilish muddati Qarz oluvchi "&amp;umumiy_malumot!B65&amp;"ni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61"/>
      <c r="C95" s="158"/>
    </row>
    <row r="96" spans="1:3" ht="51" customHeight="1" x14ac:dyDescent="0.3">
      <c r="A96" s="261" t="s">
        <v>289</v>
      </c>
      <c r="B96" s="261"/>
      <c r="C96" s="158"/>
    </row>
    <row r="98" spans="1:3" x14ac:dyDescent="0.3">
      <c r="A98" s="263" t="s">
        <v>288</v>
      </c>
      <c r="B98" s="263"/>
      <c r="C98" s="64"/>
    </row>
    <row r="99" spans="1:3" ht="82.5" customHeight="1" x14ac:dyDescent="0.3">
      <c r="A99" s="261" t="s">
        <v>287</v>
      </c>
      <c r="B99" s="261"/>
      <c r="C99" s="158"/>
    </row>
    <row r="100" spans="1:3" ht="66" customHeight="1" x14ac:dyDescent="0.3">
      <c r="A100" s="261" t="s">
        <v>286</v>
      </c>
      <c r="B100" s="261"/>
      <c r="C100" s="158"/>
    </row>
    <row r="101" spans="1:3" ht="48" customHeight="1" x14ac:dyDescent="0.3">
      <c r="A101" s="261" t="s">
        <v>285</v>
      </c>
      <c r="B101" s="261"/>
      <c r="C101" s="158"/>
    </row>
    <row r="103" spans="1:3" x14ac:dyDescent="0.3">
      <c r="A103" s="262" t="s">
        <v>284</v>
      </c>
      <c r="B103" s="262"/>
      <c r="C103" s="144"/>
    </row>
    <row r="104" spans="1:3" ht="37.5" customHeight="1" x14ac:dyDescent="0.3">
      <c r="A104" s="261" t="s">
        <v>283</v>
      </c>
      <c r="B104" s="261"/>
      <c r="C104" s="158"/>
    </row>
    <row r="105" spans="1:3" ht="34.5" customHeight="1" x14ac:dyDescent="0.3">
      <c r="A105" s="261" t="s">
        <v>282</v>
      </c>
      <c r="B105" s="261"/>
      <c r="C105" s="158"/>
    </row>
    <row r="106" spans="1:3" ht="66.75" customHeight="1" x14ac:dyDescent="0.3">
      <c r="A106" s="261" t="s">
        <v>281</v>
      </c>
      <c r="B106" s="261"/>
      <c r="C106" s="158"/>
    </row>
    <row r="107" spans="1:3" ht="51" customHeight="1" x14ac:dyDescent="0.3">
      <c r="A107" s="261" t="s">
        <v>280</v>
      </c>
      <c r="B107" s="261"/>
      <c r="C107" s="158"/>
    </row>
    <row r="108" spans="1:3" ht="37.5" customHeight="1" x14ac:dyDescent="0.3">
      <c r="A108" s="261" t="s">
        <v>279</v>
      </c>
      <c r="B108" s="261"/>
      <c r="C108" s="158"/>
    </row>
    <row r="109" spans="1:3" ht="38.25" customHeight="1" x14ac:dyDescent="0.3">
      <c r="A109" s="261" t="s">
        <v>278</v>
      </c>
      <c r="B109" s="261"/>
      <c r="C109" s="158"/>
    </row>
    <row r="110" spans="1:3" ht="21" customHeight="1" x14ac:dyDescent="0.3">
      <c r="A110" s="261" t="s">
        <v>277</v>
      </c>
      <c r="B110" s="261"/>
      <c r="C110" s="158"/>
    </row>
    <row r="111" spans="1:3" ht="32.25" customHeight="1" x14ac:dyDescent="0.3">
      <c r="A111" s="261"/>
      <c r="B111" s="261"/>
      <c r="C111" s="158"/>
    </row>
    <row r="113" spans="1:3" x14ac:dyDescent="0.3">
      <c r="A113" s="260" t="s">
        <v>321</v>
      </c>
      <c r="B113" s="260"/>
      <c r="C113" s="72"/>
    </row>
    <row r="115" spans="1:3" x14ac:dyDescent="0.3">
      <c r="A115" s="73" t="s">
        <v>276</v>
      </c>
      <c r="B115" s="73" t="s">
        <v>275</v>
      </c>
    </row>
    <row r="117" spans="1:3" ht="31.2" x14ac:dyDescent="0.3">
      <c r="A117" s="72" t="str">
        <f>umumiy_malumot!B148</f>
        <v>«PULLOL BUSINESS MIKROMOLIYA TASHKILOTI»  MChJ</v>
      </c>
      <c r="B117" s="67" t="str">
        <f>umumiy_malumot!B5</f>
        <v>TURAYEV ISROIL BURIYEVICH</v>
      </c>
    </row>
    <row r="119" spans="1:3" ht="44.25" customHeight="1" x14ac:dyDescent="0.3">
      <c r="A119" s="69" t="str">
        <f>"Manzil: "&amp;umumiy_malumot!B153&amp;""</f>
        <v>Manzil: Toshkent shahri, Yakkasaroy tumani, Rakat ko'chasi, 10-uy, 18 xonadon</v>
      </c>
      <c r="B119" s="69" t="str">
        <f>"Manzil: "&amp;umumiy_malumot!B27&amp;""</f>
        <v>Manzil: BUXORO VILOYATI KOGON SHAHRI ZAFAROBOD 17-UY</v>
      </c>
    </row>
    <row r="120" spans="1:3" x14ac:dyDescent="0.3">
      <c r="A120" s="71" t="str">
        <f>"h/r: "&amp;umumiy_malumot!B154&amp;""</f>
        <v>h/r: № 20208000405643889001</v>
      </c>
    </row>
    <row r="121" spans="1:3" ht="55.5" customHeight="1" x14ac:dyDescent="0.3">
      <c r="A121" s="69" t="str">
        <f>"MFO: "&amp;umumiy_malumot!B155&amp;" в "&amp;umumiy_malumot!B156&amp;""</f>
        <v>MFO: №01088 в ATB “Kapitalbank” Markaziy amaliyotlar bo'limi</v>
      </c>
      <c r="B121" s="69" t="str">
        <f>"pasport seriyasi: "&amp;umumiy_malumot!B16&amp;", "&amp;umumiy_malumot!B20&amp;""</f>
        <v>pasport seriyasi: AD 6760672, IIV 61013 tomonidan 08.04.2024 yilda berilgan</v>
      </c>
    </row>
    <row r="122" spans="1:3" x14ac:dyDescent="0.3">
      <c r="A122" s="69" t="str">
        <f>"STIR: "&amp;umumiy_malumot!B157&amp;""</f>
        <v>STIR: 310430149</v>
      </c>
      <c r="B122" s="66" t="str">
        <f>"Tel: "&amp;umumiy_malumot!B40&amp;""</f>
        <v>Tel: 91 923 50 54 MIJOZ</v>
      </c>
    </row>
    <row r="123" spans="1:3" x14ac:dyDescent="0.3">
      <c r="A123" s="180" t="str">
        <f>"Tel: (55) 510 02 16"</f>
        <v>Tel: (55) 510 02 16</v>
      </c>
      <c r="B123" s="66" t="str">
        <f>umumiy_malumot!B41</f>
        <v>50 377 80 88 OTASI TO'LOVCHI</v>
      </c>
    </row>
    <row r="124" spans="1:3" x14ac:dyDescent="0.3">
      <c r="A124" s="180" t="s">
        <v>390</v>
      </c>
      <c r="B124" s="66" t="str">
        <f>umumiy_malumot!B42</f>
        <v>93 000 16 05 O'G'LI</v>
      </c>
    </row>
    <row r="125" spans="1:3" x14ac:dyDescent="0.3">
      <c r="A125" s="171" t="s">
        <v>401</v>
      </c>
    </row>
    <row r="126" spans="1:3" x14ac:dyDescent="0.3">
      <c r="A126" s="259" t="str">
        <f>umumiy_malumot!A161</f>
        <v>Buxoro filiali boshlig’i</v>
      </c>
    </row>
    <row r="127" spans="1:3" x14ac:dyDescent="0.3">
      <c r="A127" s="259"/>
      <c r="B127" s="65" t="str">
        <f>""&amp;umumiy_malumot!B7&amp;"     __________________"</f>
        <v>TURAYEV I.B.     __________________</v>
      </c>
    </row>
    <row r="129" spans="1:2" x14ac:dyDescent="0.3">
      <c r="A129" s="144" t="str">
        <f>""&amp;umumiy_malumot!B161&amp;"     __________________"</f>
        <v>IKROMOV B.A.     __________________</v>
      </c>
      <c r="B129" s="171"/>
    </row>
    <row r="132" spans="1:2" hidden="1" x14ac:dyDescent="0.3">
      <c r="A132" s="6" t="str">
        <f>"менеджер :   "&amp;umumiy_malumot!B161&amp;"______________"</f>
        <v>менеджер :   IKROMOV B.A.______________</v>
      </c>
    </row>
    <row r="133" spans="1:2" x14ac:dyDescent="0.3">
      <c r="B133" s="13" t="s">
        <v>407</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77"/>
  <sheetViews>
    <sheetView view="pageBreakPreview" zoomScaleNormal="100" zoomScaleSheetLayoutView="100" workbookViewId="0">
      <selection activeCell="E8" sqref="E8"/>
    </sheetView>
  </sheetViews>
  <sheetFormatPr defaultColWidth="9.109375" defaultRowHeight="13.8" outlineLevelCol="1" x14ac:dyDescent="0.25"/>
  <cols>
    <col min="1" max="1" width="9.109375" style="15"/>
    <col min="2" max="2" width="13.6640625" style="15" customWidth="1"/>
    <col min="3" max="3" width="20.109375" style="15" customWidth="1"/>
    <col min="4" max="4" width="20.33203125" style="15" customWidth="1"/>
    <col min="5" max="5" width="19.5546875" style="15" customWidth="1"/>
    <col min="6" max="6" width="18.33203125" style="15" customWidth="1"/>
    <col min="7" max="7" width="10.109375" style="15" customWidth="1" outlineLevel="1"/>
    <col min="8" max="8" width="19.6640625" style="15" customWidth="1"/>
    <col min="9" max="10" width="9.109375" style="15" customWidth="1"/>
    <col min="11" max="16384" width="9.109375" style="15"/>
  </cols>
  <sheetData>
    <row r="1" spans="1:16" ht="9" customHeight="1" x14ac:dyDescent="0.25"/>
    <row r="2" spans="1:16" ht="6" customHeight="1" x14ac:dyDescent="0.25">
      <c r="A2" s="37"/>
      <c r="B2" s="37"/>
      <c r="C2" s="37"/>
      <c r="D2" s="37"/>
      <c r="E2" s="246"/>
      <c r="F2" s="246"/>
      <c r="G2" s="20"/>
    </row>
    <row r="3" spans="1:16" ht="51.75" customHeight="1" x14ac:dyDescent="0.25">
      <c r="A3" s="37"/>
      <c r="B3" s="37"/>
      <c r="C3" s="37"/>
      <c r="D3" s="37"/>
      <c r="E3" s="273" t="str">
        <f>""&amp;umumiy_malumot!B74&amp;" 
"&amp;umumiy_malumot!B65&amp;" shartnomasiga 
1 sonli ilova"</f>
        <v>6 yanvar 2026 y.dan №3-BR 
mikroqarz shartnomasiga 
1 sonli ilova</v>
      </c>
      <c r="F3" s="273"/>
      <c r="G3" s="20"/>
    </row>
    <row r="4" spans="1:16" ht="6.75" hidden="1" customHeight="1" x14ac:dyDescent="0.25">
      <c r="A4" s="37"/>
      <c r="B4" s="37"/>
      <c r="C4" s="37"/>
      <c r="D4" s="37"/>
      <c r="E4" s="37"/>
      <c r="F4" s="37"/>
    </row>
    <row r="5" spans="1:16" x14ac:dyDescent="0.25">
      <c r="A5" s="247" t="s">
        <v>260</v>
      </c>
      <c r="B5" s="247"/>
      <c r="C5" s="247"/>
      <c r="D5" s="247"/>
      <c r="E5" s="247"/>
      <c r="F5" s="247"/>
    </row>
    <row r="6" spans="1:16" ht="7.5" customHeight="1" x14ac:dyDescent="0.25"/>
    <row r="7" spans="1:16" ht="15" customHeight="1" x14ac:dyDescent="0.25">
      <c r="A7" s="248" t="s">
        <v>14</v>
      </c>
      <c r="B7" s="249" t="s">
        <v>261</v>
      </c>
      <c r="C7" s="249" t="s">
        <v>262</v>
      </c>
      <c r="D7" s="250" t="s">
        <v>263</v>
      </c>
      <c r="E7" s="250"/>
      <c r="F7" s="250"/>
    </row>
    <row r="8" spans="1:16" s="16" customFormat="1" x14ac:dyDescent="0.3">
      <c r="A8" s="248"/>
      <c r="B8" s="249"/>
      <c r="C8" s="249"/>
      <c r="D8" s="17" t="s">
        <v>264</v>
      </c>
      <c r="E8" s="17" t="s">
        <v>265</v>
      </c>
      <c r="F8" s="17" t="s">
        <v>266</v>
      </c>
    </row>
    <row r="9" spans="1:16" x14ac:dyDescent="0.25">
      <c r="A9" s="18">
        <v>1</v>
      </c>
      <c r="B9" s="33">
        <f>IF('График дифференц'!B8=FALSE,"",'График дифференц'!B8)</f>
        <v>46069</v>
      </c>
      <c r="C9" s="34">
        <f>IF(umumiy_malumot!$B$77=umumiy_malumot!$C$77,'График дифференц'!C8,IF(umumiy_malumot!$B$77=umumiy_malumot!$D$77,'График аннуитет.'!C8))</f>
        <v>33000000</v>
      </c>
      <c r="D9" s="34">
        <f>IF(umumiy_malumot!$B$77=umumiy_malumot!$C$77,'График дифференц'!D8,IF(umumiy_malumot!$B$77=umumiy_malumot!$D$77,'График аннуитет.'!D8))</f>
        <v>916666.67</v>
      </c>
      <c r="E9" s="34">
        <f>IF(umumiy_malumot!$B$77=umumiy_malumot!$C$77,'График дифференц'!E8,IF(umumiy_malumot!$B$77=umumiy_malumot!$D$77,'График аннуитет.'!E8))</f>
        <v>2038767.23</v>
      </c>
      <c r="F9" s="34">
        <f>IF(umumiy_malumot!$B$77=umumiy_malumot!$C$77,'График дифференц'!F8,IF(umumiy_malumot!$B$77=umumiy_malumot!$D$77,'График аннуитет.'!F8))</f>
        <v>2955433.9</v>
      </c>
    </row>
    <row r="10" spans="1:16" x14ac:dyDescent="0.25">
      <c r="A10" s="18">
        <v>2</v>
      </c>
      <c r="B10" s="33">
        <f>IF('График дифференц'!B9=FALSE,"",'График дифференц'!B9)</f>
        <v>46097</v>
      </c>
      <c r="C10" s="34">
        <f>IF(umumiy_malumot!$B$77=umumiy_malumot!$C$77,'График дифференц'!C9,IF(umumiy_malumot!$B$77=umumiy_malumot!$D$77,'График аннуитет.'!C9))</f>
        <v>32083333.329999998</v>
      </c>
      <c r="D10" s="34">
        <f>IF(umumiy_malumot!$B$77=umumiy_malumot!$C$77,'График дифференц'!D9,IF(umumiy_malumot!$B$77=umumiy_malumot!$D$77,'График аннуитет.'!D9))</f>
        <v>916666.67</v>
      </c>
      <c r="E10" s="34">
        <f>IF(umumiy_malumot!$B$77=umumiy_malumot!$C$77,'График дифференц'!E9,IF(umumiy_malumot!$B$77=umumiy_malumot!$D$77,'График аннуитет.'!E9))</f>
        <v>1353653</v>
      </c>
      <c r="F10" s="34">
        <f>IF(umumiy_malumot!$B$77=umumiy_malumot!$C$77,'График дифференц'!F9,IF(umumiy_malumot!$B$77=umumiy_malumot!$D$77,'График аннуитет.'!F9))</f>
        <v>2270319.67</v>
      </c>
    </row>
    <row r="11" spans="1:16" x14ac:dyDescent="0.25">
      <c r="A11" s="18">
        <v>3</v>
      </c>
      <c r="B11" s="33">
        <f>IF('График дифференц'!B10=FALSE,"",'График дифференц'!B10)</f>
        <v>46127</v>
      </c>
      <c r="C11" s="34">
        <f>IF(umumiy_malumot!$B$77=umumiy_malumot!$C$77,'График дифференц'!C10,IF(umumiy_malumot!$B$77=umumiy_malumot!$D$77,'График аннуитет.'!C10))</f>
        <v>31166666.659999996</v>
      </c>
      <c r="D11" s="34">
        <f>IF(umumiy_malumot!$B$77=umumiy_malumot!$C$77,'График дифференц'!D10,IF(umumiy_malumot!$B$77=umumiy_malumot!$D$77,'График аннуитет.'!D10))</f>
        <v>916666.67</v>
      </c>
      <c r="E11" s="34">
        <f>IF(umumiy_malumot!$B$77=umumiy_malumot!$C$77,'График дифференц'!E10,IF(umumiy_malumot!$B$77=umumiy_malumot!$D$77,'График аннуитет.'!E10))</f>
        <v>1408904.1</v>
      </c>
      <c r="F11" s="34">
        <f>IF(umumiy_malumot!$B$77=umumiy_malumot!$C$77,'График дифференц'!F10,IF(umumiy_malumot!$B$77=umumiy_malumot!$D$77,'График аннуитет.'!F10))</f>
        <v>2325570.77</v>
      </c>
    </row>
    <row r="12" spans="1:16" x14ac:dyDescent="0.25">
      <c r="A12" s="18">
        <v>4</v>
      </c>
      <c r="B12" s="33">
        <f>IF('График дифференц'!B11=FALSE,"",'График дифференц'!B11)</f>
        <v>46157</v>
      </c>
      <c r="C12" s="34">
        <f>IF(umumiy_malumot!$B$77=umumiy_malumot!$C$77,'График дифференц'!C11,IF(umumiy_malumot!$B$77=umumiy_malumot!$D$77,'График аннуитет.'!C11))</f>
        <v>30249999.989999995</v>
      </c>
      <c r="D12" s="34">
        <f>IF(umumiy_malumot!$B$77=umumiy_malumot!$C$77,'График дифференц'!D11,IF(umumiy_malumot!$B$77=umumiy_malumot!$D$77,'График аннуитет.'!D11))</f>
        <v>916666.67</v>
      </c>
      <c r="E12" s="34">
        <f>IF(umumiy_malumot!$B$77=umumiy_malumot!$C$77,'График дифференц'!E11,IF(umumiy_malumot!$B$77=umumiy_malumot!$D$77,'График аннуитет.'!E11))</f>
        <v>1367465.7000000002</v>
      </c>
      <c r="F12" s="34">
        <f>IF(umumiy_malumot!$B$77=umumiy_malumot!$C$77,'График дифференц'!F11,IF(umumiy_malumot!$B$77=umumiy_malumot!$D$77,'График аннуитет.'!F11))</f>
        <v>2284132.37</v>
      </c>
      <c r="H12" s="274" t="s">
        <v>369</v>
      </c>
      <c r="I12" s="274"/>
      <c r="J12" s="274"/>
      <c r="K12" s="274"/>
      <c r="L12" s="274"/>
      <c r="M12" s="274"/>
      <c r="N12" s="274"/>
      <c r="O12" s="274"/>
      <c r="P12" s="274"/>
    </row>
    <row r="13" spans="1:16" x14ac:dyDescent="0.25">
      <c r="A13" s="18">
        <v>5</v>
      </c>
      <c r="B13" s="33">
        <f>IF('График дифференц'!B12=FALSE,"",'График дифференц'!B12)</f>
        <v>46188</v>
      </c>
      <c r="C13" s="34">
        <f>IF(umumiy_malumot!$B$77=umumiy_malumot!$C$77,'График дифференц'!C12,IF(umumiy_malumot!$B$77=umumiy_malumot!$D$77,'График аннуитет.'!C12))</f>
        <v>29333333.319999993</v>
      </c>
      <c r="D13" s="34">
        <f>IF(umumiy_malumot!$B$77=umumiy_malumot!$C$77,'График дифференц'!D12,IF(umumiy_malumot!$B$77=umumiy_malumot!$D$77,'График аннуитет.'!D12))</f>
        <v>916666.67</v>
      </c>
      <c r="E13" s="34">
        <f>IF(umumiy_malumot!$B$77=umumiy_malumot!$C$77,'График дифференц'!E12,IF(umumiy_malumot!$B$77=umumiy_malumot!$D$77,'График аннуитет.'!E12))</f>
        <v>1370228.2100000002</v>
      </c>
      <c r="F13" s="34">
        <f>IF(umumiy_malumot!$B$77=umumiy_malumot!$C$77,'График дифференц'!F12,IF(umumiy_malumot!$B$77=umumiy_malumot!$D$77,'График аннуитет.'!F12))</f>
        <v>2286894.8800000004</v>
      </c>
      <c r="H13" s="274"/>
      <c r="I13" s="274"/>
      <c r="J13" s="274"/>
      <c r="K13" s="274"/>
      <c r="L13" s="274"/>
      <c r="M13" s="274"/>
      <c r="N13" s="274"/>
      <c r="O13" s="274"/>
      <c r="P13" s="274"/>
    </row>
    <row r="14" spans="1:16" x14ac:dyDescent="0.25">
      <c r="A14" s="18">
        <v>6</v>
      </c>
      <c r="B14" s="33">
        <f>IF('График дифференц'!B13=FALSE,"",'График дифференц'!B13)</f>
        <v>46218</v>
      </c>
      <c r="C14" s="34">
        <f>IF(umumiy_malumot!$B$77=umumiy_malumot!$C$77,'График дифференц'!C13,IF(umumiy_malumot!$B$77=umumiy_malumot!$D$77,'График аннуитет.'!C13))</f>
        <v>28416666.649999991</v>
      </c>
      <c r="D14" s="34">
        <f>IF(umumiy_malumot!$B$77=umumiy_malumot!$C$77,'График дифференц'!D13,IF(umumiy_malumot!$B$77=umumiy_malumot!$D$77,'График аннуитет.'!D13))</f>
        <v>916666.67</v>
      </c>
      <c r="E14" s="34">
        <f>IF(umumiy_malumot!$B$77=umumiy_malumot!$C$77,'График дифференц'!E13,IF(umumiy_malumot!$B$77=umumiy_malumot!$D$77,'График аннуитет.'!E13))</f>
        <v>1284588.8999999999</v>
      </c>
      <c r="F14" s="34">
        <f>IF(umumiy_malumot!$B$77=umumiy_malumot!$C$77,'График дифференц'!F13,IF(umumiy_malumot!$B$77=umumiy_malumot!$D$77,'График аннуитет.'!F13))</f>
        <v>2201255.5699999998</v>
      </c>
      <c r="H14" s="274"/>
      <c r="I14" s="274"/>
      <c r="J14" s="274"/>
      <c r="K14" s="274"/>
      <c r="L14" s="274"/>
      <c r="M14" s="274"/>
      <c r="N14" s="274"/>
      <c r="O14" s="274"/>
      <c r="P14" s="274"/>
    </row>
    <row r="15" spans="1:16" x14ac:dyDescent="0.25">
      <c r="A15" s="18">
        <v>7</v>
      </c>
      <c r="B15" s="33">
        <f>IF('График дифференц'!B14=FALSE,"",'График дифференц'!B14)</f>
        <v>46251</v>
      </c>
      <c r="C15" s="34">
        <f>IF(umumiy_malumot!$B$77=umumiy_malumot!$C$77,'График дифференц'!C14,IF(umumiy_malumot!$B$77=umumiy_malumot!$D$77,'График аннуитет.'!C14))</f>
        <v>27499999.979999989</v>
      </c>
      <c r="D15" s="34">
        <f>IF(umumiy_malumot!$B$77=umumiy_malumot!$C$77,'График дифференц'!D14,IF(umumiy_malumot!$B$77=umumiy_malumot!$D$77,'График аннуитет.'!D14))</f>
        <v>916666.67</v>
      </c>
      <c r="E15" s="34">
        <f>IF(umumiy_malumot!$B$77=umumiy_malumot!$C$77,'График дифференц'!E14,IF(umumiy_malumot!$B$77=umumiy_malumot!$D$77,'График аннуитет.'!E14))</f>
        <v>1367465.8800000001</v>
      </c>
      <c r="F15" s="34">
        <f>IF(umumiy_malumot!$B$77=umumiy_malumot!$C$77,'График дифференц'!F14,IF(umumiy_malumot!$B$77=umumiy_malumot!$D$77,'График аннуитет.'!F14))</f>
        <v>2284132.5500000003</v>
      </c>
      <c r="H15" s="274"/>
      <c r="I15" s="274"/>
      <c r="J15" s="274"/>
      <c r="K15" s="274"/>
      <c r="L15" s="274"/>
      <c r="M15" s="274"/>
      <c r="N15" s="274"/>
      <c r="O15" s="274"/>
      <c r="P15" s="274"/>
    </row>
    <row r="16" spans="1:16" x14ac:dyDescent="0.25">
      <c r="A16" s="18">
        <v>8</v>
      </c>
      <c r="B16" s="33">
        <f>IF('График дифференц'!B15=FALSE,"",'График дифференц'!B15)</f>
        <v>46280</v>
      </c>
      <c r="C16" s="34">
        <f>IF(umumiy_malumot!$B$77=umumiy_malumot!$C$77,'График дифференц'!C15,IF(umumiy_malumot!$B$77=umumiy_malumot!$D$77,'График аннуитет.'!C15))</f>
        <v>26583333.309999987</v>
      </c>
      <c r="D16" s="34">
        <f>IF(umumiy_malumot!$B$77=umumiy_malumot!$C$77,'График дифференц'!D15,IF(umumiy_malumot!$B$77=umumiy_malumot!$D$77,'График аннуитет.'!D15))</f>
        <v>916666.67</v>
      </c>
      <c r="E16" s="34">
        <f>IF(umumiy_malumot!$B$77=umumiy_malumot!$C$77,'График дифференц'!E15,IF(umumiy_malumot!$B$77=umumiy_malumot!$D$77,'График аннуитет.'!E15))</f>
        <v>1161655.32</v>
      </c>
      <c r="F16" s="34">
        <f>IF(umumiy_malumot!$B$77=umumiy_malumot!$C$77,'График дифференц'!F15,IF(umumiy_malumot!$B$77=umumiy_malumot!$D$77,'График аннуитет.'!F15))</f>
        <v>2078321.9900000002</v>
      </c>
      <c r="H16" s="274"/>
      <c r="I16" s="274"/>
      <c r="J16" s="274"/>
      <c r="K16" s="274"/>
      <c r="L16" s="274"/>
      <c r="M16" s="274"/>
      <c r="N16" s="274"/>
      <c r="O16" s="274"/>
      <c r="P16" s="274"/>
    </row>
    <row r="17" spans="1:16" x14ac:dyDescent="0.25">
      <c r="A17" s="18">
        <v>9</v>
      </c>
      <c r="B17" s="33">
        <f>IF('График дифференц'!B16=FALSE,"",'График дифференц'!B16)</f>
        <v>46310</v>
      </c>
      <c r="C17" s="34">
        <f>IF(umumiy_malumot!$B$77=umumiy_malumot!$C$77,'График дифференц'!C16,IF(umumiy_malumot!$B$77=umumiy_malumot!$D$77,'График аннуитет.'!C16))</f>
        <v>25666666.639999986</v>
      </c>
      <c r="D17" s="34">
        <f>IF(umumiy_malumot!$B$77=umumiy_malumot!$C$77,'График дифференц'!D16,IF(umumiy_malumot!$B$77=umumiy_malumot!$D$77,'График аннуитет.'!D16))</f>
        <v>916666.67</v>
      </c>
      <c r="E17" s="34">
        <f>IF(umumiy_malumot!$B$77=umumiy_malumot!$C$77,'График дифференц'!E16,IF(umumiy_malumot!$B$77=umumiy_malumot!$D$77,'График аннуитет.'!E16))</f>
        <v>1160274</v>
      </c>
      <c r="F17" s="34">
        <f>IF(umumiy_malumot!$B$77=umumiy_malumot!$C$77,'График дифференц'!F16,IF(umumiy_malumot!$B$77=umumiy_malumot!$D$77,'График аннуитет.'!F16))</f>
        <v>2076940.67</v>
      </c>
      <c r="H17" s="274"/>
      <c r="I17" s="274"/>
      <c r="J17" s="274"/>
      <c r="K17" s="274"/>
      <c r="L17" s="274"/>
      <c r="M17" s="274"/>
      <c r="N17" s="274"/>
      <c r="O17" s="274"/>
      <c r="P17" s="274"/>
    </row>
    <row r="18" spans="1:16" x14ac:dyDescent="0.25">
      <c r="A18" s="18">
        <v>10</v>
      </c>
      <c r="B18" s="33">
        <f>IF('График дифференц'!B17=FALSE,"",'График дифференц'!B17)</f>
        <v>46342</v>
      </c>
      <c r="C18" s="34">
        <f>IF(umumiy_malumot!$B$77=umumiy_malumot!$C$77,'График дифференц'!C17,IF(umumiy_malumot!$B$77=umumiy_malumot!$D$77,'График аннуитет.'!C17))</f>
        <v>24749999.969999984</v>
      </c>
      <c r="D18" s="34">
        <f>IF(umumiy_malumot!$B$77=umumiy_malumot!$C$77,'График дифференц'!D17,IF(umumiy_malumot!$B$77=umumiy_malumot!$D$77,'График аннуитет.'!D17))</f>
        <v>916666.67</v>
      </c>
      <c r="E18" s="34">
        <f>IF(umumiy_malumot!$B$77=umumiy_malumot!$C$77,'График дифференц'!E17,IF(umumiy_malumot!$B$77=umumiy_malumot!$D$77,'График аннуитет.'!E17))</f>
        <v>1193424.6399999999</v>
      </c>
      <c r="F18" s="34">
        <f>IF(umumiy_malumot!$B$77=umumiy_malumot!$C$77,'График дифференц'!F17,IF(umumiy_malumot!$B$77=umumiy_malumot!$D$77,'График аннуитет.'!F17))</f>
        <v>2110091.31</v>
      </c>
      <c r="H18" s="274"/>
      <c r="I18" s="274"/>
      <c r="J18" s="274"/>
      <c r="K18" s="274"/>
      <c r="L18" s="274"/>
      <c r="M18" s="274"/>
      <c r="N18" s="274"/>
      <c r="O18" s="274"/>
      <c r="P18" s="274"/>
    </row>
    <row r="19" spans="1:16" ht="18" customHeight="1" x14ac:dyDescent="0.25">
      <c r="A19" s="18">
        <v>11</v>
      </c>
      <c r="B19" s="33">
        <f>IF('График дифференц'!B18=FALSE,"",'График дифференц'!B18)</f>
        <v>46371</v>
      </c>
      <c r="C19" s="34">
        <f>IF(umumiy_malumot!$B$77=umumiy_malumot!$C$77,'График дифференц'!C18,IF(umumiy_malumot!$B$77=umumiy_malumot!$D$77,'График аннуитет.'!C18))</f>
        <v>23833333.299999982</v>
      </c>
      <c r="D19" s="34">
        <f>IF(umumiy_malumot!$B$77=umumiy_malumot!$C$77,'График дифференц'!D18,IF(umumiy_malumot!$B$77=umumiy_malumot!$D$77,'График аннуитет.'!D18))</f>
        <v>916666.67</v>
      </c>
      <c r="E19" s="34">
        <f>IF(umumiy_malumot!$B$77=umumiy_malumot!$C$77,'График дифференц'!E18,IF(umumiy_malumot!$B$77=umumiy_malumot!$D$77,'График аннуитет.'!E18))</f>
        <v>1041483.96</v>
      </c>
      <c r="F19" s="34">
        <f>IF(umumiy_malumot!$B$77=umumiy_malumot!$C$77,'График дифференц'!F18,IF(umumiy_malumot!$B$77=umumiy_malumot!$D$77,'График аннуитет.'!F18))</f>
        <v>1958150.63</v>
      </c>
      <c r="H19" s="274"/>
      <c r="I19" s="274"/>
      <c r="J19" s="274"/>
      <c r="K19" s="274"/>
      <c r="L19" s="274"/>
      <c r="M19" s="274"/>
      <c r="N19" s="274"/>
      <c r="O19" s="274"/>
      <c r="P19" s="274"/>
    </row>
    <row r="20" spans="1:16" ht="15" customHeight="1" x14ac:dyDescent="0.25">
      <c r="A20" s="18">
        <v>12</v>
      </c>
      <c r="B20" s="33">
        <f>IF('График дифференц'!B19=FALSE,"",'График дифференц'!B19)</f>
        <v>46402</v>
      </c>
      <c r="C20" s="34">
        <f>IF(umumiy_malumot!$B$77=umumiy_malumot!$C$77,'График дифференц'!C19,IF(umumiy_malumot!$B$77=umumiy_malumot!$D$77,'График аннуитет.'!C19))</f>
        <v>22916666.62999998</v>
      </c>
      <c r="D20" s="34">
        <f>IF(umumiy_malumot!$B$77=umumiy_malumot!$C$77,'График дифференц'!D19,IF(umumiy_malumot!$B$77=umumiy_malumot!$D$77,'График аннуитет.'!D19))</f>
        <v>916666.67</v>
      </c>
      <c r="E20" s="34">
        <f>IF(umumiy_malumot!$B$77=umumiy_malumot!$C$77,'График дифференц'!E19,IF(umumiy_malumot!$B$77=umumiy_malumot!$D$77,'График аннуитет.'!E19))</f>
        <v>1070490.76</v>
      </c>
      <c r="F20" s="34">
        <f>IF(umumiy_malumot!$B$77=umumiy_malumot!$C$77,'График дифференц'!F19,IF(umumiy_malumot!$B$77=umumiy_malumot!$D$77,'График аннуитет.'!F19))</f>
        <v>1987157.4300000002</v>
      </c>
      <c r="H20" s="274"/>
      <c r="I20" s="274"/>
      <c r="J20" s="274"/>
      <c r="K20" s="274"/>
      <c r="L20" s="274"/>
      <c r="M20" s="274"/>
      <c r="N20" s="274"/>
      <c r="O20" s="274"/>
      <c r="P20" s="274"/>
    </row>
    <row r="21" spans="1:16" ht="18" customHeight="1" x14ac:dyDescent="0.25">
      <c r="A21" s="18">
        <v>13</v>
      </c>
      <c r="B21" s="33">
        <f>IF('График дифференц'!B20=FALSE,"",'График дифференц'!B20)</f>
        <v>46433</v>
      </c>
      <c r="C21" s="34">
        <f>IF(umumiy_malumot!$B$77=umumiy_malumot!$C$77,'График дифференц'!C20,IF(umumiy_malumot!$B$77=umumiy_malumot!$D$77,'График аннуитет.'!C20))</f>
        <v>21999999.959999979</v>
      </c>
      <c r="D21" s="34">
        <f>IF(umumiy_malumot!$B$77=umumiy_malumot!$C$77,'График дифференц'!D20,IF(umumiy_malumot!$B$77=umumiy_malumot!$D$77,'График аннуитет.'!D20))</f>
        <v>916666.67</v>
      </c>
      <c r="E21" s="34">
        <f>IF(umumiy_malumot!$B$77=umumiy_malumot!$C$77,'График дифференц'!E20,IF(umumiy_malumot!$B$77=umumiy_malumot!$D$77,'График аннуитет.'!E20))</f>
        <v>1027671.08</v>
      </c>
      <c r="F21" s="34">
        <f>IF(umumiy_malumot!$B$77=umumiy_malumot!$C$77,'График дифференц'!F20,IF(umumiy_malumot!$B$77=umumiy_malumot!$D$77,'График аннуитет.'!F20))</f>
        <v>1944337.75</v>
      </c>
      <c r="H21" s="274"/>
      <c r="I21" s="274"/>
      <c r="J21" s="274"/>
      <c r="K21" s="274"/>
      <c r="L21" s="274"/>
      <c r="M21" s="274"/>
      <c r="N21" s="274"/>
      <c r="O21" s="274"/>
      <c r="P21" s="274"/>
    </row>
    <row r="22" spans="1:16" ht="18" customHeight="1" x14ac:dyDescent="0.25">
      <c r="A22" s="18">
        <v>14</v>
      </c>
      <c r="B22" s="33">
        <f>IF('График дифференц'!B21=FALSE,"",'График дифференц'!B21)</f>
        <v>46461</v>
      </c>
      <c r="C22" s="34">
        <f>IF(umumiy_malumot!$B$77=umumiy_malumot!$C$77,'График дифференц'!C21,IF(umumiy_malumot!$B$77=umumiy_malumot!$D$77,'График аннуитет.'!C21))</f>
        <v>21083333.289999977</v>
      </c>
      <c r="D22" s="34">
        <f>IF(umumiy_malumot!$B$77=umumiy_malumot!$C$77,'График дифференц'!D21,IF(umumiy_malumot!$B$77=umumiy_malumot!$D$77,'График аннуитет.'!D21))</f>
        <v>916666.67</v>
      </c>
      <c r="E22" s="34">
        <f>IF(umumiy_malumot!$B$77=umumiy_malumot!$C$77,'График дифференц'!E21,IF(umumiy_malumot!$B$77=umumiy_malumot!$D$77,'График аннуитет.'!E21))</f>
        <v>889543.48</v>
      </c>
      <c r="F22" s="34">
        <f>IF(umumiy_malumot!$B$77=umumiy_malumot!$C$77,'График дифференц'!F21,IF(umumiy_malumot!$B$77=umumiy_malumot!$D$77,'График аннуитет.'!F21))</f>
        <v>1806210.15</v>
      </c>
      <c r="H22" s="274"/>
      <c r="I22" s="274"/>
      <c r="J22" s="274"/>
      <c r="K22" s="274"/>
      <c r="L22" s="274"/>
      <c r="M22" s="274"/>
      <c r="N22" s="274"/>
      <c r="O22" s="274"/>
      <c r="P22" s="274"/>
    </row>
    <row r="23" spans="1:16" ht="17.25" customHeight="1" x14ac:dyDescent="0.25">
      <c r="A23" s="18">
        <v>15</v>
      </c>
      <c r="B23" s="33">
        <f>IF('График дифференц'!B22=FALSE,"",'График дифференц'!B22)</f>
        <v>46492</v>
      </c>
      <c r="C23" s="34">
        <f>IF(umumiy_malumot!$B$77=umumiy_malumot!$C$77,'График дифференц'!C22,IF(umumiy_malumot!$B$77=umumiy_malumot!$D$77,'График аннуитет.'!C22))</f>
        <v>20166666.619999975</v>
      </c>
      <c r="D23" s="34">
        <f>IF(umumiy_malumot!$B$77=umumiy_malumot!$C$77,'График дифференц'!D22,IF(umumiy_malumot!$B$77=umumiy_malumot!$D$77,'График аннуитет.'!D22))</f>
        <v>916666.67</v>
      </c>
      <c r="E23" s="34">
        <f>IF(umumiy_malumot!$B$77=umumiy_malumot!$C$77,'График дифференц'!E22,IF(umumiy_malumot!$B$77=umumiy_malumot!$D$77,'График аннуитет.'!E22))</f>
        <v>942032.03</v>
      </c>
      <c r="F23" s="34">
        <f>IF(umumiy_malumot!$B$77=umumiy_malumot!$C$77,'График дифференц'!F22,IF(umumiy_malumot!$B$77=umumiy_malumot!$D$77,'График аннуитет.'!F22))</f>
        <v>1858698.7000000002</v>
      </c>
      <c r="H23" s="274"/>
      <c r="I23" s="274"/>
      <c r="J23" s="274"/>
      <c r="K23" s="274"/>
      <c r="L23" s="274"/>
      <c r="M23" s="274"/>
      <c r="N23" s="274"/>
      <c r="O23" s="274"/>
      <c r="P23" s="274"/>
    </row>
    <row r="24" spans="1:16" ht="15.75" customHeight="1" x14ac:dyDescent="0.25">
      <c r="A24" s="18">
        <v>16</v>
      </c>
      <c r="B24" s="33">
        <f>IF('График дифференц'!B23=FALSE,"",'График дифференц'!B23)</f>
        <v>46524</v>
      </c>
      <c r="C24" s="34">
        <f>IF(umumiy_malumot!$B$77=umumiy_malumot!$C$77,'График дифференц'!C23,IF(umumiy_malumot!$B$77=umumiy_malumot!$D$77,'График аннуитет.'!C23))</f>
        <v>19249999.949999973</v>
      </c>
      <c r="D24" s="34">
        <f>IF(umumiy_malumot!$B$77=umumiy_malumot!$C$77,'График дифференц'!D23,IF(umumiy_malumot!$B$77=umumiy_malumot!$D$77,'График аннуитет.'!D23))</f>
        <v>916666.67</v>
      </c>
      <c r="E24" s="34">
        <f>IF(umumiy_malumot!$B$77=umumiy_malumot!$C$77,'График дифференц'!E23,IF(umumiy_malumot!$B$77=umumiy_malumot!$D$77,'График аннуитет.'!E23))</f>
        <v>928219.2</v>
      </c>
      <c r="F24" s="34">
        <f>IF(umumiy_malumot!$B$77=umumiy_malumot!$C$77,'График дифференц'!F23,IF(umumiy_malumot!$B$77=umumiy_malumot!$D$77,'График аннуитет.'!F23))</f>
        <v>1844885.87</v>
      </c>
      <c r="H24" s="274"/>
      <c r="I24" s="274"/>
      <c r="J24" s="274"/>
      <c r="K24" s="274"/>
      <c r="L24" s="274"/>
      <c r="M24" s="274"/>
      <c r="N24" s="274"/>
      <c r="O24" s="274"/>
      <c r="P24" s="274"/>
    </row>
    <row r="25" spans="1:16" ht="14.25" customHeight="1" x14ac:dyDescent="0.25">
      <c r="A25" s="18">
        <v>17</v>
      </c>
      <c r="B25" s="33">
        <f>IF('График дифференц'!B24=FALSE,"",'График дифференц'!B24)</f>
        <v>46553</v>
      </c>
      <c r="C25" s="34">
        <f>IF(umumiy_malumot!$B$77=umumiy_malumot!$C$77,'График дифференц'!C24,IF(umumiy_malumot!$B$77=umumiy_malumot!$D$77,'График аннуитет.'!C24))</f>
        <v>18333333.279999971</v>
      </c>
      <c r="D25" s="34">
        <f>IF(umumiy_malumot!$B$77=umumiy_malumot!$C$77,'График дифференц'!D24,IF(umumiy_malumot!$B$77=umumiy_malumot!$D$77,'График аннуитет.'!D24))</f>
        <v>916666.67</v>
      </c>
      <c r="E25" s="34">
        <f>IF(umumiy_malumot!$B$77=umumiy_malumot!$C$77,'График дифференц'!E24,IF(umumiy_malumot!$B$77=umumiy_malumot!$D$77,'График аннуитет.'!E24))</f>
        <v>801141.53</v>
      </c>
      <c r="F25" s="34">
        <f>IF(umumiy_malumot!$B$77=umumiy_malumot!$C$77,'График дифференц'!F24,IF(umumiy_malumot!$B$77=umumiy_malumot!$D$77,'График аннуитет.'!F24))</f>
        <v>1717808.2000000002</v>
      </c>
    </row>
    <row r="26" spans="1:16" ht="12.75" customHeight="1" x14ac:dyDescent="0.25">
      <c r="A26" s="18">
        <v>18</v>
      </c>
      <c r="B26" s="33">
        <f>IF('График дифференц'!B25=FALSE,"",'График дифференц'!B25)</f>
        <v>46583</v>
      </c>
      <c r="C26" s="34">
        <f>IF(umumiy_malumot!$B$77=umumiy_malumot!$C$77,'График дифференц'!C25,IF(umumiy_malumot!$B$77=umumiy_malumot!$D$77,'График аннуитет.'!C25))</f>
        <v>17416666.60999997</v>
      </c>
      <c r="D26" s="34">
        <f>IF(umumiy_malumot!$B$77=umumiy_malumot!$C$77,'График дифференц'!D25,IF(umumiy_malumot!$B$77=umumiy_malumot!$D$77,'График аннуитет.'!D25))</f>
        <v>916666.67</v>
      </c>
      <c r="E26" s="34">
        <f>IF(umumiy_malumot!$B$77=umumiy_malumot!$C$77,'График дифференц'!E25,IF(umumiy_malumot!$B$77=umumiy_malumot!$D$77,'График аннуитет.'!E25))</f>
        <v>787328.70000000007</v>
      </c>
      <c r="F26" s="34">
        <f>IF(umumiy_malumot!$B$77=umumiy_malumot!$C$77,'График дифференц'!F25,IF(umumiy_malumot!$B$77=umumiy_malumot!$D$77,'График аннуитет.'!F25))</f>
        <v>1703995.37</v>
      </c>
    </row>
    <row r="27" spans="1:16" ht="15" customHeight="1" x14ac:dyDescent="0.25">
      <c r="A27" s="18">
        <f>1+A26</f>
        <v>19</v>
      </c>
      <c r="B27" s="33">
        <f>IF('График дифференц'!B26=FALSE,"",'График дифференц'!B26)</f>
        <v>46615</v>
      </c>
      <c r="C27" s="34">
        <f>IF(umumiy_malumot!$B$77=umumiy_malumot!$C$77,'График дифференц'!C26,IF(umumiy_malumot!$B$77=umumiy_malumot!$D$77,'График аннуитет.'!C26))</f>
        <v>16499999.93999997</v>
      </c>
      <c r="D27" s="34">
        <f>IF(umumiy_malumot!$B$77=umumiy_malumot!$C$77,'График дифференц'!D26,IF(umumiy_malumot!$B$77=umumiy_malumot!$D$77,'График аннуитет.'!D26))</f>
        <v>916666.67</v>
      </c>
      <c r="E27" s="34">
        <f>IF(umumiy_malumot!$B$77=umumiy_malumot!$C$77,'График дифференц'!E26,IF(umumiy_malumot!$B$77=umumiy_malumot!$D$77,'График аннуитет.'!E26))</f>
        <v>795616.32</v>
      </c>
      <c r="F27" s="34">
        <f>IF(umumiy_malumot!$B$77=umumiy_malumot!$C$77,'График дифференц'!F26,IF(umumiy_malumot!$B$77=umumiy_malumot!$D$77,'График аннуитет.'!F26))</f>
        <v>1712282.99</v>
      </c>
    </row>
    <row r="28" spans="1:16" ht="15" customHeight="1" x14ac:dyDescent="0.25">
      <c r="A28" s="18">
        <f t="shared" ref="A28:A43" si="0">1+A27</f>
        <v>20</v>
      </c>
      <c r="B28" s="33">
        <f>IF('График дифференц'!B27=FALSE,"",'График дифференц'!B27)</f>
        <v>46645</v>
      </c>
      <c r="C28" s="34">
        <f>IF(umumiy_malumot!$B$77=umumiy_malumot!$C$77,'График дифференц'!C27,IF(umumiy_malumot!$B$77=umumiy_malumot!$D$77,'График аннуитет.'!C27))</f>
        <v>15583333.26999997</v>
      </c>
      <c r="D28" s="34">
        <f>IF(umumiy_malumot!$B$77=umumiy_malumot!$C$77,'График дифференц'!D27,IF(umumiy_malumot!$B$77=umumiy_malumot!$D$77,'График аннуитет.'!D27))</f>
        <v>916666.67</v>
      </c>
      <c r="E28" s="34">
        <f>IF(umumiy_malumot!$B$77=umumiy_malumot!$C$77,'График дифференц'!E27,IF(umumiy_malumot!$B$77=umumiy_malumot!$D$77,'График аннуитет.'!E27))</f>
        <v>704452.20000000007</v>
      </c>
      <c r="F28" s="34">
        <f>IF(umumiy_malumot!$B$77=umumiy_malumot!$C$77,'График дифференц'!F27,IF(umumiy_malumot!$B$77=umumiy_malumot!$D$77,'График аннуитет.'!F27))</f>
        <v>1621118.87</v>
      </c>
    </row>
    <row r="29" spans="1:16" ht="15" customHeight="1" x14ac:dyDescent="0.25">
      <c r="A29" s="18">
        <f t="shared" si="0"/>
        <v>21</v>
      </c>
      <c r="B29" s="33">
        <f>IF('График дифференц'!B28=FALSE,"",'График дифференц'!B28)</f>
        <v>46675</v>
      </c>
      <c r="C29" s="34">
        <f>IF(umumiy_malumot!$B$77=umumiy_malumot!$C$77,'График дифференц'!C28,IF(umumiy_malumot!$B$77=umumiy_malumot!$D$77,'График аннуитет.'!C28))</f>
        <v>14666666.59999997</v>
      </c>
      <c r="D29" s="34">
        <f>IF(umumiy_malumot!$B$77=umumiy_malumot!$C$77,'График дифференц'!D28,IF(umumiy_malumot!$B$77=umumiy_malumot!$D$77,'График аннуитет.'!D28))</f>
        <v>916666.67</v>
      </c>
      <c r="E29" s="34">
        <f>IF(umumiy_malumot!$B$77=umumiy_malumot!$C$77,'График дифференц'!E28,IF(umumiy_malumot!$B$77=umumiy_malumot!$D$77,'График аннуитет.'!E28))</f>
        <v>663013.79999999993</v>
      </c>
      <c r="F29" s="34">
        <f>IF(umumiy_malumot!$B$77=umumiy_malumot!$C$77,'График дифференц'!F28,IF(umumiy_malumot!$B$77=umumiy_malumot!$D$77,'График аннуитет.'!F28))</f>
        <v>1579680.47</v>
      </c>
    </row>
    <row r="30" spans="1:16" ht="15" customHeight="1" x14ac:dyDescent="0.25">
      <c r="A30" s="18">
        <f t="shared" si="0"/>
        <v>22</v>
      </c>
      <c r="B30" s="33">
        <f>IF('График дифференц'!B29=FALSE,"",'График дифференц'!B29)</f>
        <v>46706</v>
      </c>
      <c r="C30" s="34">
        <f>IF(umumiy_malumot!$B$77=umumiy_malumot!$C$77,'График дифференц'!C29,IF(umumiy_malumot!$B$77=umumiy_malumot!$D$77,'График аннуитет.'!C29))</f>
        <v>13749999.92999997</v>
      </c>
      <c r="D30" s="34">
        <f>IF(umumiy_malumot!$B$77=umumiy_malumot!$C$77,'График дифференц'!D29,IF(umumiy_malumot!$B$77=umumiy_malumot!$D$77,'График аннуитет.'!D29))</f>
        <v>916666.67</v>
      </c>
      <c r="E30" s="34">
        <f>IF(umumiy_malumot!$B$77=umumiy_malumot!$C$77,'График дифференц'!E29,IF(umumiy_malumot!$B$77=umumiy_malumot!$D$77,'График аннуитет.'!E29))</f>
        <v>642294.57999999996</v>
      </c>
      <c r="F30" s="34">
        <f>IF(umumiy_malumot!$B$77=umumiy_malumot!$C$77,'График дифференц'!F29,IF(umumiy_malumot!$B$77=umumiy_malumot!$D$77,'График аннуитет.'!F29))</f>
        <v>1558961.25</v>
      </c>
    </row>
    <row r="31" spans="1:16" ht="15" customHeight="1" x14ac:dyDescent="0.25">
      <c r="A31" s="18">
        <f t="shared" si="0"/>
        <v>23</v>
      </c>
      <c r="B31" s="33">
        <f>IF('График дифференц'!B30=FALSE,"",'График дифференц'!B30)</f>
        <v>46736</v>
      </c>
      <c r="C31" s="34">
        <f>IF(umumiy_malumot!$B$77=umumiy_malumot!$C$77,'График дифференц'!C30,IF(umumiy_malumot!$B$77=umumiy_malumot!$D$77,'График аннуитет.'!C30))</f>
        <v>12833333.25999997</v>
      </c>
      <c r="D31" s="34">
        <f>IF(umumiy_malumot!$B$77=umumiy_malumot!$C$77,'График дифференц'!D30,IF(umumiy_malumot!$B$77=umumiy_malumot!$D$77,'График аннуитет.'!D30))</f>
        <v>916666.67</v>
      </c>
      <c r="E31" s="34">
        <f>IF(umumiy_malumot!$B$77=umumiy_malumot!$C$77,'График дифференц'!E30,IF(umumiy_malumot!$B$77=umumiy_malumot!$D$77,'График аннуитет.'!E30))</f>
        <v>580137</v>
      </c>
      <c r="F31" s="34">
        <f>IF(umumiy_malumot!$B$77=umumiy_malumot!$C$77,'График дифференц'!F30,IF(umumiy_malumot!$B$77=umumiy_malumot!$D$77,'График аннуитет.'!F30))</f>
        <v>1496803.67</v>
      </c>
    </row>
    <row r="32" spans="1:16" x14ac:dyDescent="0.25">
      <c r="A32" s="18">
        <f t="shared" si="0"/>
        <v>24</v>
      </c>
      <c r="B32" s="33">
        <f>IF('График дифференц'!B31=FALSE,"",'График дифференц'!B31)</f>
        <v>46769</v>
      </c>
      <c r="C32" s="34">
        <f>IF(umumiy_malumot!$B$77=umumiy_malumot!$C$77,'График дифференц'!C31,IF(umumiy_malumot!$B$77=umumiy_malumot!$D$77,'График аннуитет.'!C31))</f>
        <v>11916666.58999997</v>
      </c>
      <c r="D32" s="34">
        <f>IF(umumiy_malumot!$B$77=umumiy_malumot!$C$77,'График дифференц'!D31,IF(umumiy_malumot!$B$77=umumiy_malumot!$D$77,'График аннуитет.'!D31))</f>
        <v>916666.67</v>
      </c>
      <c r="E32" s="34">
        <f>IF(umumiy_malumot!$B$77=umumiy_malumot!$C$77,'График дифференц'!E31,IF(umumiy_malumot!$B$77=umumiy_malumot!$D$77,'График аннуитет.'!E31))</f>
        <v>590949.4800000001</v>
      </c>
      <c r="F32" s="34">
        <f>IF(umumiy_malumot!$B$77=umumiy_malumot!$C$77,'График дифференц'!F31,IF(umumiy_malumot!$B$77=umumiy_malumot!$D$77,'График аннуитет.'!F31))</f>
        <v>1507616.1500000001</v>
      </c>
    </row>
    <row r="33" spans="1:6" x14ac:dyDescent="0.25">
      <c r="A33" s="18">
        <f t="shared" si="0"/>
        <v>25</v>
      </c>
      <c r="B33" s="33">
        <f>IF('График дифференц'!B32=FALSE,"",'График дифференц'!B32)</f>
        <v>46798</v>
      </c>
      <c r="C33" s="34">
        <f>IF(umumiy_malumot!$B$77=umumiy_malumot!$C$77,'График дифференц'!C32,IF(umumiy_malumot!$B$77=umumiy_malumot!$D$77,'График аннуитет.'!C32))</f>
        <v>10999999.91999997</v>
      </c>
      <c r="D33" s="34">
        <f>IF(umumiy_malumot!$B$77=umumiy_malumot!$C$77,'График дифференц'!D32,IF(umumiy_malumot!$B$77=umumiy_malumot!$D$77,'График аннуитет.'!D32))</f>
        <v>916666.67</v>
      </c>
      <c r="E33" s="34">
        <f>IF(umumiy_malumot!$B$77=umumiy_malumot!$C$77,'График дифференц'!E32,IF(umumiy_malumot!$B$77=umumiy_malumot!$D$77,'График аннуитет.'!E32))</f>
        <v>479371.44999999995</v>
      </c>
      <c r="F33" s="34">
        <f>IF(umumiy_malumot!$B$77=umumiy_malumot!$C$77,'График дифференц'!F32,IF(umumiy_malumot!$B$77=umumiy_malumot!$D$77,'График аннуитет.'!F32))</f>
        <v>1396038.12</v>
      </c>
    </row>
    <row r="34" spans="1:6" x14ac:dyDescent="0.25">
      <c r="A34" s="18">
        <f t="shared" si="0"/>
        <v>26</v>
      </c>
      <c r="B34" s="33">
        <f>IF('График дифференц'!B33=FALSE,"",'График дифференц'!B33)</f>
        <v>46827</v>
      </c>
      <c r="C34" s="34">
        <f>IF(umumiy_malumot!$B$77=umumiy_malumot!$C$77,'График дифференц'!C33,IF(umumiy_malumot!$B$77=umumiy_malumot!$D$77,'График аннуитет.'!C33))</f>
        <v>10083333.24999997</v>
      </c>
      <c r="D34" s="34">
        <f>IF(umumiy_malumot!$B$77=umumiy_malumot!$C$77,'График дифференц'!D33,IF(umumiy_malumot!$B$77=umumiy_malumot!$D$77,'График аннуитет.'!D33))</f>
        <v>916666.67</v>
      </c>
      <c r="E34" s="34">
        <f>IF(umumiy_malumot!$B$77=umumiy_malumot!$C$77,'График дифференц'!E33,IF(umumiy_malumot!$B$77=umumiy_malumot!$D$77,'График аннуитет.'!E33))</f>
        <v>439423.94999999995</v>
      </c>
      <c r="F34" s="34">
        <f>IF(umumiy_malumot!$B$77=umumiy_malumot!$C$77,'График дифференц'!F33,IF(umumiy_malumot!$B$77=umumiy_malumot!$D$77,'График аннуитет.'!F33))</f>
        <v>1356090.62</v>
      </c>
    </row>
    <row r="35" spans="1:6" x14ac:dyDescent="0.25">
      <c r="A35" s="18">
        <f t="shared" si="0"/>
        <v>27</v>
      </c>
      <c r="B35" s="33">
        <f>IF('График дифференц'!B34=FALSE,"",'График дифференц'!B34)</f>
        <v>46860</v>
      </c>
      <c r="C35" s="34">
        <f>IF(umumiy_malumot!$B$77=umumiy_malumot!$C$77,'График дифференц'!C34,IF(umumiy_malumot!$B$77=umumiy_malumot!$D$77,'График аннуитет.'!C34))</f>
        <v>9166666.5799999703</v>
      </c>
      <c r="D35" s="34">
        <f>IF(umumiy_malumot!$B$77=umumiy_malumot!$C$77,'График дифференц'!D34,IF(umumiy_malumot!$B$77=umumiy_malumot!$D$77,'График аннуитет.'!D34))</f>
        <v>916666.67</v>
      </c>
      <c r="E35" s="34">
        <f>IF(umumiy_malumot!$B$77=umumiy_malumot!$C$77,'График дифференц'!E34,IF(umumiy_malumot!$B$77=umumiy_malumot!$D$77,'График аннуитет.'!E34))</f>
        <v>454576.64999999997</v>
      </c>
      <c r="F35" s="34">
        <f>IF(umumiy_malumot!$B$77=umumiy_malumot!$C$77,'График дифференц'!F34,IF(umumiy_malumot!$B$77=umumiy_malumot!$D$77,'График аннуитет.'!F34))</f>
        <v>1371243.32</v>
      </c>
    </row>
    <row r="36" spans="1:6" x14ac:dyDescent="0.25">
      <c r="A36" s="18">
        <f t="shared" si="0"/>
        <v>28</v>
      </c>
      <c r="B36" s="33">
        <f>IF('График дифференц'!B35=FALSE,"",'График дифференц'!B35)</f>
        <v>46888</v>
      </c>
      <c r="C36" s="34">
        <f>IF(umumiy_malumot!$B$77=umumiy_malumot!$C$77,'График дифференц'!C35,IF(umumiy_malumot!$B$77=umumiy_malumot!$D$77,'График аннуитет.'!C35))</f>
        <v>8249999.9099999703</v>
      </c>
      <c r="D36" s="34">
        <f>IF(umumiy_malumot!$B$77=umumiy_malumot!$C$77,'График дифференц'!D35,IF(umumiy_malumot!$B$77=umumiy_malumot!$D$77,'График аннуитет.'!D35))</f>
        <v>916666.67</v>
      </c>
      <c r="E36" s="34">
        <f>IF(umumiy_malumot!$B$77=umumiy_malumot!$C$77,'График дифференц'!E35,IF(umumiy_malumot!$B$77=umumiy_malumot!$D$77,'График аннуитет.'!E35))</f>
        <v>347131.12</v>
      </c>
      <c r="F36" s="34">
        <f>IF(umumiy_malumot!$B$77=umumiy_malumot!$C$77,'График дифференц'!F35,IF(umumiy_malumot!$B$77=umumiy_malumot!$D$77,'График аннуитет.'!F35))</f>
        <v>1263797.79</v>
      </c>
    </row>
    <row r="37" spans="1:6" x14ac:dyDescent="0.25">
      <c r="A37" s="18">
        <f t="shared" si="0"/>
        <v>29</v>
      </c>
      <c r="B37" s="33">
        <f>IF('График дифференц'!B36=FALSE,"",'График дифференц'!B36)</f>
        <v>46919</v>
      </c>
      <c r="C37" s="34">
        <f>IF(umumiy_malumot!$B$77=umumiy_malumot!$C$77,'График дифференц'!C36,IF(umumiy_malumot!$B$77=umumiy_malumot!$D$77,'График аннуитет.'!C36))</f>
        <v>7333333.2399999704</v>
      </c>
      <c r="D37" s="34">
        <f>IF(umumiy_malumot!$B$77=umumiy_malumot!$C$77,'График дифференц'!D36,IF(umumiy_malumot!$B$77=umumiy_malumot!$D$77,'График аннуитет.'!D36))</f>
        <v>916666.67</v>
      </c>
      <c r="E37" s="34">
        <f>IF(umumiy_malumot!$B$77=umumiy_malumot!$C$77,'График дифференц'!E36,IF(umumiy_malumot!$B$77=umumiy_malumot!$D$77,'График аннуитет.'!E36))</f>
        <v>341621.24000000005</v>
      </c>
      <c r="F37" s="34">
        <f>IF(umumiy_malumot!$B$77=umumiy_malumot!$C$77,'График дифференц'!F36,IF(umumiy_malumot!$B$77=umumiy_malumot!$D$77,'График аннуитет.'!F36))</f>
        <v>1258287.9100000001</v>
      </c>
    </row>
    <row r="38" spans="1:6" x14ac:dyDescent="0.25">
      <c r="A38" s="18">
        <f t="shared" si="0"/>
        <v>30</v>
      </c>
      <c r="B38" s="33">
        <f>IF('График дифференц'!B37=FALSE,"",'График дифференц'!B37)</f>
        <v>46951</v>
      </c>
      <c r="C38" s="34">
        <f>IF(umumiy_malumot!$B$77=umumiy_malumot!$C$77,'График дифференц'!C37,IF(umumiy_malumot!$B$77=umumiy_malumot!$D$77,'График аннуитет.'!C37))</f>
        <v>6416666.5699999705</v>
      </c>
      <c r="D38" s="34">
        <f>IF(umumiy_malumot!$B$77=umumiy_malumot!$C$77,'График дифференц'!D37,IF(umumiy_malumot!$B$77=umumiy_malumot!$D$77,'График аннуитет.'!D37))</f>
        <v>916666.67</v>
      </c>
      <c r="E38" s="34">
        <f>IF(umumiy_malumot!$B$77=umumiy_malumot!$C$77,'График дифференц'!E37,IF(umumiy_malumot!$B$77=umumiy_malumot!$D$77,'График аннуитет.'!E37))</f>
        <v>308560.96000000002</v>
      </c>
      <c r="F38" s="34">
        <f>IF(umumiy_malumot!$B$77=umumiy_malumot!$C$77,'График дифференц'!F37,IF(umumiy_malumot!$B$77=umumiy_malumot!$D$77,'График аннуитет.'!F37))</f>
        <v>1225227.6300000001</v>
      </c>
    </row>
    <row r="39" spans="1:6" x14ac:dyDescent="0.25">
      <c r="A39" s="18">
        <f t="shared" si="0"/>
        <v>31</v>
      </c>
      <c r="B39" s="33">
        <f>IF('График дифференц'!B38=FALSE,"",'График дифференц'!B38)</f>
        <v>46980</v>
      </c>
      <c r="C39" s="34">
        <f>IF(umumiy_malumot!$B$77=umumiy_malumot!$C$77,'График дифференц'!C38,IF(umumiy_malumot!$B$77=umumiy_malumot!$D$77,'График аннуитет.'!C38))</f>
        <v>5499999.8999999706</v>
      </c>
      <c r="D39" s="34">
        <f>IF(umumiy_malumot!$B$77=umumiy_malumot!$C$77,'График дифференц'!D38,IF(umumiy_malumot!$B$77=umumiy_malumot!$D$77,'График аннуитет.'!D38))</f>
        <v>916666.67</v>
      </c>
      <c r="E39" s="34">
        <f>IF(umumiy_malumot!$B$77=umumiy_malumot!$C$77,'График дифференц'!E38,IF(umumiy_malumot!$B$77=umumiy_malumot!$D$77,'График аннуитет.'!E38))</f>
        <v>239685.87000000002</v>
      </c>
      <c r="F39" s="34">
        <f>IF(umumiy_malumot!$B$77=umumiy_malumot!$C$77,'График дифференц'!F38,IF(umumiy_malumot!$B$77=umumiy_malumot!$D$77,'График аннуитет.'!F38))</f>
        <v>1156352.54</v>
      </c>
    </row>
    <row r="40" spans="1:6" x14ac:dyDescent="0.25">
      <c r="A40" s="18">
        <f t="shared" si="0"/>
        <v>32</v>
      </c>
      <c r="B40" s="33">
        <f>IF('График дифференц'!B39=FALSE,"",'График дифференц'!B39)</f>
        <v>47011</v>
      </c>
      <c r="C40" s="34">
        <f>IF(umumiy_malumot!$B$77=umumiy_malumot!$C$77,'График дифференц'!C39,IF(umumiy_malumot!$B$77=umumiy_malumot!$D$77,'График аннуитет.'!C39))</f>
        <v>4583333.2299999706</v>
      </c>
      <c r="D40" s="34">
        <f>IF(umumiy_malumot!$B$77=umumiy_malumot!$C$77,'График дифференц'!D39,IF(umumiy_malumot!$B$77=umumiy_malumot!$D$77,'График аннуитет.'!D39))</f>
        <v>916666.67</v>
      </c>
      <c r="E40" s="34">
        <f>IF(umumiy_malumot!$B$77=umumiy_malumot!$C$77,'График дифференц'!E39,IF(umumiy_malumot!$B$77=umumiy_malumot!$D$77,'График аннуитет.'!E39))</f>
        <v>213513.12000000002</v>
      </c>
      <c r="F40" s="34">
        <f>IF(umumiy_malumot!$B$77=umumiy_malumot!$C$77,'График дифференц'!F39,IF(umumiy_malumot!$B$77=umumiy_malumot!$D$77,'График аннуитет.'!F39))</f>
        <v>1130179.79</v>
      </c>
    </row>
    <row r="41" spans="1:6" x14ac:dyDescent="0.25">
      <c r="A41" s="18">
        <f t="shared" si="0"/>
        <v>33</v>
      </c>
      <c r="B41" s="33">
        <f>IF('График дифференц'!B40=FALSE,"",'График дифференц'!B40)</f>
        <v>47042</v>
      </c>
      <c r="C41" s="34">
        <f>IF(umumiy_malumot!$B$77=umumiy_malumot!$C$77,'График дифференц'!C40,IF(umumiy_malumot!$B$77=umumiy_malumot!$D$77,'График аннуитет.'!C40))</f>
        <v>3666666.5599999707</v>
      </c>
      <c r="D41" s="34">
        <f>IF(umumiy_malumot!$B$77=umumiy_malumot!$C$77,'График дифференц'!D40,IF(umumiy_malumot!$B$77=umumiy_malumot!$D$77,'График аннуитет.'!D40))</f>
        <v>916666.67</v>
      </c>
      <c r="E41" s="34">
        <f>IF(umumiy_malumot!$B$77=umumiy_malumot!$C$77,'График дифференц'!E40,IF(umumiy_malumot!$B$77=umumiy_malumot!$D$77,'График аннуитет.'!E40))</f>
        <v>170810.62000000002</v>
      </c>
      <c r="F41" s="34">
        <f>IF(umumiy_malumot!$B$77=umumiy_malumot!$C$77,'График дифференц'!F40,IF(umumiy_malumot!$B$77=umumiy_malumot!$D$77,'График аннуитет.'!F40))</f>
        <v>1087477.29</v>
      </c>
    </row>
    <row r="42" spans="1:6" x14ac:dyDescent="0.25">
      <c r="A42" s="18">
        <f t="shared" si="0"/>
        <v>34</v>
      </c>
      <c r="B42" s="33">
        <f>IF('График дифференц'!B41=FALSE,"",'График дифференц'!B41)</f>
        <v>47072</v>
      </c>
      <c r="C42" s="34">
        <f>IF(umumiy_malumot!$B$77=umumiy_malumot!$C$77,'График дифференц'!C41,IF(umumiy_malumot!$B$77=umumiy_malumot!$D$77,'График аннуитет.'!C41))</f>
        <v>2749999.8899999708</v>
      </c>
      <c r="D42" s="34">
        <f>IF(umumiy_malumot!$B$77=umumiy_malumot!$C$77,'График дифференц'!D41,IF(umumiy_malumot!$B$77=umumiy_malumot!$D$77,'График аннуитет.'!D41))</f>
        <v>916666.67</v>
      </c>
      <c r="E42" s="34">
        <f>IF(umumiy_malumot!$B$77=umumiy_malumot!$C$77,'График дифференц'!E41,IF(umumiy_malumot!$B$77=umumiy_malumot!$D$77,'График аннуитет.'!E41))</f>
        <v>123975.3</v>
      </c>
      <c r="F42" s="34">
        <f>IF(umumiy_malumot!$B$77=umumiy_malumot!$C$77,'График дифференц'!F41,IF(umumiy_malumot!$B$77=umumiy_malumot!$D$77,'График аннуитет.'!F41))</f>
        <v>1040641.9700000001</v>
      </c>
    </row>
    <row r="43" spans="1:6" ht="14.25" customHeight="1" x14ac:dyDescent="0.25">
      <c r="A43" s="18">
        <f t="shared" si="0"/>
        <v>35</v>
      </c>
      <c r="B43" s="33">
        <f>IF('График дифференц'!B42=FALSE,"",'График дифференц'!B42)</f>
        <v>47102</v>
      </c>
      <c r="C43" s="34">
        <f>IF(umumiy_malumot!$B$77=umumiy_malumot!$C$77,'График дифференц'!C42,IF(umumiy_malumot!$B$77=umumiy_malumot!$D$77,'График аннуитет.'!C42))</f>
        <v>1833333.2199999709</v>
      </c>
      <c r="D43" s="34">
        <f>IF(umumiy_malumot!$B$77=umumiy_malumot!$C$77,'График дифференц'!D42,IF(umumiy_malumot!$B$77=umumiy_malumot!$D$77,'График аннуитет.'!D42))</f>
        <v>916666.67</v>
      </c>
      <c r="E43" s="34">
        <f>IF(umumiy_malumot!$B$77=umumiy_malumot!$C$77,'График дифференц'!E42,IF(umumiy_malumot!$B$77=umumiy_malumot!$D$77,'График аннуитет.'!E42))</f>
        <v>82650.3</v>
      </c>
      <c r="F43" s="34">
        <f>IF(umumiy_malumot!$B$77=umumiy_malumot!$C$77,'График дифференц'!F42,IF(umumiy_malumot!$B$77=umumiy_malumot!$D$77,'График аннуитет.'!F42))</f>
        <v>999316.97000000009</v>
      </c>
    </row>
    <row r="44" spans="1:6" s="37" customFormat="1" ht="13.5" customHeight="1" x14ac:dyDescent="0.25">
      <c r="A44" s="18">
        <f>1+A43</f>
        <v>36</v>
      </c>
      <c r="B44" s="33">
        <f>IF('График дифференц'!B43=FALSE,"",'График дифференц'!B43)</f>
        <v>47124</v>
      </c>
      <c r="C44" s="34">
        <f>IF(umumiy_malumot!$B$77=umumiy_malumot!$C$77,'График дифференц'!C43,IF(umumiy_malumot!$B$77=umumiy_malumot!$D$77,'График аннуитет.'!C43))</f>
        <v>916666.54999997083</v>
      </c>
      <c r="D44" s="34">
        <f>IF(umumiy_malumot!$B$77=umumiy_malumot!$C$77,'График дифференц'!D43,IF(umumiy_malumot!$B$77=umumiy_malumot!$D$77,'График аннуитет.'!D43))</f>
        <v>916666.54999997094</v>
      </c>
      <c r="E44" s="34">
        <f>IF(umumiy_malumot!$B$77=umumiy_malumot!$C$77,'График дифференц'!E43,IF(umumiy_malumot!$B$77=umumiy_malumot!$D$77,'График аннуитет.'!E43))</f>
        <v>30388.16</v>
      </c>
      <c r="F44" s="34">
        <f>IF(umumiy_malumot!$B$77=umumiy_malumot!$C$77,'График дифференц'!F43,IF(umumiy_malumot!$B$77=umumiy_malumot!$D$77,'График аннуитет.'!F43))</f>
        <v>947054.70999997098</v>
      </c>
    </row>
    <row r="45" spans="1:6" s="37" customFormat="1" ht="16.5" hidden="1" customHeight="1" x14ac:dyDescent="0.25">
      <c r="A45" s="18">
        <f t="shared" ref="A45:A56" si="1">1+A44</f>
        <v>37</v>
      </c>
      <c r="B45" s="33" t="str">
        <f>IF('График дифференц'!B44=FALSE,"",'График дифференц'!B44)</f>
        <v/>
      </c>
      <c r="C45" s="34">
        <f>IF(umumiy_malumot!$B$77=umumiy_malumot!$C$77,'График дифференц'!C44,IF(umumiy_malumot!$B$77=umumiy_malumot!$D$77,'График аннуитет.'!C44))</f>
        <v>0</v>
      </c>
      <c r="D45" s="34">
        <f>IF(umumiy_malumot!$B$77=umumiy_malumot!$C$77,'График дифференц'!D44,IF(umumiy_malumot!$B$77=umumiy_malumot!$D$77,'График аннуитет.'!D44))</f>
        <v>0</v>
      </c>
      <c r="E45" s="34">
        <f>IF(umumiy_malumot!$B$77=umumiy_malumot!$C$77,'График дифференц'!E44,IF(umumiy_malumot!$B$77=umumiy_malumot!$D$77,'График аннуитет.'!E44))</f>
        <v>0</v>
      </c>
      <c r="F45" s="34">
        <f>IF(umumiy_malumot!$B$77=umumiy_malumot!$C$77,'График дифференц'!F44,IF(umumiy_malumot!$B$77=umumiy_malumot!$D$77,'График аннуитет.'!F44))</f>
        <v>0</v>
      </c>
    </row>
    <row r="46" spans="1:6" s="37" customFormat="1" ht="18" hidden="1" customHeight="1" x14ac:dyDescent="0.25">
      <c r="A46" s="18">
        <f t="shared" si="1"/>
        <v>38</v>
      </c>
      <c r="B46" s="33" t="str">
        <f>IF('График дифференц'!B45=FALSE,"",'График дифференц'!B45)</f>
        <v/>
      </c>
      <c r="C46" s="34">
        <f>IF(umumiy_malumot!$B$77=umumiy_malumot!$C$77,'График дифференц'!C45,IF(umumiy_malumot!$B$77=umumiy_malumot!$D$77,'График аннуитет.'!C45))</f>
        <v>0</v>
      </c>
      <c r="D46" s="34">
        <f>IF(umumiy_malumot!$B$77=umumiy_malumot!$C$77,'График дифференц'!D45,IF(umumiy_malumot!$B$77=umumiy_malumot!$D$77,'График аннуитет.'!D45))</f>
        <v>0</v>
      </c>
      <c r="E46" s="34">
        <f>IF(umumiy_malumot!$B$77=umumiy_malumot!$C$77,'График дифференц'!E45,IF(umumiy_malumot!$B$77=umumiy_malumot!$D$77,'График аннуитет.'!E45))</f>
        <v>0</v>
      </c>
      <c r="F46" s="34">
        <f>IF(umumiy_malumot!$B$77=umumiy_malumot!$C$77,'График дифференц'!F45,IF(umumiy_malumot!$B$77=umumiy_malumot!$D$77,'График аннуитет.'!F45))</f>
        <v>0</v>
      </c>
    </row>
    <row r="47" spans="1:6" s="37" customFormat="1" ht="19.5" hidden="1" customHeight="1" x14ac:dyDescent="0.25">
      <c r="A47" s="18">
        <f t="shared" si="1"/>
        <v>39</v>
      </c>
      <c r="B47" s="33" t="str">
        <f>IF('График дифференц'!B46=FALSE,"",'График дифференц'!B46)</f>
        <v/>
      </c>
      <c r="C47" s="34">
        <f>IF(umumiy_malumot!$B$77=umumiy_malumot!$C$77,'График дифференц'!C46,IF(umumiy_malumot!$B$77=umumiy_malumot!$D$77,'График аннуитет.'!C46))</f>
        <v>0</v>
      </c>
      <c r="D47" s="34">
        <f>IF(umumiy_malumot!$B$77=umumiy_malumot!$C$77,'График дифференц'!D46,IF(umumiy_malumot!$B$77=umumiy_malumot!$D$77,'График аннуитет.'!D46))</f>
        <v>0</v>
      </c>
      <c r="E47" s="34">
        <f>IF(umumiy_malumot!$B$77=umumiy_malumot!$C$77,'График дифференц'!E46,IF(umumiy_malumot!$B$77=umumiy_malumot!$D$77,'График аннуитет.'!E46))</f>
        <v>0</v>
      </c>
      <c r="F47" s="34">
        <f>IF(umumiy_malumot!$B$77=umumiy_malumot!$C$77,'График дифференц'!F46,IF(umumiy_malumot!$B$77=umumiy_malumot!$D$77,'График аннуитет.'!F46))</f>
        <v>0</v>
      </c>
    </row>
    <row r="48" spans="1:6" s="37" customFormat="1" ht="14.25" hidden="1" customHeight="1" x14ac:dyDescent="0.25">
      <c r="A48" s="18">
        <f t="shared" si="1"/>
        <v>40</v>
      </c>
      <c r="B48" s="33" t="str">
        <f>IF('График дифференц'!B47=FALSE,"",'График дифференц'!B47)</f>
        <v/>
      </c>
      <c r="C48" s="34">
        <f>IF(umumiy_malumot!$B$77=umumiy_malumot!$C$77,'График дифференц'!C47,IF(umumiy_malumot!$B$77=umumiy_malumot!$D$77,'График аннуитет.'!C47))</f>
        <v>0</v>
      </c>
      <c r="D48" s="34">
        <f>IF(umumiy_malumot!$B$77=umumiy_malumot!$C$77,'График дифференц'!D47,IF(umumiy_malumot!$B$77=umumiy_malumot!$D$77,'График аннуитет.'!D47))</f>
        <v>0</v>
      </c>
      <c r="E48" s="34">
        <f>IF(umumiy_malumot!$B$77=umumiy_malumot!$C$77,'График дифференц'!E47,IF(umumiy_malumot!$B$77=umumiy_malumot!$D$77,'График аннуитет.'!E47))</f>
        <v>0</v>
      </c>
      <c r="F48" s="34">
        <f>IF(umumiy_malumot!$B$77=umumiy_malumot!$C$77,'График дифференц'!F47,IF(umumiy_malumot!$B$77=umumiy_malumot!$D$77,'График аннуитет.'!F47))</f>
        <v>0</v>
      </c>
    </row>
    <row r="49" spans="1:6" s="37" customFormat="1" ht="19.5" hidden="1" customHeight="1" x14ac:dyDescent="0.25">
      <c r="A49" s="18">
        <f t="shared" si="1"/>
        <v>41</v>
      </c>
      <c r="B49" s="33" t="str">
        <f>IF('График дифференц'!B48=FALSE,"",'График дифференц'!B48)</f>
        <v/>
      </c>
      <c r="C49" s="34">
        <f>IF(umumiy_malumot!$B$77=umumiy_malumot!$C$77,'График дифференц'!C48,IF(umumiy_malumot!$B$77=umumiy_malumot!$D$77,'График аннуитет.'!C48))</f>
        <v>0</v>
      </c>
      <c r="D49" s="34">
        <f>IF(umumiy_malumot!$B$77=umumiy_malumot!$C$77,'График дифференц'!D48,IF(umumiy_malumot!$B$77=umumiy_malumot!$D$77,'График аннуитет.'!D48))</f>
        <v>0</v>
      </c>
      <c r="E49" s="34">
        <f>IF(umumiy_malumot!$B$77=umumiy_malumot!$C$77,'График дифференц'!E48,IF(umumiy_malumot!$B$77=umumiy_malumot!$D$77,'График аннуитет.'!E48))</f>
        <v>0</v>
      </c>
      <c r="F49" s="34">
        <f>IF(umumiy_malumot!$B$77=umumiy_malumot!$C$77,'График дифференц'!F48,IF(umumiy_malumot!$B$77=umumiy_malumot!$D$77,'График аннуитет.'!F48))</f>
        <v>0</v>
      </c>
    </row>
    <row r="50" spans="1:6" s="37" customFormat="1" ht="21" hidden="1" customHeight="1" x14ac:dyDescent="0.25">
      <c r="A50" s="18">
        <f t="shared" si="1"/>
        <v>42</v>
      </c>
      <c r="B50" s="33" t="str">
        <f>IF('График дифференц'!B49=FALSE,"",'График дифференц'!B49)</f>
        <v/>
      </c>
      <c r="C50" s="34">
        <f>IF(umumiy_malumot!$B$77=umumiy_malumot!$C$77,'График дифференц'!C49,IF(umumiy_malumot!$B$77=umumiy_malumot!$D$77,'График аннуитет.'!C49))</f>
        <v>0</v>
      </c>
      <c r="D50" s="34">
        <f>IF(umumiy_malumot!$B$77=umumiy_malumot!$C$77,'График дифференц'!D49,IF(umumiy_malumot!$B$77=umumiy_malumot!$D$77,'График аннуитет.'!D49))</f>
        <v>0</v>
      </c>
      <c r="E50" s="34">
        <f>IF(umumiy_malumot!$B$77=umumiy_malumot!$C$77,'График дифференц'!E49,IF(umumiy_malumot!$B$77=umumiy_malumot!$D$77,'График аннуитет.'!E49))</f>
        <v>0</v>
      </c>
      <c r="F50" s="34">
        <f>IF(umumiy_malumot!$B$77=umumiy_malumot!$C$77,'График дифференц'!F49,IF(umumiy_malumot!$B$77=umumiy_malumot!$D$77,'График аннуитет.'!F49))</f>
        <v>0</v>
      </c>
    </row>
    <row r="51" spans="1:6" s="37" customFormat="1" ht="17.25" hidden="1" customHeight="1" x14ac:dyDescent="0.25">
      <c r="A51" s="18">
        <f t="shared" si="1"/>
        <v>43</v>
      </c>
      <c r="B51" s="33" t="str">
        <f>IF('График дифференц'!B50=FALSE,"",'График дифференц'!B50)</f>
        <v/>
      </c>
      <c r="C51" s="34">
        <f>IF(umumiy_malumot!$B$77=umumiy_malumot!$C$77,'График дифференц'!C50,IF(umumiy_malumot!$B$77=umumiy_malumot!$D$77,'График аннуитет.'!C50))</f>
        <v>0</v>
      </c>
      <c r="D51" s="34">
        <f>IF(umumiy_malumot!$B$77=umumiy_malumot!$C$77,'График дифференц'!D50,IF(umumiy_malumot!$B$77=umumiy_malumot!$D$77,'График аннуитет.'!D50))</f>
        <v>0</v>
      </c>
      <c r="E51" s="34">
        <f>IF(umumiy_malumot!$B$77=umumiy_malumot!$C$77,'График дифференц'!E50,IF(umumiy_malumot!$B$77=umumiy_malumot!$D$77,'График аннуитет.'!E50))</f>
        <v>0</v>
      </c>
      <c r="F51" s="34">
        <f>IF(umumiy_malumot!$B$77=umumiy_malumot!$C$77,'График дифференц'!F50,IF(umumiy_malumot!$B$77=umumiy_malumot!$D$77,'График аннуитет.'!F50))</f>
        <v>0</v>
      </c>
    </row>
    <row r="52" spans="1:6" s="37" customFormat="1" ht="12" hidden="1" customHeight="1" x14ac:dyDescent="0.25">
      <c r="A52" s="18">
        <f t="shared" si="1"/>
        <v>44</v>
      </c>
      <c r="B52" s="33" t="str">
        <f>IF('График дифференц'!B51=FALSE,"",'График дифференц'!B51)</f>
        <v/>
      </c>
      <c r="C52" s="34">
        <f>IF(umumiy_malumot!$B$77=umumiy_malumot!$C$77,'График дифференц'!C51,IF(umumiy_malumot!$B$77=umumiy_malumot!$D$77,'График аннуитет.'!C51))</f>
        <v>0</v>
      </c>
      <c r="D52" s="34">
        <f>IF(umumiy_malumot!$B$77=umumiy_malumot!$C$77,'График дифференц'!D51,IF(umumiy_malumot!$B$77=umumiy_malumot!$D$77,'График аннуитет.'!D51))</f>
        <v>0</v>
      </c>
      <c r="E52" s="34">
        <f>IF(umumiy_malumot!$B$77=umumiy_malumot!$C$77,'График дифференц'!E51,IF(umumiy_malumot!$B$77=umumiy_malumot!$D$77,'График аннуитет.'!E51))</f>
        <v>0</v>
      </c>
      <c r="F52" s="34">
        <f>IF(umumiy_malumot!$B$77=umumiy_malumot!$C$77,'График дифференц'!F51,IF(umumiy_malumot!$B$77=umumiy_malumot!$D$77,'График аннуитет.'!F51))</f>
        <v>0</v>
      </c>
    </row>
    <row r="53" spans="1:6" s="37" customFormat="1" ht="16.5" hidden="1" customHeight="1" x14ac:dyDescent="0.25">
      <c r="A53" s="18">
        <f t="shared" si="1"/>
        <v>45</v>
      </c>
      <c r="B53" s="33" t="str">
        <f>IF('График дифференц'!B52=FALSE,"",'График дифференц'!B52)</f>
        <v/>
      </c>
      <c r="C53" s="34">
        <f>IF(umumiy_malumot!$B$77=umumiy_malumot!$C$77,'График дифференц'!C52,IF(umumiy_malumot!$B$77=umumiy_malumot!$D$77,'График аннуитет.'!C52))</f>
        <v>0</v>
      </c>
      <c r="D53" s="34">
        <f>IF(umumiy_malumot!$B$77=umumiy_malumot!$C$77,'График дифференц'!D52,IF(umumiy_malumot!$B$77=umumiy_malumot!$D$77,'График аннуитет.'!D52))</f>
        <v>0</v>
      </c>
      <c r="E53" s="34">
        <f>IF(umumiy_malumot!$B$77=umumiy_malumot!$C$77,'График дифференц'!E52,IF(umumiy_malumot!$B$77=umumiy_malumot!$D$77,'График аннуитет.'!E52))</f>
        <v>0</v>
      </c>
      <c r="F53" s="34">
        <f>IF(umumiy_malumot!$B$77=umumiy_malumot!$C$77,'График дифференц'!F52,IF(umumiy_malumot!$B$77=umumiy_malumot!$D$77,'График аннуитет.'!F52))</f>
        <v>0</v>
      </c>
    </row>
    <row r="54" spans="1:6" s="37" customFormat="1" ht="20.25" hidden="1" customHeight="1" x14ac:dyDescent="0.25">
      <c r="A54" s="18">
        <f t="shared" si="1"/>
        <v>46</v>
      </c>
      <c r="B54" s="33" t="str">
        <f>IF('График дифференц'!B53=FALSE,"",'График дифференц'!B53)</f>
        <v/>
      </c>
      <c r="C54" s="34">
        <f>IF(umumiy_malumot!$B$77=umumiy_malumot!$C$77,'График дифференц'!C53,IF(umumiy_malumot!$B$77=umumiy_malumot!$D$77,'График аннуитет.'!C53))</f>
        <v>0</v>
      </c>
      <c r="D54" s="34">
        <f>IF(umumiy_malumot!$B$77=umumiy_malumot!$C$77,'График дифференц'!D53,IF(umumiy_malumot!$B$77=umumiy_malumot!$D$77,'График аннуитет.'!D53))</f>
        <v>0</v>
      </c>
      <c r="E54" s="34">
        <f>IF(umumiy_malumot!$B$77=umumiy_malumot!$C$77,'График дифференц'!E53,IF(umumiy_malumot!$B$77=umumiy_malumot!$D$77,'График аннуитет.'!E53))</f>
        <v>0</v>
      </c>
      <c r="F54" s="34">
        <f>IF(umumiy_malumot!$B$77=umumiy_malumot!$C$77,'График дифференц'!F53,IF(umumiy_malumot!$B$77=umumiy_malumot!$D$77,'График аннуитет.'!F53))</f>
        <v>0</v>
      </c>
    </row>
    <row r="55" spans="1:6" s="37" customFormat="1" ht="16.5" hidden="1" customHeight="1" x14ac:dyDescent="0.25">
      <c r="A55" s="18">
        <f t="shared" si="1"/>
        <v>47</v>
      </c>
      <c r="B55" s="33" t="str">
        <f>IF('График дифференц'!B54=FALSE,"",'График дифференц'!B54)</f>
        <v/>
      </c>
      <c r="C55" s="34">
        <f>IF(umumiy_malumot!$B$77=umumiy_malumot!$C$77,'График дифференц'!C54,IF(umumiy_malumot!$B$77=umumiy_malumot!$D$77,'График аннуитет.'!C54))</f>
        <v>0</v>
      </c>
      <c r="D55" s="34">
        <f>IF(umumiy_malumot!$B$77=umumiy_malumot!$C$77,'График дифференц'!D54,IF(umumiy_malumot!$B$77=umumiy_malumot!$D$77,'График аннуитет.'!D54))</f>
        <v>0</v>
      </c>
      <c r="E55" s="34">
        <f>IF(umumiy_malumot!$B$77=umumiy_malumot!$C$77,'График дифференц'!E54,IF(umumiy_malumot!$B$77=umumiy_malumot!$D$77,'График аннуитет.'!E54))</f>
        <v>0</v>
      </c>
      <c r="F55" s="34">
        <f>IF(umumiy_malumot!$B$77=umumiy_malumot!$C$77,'График дифференц'!F54,IF(umumiy_malumot!$B$77=umumiy_malumot!$D$77,'График аннуитет.'!F54))</f>
        <v>0</v>
      </c>
    </row>
    <row r="56" spans="1:6" s="37" customFormat="1" ht="17.25" hidden="1" customHeight="1" x14ac:dyDescent="0.25">
      <c r="A56" s="18">
        <f t="shared" si="1"/>
        <v>48</v>
      </c>
      <c r="B56" s="33" t="str">
        <f>IF('График дифференц'!B55=FALSE,"",'График дифференц'!B55)</f>
        <v/>
      </c>
      <c r="C56" s="34">
        <f>IF(umumiy_malumot!$B$77=umumiy_malumot!$C$77,'График дифференц'!C55,IF(umumiy_malumot!$B$77=umumiy_malumot!$D$77,'График аннуитет.'!C55))</f>
        <v>0</v>
      </c>
      <c r="D56" s="34">
        <f>IF(umumiy_malumot!$B$77=umumiy_malumot!$C$77,'График дифференц'!D55,IF(umumiy_malumot!$B$77=umumiy_malumot!$D$77,'График аннуитет.'!D55))</f>
        <v>0</v>
      </c>
      <c r="E56" s="34">
        <f>IF(umumiy_malumot!$B$77=umumiy_malumot!$C$77,'График дифференц'!E55,IF(umumiy_malumot!$B$77=umumiy_malumot!$D$77,'График аннуитет.'!E55))</f>
        <v>0</v>
      </c>
      <c r="F56" s="34">
        <f>IF(umumiy_malumot!$B$77=umumiy_malumot!$C$77,'График дифференц'!F55,IF(umumiy_malumot!$B$77=umumiy_malumot!$D$77,'График аннуитет.'!F55))</f>
        <v>0</v>
      </c>
    </row>
    <row r="57" spans="1:6" ht="15" customHeight="1" x14ac:dyDescent="0.25">
      <c r="A57" s="46"/>
      <c r="B57" s="47" t="s">
        <v>204</v>
      </c>
      <c r="C57" s="48"/>
      <c r="D57" s="48">
        <f>SUM(D9:D56)</f>
        <v>33000000</v>
      </c>
      <c r="E57" s="48">
        <f>SUM(E9:E56)</f>
        <v>28402509.840000004</v>
      </c>
      <c r="F57" s="48">
        <f>SUM(F9:F56)</f>
        <v>61402509.839999966</v>
      </c>
    </row>
    <row r="58" spans="1:6" ht="14.25" customHeight="1" x14ac:dyDescent="0.25">
      <c r="B58" s="35"/>
      <c r="C58" s="36"/>
      <c r="D58" s="36"/>
      <c r="E58" s="36"/>
      <c r="F58" s="36"/>
    </row>
    <row r="59" spans="1:6" ht="47.25" customHeight="1" x14ac:dyDescent="0.25">
      <c r="A59" s="243" t="str">
        <f>"*"&amp;umumiy_malumot!C64&amp;" bo‘yicha to‘lovlar to‘lov jadvalida ko‘rsatilmagan sanalarda to‘langan taqdirda, to‘lov summasi mikroqarz shartnomasining 2.4.-bandiga muvofiq "&amp;umumiy_malumot!B65&amp;" qoldig‘iga hisoblangan foizlar summasiga o‘zgartiriladi."</f>
        <v>*Mikroqarz bo‘yicha to‘lovlar to‘lov jadvalida ko‘rsatilmagan sanalarda to‘langan taqdirda, to‘lov summasi mikroqarz shartnomasining 2.4.-bandiga muvofiq mikroqarz qoldig‘iga hisoblangan foizlar summasiga o‘zgartiriladi.</v>
      </c>
      <c r="B59" s="243"/>
      <c r="C59" s="243"/>
      <c r="D59" s="243"/>
      <c r="E59" s="243"/>
      <c r="F59" s="243"/>
    </row>
    <row r="60" spans="1:6" ht="7.5" customHeight="1" x14ac:dyDescent="0.25"/>
    <row r="61" spans="1:6" ht="15" customHeight="1" x14ac:dyDescent="0.25">
      <c r="A61" s="252" t="s">
        <v>267</v>
      </c>
      <c r="B61" s="252"/>
      <c r="C61" s="252"/>
      <c r="D61" s="252" t="s">
        <v>275</v>
      </c>
      <c r="E61" s="252"/>
      <c r="F61" s="252"/>
    </row>
    <row r="62" spans="1:6" ht="11.25" customHeight="1" x14ac:dyDescent="0.25">
      <c r="A62" s="253"/>
      <c r="B62" s="253"/>
      <c r="C62" s="253"/>
      <c r="D62" s="253"/>
      <c r="E62" s="253"/>
      <c r="F62" s="253"/>
    </row>
    <row r="63" spans="1:6" ht="30" customHeight="1" x14ac:dyDescent="0.25">
      <c r="A63" s="254" t="str">
        <f>shartnoma!A117</f>
        <v>«PULLOL BUSINESS MIKROMOLIYA TASHKILOTI»  MChJ</v>
      </c>
      <c r="B63" s="254"/>
      <c r="C63" s="254"/>
      <c r="D63" s="254" t="str">
        <f>shartnoma!B117</f>
        <v>TURAYEV ISROIL BURIYEVICH</v>
      </c>
      <c r="E63" s="254"/>
      <c r="F63" s="254"/>
    </row>
    <row r="64" spans="1:6" ht="47.25" customHeight="1" x14ac:dyDescent="0.25">
      <c r="A64" s="251" t="str">
        <f>shartnoma!A119</f>
        <v>Manzil: Toshkent shahri, Yakkasaroy tumani, Rakat ko'chasi, 10-uy, 18 xonadon</v>
      </c>
      <c r="B64" s="251"/>
      <c r="C64" s="251"/>
      <c r="D64" s="251" t="str">
        <f>shartnoma!B119</f>
        <v>Manzil: BUXORO VILOYATI KOGON SHAHRI ZAFAROBOD 17-UY</v>
      </c>
      <c r="E64" s="251"/>
      <c r="F64" s="251"/>
    </row>
    <row r="65" spans="1:6" ht="15" customHeight="1" x14ac:dyDescent="0.25">
      <c r="A65" s="251" t="str">
        <f>shartnoma!A120</f>
        <v>h/r: № 20208000405643889001</v>
      </c>
      <c r="B65" s="251"/>
      <c r="C65" s="251"/>
      <c r="D65" s="251" t="str">
        <f>shartnoma!B121</f>
        <v>pasport seriyasi: AD 6760672, IIV 61013 tomonidan 08.04.2024 yilda berilgan</v>
      </c>
      <c r="E65" s="251"/>
      <c r="F65" s="251"/>
    </row>
    <row r="66" spans="1:6" ht="32.25" customHeight="1" x14ac:dyDescent="0.25">
      <c r="A66" s="251" t="str">
        <f>shartnoma!A121</f>
        <v>MFO: №01088 в ATB “Kapitalbank” Markaziy amaliyotlar bo'limi</v>
      </c>
      <c r="B66" s="251"/>
      <c r="C66" s="251"/>
      <c r="D66" s="251"/>
      <c r="E66" s="251"/>
      <c r="F66" s="251"/>
    </row>
    <row r="67" spans="1:6" ht="15" customHeight="1" x14ac:dyDescent="0.25">
      <c r="A67" s="251" t="str">
        <f>shartnoma!A122</f>
        <v>STIR: 310430149</v>
      </c>
      <c r="B67" s="251"/>
      <c r="C67" s="251"/>
      <c r="D67" s="251" t="str">
        <f>shartnoma!B122</f>
        <v>Tel: 91 923 50 54 MIJOZ</v>
      </c>
      <c r="E67" s="251"/>
      <c r="F67" s="251"/>
    </row>
    <row r="68" spans="1:6" ht="15" customHeight="1" x14ac:dyDescent="0.25">
      <c r="A68" s="251" t="str">
        <f>shartnoma!A123</f>
        <v>Tel: (55) 510 02 16</v>
      </c>
      <c r="B68" s="251"/>
      <c r="C68" s="251"/>
      <c r="D68" s="251" t="str">
        <f>shartnoma!B123</f>
        <v>50 377 80 88 OTASI TO'LOVCHI</v>
      </c>
      <c r="E68" s="251"/>
      <c r="F68" s="251"/>
    </row>
    <row r="69" spans="1:6" ht="15" customHeight="1" x14ac:dyDescent="0.25">
      <c r="A69" s="251" t="str">
        <f>shartnoma!A124</f>
        <v>(97) 714 14 17</v>
      </c>
      <c r="B69" s="251"/>
      <c r="C69" s="251"/>
      <c r="D69" s="251" t="str">
        <f>shartnoma!B124</f>
        <v>93 000 16 05 O'G'LI</v>
      </c>
      <c r="E69" s="251"/>
      <c r="F69" s="251"/>
    </row>
    <row r="70" spans="1:6" ht="23.25" customHeight="1" x14ac:dyDescent="0.25">
      <c r="A70" s="251" t="str">
        <f>shartnoma!A125</f>
        <v>(97) 706 96 65</v>
      </c>
      <c r="B70" s="251"/>
      <c r="C70" s="251"/>
      <c r="D70" s="251" t="str">
        <f>IF(shartnoma!B125=0,"",shartnoma!B125)</f>
        <v/>
      </c>
      <c r="E70" s="251"/>
      <c r="F70" s="251"/>
    </row>
    <row r="71" spans="1:6" ht="29.25" customHeight="1" x14ac:dyDescent="0.25">
      <c r="A71" s="275" t="str">
        <f>umumiy_malumot!A150</f>
        <v>Buxoro filiali boshlig'i</v>
      </c>
      <c r="B71" s="275"/>
      <c r="C71" s="275"/>
      <c r="D71" s="254" t="str">
        <f>shartnoma!B127</f>
        <v>TURAYEV I.B.     __________________</v>
      </c>
      <c r="E71" s="254"/>
      <c r="F71" s="254"/>
    </row>
    <row r="72" spans="1:6" ht="15" customHeight="1" x14ac:dyDescent="0.25">
      <c r="A72" s="251"/>
      <c r="B72" s="251"/>
      <c r="C72" s="251"/>
      <c r="D72" s="254"/>
      <c r="E72" s="254"/>
      <c r="F72" s="254"/>
    </row>
    <row r="73" spans="1:6" x14ac:dyDescent="0.25">
      <c r="A73" s="275" t="str">
        <f>shartnoma!A129</f>
        <v>IKROMOV B.A.     __________________</v>
      </c>
      <c r="B73" s="275"/>
      <c r="C73" s="275"/>
      <c r="D73" s="254"/>
      <c r="E73" s="254"/>
      <c r="F73" s="254"/>
    </row>
    <row r="74" spans="1:6" ht="8.25" customHeight="1" x14ac:dyDescent="0.25">
      <c r="A74" s="251"/>
      <c r="B74" s="251"/>
      <c r="C74" s="251"/>
      <c r="D74" s="251"/>
      <c r="E74" s="251"/>
      <c r="F74" s="251"/>
    </row>
    <row r="75" spans="1:6" ht="30" customHeight="1" x14ac:dyDescent="0.25">
      <c r="A75" s="256"/>
      <c r="B75" s="256"/>
      <c r="C75" s="256"/>
      <c r="D75" s="257"/>
      <c r="E75" s="257"/>
      <c r="F75" s="257"/>
    </row>
    <row r="76" spans="1:6" x14ac:dyDescent="0.25">
      <c r="A76" s="258"/>
      <c r="B76" s="258"/>
      <c r="C76" s="258"/>
      <c r="D76" s="258"/>
      <c r="E76" s="258"/>
      <c r="F76" s="258"/>
    </row>
    <row r="77" spans="1:6" x14ac:dyDescent="0.25">
      <c r="A77" s="255"/>
      <c r="B77" s="255"/>
      <c r="C77" s="255"/>
      <c r="D77" s="255"/>
      <c r="E77" s="255"/>
      <c r="F77" s="255"/>
    </row>
  </sheetData>
  <mergeCells count="42">
    <mergeCell ref="H12:P24"/>
    <mergeCell ref="A77:C77"/>
    <mergeCell ref="D77:F77"/>
    <mergeCell ref="A74:C74"/>
    <mergeCell ref="D74:F74"/>
    <mergeCell ref="A75:C75"/>
    <mergeCell ref="D75:F75"/>
    <mergeCell ref="A76:C76"/>
    <mergeCell ref="D76:F76"/>
    <mergeCell ref="A71:C71"/>
    <mergeCell ref="D71:F71"/>
    <mergeCell ref="A72:C72"/>
    <mergeCell ref="D72:F72"/>
    <mergeCell ref="A73:C73"/>
    <mergeCell ref="D73:F73"/>
    <mergeCell ref="A68:C68"/>
    <mergeCell ref="D68:F68"/>
    <mergeCell ref="A69:C69"/>
    <mergeCell ref="D69:F69"/>
    <mergeCell ref="A70:C70"/>
    <mergeCell ref="D70:F70"/>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E2:F2"/>
    <mergeCell ref="A5:F5"/>
    <mergeCell ref="A7:A8"/>
    <mergeCell ref="B7:B8"/>
    <mergeCell ref="C7:C8"/>
    <mergeCell ref="D7:F7"/>
    <mergeCell ref="E3:F3"/>
  </mergeCells>
  <conditionalFormatting sqref="B9:B56">
    <cfRule type="cellIs" dxfId="4" priority="2" operator="lessThan">
      <formula>22105</formula>
    </cfRule>
  </conditionalFormatting>
  <conditionalFormatting sqref="C9:F56">
    <cfRule type="cellIs" dxfId="3" priority="1" operator="lessThan">
      <formula>0.1</formula>
    </cfRule>
  </conditionalFormatting>
  <printOptions horizontalCentered="1"/>
  <pageMargins left="0.70866141732283472" right="0.70866141732283472" top="0.59055118110236227" bottom="0.35433070866141736" header="0.31496062992125984" footer="0.31496062992125984"/>
  <pageSetup paperSize="9" scale="77"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A51" sqref="A51:C51"/>
    </sheetView>
  </sheetViews>
  <sheetFormatPr defaultColWidth="9.109375" defaultRowHeight="13.8" outlineLevelRow="1" x14ac:dyDescent="0.25"/>
  <cols>
    <col min="1" max="1" width="28.44140625" style="15" customWidth="1"/>
    <col min="2" max="2" width="22.88671875" style="15" customWidth="1"/>
    <col min="3" max="3" width="22.44140625" style="15" customWidth="1"/>
    <col min="4" max="4" width="21.44140625" style="15" customWidth="1"/>
    <col min="5" max="5" width="23.6640625" style="15" customWidth="1"/>
    <col min="6" max="16384" width="9.109375" style="15"/>
  </cols>
  <sheetData>
    <row r="1" spans="1:5" ht="106.5" customHeight="1" x14ac:dyDescent="0.25"/>
    <row r="2" spans="1:5" x14ac:dyDescent="0.25">
      <c r="A2" s="247" t="str">
        <f>"GAROV PREDMETI QIYMATINI KELISHISH 
№"&amp;umumiy_malumot!B141&amp;" SONLI DALOLATNOMASI
 "</f>
        <v xml:space="preserve">GAROV PREDMETI QIYMATINI KELISHISH 
№1 SONLI DALOLATNOMASI
 </v>
      </c>
      <c r="B2" s="247"/>
      <c r="C2" s="247"/>
      <c r="D2" s="247"/>
      <c r="E2" s="247"/>
    </row>
    <row r="3" spans="1:5" x14ac:dyDescent="0.25">
      <c r="A3" s="40"/>
      <c r="B3" s="40"/>
      <c r="C3" s="40"/>
      <c r="D3" s="40"/>
      <c r="E3" s="40"/>
    </row>
    <row r="4" spans="1:5" x14ac:dyDescent="0.25">
      <c r="A4" s="37" t="s">
        <v>202</v>
      </c>
      <c r="B4" s="37"/>
      <c r="C4" s="37"/>
      <c r="D4" s="37"/>
      <c r="E4" s="37" t="str">
        <f>umumiy_malumot!B142</f>
        <v>6 yanvar 2026 y.</v>
      </c>
    </row>
    <row r="5" spans="1:5" ht="9" customHeight="1" x14ac:dyDescent="0.25">
      <c r="A5" s="243"/>
      <c r="B5" s="243"/>
      <c r="C5" s="243"/>
      <c r="D5" s="243"/>
      <c r="E5" s="243"/>
    </row>
    <row r="6" spans="1:5" ht="87" customHeight="1" x14ac:dyDescent="0.25">
      <c r="A6" s="243" t="str">
        <f>IF(umumiy_malumot!B103="avtotransport",dalolatnoma!A10:E10,dalolatnoma!A7:E7)</f>
        <v>«PULLOL BUSINESS MIKROMOLIYA TASHKILOTI»  MChJning (1-tomon) vakili bo‘lgan  Buxoro filiali boshlig'i IKROMOV B.A., O‘zbekiston Respublikasi fuqarosi TURAYEV ISROIL BURIYEVICH (2-tomon) va garovga beruvchi O‘zbekiston Respublikasi fuqarosi USMONOV NURIDDID IXTIYOROVICH (3-tomon) o’rtalarida, 6 yanvar 2026 y.dan №3-BR-sonli Mikroqarz shartnomasiga muvofiq 1-tomon 2-tomonga berilgan mikroqarz bo‘yicha ta’minot sifatida taqdim etilgan, 3-tomonga mulk huquqi asosida tegishli bo‘lgan mulkning garov qiymatini kelishish muzokaralari o’tkazildi.</v>
      </c>
      <c r="B6" s="243"/>
      <c r="C6" s="243"/>
      <c r="D6" s="243"/>
      <c r="E6" s="243"/>
    </row>
    <row r="7" spans="1:5" ht="88.5" hidden="1" customHeight="1" x14ac:dyDescent="0.25">
      <c r="A7" s="243" t="str">
        <f>IF(umumiy_malumot!B93="ha",dalolatnoma!A9:E9,dalolatnoma!A8:E8)</f>
        <v xml:space="preserve">«PULLOL BUSINESS MIKROMOLIYA TASHKILOTI»  MChJning (1-tomon) vakili bo‘lgan  Buxoro filiali boshlig'i IKROMOV B.A., va O‘zbekiston Respublikasi fuqarosi  TURAYEV ISROIL BURIYEVICH (2-tomon) va garov egasi 0 (3-tomon) 6 yanvar 2026 y.dan №3-BR Mikroqarz shartnomasiga muvofiq 1-tomon 2-tomonga berilgan mikroqarz bo‘yicha ta’minot sifatida taqdim etilgan, 2-tomonga mulk huquqi asosida tegishli bo‘lgan mulkning garov qiymatini kelishish muzokaralari o’tkazildi. </v>
      </c>
      <c r="B7" s="243"/>
      <c r="C7" s="243"/>
      <c r="D7" s="243"/>
      <c r="E7" s="243"/>
    </row>
    <row r="8" spans="1:5" ht="88.5" hidden="1" customHeight="1" x14ac:dyDescent="0.25">
      <c r="A8" s="243"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Buxoro filiali boshlig'i IKROMOV B.A., va O‘zbekiston Respublikasi fuqarosi  TURAYEV ISROIL BURIYEVICH (2-tomon) va garov egasi 0 (3-tomon) 6 yanvar 2026 y.dan №3-BR Mikroqarz shartnomasiga muvofiq 1-tomon 2-tomonga berilgan mikroqarz bo‘yicha ta’minot sifatida taqdim etilgan, 2-tomonga mulk huquqi asosida tegishli bo‘lgan mulkning garov qiymatini kelishish muzokaralari o’tkazildi. </v>
      </c>
      <c r="B8" s="243"/>
      <c r="C8" s="243"/>
      <c r="D8" s="243"/>
      <c r="E8" s="243"/>
    </row>
    <row r="9" spans="1:5" ht="88.5" hidden="1" customHeight="1" x14ac:dyDescent="0.25">
      <c r="A9" s="243"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Buxoro filiali boshlig'i IKROMOV B.A., va O‘zbekiston Respublikasi fuqarosi  TURAYEV ISROIL BURIYEVICH (2-tomon) va garov egasi 0 (3-tomon) 6 yanvar 2026 y.dan №3-BR Mikroqarz shartnomasiga muvofiq 1-tomon 2-tomonga berilgan mikroqarz bo‘yicha ta’minot sifatida taqdim etilgan, 2-tomonga mulk huquqi asosida tegishli bo‘lgan mulkning garov qiymatini kelishish muzokaralari o’tkazildi. </v>
      </c>
      <c r="B9" s="243"/>
      <c r="C9" s="243"/>
      <c r="D9" s="243"/>
      <c r="E9" s="243"/>
    </row>
    <row r="10" spans="1:5" ht="88.5" hidden="1" customHeight="1" x14ac:dyDescent="0.25">
      <c r="A10" s="243" t="str">
        <f>IF(umumiy_malumot!B93="ha",dalolatnoma!A12:E12,dalolatnoma!A11:E11)</f>
        <v>«PULLOL BUSINESS MIKROMOLIYA TASHKILOTI»  MChJning (1-tomon) vakili bo‘lgan  Buxoro filiali boshlig'i IKROMOV B.A., O‘zbekiston Respublikasi fuqarosi TURAYEV ISROIL BURIYEVICH (2-tomon) va garovga beruvchi O‘zbekiston Respublikasi fuqarosi USMONOV NURIDDID IXTIYOROVICH (3-tomon) o’rtalarida, 6 yanvar 2026 y.dan №3-BR-sonli Mikroqarz shartnomasiga muvofiq 1-tomon 2-tomonga berilgan mikroqarz bo‘yicha ta’minot sifatida taqdim etilgan, 3-tomonga mulk huquqi asosida tegishli bo‘lgan mulkning garov qiymatini kelishish muzokaralari o’tkazildi.</v>
      </c>
      <c r="B10" s="243"/>
      <c r="C10" s="243"/>
      <c r="D10" s="243"/>
      <c r="E10" s="243"/>
    </row>
    <row r="11" spans="1:5" ht="88.5" hidden="1" customHeight="1" x14ac:dyDescent="0.25">
      <c r="A11" s="243" t="str">
        <f>""&amp;umumiy_malumot!B147&amp;"ning (1-tomon) vakili bo‘lgan  "&amp;umumiy_malumot!A150&amp;" "&amp;umumiy_malumot!B150&amp;", O‘zbekiston Respublikasi fuqarosi "&amp;umumiy_malumot!B5&amp;" (2-tomon) va garovga beruvchi O‘zbekiston Respublikasi fuqarosi "&amp;umumiy_malumot!B117&amp;"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Buxoro filiali boshlig'i IKROMOV B.A., O‘zbekiston Respublikasi fuqarosi TURAYEV ISROIL BURIYEVICH (2-tomon) va garovga beruvchi O‘zbekiston Respublikasi fuqarosi USMONOV NURIDDID IXTIYOROVICH (3-tomon) o’rtalarida, 6 yanvar 2026 y.dan №3-BR-sonli Mikroqarz shartnomasiga muvofiq 1-tomon 2-tomonga berilgan mikroqarz bo‘yicha ta’minot sifatida taqdim etilgan, 3-tomonga mulk huquqi asosida tegishli bo‘lgan mulkning garov qiymatini kelishish muzokaralari o’tkazildi.</v>
      </c>
      <c r="B11" s="243"/>
      <c r="C11" s="243"/>
      <c r="D11" s="243"/>
      <c r="E11" s="243"/>
    </row>
    <row r="12" spans="1:5" ht="88.5" hidden="1" customHeight="1" x14ac:dyDescent="0.25">
      <c r="A12" s="243" t="str">
        <f>""&amp;umumiy_malumot!B147&amp;"ning (1-tomon) vakili bo‘lgan  "&amp;umumiy_malumot!A150&amp;" "&amp;umumiy_malumot!B150&amp;",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Buxoro filiali boshlig'i IKROMOV B.A., O‘zbekiston Respublikasi fuqarosi va garovga beruvchi TURAYEV ISROIL BURIYEVICH (2-tomon) o’rtalarida, 6 yanvar 2026 y.dan №3-BR-sonli Mikroqarz shartnomasiga muvofiq 1-tomon 2-tomonga berilgan mikroqarz bo‘yicha ta’minot sifatida taqdim etilgan, 2-tomonga mulk huquqi asosida tegishli bo‘lgan mulkning garov qiymatini kelishish muzokaralari o’tkazildi.</v>
      </c>
      <c r="B12" s="243"/>
      <c r="C12" s="243"/>
      <c r="D12" s="243"/>
      <c r="E12" s="243"/>
    </row>
    <row r="13" spans="1:5" ht="88.5" hidden="1" customHeight="1" x14ac:dyDescent="0.25">
      <c r="A13" s="243" t="str">
        <f>"Garov predmeti sifatida "&amp;umumiy_malumot!B125&amp;", 3-tomonga egalik huquqi tegishli bo'lgan, quyidagi tafsilotlarga ega avtotransport vositasi taqdim etiladi:"</f>
        <v>Garov predmeti sifatida COBALT, 3-tomonga egalik huquqi tegishli bo'lgan, quyidagi tafsilotlarga ega avtotransport vositasi taqdim etiladi:</v>
      </c>
      <c r="B13" s="243"/>
      <c r="C13" s="243"/>
      <c r="D13" s="243"/>
      <c r="E13" s="243"/>
    </row>
    <row r="14" spans="1:5" ht="88.5" hidden="1" customHeight="1" x14ac:dyDescent="0.25">
      <c r="A14" s="243" t="str">
        <f>"Garov predmeti sifatida "&amp;umumiy_malumot!B125&amp;", 2-tomonga egalik huquqi tegishli bo'lgan, quyidagi tafsilotlarga ega avtotransport vositasi taqdim etiladi:"</f>
        <v>Garov predmeti sifatida COBALT, 2-tomonga egalik huquqi tegishli bo'lgan, quyidagi tafsilotlarga ega avtotransport vositasi taqdim etiladi:</v>
      </c>
      <c r="B14" s="243"/>
      <c r="C14" s="243"/>
      <c r="D14" s="243"/>
      <c r="E14" s="243"/>
    </row>
    <row r="15" spans="1:5" ht="88.5" hidden="1" customHeight="1" x14ac:dyDescent="0.25">
      <c r="A15" s="243" t="str">
        <f>IF(umumiy_malumot!B93="ha",dalolatnoma!A14:E14,dalolatnoma!A13:E13)</f>
        <v>Garov predmeti sifatida COBALT, 3-tomonga egalik huquqi tegishli bo'lgan, quyidagi tafsilotlarga ega avtotransport vositasi taqdim etiladi:</v>
      </c>
      <c r="B15" s="243"/>
      <c r="C15" s="243"/>
      <c r="D15" s="243"/>
      <c r="E15" s="243"/>
    </row>
    <row r="16" spans="1:5" ht="88.5" hidden="1" customHeight="1" x14ac:dyDescent="0.25">
      <c r="A16" s="243" t="str">
        <f>"Garov predmeti sifatida "&amp;umumiy_malumot!C126&amp;", 2-tomonga egalik huquqi tegishli bo'lgan, quyidagi tafsilotlarga ega ko'chmas mulk taqdim etiladi:"</f>
        <v>Garov predmeti sifatida 3 - xonali yakka tartibdagi uy-joy, 2-tomonga egalik huquqi tegishli bo'lgan, quyidagi tafsilotlarga ega ko'chmas mulk taqdim etiladi:</v>
      </c>
      <c r="B16" s="243"/>
      <c r="C16" s="243"/>
      <c r="D16" s="243"/>
      <c r="E16" s="243"/>
    </row>
    <row r="17" spans="1:5" ht="13.5" hidden="1" customHeight="1" x14ac:dyDescent="0.25">
      <c r="A17" s="243" t="str">
        <f>"Garov predmeti sifatida "&amp;umumiy_malumot!C126&amp;", 3-tomonga egalik huquqi tegishli bo'lgan, quyidagi tafsilotlarga ega ko'chmas mulk taqdim etiladi:"</f>
        <v>Garov predmeti sifatida 3 - xonali yakka tartibdagi uy-joy, 3-tomonga egalik huquqi tegishli bo'lgan, quyidagi tafsilotlarga ega ko'chmas mulk taqdim etiladi:</v>
      </c>
      <c r="B17" s="243"/>
      <c r="C17" s="243"/>
      <c r="D17" s="243"/>
      <c r="E17" s="243"/>
    </row>
    <row r="18" spans="1:5" ht="11.25" hidden="1" customHeight="1" x14ac:dyDescent="0.25">
      <c r="A18" s="243" t="str">
        <f>IF(umumiy_malumot!B93="ha",dalolatnoma!A16:E16,dalolatnoma!A17:E17)</f>
        <v>Garov predmeti sifatida 3 - xonali yakka tartibdagi uy-joy, 3-tomonga egalik huquqi tegishli bo'lgan, quyidagi tafsilotlarga ega ko'chmas mulk taqdim etiladi:</v>
      </c>
      <c r="B18" s="243"/>
      <c r="C18" s="243"/>
      <c r="D18" s="243"/>
      <c r="E18" s="243"/>
    </row>
    <row r="19" spans="1:5" ht="39.75" customHeight="1" x14ac:dyDescent="0.25">
      <c r="A19" s="243" t="str">
        <f>IF(umumiy_malumot!B103="Avtotransport",dalolatnoma!A15:E15,dalolatnoma!A18:E18)</f>
        <v>Garov predmeti sifatida COBALT, 3-tomonga egalik huquqi tegishli bo'lgan, quyidagi tafsilotlarga ega avtotransport vositasi taqdim etiladi:</v>
      </c>
      <c r="B19" s="243"/>
      <c r="C19" s="243"/>
      <c r="D19" s="243"/>
      <c r="E19" s="243"/>
    </row>
    <row r="20" spans="1:5" ht="48" customHeight="1" outlineLevel="1" x14ac:dyDescent="0.25">
      <c r="A20" s="39" t="s">
        <v>200</v>
      </c>
      <c r="B20" s="281" t="str">
        <f>IF(umumiy_malumot!B103=umumiy_malumot!C103,"Kuzov turi  va kuzov raqami*","Foydali maydoni")</f>
        <v>Kuzov turi  va kuzov raqami*</v>
      </c>
      <c r="C20" s="282"/>
      <c r="D20" s="39" t="str">
        <f>IF(umumiy_malumot!B103=umumiy_malumot!C103,"Dvigatel va shassi raqami*","Yashash maydoni")</f>
        <v>Dvigatel va shassi raqami*</v>
      </c>
      <c r="E20" s="39" t="str">
        <f>IF(umumiy_malumot!B103=umumiy_malumot!C103,"Ishlab chiqarilgan yili va rangi**","Umumiy maydoni")</f>
        <v>Ishlab chiqarilgan yili va rangi**</v>
      </c>
    </row>
    <row r="21" spans="1:5" ht="65.25" customHeight="1" outlineLevel="1" x14ac:dyDescent="0.25">
      <c r="A21" s="17" t="str">
        <f>IF(umumiy_malumot!B103=umumiy_malumot!C103,umumiy_malumot!B125,umumiy_malumot!C125)</f>
        <v>COBALT</v>
      </c>
      <c r="B21" s="249" t="str">
        <f>IF(umumiy_malumot!B103=umumiy_malumot!C103,umumiy_malumot!B127,CONCATENATE(umumiy_malumot!G130," ","kv.m"))</f>
        <v>kuzov turi - YENGIL SEDAN, kuzov raqami XWBJF69VEGA010429</v>
      </c>
      <c r="C21" s="249"/>
      <c r="D21" s="17" t="str">
        <f>IF(umumiy_malumot!B103=umumiy_malumot!C103,umumiy_malumot!B130,umumiy_malumot!F133)</f>
        <v>dvigatel raqami B15D211163412DJCX0337, shassi raqami - RAKAMSIZ</v>
      </c>
      <c r="E21" s="17" t="str">
        <f>IF(umumiy_malumot!B103=umumiy_malumot!C103,umumiy_malumot!B133,umumiy_malumot!F130)</f>
        <v>rangi -  OQ OLIMPIYSKAYA BELAYA, ishlab chiqarilgan yili - 2016</v>
      </c>
    </row>
    <row r="22" spans="1:5" ht="17.25" customHeight="1" outlineLevel="1" x14ac:dyDescent="0.25">
      <c r="A22" s="243" t="str">
        <f>"-* "&amp;IF(umumiy_malumot!B103=umumiy_malumot!C103,"avtotransport "&amp;"egasi: "&amp;umumiy_malumot!B117&amp;"","ko'chmas mulk"&amp;" egasi: "&amp;umumiy_malumot!B117&amp;"")</f>
        <v>-* avtotransport egasi: USMONOV NURIDDID IXTIYOROVICH</v>
      </c>
      <c r="B22" s="243"/>
      <c r="C22" s="243"/>
      <c r="D22" s="243"/>
      <c r="E22" s="243"/>
    </row>
    <row r="23" spans="1:5" outlineLevel="1" x14ac:dyDescent="0.25">
      <c r="A23" s="243" t="str">
        <f>IF(umumiy_malumot!B103=umumiy_malumot!C103,"-* texnik pasport: "&amp;umumiy_malumot!B124&amp;"","-* reest raqami: "&amp;umumiy_malumot!C124&amp;"")</f>
        <v>-* texnik pasport: AAF      2401056      01.12.2020 y.</v>
      </c>
      <c r="B23" s="243"/>
      <c r="C23" s="243"/>
      <c r="D23" s="243"/>
      <c r="E23" s="243"/>
    </row>
    <row r="24" spans="1:5" s="181" customFormat="1" outlineLevel="1" x14ac:dyDescent="0.25">
      <c r="A24" s="243" t="str">
        <f>IF(umumiy_malumot!B103=umumiy_malumot!C103,"-* roʻyxatdan oʻtgan manzili/garaj manzili: "&amp;umumiy_malumot!B122&amp;"","-*  kadastr raqami: "&amp;umumiy_malumot!C127&amp;"")</f>
        <v>-* roʻyxatdan oʻtgan manzili/garaj manzili: BUXORO VILOYATI BUXORO SHAHRI CHO'LPON KO'CHASI 22-A-UY</v>
      </c>
      <c r="B24" s="243"/>
      <c r="C24" s="243"/>
      <c r="D24" s="243"/>
      <c r="E24" s="243"/>
    </row>
    <row r="25" spans="1:5" ht="33" customHeight="1" outlineLevel="1" x14ac:dyDescent="0.25">
      <c r="A25" s="243" t="str">
        <f>IF(umumiy_malumot!B103=umumiy_malumot!C103,"-* davlat raqami: "&amp;umumiy_malumot!B126&amp;"","-* manzili: "&amp;umumiy_malumot!C123&amp;"")</f>
        <v>-* davlat raqami: 80G291QA</v>
      </c>
      <c r="B25" s="243"/>
      <c r="C25" s="243"/>
      <c r="D25" s="243"/>
      <c r="E25" s="243"/>
    </row>
    <row r="26" spans="1:5" ht="65.25" customHeight="1" x14ac:dyDescent="0.25">
      <c r="A26" s="243" t="str">
        <f>IF(umumiy_malumot!B93="ha",dalolatnoma!A28:E28,dalolatnoma!A27:E27)</f>
        <v>Tomonlar o’rtasida o’tkazilgan muzokaralar natijalariga ko‘ra, 2-tomon ta’minot sifatida quyidagi tafsilotlarga ega bo’lgan garov predmetini taqdim etadi, 1-tomon esa ushbu garov predmetini  6 yanvar 2026 y.dan №3-BR mikroqarz shartnomasi bo‘yicha berilgan mikroqarz bo‘yicha  
46 200 000,00 (qirq olti million ikki yuz ming so'm) so’m bo‘lgan kelishilgan garov qiymatida qabul qiladi::</v>
      </c>
      <c r="B26" s="243"/>
      <c r="C26" s="243"/>
      <c r="D26" s="243"/>
      <c r="E26" s="243"/>
    </row>
    <row r="27" spans="1:5" ht="66" hidden="1" customHeight="1" x14ac:dyDescent="0.25">
      <c r="A27" s="243"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6 yanvar 2026 y.dan №3-BR mikroqarz shartnomasi bo‘yicha berilgan mikroqarz bo‘yicha  
46 200 000,00 (qirq olti million ikki yuz ming so'm) so’m bo‘lgan kelishilgan garov qiymatida qabul qiladi::</v>
      </c>
      <c r="B27" s="243"/>
      <c r="C27" s="243"/>
      <c r="D27" s="243"/>
      <c r="E27" s="243"/>
    </row>
    <row r="28" spans="1:5" ht="58.5" hidden="1" customHeight="1" x14ac:dyDescent="0.25">
      <c r="A28" s="243"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6 yanvar 2026 y.dan №3-BR Mikroqarz shartnomasi bo‘yicha berilgan mikroqarz bo‘yicha  
46 200 000,00 (qirq olti million ikki yuz ming so'm) so’m bo‘lgan kelishilgan garov qiymatida qabul qiladi::</v>
      </c>
      <c r="B28" s="243"/>
      <c r="C28" s="243"/>
      <c r="D28" s="243"/>
      <c r="E28" s="243"/>
    </row>
    <row r="29" spans="1:5" ht="51.75" customHeight="1" outlineLevel="1" x14ac:dyDescent="0.25">
      <c r="A29" s="39" t="s">
        <v>200</v>
      </c>
      <c r="B29" s="39" t="str">
        <f>B20</f>
        <v>Kuzov turi  va kuzov raqami*</v>
      </c>
      <c r="C29" s="39" t="str">
        <f>D20</f>
        <v>Dvigatel va shassi raqami*</v>
      </c>
      <c r="D29" s="39" t="str">
        <f>IF(umumiy_malumot!B103=umumiy_malumot!C103,"Ishlab chiqarilgan yili va rangi*","Foydalanishga topshirilgan sanasi")</f>
        <v>Ishlab chiqarilgan yili va rangi*</v>
      </c>
      <c r="E29" s="39" t="s">
        <v>201</v>
      </c>
    </row>
    <row r="30" spans="1:5" ht="76.5" customHeight="1" outlineLevel="1" x14ac:dyDescent="0.25">
      <c r="A30" s="17" t="str">
        <f>A21</f>
        <v>COBALT</v>
      </c>
      <c r="B30" s="17" t="str">
        <f>B21</f>
        <v>kuzov turi - YENGIL SEDAN, kuzov raqami XWBJF69VEGA010429</v>
      </c>
      <c r="C30" s="17" t="str">
        <f>D21</f>
        <v>dvigatel raqami B15D211163412DJCX0337, shassi raqami - RAKAMSIZ</v>
      </c>
      <c r="D30" s="17" t="str">
        <f>IF(umumiy_malumot!B103=umumiy_malumot!C103,E21,TEXT(umumiy_malumot!C135,"ДД.ММ.ГГГГ"))</f>
        <v>rangi -  OQ OLIMPIYSKAYA BELAYA, ishlab chiqarilgan yili - 2016</v>
      </c>
      <c r="E30" s="17" t="str">
        <f>""&amp;FIXED(umumiy_malumot!B136,2)&amp;" 
("&amp;umumiy_malumot!B137&amp;")"</f>
        <v>46 200 000,00 
(qirq olti million ikki yuz ming so'm)</v>
      </c>
    </row>
    <row r="31" spans="1:5" ht="16.5" customHeight="1" x14ac:dyDescent="0.25">
      <c r="A31" s="16"/>
      <c r="B31" s="16"/>
      <c r="C31" s="16"/>
      <c r="D31" s="16"/>
      <c r="E31" s="16"/>
    </row>
    <row r="32" spans="1:5" ht="56.25" hidden="1" customHeight="1" outlineLevel="1" x14ac:dyDescent="0.25">
      <c r="A32" s="39" t="s">
        <v>5</v>
      </c>
      <c r="B32" s="39" t="s">
        <v>18</v>
      </c>
      <c r="C32" s="39" t="s">
        <v>19</v>
      </c>
      <c r="D32" s="39" t="s">
        <v>20</v>
      </c>
      <c r="E32" s="39" t="s">
        <v>6</v>
      </c>
    </row>
    <row r="33" spans="1:5" ht="15.75" hidden="1" customHeight="1" outlineLevel="1" x14ac:dyDescent="0.25">
      <c r="A33" s="17" t="e">
        <f>#REF!</f>
        <v>#REF!</v>
      </c>
      <c r="B33" s="110" t="e">
        <f>#REF!</f>
        <v>#REF!</v>
      </c>
      <c r="C33" s="110" t="e">
        <f>#REF!</f>
        <v>#REF!</v>
      </c>
      <c r="D33" s="110" t="e">
        <f>#REF!</f>
        <v>#REF!</v>
      </c>
      <c r="E33" s="276" t="str">
        <f>""&amp;FIXED(umumiy_malumot!C136,2)&amp;" ("&amp;umumiy_malumot!B137&amp;")"</f>
        <v>46 200 000,00 (qirq olti million ikki yuz ming so'm)</v>
      </c>
    </row>
    <row r="34" spans="1:5" ht="15.75" hidden="1" customHeight="1" outlineLevel="1" x14ac:dyDescent="0.25">
      <c r="A34" s="17"/>
      <c r="B34" s="110"/>
      <c r="C34" s="110"/>
      <c r="D34" s="110"/>
      <c r="E34" s="277"/>
    </row>
    <row r="35" spans="1:5" ht="15.75" hidden="1" customHeight="1" outlineLevel="1" x14ac:dyDescent="0.25">
      <c r="A35" s="17" t="e">
        <f>#REF!</f>
        <v>#REF!</v>
      </c>
      <c r="B35" s="110" t="e">
        <f>#REF!</f>
        <v>#REF!</v>
      </c>
      <c r="C35" s="110" t="e">
        <f>#REF!</f>
        <v>#REF!</v>
      </c>
      <c r="D35" s="110" t="e">
        <f>#REF!</f>
        <v>#REF!</v>
      </c>
      <c r="E35" s="277"/>
    </row>
    <row r="36" spans="1:5" ht="15.75" hidden="1" customHeight="1" outlineLevel="1" x14ac:dyDescent="0.25">
      <c r="A36" s="17" t="e">
        <f>#REF!</f>
        <v>#REF!</v>
      </c>
      <c r="B36" s="110" t="e">
        <f>#REF!</f>
        <v>#REF!</v>
      </c>
      <c r="C36" s="110" t="e">
        <f>#REF!</f>
        <v>#REF!</v>
      </c>
      <c r="D36" s="110" t="e">
        <f>#REF!</f>
        <v>#REF!</v>
      </c>
      <c r="E36" s="277"/>
    </row>
    <row r="37" spans="1:5" ht="15.75" hidden="1" customHeight="1" outlineLevel="1" x14ac:dyDescent="0.25">
      <c r="A37" s="17" t="e">
        <f>#REF!</f>
        <v>#REF!</v>
      </c>
      <c r="B37" s="110" t="e">
        <f>#REF!</f>
        <v>#REF!</v>
      </c>
      <c r="C37" s="110" t="e">
        <f>#REF!</f>
        <v>#REF!</v>
      </c>
      <c r="D37" s="110" t="e">
        <f>#REF!</f>
        <v>#REF!</v>
      </c>
      <c r="E37" s="277"/>
    </row>
    <row r="38" spans="1:5" ht="15.75" hidden="1" customHeight="1" outlineLevel="1" x14ac:dyDescent="0.25">
      <c r="A38" s="17" t="e">
        <f>#REF!</f>
        <v>#REF!</v>
      </c>
      <c r="B38" s="110" t="e">
        <f>#REF!</f>
        <v>#REF!</v>
      </c>
      <c r="C38" s="110" t="e">
        <f>#REF!</f>
        <v>#REF!</v>
      </c>
      <c r="D38" s="110" t="e">
        <f>#REF!</f>
        <v>#REF!</v>
      </c>
      <c r="E38" s="277"/>
    </row>
    <row r="39" spans="1:5" ht="15.75" hidden="1" customHeight="1" outlineLevel="1" x14ac:dyDescent="0.25">
      <c r="A39" s="17" t="e">
        <f>#REF!</f>
        <v>#REF!</v>
      </c>
      <c r="B39" s="110" t="e">
        <f>#REF!</f>
        <v>#REF!</v>
      </c>
      <c r="C39" s="110" t="e">
        <f>#REF!</f>
        <v>#REF!</v>
      </c>
      <c r="D39" s="110" t="e">
        <f>#REF!</f>
        <v>#REF!</v>
      </c>
      <c r="E39" s="277"/>
    </row>
    <row r="40" spans="1:5" ht="15.75" hidden="1" customHeight="1" outlineLevel="1" x14ac:dyDescent="0.25">
      <c r="A40" s="17" t="e">
        <f>#REF!</f>
        <v>#REF!</v>
      </c>
      <c r="B40" s="110" t="e">
        <f>#REF!</f>
        <v>#REF!</v>
      </c>
      <c r="C40" s="110" t="e">
        <f>#REF!</f>
        <v>#REF!</v>
      </c>
      <c r="D40" s="110" t="e">
        <f>#REF!</f>
        <v>#REF!</v>
      </c>
      <c r="E40" s="277"/>
    </row>
    <row r="41" spans="1:5" ht="15.75" hidden="1" customHeight="1" outlineLevel="1" x14ac:dyDescent="0.25">
      <c r="A41" s="17" t="e">
        <f>#REF!</f>
        <v>#REF!</v>
      </c>
      <c r="B41" s="110" t="e">
        <f>#REF!</f>
        <v>#REF!</v>
      </c>
      <c r="C41" s="110" t="e">
        <f>#REF!</f>
        <v>#REF!</v>
      </c>
      <c r="D41" s="110" t="e">
        <f>#REF!</f>
        <v>#REF!</v>
      </c>
      <c r="E41" s="277"/>
    </row>
    <row r="42" spans="1:5" ht="15.75" hidden="1" customHeight="1" outlineLevel="1" x14ac:dyDescent="0.25">
      <c r="A42" s="17" t="e">
        <f>#REF!</f>
        <v>#REF!</v>
      </c>
      <c r="B42" s="110" t="e">
        <f>#REF!</f>
        <v>#REF!</v>
      </c>
      <c r="C42" s="110" t="e">
        <f>#REF!</f>
        <v>#REF!</v>
      </c>
      <c r="D42" s="110" t="e">
        <f>#REF!</f>
        <v>#REF!</v>
      </c>
      <c r="E42" s="277"/>
    </row>
    <row r="43" spans="1:5" ht="15.75" hidden="1" customHeight="1" outlineLevel="1" x14ac:dyDescent="0.25">
      <c r="A43" s="17" t="e">
        <f>#REF!</f>
        <v>#REF!</v>
      </c>
      <c r="B43" s="17" t="e">
        <f>#REF!</f>
        <v>#REF!</v>
      </c>
      <c r="C43" s="17" t="e">
        <f>#REF!</f>
        <v>#REF!</v>
      </c>
      <c r="D43" s="17" t="e">
        <f>#REF!</f>
        <v>#REF!</v>
      </c>
      <c r="E43" s="278"/>
    </row>
    <row r="44" spans="1:5" s="37" customFormat="1" ht="15.75" hidden="1" customHeight="1" outlineLevel="1" x14ac:dyDescent="0.25">
      <c r="A44" s="39" t="e">
        <f>#REF!</f>
        <v>#REF!</v>
      </c>
      <c r="B44" s="39" t="e">
        <f>#REF!</f>
        <v>#REF!</v>
      </c>
      <c r="C44" s="39" t="e">
        <f>#REF!</f>
        <v>#REF!</v>
      </c>
      <c r="D44" s="39" t="e">
        <f>#REF!</f>
        <v>#REF!</v>
      </c>
      <c r="E44" s="39" t="str">
        <f>FIXED(umumiy_malumot!C136,2)</f>
        <v>46 200 000,00</v>
      </c>
    </row>
    <row r="45" spans="1:5" ht="12.75" customHeight="1" collapsed="1" x14ac:dyDescent="0.25">
      <c r="A45" s="16"/>
      <c r="B45" s="16"/>
      <c r="C45" s="16"/>
      <c r="D45" s="16"/>
      <c r="E45" s="16"/>
    </row>
    <row r="46" spans="1:5" ht="93.75" hidden="1" customHeight="1" x14ac:dyDescent="0.25">
      <c r="A46" s="24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3"/>
      <c r="C46" s="243"/>
      <c r="D46" s="243"/>
      <c r="E46" s="243"/>
    </row>
    <row r="47" spans="1:5" ht="42" customHeight="1" x14ac:dyDescent="0.25">
      <c r="A47" s="243" t="s">
        <v>205</v>
      </c>
      <c r="B47" s="243"/>
      <c r="C47" s="243"/>
      <c r="D47" s="243"/>
      <c r="E47" s="243"/>
    </row>
    <row r="48" spans="1:5" ht="35.25" customHeight="1" x14ac:dyDescent="0.25">
      <c r="A48" s="243" t="str">
        <f>"Shunday qilib, garov predmetining kelishilgan garov qiymati  "&amp;FIXED(umumiy_malumot!B136)&amp;" ("&amp;umumiy_malumot!B137&amp;") so‘mni tashkil etadi."</f>
        <v>Shunday qilib, garov predmetining kelishilgan garov qiymati  46 200 000,00 (qirq olti million ikki yuz ming so'm) so‘mni tashkil etadi.</v>
      </c>
      <c r="B48" s="243"/>
      <c r="C48" s="243"/>
      <c r="D48" s="243"/>
      <c r="E48" s="243"/>
    </row>
    <row r="49" spans="1:6" ht="35.25" hidden="1" customHeight="1" x14ac:dyDescent="0.25">
      <c r="A49" s="19"/>
      <c r="B49" s="19"/>
      <c r="C49" s="19"/>
      <c r="D49" s="19">
        <f>IF(umumiy_malumot!B92=umumiy_malumot!C92,umumiy_malumot!C136,IF(umumiy_malumot!B92=umumiy_malumot!D92,'Данные для послед. Залога'!M22,0))</f>
        <v>46200000</v>
      </c>
      <c r="E49" s="19" t="str">
        <f>IF(umumiy_malumot!B92=umumiy_malumot!C92,umumiy_malumot!B137,IF(umumiy_malumot!B92=umumiy_malumot!D92,'Данные для послед. Залога'!Q22,0))</f>
        <v>qirq olti million ikki yuz ming so'm</v>
      </c>
    </row>
    <row r="50" spans="1:6" x14ac:dyDescent="0.25">
      <c r="A50" s="275" t="s">
        <v>206</v>
      </c>
      <c r="B50" s="275"/>
      <c r="C50" s="275"/>
      <c r="D50" s="22"/>
      <c r="E50" s="22"/>
    </row>
    <row r="51" spans="1:6" x14ac:dyDescent="0.25">
      <c r="A51" s="235" t="str">
        <f>umumiy_malumot!B148</f>
        <v>«PULLOL BUSINESS MIKROMOLIYA TASHKILOTI»  MChJ</v>
      </c>
      <c r="B51" s="235"/>
      <c r="C51" s="235"/>
      <c r="D51" s="166"/>
      <c r="E51" s="166"/>
    </row>
    <row r="52" spans="1:6" ht="15" customHeight="1" x14ac:dyDescent="0.25">
      <c r="A52" s="235" t="str">
        <f>""&amp;umumiy_malumot!A150&amp;""</f>
        <v>Buxoro filiali boshlig'i</v>
      </c>
      <c r="B52" s="235"/>
      <c r="C52" s="235"/>
      <c r="D52" s="275" t="str">
        <f>"_______________   "&amp;umumiy_malumot!B150&amp;""</f>
        <v>_______________   IKROMOV B.A.</v>
      </c>
      <c r="E52" s="275"/>
    </row>
    <row r="53" spans="1:6" x14ac:dyDescent="0.25">
      <c r="A53" s="53"/>
      <c r="B53" s="53"/>
      <c r="C53" s="53"/>
      <c r="D53" s="53"/>
      <c r="E53" s="53"/>
    </row>
    <row r="54" spans="1:6" x14ac:dyDescent="0.25">
      <c r="A54" s="275"/>
      <c r="B54" s="275"/>
      <c r="C54" s="275"/>
      <c r="D54" s="53"/>
      <c r="E54" s="53"/>
    </row>
    <row r="55" spans="1:6" hidden="1" x14ac:dyDescent="0.25">
      <c r="A55" s="235" t="s">
        <v>43</v>
      </c>
      <c r="B55" s="235"/>
      <c r="C55" s="235"/>
      <c r="D55" s="53"/>
      <c r="E55" s="53"/>
    </row>
    <row r="56" spans="1:6" hidden="1" x14ac:dyDescent="0.25">
      <c r="A56" s="235" t="str">
        <f>umumiy_malumot!B148</f>
        <v>«PULLOL BUSINESS MIKROMOLIYA TASHKILOTI»  MChJ</v>
      </c>
      <c r="B56" s="235"/>
      <c r="C56" s="235"/>
      <c r="D56" s="235" t="str">
        <f>"_______________   "&amp;umumiy_malumot!B159&amp;""</f>
        <v>_______________   Akramov R.N.</v>
      </c>
      <c r="E56" s="235"/>
    </row>
    <row r="57" spans="1:6" ht="12.75" customHeight="1" x14ac:dyDescent="0.25">
      <c r="A57" s="235"/>
      <c r="B57" s="235"/>
      <c r="C57" s="235"/>
      <c r="D57" s="235"/>
      <c r="E57" s="235"/>
    </row>
    <row r="58" spans="1:6" x14ac:dyDescent="0.25">
      <c r="A58" s="275" t="s">
        <v>207</v>
      </c>
      <c r="B58" s="275"/>
      <c r="C58" s="275"/>
      <c r="D58" s="235"/>
      <c r="E58" s="235"/>
    </row>
    <row r="59" spans="1:6" ht="31.5" customHeight="1" x14ac:dyDescent="0.25">
      <c r="A59" s="235" t="s">
        <v>208</v>
      </c>
      <c r="B59" s="235"/>
      <c r="C59" s="235"/>
      <c r="D59" s="275" t="str">
        <f>"_______________  "&amp;umumiy_malumot!B7&amp;""</f>
        <v>_______________  TURAYEV I.B.</v>
      </c>
      <c r="E59" s="275"/>
    </row>
    <row r="60" spans="1:6" ht="12.75" customHeight="1" x14ac:dyDescent="0.25">
      <c r="A60" s="235"/>
      <c r="B60" s="235"/>
      <c r="C60" s="235"/>
      <c r="D60" s="279" t="str">
        <f>IF(umumiy_malumot!B93="да","",umumiy_malumot!B118)</f>
        <v>USMONOV N.I.</v>
      </c>
      <c r="E60" s="279"/>
    </row>
    <row r="61" spans="1:6" ht="17.25" customHeight="1" x14ac:dyDescent="0.25">
      <c r="A61" s="275" t="str">
        <f>+IF(umumiy_malumot!B93="ha"," ","3-tomondan:")</f>
        <v>3-tomondan:</v>
      </c>
      <c r="B61" s="275"/>
      <c r="C61" s="275"/>
      <c r="D61" s="280"/>
      <c r="E61" s="280"/>
      <c r="F61" s="15">
        <f>IF(umumiy_malumot!B94=umumiy_malumot!D94,B7,"")</f>
        <v>0</v>
      </c>
    </row>
    <row r="62" spans="1:6" ht="29.25" customHeight="1" x14ac:dyDescent="0.25">
      <c r="A62" s="235" t="str">
        <f>+IF(umumiy_malumot!B93="ha"," ","O'zbekiston Respublikasi fuqarosi")</f>
        <v>O'zbekiston Respublikasi fuqarosi</v>
      </c>
      <c r="B62" s="235"/>
      <c r="C62" s="235"/>
      <c r="D62" s="275" t="str">
        <f>IF(umumiy_malumot!B93=umumiy_malumot!C93,"",A63)</f>
        <v>_______________  TURAYEV I.B.</v>
      </c>
      <c r="E62" s="275"/>
    </row>
    <row r="63" spans="1:6" ht="77.25" customHeight="1" x14ac:dyDescent="0.25">
      <c r="A63" s="183" t="str">
        <f>IF(umumiy_malumot!B94=umumiy_malumot!C94,"_______________  "&amp;umumiy_malumot!B112&amp;"","_______________  "&amp;umumiy_malumot!B7&amp;"")</f>
        <v>_______________  TURAYEV I.B.</v>
      </c>
      <c r="B63" s="53"/>
      <c r="C63" s="235" t="str">
        <f>garov_ariza!A20</f>
        <v xml:space="preserve">№202602386000102 06.01.2026 sanasidan xususiy faoliyat ko'rsatuvchi notarius tomonidan BUXORO VILOYATI BUXORO SHAHRI ASHXOBOD KO'CHASI 1/3-UY SHARIPOV ZAFAR JO'RABOYEVICH berilgan ishonchnomaga asosan </v>
      </c>
      <c r="D63" s="235"/>
      <c r="E63" s="235"/>
    </row>
    <row r="64" spans="1:6" ht="6.75" hidden="1" customHeight="1" x14ac:dyDescent="0.25">
      <c r="D64" s="256"/>
      <c r="E64" s="256"/>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63"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7" zoomScale="85" zoomScaleSheetLayoutView="85" workbookViewId="0">
      <selection activeCell="D20" sqref="D20"/>
    </sheetView>
  </sheetViews>
  <sheetFormatPr defaultColWidth="9.109375" defaultRowHeight="13.8" outlineLevelRow="1" x14ac:dyDescent="0.25"/>
  <cols>
    <col min="1" max="1" width="23.88671875" style="15" customWidth="1"/>
    <col min="2" max="2" width="23.33203125" style="15" customWidth="1"/>
    <col min="3" max="3" width="17" style="15" customWidth="1"/>
    <col min="4" max="4" width="17.5546875" style="15" customWidth="1"/>
    <col min="5" max="5" width="21.44140625" style="15" customWidth="1"/>
    <col min="6" max="16384" width="9.109375" style="15"/>
  </cols>
  <sheetData>
    <row r="3" spans="1:5" ht="16.5" customHeight="1" x14ac:dyDescent="0.25"/>
    <row r="4" spans="1:5" ht="17.25" customHeight="1" x14ac:dyDescent="0.25">
      <c r="A4" s="254" t="str">
        <f>""&amp;umumiy_malumot!B147&amp;" direktorining
"&amp;umumiy_malumot!B165&amp;"dagi "&amp;umumiy_malumot!B164&amp;"-sonli buyrug‘i"</f>
        <v>«PULLOL BUSINESS MIKROMOLIYA TASHKILOTI»  MChJ direktorining
6 yanvar 2026 y.dagi №3-BR-sonli buyrug‘i</v>
      </c>
      <c r="B4" s="254"/>
      <c r="C4" s="254"/>
      <c r="D4" s="254"/>
      <c r="E4" s="254"/>
    </row>
    <row r="5" spans="1:5" x14ac:dyDescent="0.25">
      <c r="A5" s="254"/>
      <c r="B5" s="254"/>
      <c r="C5" s="254"/>
      <c r="D5" s="254"/>
      <c r="E5" s="254"/>
    </row>
    <row r="6" spans="1:5" x14ac:dyDescent="0.25">
      <c r="A6" s="254"/>
      <c r="B6" s="254"/>
      <c r="C6" s="254"/>
      <c r="D6" s="254"/>
      <c r="E6" s="254"/>
    </row>
    <row r="7" spans="1:5" x14ac:dyDescent="0.25">
      <c r="A7" s="243"/>
      <c r="B7" s="243"/>
      <c r="C7" s="243"/>
      <c r="D7" s="243"/>
      <c r="E7" s="243"/>
    </row>
    <row r="8" spans="1:5" ht="53.25" customHeight="1" x14ac:dyDescent="0.25">
      <c r="A8" s="243" t="str">
        <f>"Men, Obidov Abdullo Shokir og'li "&amp;umumiy_malumot!B147&amp;" direktori, jismoniy shaxs "&amp;umumiy_malumot!B10&amp;"ga quyidagi shartlarda "&amp;umumiy_malumot!B65&amp;" berishni buyuraman:"</f>
        <v>Men, Obidov Abdullo Shokir og'li «PULLOL BUSINESS MIKROMOLIYA TASHKILOTI»  MChJ direktori, jismoniy shaxs TURAYEV ISROIL BURIYEVICHga quyidagi shartlarda mikroqarz berishni buyuraman:</v>
      </c>
      <c r="B8" s="243"/>
      <c r="C8" s="243"/>
      <c r="D8" s="243"/>
      <c r="E8" s="243"/>
    </row>
    <row r="9" spans="1:5" ht="26.25" customHeight="1" x14ac:dyDescent="0.25">
      <c r="A9" s="243" t="str">
        <f>kredit_ariza!A13:D13</f>
        <v>Mikroqarz summasi: 33 000 000,00 (o'ttiz uch million so'm) so'm.</v>
      </c>
      <c r="B9" s="243"/>
      <c r="C9" s="243"/>
      <c r="D9" s="243"/>
      <c r="E9" s="243"/>
    </row>
    <row r="10" spans="1:5" ht="21" customHeight="1" x14ac:dyDescent="0.25">
      <c r="A10" s="243" t="str">
        <f>kredit_ariza!A14:D14</f>
        <v>Mikroqarz muddati: 36 (o'ttiz olti) oy.</v>
      </c>
      <c r="B10" s="243"/>
      <c r="C10" s="243"/>
      <c r="D10" s="243"/>
      <c r="E10" s="243"/>
    </row>
    <row r="11" spans="1:5" ht="27" customHeight="1" x14ac:dyDescent="0.25">
      <c r="A11" s="243" t="str">
        <f>kredit_ariza!A15:D15</f>
        <v>Mikroqarzdan foydalanganlik uchun foiz stavkasi: yillik  55% (ellik besh) foiz</v>
      </c>
      <c r="B11" s="243"/>
      <c r="C11" s="243"/>
      <c r="D11" s="243"/>
      <c r="E11" s="243"/>
    </row>
    <row r="12" spans="1:5" ht="26.25" customHeight="1" x14ac:dyDescent="0.25">
      <c r="A12" s="243" t="str">
        <f>kredit_ariza!A16:D16</f>
        <v>Mikroqarz bo'yicha asosiy qarz va foizlarni to'lash:</v>
      </c>
      <c r="B12" s="243"/>
      <c r="C12" s="243"/>
      <c r="D12" s="243"/>
      <c r="E12" s="243"/>
    </row>
    <row r="13" spans="1:5" ht="21.75" hidden="1" customHeight="1" x14ac:dyDescent="0.25">
      <c r="A13" s="243" t="str">
        <f>kredit_ariza!A17:D17</f>
        <v xml:space="preserve"> - mikroqarz shartnomasi bo'yicha har oy differensial to'lovlari amalga oshiriladi</v>
      </c>
      <c r="B13" s="243"/>
      <c r="C13" s="243"/>
      <c r="D13" s="243"/>
      <c r="E13" s="243"/>
    </row>
    <row r="14" spans="1:5" hidden="1" x14ac:dyDescent="0.25">
      <c r="A14" s="243" t="str">
        <f>kredit_ariza!A19:D19</f>
        <v xml:space="preserve"> - mikroqarz shartnomasi bo'yicha har oy differensial to'lovlari amalga oshiriladi</v>
      </c>
      <c r="B14" s="243"/>
      <c r="C14" s="243"/>
      <c r="D14" s="243"/>
      <c r="E14" s="243"/>
    </row>
    <row r="15" spans="1:5" ht="23.25" customHeight="1" x14ac:dyDescent="0.25">
      <c r="A15" s="243" t="str">
        <f>IF(umumiy_malumot!B103="Avtotransport",buyruq!A14:E14,buyruq!A13:E13)</f>
        <v xml:space="preserve"> - mikroqarz shartnomasi bo'yicha har oy differensial to'lovlari amalga oshiriladi</v>
      </c>
      <c r="B15" s="243"/>
      <c r="C15" s="243"/>
      <c r="D15" s="243"/>
      <c r="E15" s="243"/>
    </row>
    <row r="16" spans="1:5" ht="45.75" customHeight="1" x14ac:dyDescent="0.25">
      <c r="A16" s="235" t="str">
        <f>IF(umumiy_malumot!B103=umumiy_malumot!D103,""&amp;umumiy_malumot!C117&amp;"ga tegishli "&amp;umumiy_malumot!C126&amp;" ko'rinishidagi ko'chmas mulkni quyidagi ma'lumotlarga muvofiq  garovga qabul qilinsin:",""&amp;umumiy_malumot!B117&amp;"ga tegishli "&amp;umumiy_malumot!B125&amp;" ko'rinishidagi transport vositasini quyidagi ma'lumotlarga muvofiq garovga qabul qilinsin:")</f>
        <v>USMONOV NURIDDID IXTIYOROVICHga tegishli COBALT ko'rinishidagi transport vositasini quyidagi ma'lumotlarga muvofiq garovga qabul qilinsin:</v>
      </c>
      <c r="B16" s="235"/>
      <c r="C16" s="235"/>
      <c r="D16" s="235"/>
      <c r="E16" s="235"/>
    </row>
    <row r="17" spans="1:5" ht="50.25" hidden="1" customHeight="1" x14ac:dyDescent="0.25">
      <c r="A17" s="243" t="str">
        <f>""&amp;umumiy_malumot!C117&amp;"ga tegishli "&amp;umumiy_malumot!C126&amp;" ko'rinishidagi ko'chmas mulkni quyidagi ma'lumotlarga muvofiq  garovga qabul qilinsin:"</f>
        <v>0ga tegishli 3 - xonali yakka tartibdagi uy-joy ko'rinishidagi ko'chmas mulkni quyidagi ma'lumotlarga muvofiq  garovga qabul qilinsin:</v>
      </c>
      <c r="B17" s="243"/>
      <c r="C17" s="243"/>
      <c r="D17" s="243"/>
      <c r="E17" s="243"/>
    </row>
    <row r="18" spans="1:5" ht="47.25" hidden="1" customHeight="1" x14ac:dyDescent="0.25">
      <c r="A18" s="243" t="str">
        <f>""&amp;umumiy_malumot!B117&amp;"ga tegishli "&amp;umumiy_malumot!B125&amp;" ko'rinishidagi transport vositasini quyidagi ma'lumotlarga muvofiq garovga qabul qilinsin:"</f>
        <v>USMONOV NURIDDID IXTIYOROVICHga tegishli COBALT ko'rinishidagi transport vositasini quyidagi ma'lumotlarga muvofiq garovga qabul qilinsin:</v>
      </c>
      <c r="B18" s="243"/>
      <c r="C18" s="243"/>
      <c r="D18" s="243"/>
      <c r="E18" s="243"/>
    </row>
    <row r="19" spans="1:5" s="37" customFormat="1" ht="60" customHeight="1" outlineLevel="1" x14ac:dyDescent="0.25">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84.75" customHeight="1" outlineLevel="1" x14ac:dyDescent="0.25">
      <c r="A20" s="17" t="str">
        <f>dalolatnoma!A30</f>
        <v>COBALT</v>
      </c>
      <c r="B20" s="17" t="str">
        <f>dalolatnoma!B30</f>
        <v>kuzov turi - YENGIL SEDAN, kuzov raqami XWBJF69VEGA010429</v>
      </c>
      <c r="C20" s="17" t="str">
        <f>dalolatnoma!C30</f>
        <v>dvigatel raqami B15D211163412DJCX0337, shassi raqami - RAKAMSIZ</v>
      </c>
      <c r="D20" s="17" t="str">
        <f>dalolatnoma!D30</f>
        <v>rangi -  OQ OLIMPIYSKAYA BELAYA, ishlab chiqarilgan yili - 2016</v>
      </c>
      <c r="E20" s="17" t="str">
        <f>dalolatnoma!E30</f>
        <v>46 200 000,00 
(qirq olti million ikki yuz ming so'm)</v>
      </c>
    </row>
    <row r="21" spans="1:5" ht="20.25" customHeight="1" outlineLevel="1" x14ac:dyDescent="0.25">
      <c r="A21" s="243" t="str">
        <f>dalolatnoma!A22:E22</f>
        <v>-* avtotransport egasi: USMONOV NURIDDID IXTIYOROVICH</v>
      </c>
      <c r="B21" s="243"/>
      <c r="C21" s="243"/>
      <c r="D21" s="243"/>
      <c r="E21" s="243"/>
    </row>
    <row r="22" spans="1:5" ht="20.25" customHeight="1" outlineLevel="1" x14ac:dyDescent="0.25">
      <c r="A22" s="243" t="str">
        <f>dalolatnoma!A23:E23</f>
        <v>-* texnik pasport: AAF      2401056      01.12.2020 y.</v>
      </c>
      <c r="B22" s="243"/>
      <c r="C22" s="243"/>
      <c r="D22" s="243"/>
      <c r="E22" s="243"/>
    </row>
    <row r="23" spans="1:5" ht="36" customHeight="1" outlineLevel="1" x14ac:dyDescent="0.25">
      <c r="A23" s="243" t="str">
        <f>dalolatnoma!A24:E24</f>
        <v>-* roʻyxatdan oʻtgan manzili/garaj manzili: BUXORO VILOYATI BUXORO SHAHRI CHO'LPON KO'CHASI 22-A-UY</v>
      </c>
      <c r="B23" s="243"/>
      <c r="C23" s="243"/>
      <c r="D23" s="243"/>
      <c r="E23" s="243"/>
    </row>
    <row r="24" spans="1:5" ht="35.25" customHeight="1" outlineLevel="1" x14ac:dyDescent="0.25">
      <c r="A24" s="243" t="str">
        <f>dalolatnoma!A25:E25</f>
        <v>-* davlat raqami: 80G291QA</v>
      </c>
      <c r="B24" s="243"/>
      <c r="C24" s="243"/>
      <c r="D24" s="243"/>
      <c r="E24" s="243"/>
    </row>
    <row r="25" spans="1:5" x14ac:dyDescent="0.25">
      <c r="A25" s="243"/>
      <c r="B25" s="243"/>
      <c r="C25" s="243"/>
      <c r="D25" s="243"/>
      <c r="E25" s="243"/>
    </row>
    <row r="26" spans="1:5" s="37" customFormat="1" ht="41.25" hidden="1" customHeight="1" outlineLevel="1" x14ac:dyDescent="0.25">
      <c r="A26" s="39" t="s">
        <v>200</v>
      </c>
      <c r="B26" s="39" t="s">
        <v>257</v>
      </c>
      <c r="C26" s="39" t="s">
        <v>274</v>
      </c>
      <c r="D26" s="39" t="s">
        <v>203</v>
      </c>
      <c r="E26" s="39" t="str">
        <f>dalolatnoma!E29</f>
        <v>Kelishilgan garov qiymati, so'm</v>
      </c>
    </row>
    <row r="27" spans="1:5" hidden="1" outlineLevel="1" x14ac:dyDescent="0.25">
      <c r="A27" s="17" t="e">
        <f>dalolatnoma!A33</f>
        <v>#REF!</v>
      </c>
      <c r="B27" s="110" t="e">
        <f>dalolatnoma!B33</f>
        <v>#REF!</v>
      </c>
      <c r="C27" s="110" t="e">
        <f>dalolatnoma!C33</f>
        <v>#REF!</v>
      </c>
      <c r="D27" s="110" t="e">
        <f>dalolatnoma!D33</f>
        <v>#REF!</v>
      </c>
      <c r="E27" s="249" t="str">
        <f>dalolatnoma!E33</f>
        <v>46 200 000,00 (qirq olti million ikki yuz ming so'm)</v>
      </c>
    </row>
    <row r="28" spans="1:5" hidden="1" outlineLevel="1" x14ac:dyDescent="0.25">
      <c r="A28" s="17">
        <f>dalolatnoma!A34</f>
        <v>0</v>
      </c>
      <c r="B28" s="110">
        <f>dalolatnoma!B34</f>
        <v>0</v>
      </c>
      <c r="C28" s="110">
        <f>dalolatnoma!C34</f>
        <v>0</v>
      </c>
      <c r="D28" s="110">
        <f>dalolatnoma!D34</f>
        <v>0</v>
      </c>
      <c r="E28" s="249"/>
    </row>
    <row r="29" spans="1:5" hidden="1" outlineLevel="1" x14ac:dyDescent="0.25">
      <c r="A29" s="17" t="e">
        <f>dalolatnoma!A35</f>
        <v>#REF!</v>
      </c>
      <c r="B29" s="110" t="e">
        <f>dalolatnoma!B35</f>
        <v>#REF!</v>
      </c>
      <c r="C29" s="110" t="e">
        <f>dalolatnoma!C35</f>
        <v>#REF!</v>
      </c>
      <c r="D29" s="110" t="e">
        <f>dalolatnoma!D35</f>
        <v>#REF!</v>
      </c>
      <c r="E29" s="249"/>
    </row>
    <row r="30" spans="1:5" hidden="1" outlineLevel="1" x14ac:dyDescent="0.25">
      <c r="A30" s="17" t="e">
        <f>dalolatnoma!A36</f>
        <v>#REF!</v>
      </c>
      <c r="B30" s="110" t="e">
        <f>dalolatnoma!B36</f>
        <v>#REF!</v>
      </c>
      <c r="C30" s="110" t="e">
        <f>dalolatnoma!C36</f>
        <v>#REF!</v>
      </c>
      <c r="D30" s="110" t="e">
        <f>dalolatnoma!D36</f>
        <v>#REF!</v>
      </c>
      <c r="E30" s="249"/>
    </row>
    <row r="31" spans="1:5" hidden="1" outlineLevel="1" x14ac:dyDescent="0.25">
      <c r="A31" s="17" t="e">
        <f>dalolatnoma!A37</f>
        <v>#REF!</v>
      </c>
      <c r="B31" s="110" t="e">
        <f>dalolatnoma!B37</f>
        <v>#REF!</v>
      </c>
      <c r="C31" s="110" t="e">
        <f>dalolatnoma!C37</f>
        <v>#REF!</v>
      </c>
      <c r="D31" s="110" t="e">
        <f>dalolatnoma!D37</f>
        <v>#REF!</v>
      </c>
      <c r="E31" s="249"/>
    </row>
    <row r="32" spans="1:5" hidden="1" outlineLevel="1" x14ac:dyDescent="0.25">
      <c r="A32" s="17" t="e">
        <f>dalolatnoma!A38</f>
        <v>#REF!</v>
      </c>
      <c r="B32" s="110" t="e">
        <f>dalolatnoma!B38</f>
        <v>#REF!</v>
      </c>
      <c r="C32" s="110" t="e">
        <f>dalolatnoma!C38</f>
        <v>#REF!</v>
      </c>
      <c r="D32" s="110" t="e">
        <f>dalolatnoma!D38</f>
        <v>#REF!</v>
      </c>
      <c r="E32" s="249"/>
    </row>
    <row r="33" spans="1:5" hidden="1" outlineLevel="1" x14ac:dyDescent="0.25">
      <c r="A33" s="17" t="e">
        <f>dalolatnoma!A39</f>
        <v>#REF!</v>
      </c>
      <c r="B33" s="110" t="e">
        <f>dalolatnoma!B39</f>
        <v>#REF!</v>
      </c>
      <c r="C33" s="110" t="e">
        <f>dalolatnoma!C39</f>
        <v>#REF!</v>
      </c>
      <c r="D33" s="110" t="e">
        <f>dalolatnoma!D39</f>
        <v>#REF!</v>
      </c>
      <c r="E33" s="249"/>
    </row>
    <row r="34" spans="1:5" hidden="1" outlineLevel="1" x14ac:dyDescent="0.25">
      <c r="A34" s="17" t="e">
        <f>dalolatnoma!A40</f>
        <v>#REF!</v>
      </c>
      <c r="B34" s="110" t="e">
        <f>dalolatnoma!B40</f>
        <v>#REF!</v>
      </c>
      <c r="C34" s="110" t="e">
        <f>dalolatnoma!C40</f>
        <v>#REF!</v>
      </c>
      <c r="D34" s="110" t="e">
        <f>dalolatnoma!D40</f>
        <v>#REF!</v>
      </c>
      <c r="E34" s="249"/>
    </row>
    <row r="35" spans="1:5" hidden="1" outlineLevel="1" x14ac:dyDescent="0.25">
      <c r="A35" s="17" t="e">
        <f>dalolatnoma!A41</f>
        <v>#REF!</v>
      </c>
      <c r="B35" s="110" t="e">
        <f>dalolatnoma!B41</f>
        <v>#REF!</v>
      </c>
      <c r="C35" s="110" t="e">
        <f>dalolatnoma!C41</f>
        <v>#REF!</v>
      </c>
      <c r="D35" s="110" t="e">
        <f>dalolatnoma!D41</f>
        <v>#REF!</v>
      </c>
      <c r="E35" s="249"/>
    </row>
    <row r="36" spans="1:5" hidden="1" outlineLevel="1" x14ac:dyDescent="0.25">
      <c r="A36" s="17" t="e">
        <f>dalolatnoma!A42</f>
        <v>#REF!</v>
      </c>
      <c r="B36" s="110" t="e">
        <f>dalolatnoma!B42</f>
        <v>#REF!</v>
      </c>
      <c r="C36" s="110" t="e">
        <f>dalolatnoma!C42</f>
        <v>#REF!</v>
      </c>
      <c r="D36" s="110" t="e">
        <f>dalolatnoma!D42</f>
        <v>#REF!</v>
      </c>
      <c r="E36" s="249"/>
    </row>
    <row r="37" spans="1:5" hidden="1" outlineLevel="1" x14ac:dyDescent="0.25">
      <c r="A37" s="17" t="e">
        <f>dalolatnoma!A43</f>
        <v>#REF!</v>
      </c>
      <c r="B37" s="17" t="e">
        <f>dalolatnoma!B43</f>
        <v>#REF!</v>
      </c>
      <c r="C37" s="17" t="e">
        <f>dalolatnoma!C43</f>
        <v>#REF!</v>
      </c>
      <c r="D37" s="17" t="e">
        <f>dalolatnoma!D43</f>
        <v>#REF!</v>
      </c>
      <c r="E37" s="249"/>
    </row>
    <row r="38" spans="1:5" s="37" customFormat="1" hidden="1" outlineLevel="1" x14ac:dyDescent="0.25">
      <c r="A38" s="39" t="e">
        <f>dalolatnoma!A44</f>
        <v>#REF!</v>
      </c>
      <c r="B38" s="39" t="e">
        <f>dalolatnoma!B44</f>
        <v>#REF!</v>
      </c>
      <c r="C38" s="39" t="e">
        <f>dalolatnoma!C44</f>
        <v>#REF!</v>
      </c>
      <c r="D38" s="39" t="e">
        <f>dalolatnoma!D44</f>
        <v>#REF!</v>
      </c>
      <c r="E38" s="39" t="str">
        <f>dalolatnoma!E44</f>
        <v>46 200 000,00</v>
      </c>
    </row>
    <row r="39" spans="1:5" s="37" customFormat="1" ht="15" hidden="1" customHeight="1" outlineLevel="1" x14ac:dyDescent="0.25">
      <c r="A39" s="243" t="e">
        <f>_xlfn.SINGLE(dalolatnoma!#REF!)</f>
        <v>#REF!</v>
      </c>
      <c r="B39" s="243"/>
      <c r="C39" s="243"/>
      <c r="D39" s="243"/>
      <c r="E39" s="243"/>
    </row>
    <row r="40" spans="1:5" s="37" customFormat="1" hidden="1" outlineLevel="1" x14ac:dyDescent="0.25">
      <c r="A40" s="243" t="e">
        <f>_xlfn.SINGLE(dalolatnoma!#REF!)</f>
        <v>#REF!</v>
      </c>
      <c r="B40" s="243"/>
      <c r="C40" s="243"/>
      <c r="D40" s="243"/>
      <c r="E40" s="243"/>
    </row>
    <row r="41" spans="1:5" s="37" customFormat="1" hidden="1" outlineLevel="1" x14ac:dyDescent="0.25">
      <c r="A41" s="243" t="e">
        <f>_xlfn.SINGLE(dalolatnoma!#REF!)</f>
        <v>#REF!</v>
      </c>
      <c r="B41" s="243"/>
      <c r="C41" s="243"/>
      <c r="D41" s="243"/>
      <c r="E41" s="243"/>
    </row>
    <row r="42" spans="1:5" s="37" customFormat="1" hidden="1" outlineLevel="1" x14ac:dyDescent="0.25">
      <c r="A42" s="243" t="e">
        <f>_xlfn.SINGLE(dalolatnoma!#REF!)</f>
        <v>#REF!</v>
      </c>
      <c r="B42" s="243"/>
      <c r="C42" s="243"/>
      <c r="D42" s="243"/>
      <c r="E42" s="243"/>
    </row>
    <row r="43" spans="1:5" s="37" customFormat="1" collapsed="1" x14ac:dyDescent="0.25">
      <c r="A43" s="243"/>
      <c r="B43" s="243"/>
      <c r="C43" s="243"/>
      <c r="D43" s="243"/>
      <c r="E43" s="243"/>
    </row>
    <row r="44" spans="1:5" s="37" customFormat="1" x14ac:dyDescent="0.25">
      <c r="A44" s="243"/>
      <c r="B44" s="243"/>
      <c r="C44" s="243"/>
      <c r="D44" s="243"/>
      <c r="E44" s="243"/>
    </row>
    <row r="45" spans="1:5" s="37" customFormat="1" hidden="1" x14ac:dyDescent="0.25">
      <c r="A45" s="243"/>
      <c r="B45" s="243"/>
      <c r="C45" s="243"/>
      <c r="D45" s="243"/>
      <c r="E45" s="243"/>
    </row>
    <row r="46" spans="1:5" s="37" customFormat="1" hidden="1" x14ac:dyDescent="0.25">
      <c r="A46" s="50"/>
      <c r="B46" s="50"/>
      <c r="C46" s="50"/>
      <c r="D46" s="50"/>
      <c r="E46" s="50"/>
    </row>
    <row r="47" spans="1:5" hidden="1" x14ac:dyDescent="0.25">
      <c r="A47" s="243"/>
      <c r="B47" s="243"/>
      <c r="C47" s="243"/>
      <c r="D47" s="243"/>
      <c r="E47" s="243"/>
    </row>
    <row r="48" spans="1:5" ht="15" customHeight="1" x14ac:dyDescent="0.25">
      <c r="A48" s="275" t="s">
        <v>380</v>
      </c>
      <c r="B48" s="275"/>
      <c r="C48" s="275"/>
      <c r="D48" s="283"/>
      <c r="E48" s="283"/>
    </row>
    <row r="49" spans="1:5" ht="15" customHeight="1" x14ac:dyDescent="0.25">
      <c r="A49" s="275" t="s">
        <v>403</v>
      </c>
      <c r="B49" s="275"/>
      <c r="C49" s="275"/>
      <c r="D49" s="283" t="s">
        <v>389</v>
      </c>
      <c r="E49" s="283"/>
    </row>
    <row r="50" spans="1:5" x14ac:dyDescent="0.25">
      <c r="A50" s="243"/>
      <c r="B50" s="243"/>
      <c r="C50" s="243"/>
      <c r="D50" s="243"/>
      <c r="E50" s="243"/>
    </row>
    <row r="51" spans="1:5" x14ac:dyDescent="0.25">
      <c r="A51" s="243"/>
      <c r="B51" s="243"/>
      <c r="C51" s="243"/>
      <c r="D51" s="243"/>
      <c r="E51" s="243"/>
    </row>
    <row r="52" spans="1:5" x14ac:dyDescent="0.25">
      <c r="A52" s="243"/>
      <c r="B52" s="243"/>
      <c r="C52" s="243"/>
      <c r="D52" s="243"/>
      <c r="E52" s="243"/>
    </row>
    <row r="53" spans="1:5" x14ac:dyDescent="0.25">
      <c r="A53" s="243"/>
      <c r="B53" s="243"/>
      <c r="C53" s="243"/>
      <c r="D53" s="243"/>
      <c r="E53" s="243"/>
    </row>
    <row r="54" spans="1:5" x14ac:dyDescent="0.25">
      <c r="A54" s="243"/>
      <c r="B54" s="243"/>
      <c r="C54" s="243"/>
      <c r="D54" s="243"/>
      <c r="E54" s="243"/>
    </row>
    <row r="55" spans="1:5" x14ac:dyDescent="0.25">
      <c r="A55" s="243"/>
      <c r="B55" s="243"/>
      <c r="C55" s="243"/>
      <c r="D55" s="243"/>
      <c r="E55" s="243"/>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3" zoomScaleNormal="100" zoomScaleSheetLayoutView="100" workbookViewId="0">
      <selection activeCell="A5" sqref="A5"/>
    </sheetView>
  </sheetViews>
  <sheetFormatPr defaultColWidth="9.109375" defaultRowHeight="13.2" x14ac:dyDescent="0.25"/>
  <cols>
    <col min="1" max="2" width="11" style="24" customWidth="1"/>
    <col min="3" max="4" width="14.44140625" style="24" customWidth="1"/>
    <col min="5" max="6" width="13.5546875" style="24" customWidth="1"/>
    <col min="7" max="7" width="9.109375" style="24"/>
    <col min="8" max="8" width="19" style="24" bestFit="1" customWidth="1"/>
    <col min="9" max="9" width="9.109375" style="24" hidden="1" customWidth="1"/>
    <col min="10" max="10" width="9.109375" style="24" customWidth="1"/>
    <col min="11" max="11" width="0.5546875" style="24" customWidth="1"/>
    <col min="12" max="16384" width="9.109375" style="24"/>
  </cols>
  <sheetData>
    <row r="1" spans="1:9" x14ac:dyDescent="0.25">
      <c r="A1" s="31"/>
      <c r="B1" s="31"/>
      <c r="C1" s="31"/>
      <c r="D1" s="31"/>
      <c r="E1" s="31"/>
      <c r="F1" s="31"/>
      <c r="G1" s="31"/>
      <c r="H1" s="31"/>
      <c r="I1" s="31"/>
    </row>
    <row r="2" spans="1:9" x14ac:dyDescent="0.25">
      <c r="A2" s="286" t="str">
        <f>""&amp;" "&amp;umumiy_malumot!B74&amp;"-sonli "&amp;" "&amp;umumiy_malumot!C64&amp;" shartnomasi bo‘yicha
 garovga qo‘yilgan mol-mulkni tekshirish bo’yicha "&amp;umumiy_malumot!B5&amp;" bilan tuzilgan dalolatnomasi"</f>
        <v xml:space="preserve"> 6 yanvar 2026 y.dan №3-BR-sonli  Mikroqarz shartnomasi bo‘yicha
 garovga qo‘yilgan mol-mulkni tekshirish bo’yicha TURAYEV ISROIL BURIYEVICH bilan tuzilgan dalolatnomasi</v>
      </c>
      <c r="B2" s="286"/>
      <c r="C2" s="286"/>
      <c r="D2" s="286"/>
      <c r="E2" s="286"/>
      <c r="F2" s="286"/>
      <c r="G2" s="286"/>
      <c r="H2" s="286"/>
      <c r="I2" s="31"/>
    </row>
    <row r="3" spans="1:9" x14ac:dyDescent="0.25">
      <c r="A3" s="286"/>
      <c r="B3" s="286"/>
      <c r="C3" s="286"/>
      <c r="D3" s="286"/>
      <c r="E3" s="286"/>
      <c r="F3" s="286"/>
      <c r="G3" s="286"/>
      <c r="H3" s="286"/>
      <c r="I3" s="31"/>
    </row>
    <row r="5" spans="1:9" x14ac:dyDescent="0.25">
      <c r="A5" s="24" t="s">
        <v>197</v>
      </c>
      <c r="F5" s="156"/>
      <c r="H5" s="141" t="str">
        <f>TEXT(umumiy_malumot!D2,"ДД.ММ.ГГГГ")</f>
        <v>05.07.2026</v>
      </c>
    </row>
    <row r="7" spans="1:9" ht="45" customHeight="1" x14ac:dyDescent="0.25">
      <c r="A7" s="285" t="str">
        <f>"      Men, «PULLOL BUSINESS MIKROMOLIYA TASHKILOTI»  MChJ”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Buxoro filiali boshlig'ii IKROMOV B.A., jismoniy shaxs  TURAYEV ISROIL BURIYEVICH  6 yanvar 2026 y.dan №3-BR-sonli mikroqarz shartnomasi bo‘yicha garovga qo‘yilgan mol-mulkni ko‘zdan kechirdim</v>
      </c>
      <c r="B7" s="285"/>
      <c r="C7" s="285"/>
      <c r="D7" s="285"/>
      <c r="E7" s="285"/>
      <c r="F7" s="285"/>
      <c r="G7" s="285"/>
      <c r="H7" s="285"/>
    </row>
    <row r="8" spans="1:9" ht="19.5" customHeight="1" x14ac:dyDescent="0.25">
      <c r="A8" s="289" t="s">
        <v>270</v>
      </c>
      <c r="B8" s="289"/>
      <c r="C8" s="289"/>
      <c r="D8" s="289"/>
      <c r="E8" s="289"/>
      <c r="F8" s="289"/>
      <c r="G8" s="289"/>
      <c r="H8" s="289"/>
    </row>
    <row r="9" spans="1:9" s="142" customFormat="1" ht="32.25" customHeight="1" x14ac:dyDescent="0.3">
      <c r="A9" s="290" t="str">
        <f>dalolatnoma!A20</f>
        <v>Nomi</v>
      </c>
      <c r="B9" s="291"/>
      <c r="C9" s="290" t="str">
        <f>dalolatnoma!B20</f>
        <v>Kuzov turi  va kuzov raqami*</v>
      </c>
      <c r="D9" s="291"/>
      <c r="E9" s="290" t="str">
        <f>dalolatnoma!D20</f>
        <v>Dvigatel va shassi raqami*</v>
      </c>
      <c r="F9" s="291"/>
      <c r="G9" s="290" t="str">
        <f>dalolatnoma!E20</f>
        <v>Ishlab chiqarilgan yili va rangi**</v>
      </c>
      <c r="H9" s="291"/>
    </row>
    <row r="10" spans="1:9" s="140" customFormat="1" ht="58.5" customHeight="1" x14ac:dyDescent="0.25">
      <c r="A10" s="292" t="str">
        <f>dalolatnoma!A21</f>
        <v>COBALT</v>
      </c>
      <c r="B10" s="292"/>
      <c r="C10" s="292" t="str">
        <f>dalolatnoma!B21</f>
        <v>kuzov turi - YENGIL SEDAN, kuzov raqami XWBJF69VEGA010429</v>
      </c>
      <c r="D10" s="292"/>
      <c r="E10" s="292" t="str">
        <f>dalolatnoma!D21</f>
        <v>dvigatel raqami B15D211163412DJCX0337, shassi raqami - RAKAMSIZ</v>
      </c>
      <c r="F10" s="292"/>
      <c r="G10" s="292" t="str">
        <f>dalolatnoma!E21</f>
        <v>rangi -  OQ OLIMPIYSKAYA BELAYA, ishlab chiqarilgan yili - 2016</v>
      </c>
      <c r="H10" s="292"/>
    </row>
    <row r="11" spans="1:9" ht="19.5" customHeight="1" x14ac:dyDescent="0.25">
      <c r="A11" s="284" t="str">
        <f>dalolatnoma!A22:E22</f>
        <v>-* avtotransport egasi: USMONOV NURIDDID IXTIYOROVICH</v>
      </c>
      <c r="B11" s="284"/>
      <c r="C11" s="284"/>
      <c r="D11" s="284"/>
      <c r="E11" s="284"/>
      <c r="F11" s="284"/>
      <c r="G11" s="284"/>
      <c r="H11" s="284"/>
    </row>
    <row r="12" spans="1:9" ht="19.5" customHeight="1" x14ac:dyDescent="0.25">
      <c r="A12" s="284" t="str">
        <f>dalolatnoma!A23:E23</f>
        <v>-* texnik pasport: AAF      2401056      01.12.2020 y.</v>
      </c>
      <c r="B12" s="284"/>
      <c r="C12" s="284"/>
      <c r="D12" s="284"/>
      <c r="E12" s="284"/>
      <c r="F12" s="284"/>
      <c r="G12" s="284"/>
      <c r="H12" s="284"/>
    </row>
    <row r="13" spans="1:9" ht="19.5" customHeight="1" x14ac:dyDescent="0.25">
      <c r="A13" s="284" t="str">
        <f>dalolatnoma!A24:E24</f>
        <v>-* roʻyxatdan oʻtgan manzili/garaj manzili: BUXORO VILOYATI BUXORO SHAHRI CHO'LPON KO'CHASI 22-A-UY</v>
      </c>
      <c r="B13" s="284"/>
      <c r="C13" s="284"/>
      <c r="D13" s="284"/>
      <c r="E13" s="284"/>
      <c r="F13" s="284"/>
      <c r="G13" s="284"/>
      <c r="H13" s="284"/>
    </row>
    <row r="14" spans="1:9" ht="19.5" customHeight="1" x14ac:dyDescent="0.25">
      <c r="A14" s="284" t="str">
        <f>dalolatnoma!A25:E25</f>
        <v>-* davlat raqami: 80G291QA</v>
      </c>
      <c r="B14" s="284"/>
      <c r="C14" s="284"/>
      <c r="D14" s="284"/>
      <c r="E14" s="284"/>
      <c r="F14" s="284"/>
      <c r="G14" s="284"/>
      <c r="H14" s="284"/>
    </row>
    <row r="15" spans="1:9" ht="33.75" customHeight="1" x14ac:dyDescent="0.25">
      <c r="A15" s="287" t="str">
        <f>+"Shu bilan birga, yuqoridagi mulkning kelishilgan garov qiymati "&amp;dalolatnoma!E30</f>
        <v>Shu bilan birga, yuqoridagi mulkning kelishilgan garov qiymati 46 200 000,00 
(qirq olti million ikki yuz ming so'm)</v>
      </c>
      <c r="B15" s="287"/>
      <c r="C15" s="287"/>
      <c r="D15" s="287"/>
      <c r="E15" s="287"/>
      <c r="F15" s="287"/>
      <c r="G15" s="287"/>
      <c r="H15" s="287"/>
    </row>
    <row r="17" spans="1:8" ht="27" customHeight="1" x14ac:dyDescent="0.25">
      <c r="A17" s="288" t="s">
        <v>271</v>
      </c>
      <c r="B17" s="288"/>
      <c r="C17" s="288"/>
      <c r="D17" s="288"/>
      <c r="E17" s="288"/>
      <c r="F17" s="288"/>
      <c r="G17" s="288"/>
      <c r="H17" s="288"/>
    </row>
    <row r="21" spans="1:8" s="31" customFormat="1" x14ac:dyDescent="0.25"/>
    <row r="22" spans="1:8" s="31" customFormat="1" x14ac:dyDescent="0.25">
      <c r="A22" s="31" t="str">
        <f>umumiy_malumot!A150</f>
        <v>Buxoro filiali boshlig'i</v>
      </c>
      <c r="H22" s="143" t="str">
        <f>umumiy_malumot!B150</f>
        <v>IKROMOV B.A.</v>
      </c>
    </row>
    <row r="23" spans="1:8" s="31" customFormat="1" ht="32.25" customHeight="1" x14ac:dyDescent="0.25">
      <c r="H23" s="143"/>
    </row>
    <row r="24" spans="1:8" s="31" customFormat="1" ht="16.5" hidden="1" customHeight="1" x14ac:dyDescent="0.25">
      <c r="A24" s="31" t="s">
        <v>272</v>
      </c>
      <c r="H24" s="31">
        <f>umumiy_malumot!B160</f>
        <v>0</v>
      </c>
    </row>
    <row r="25" spans="1:8" s="31" customFormat="1" ht="60" customHeight="1" x14ac:dyDescent="0.25"/>
    <row r="26" spans="1:8" s="31" customFormat="1" x14ac:dyDescent="0.25">
      <c r="A26" s="31" t="s">
        <v>273</v>
      </c>
      <c r="H26" s="143" t="str">
        <f>umumiy_malumot!B7</f>
        <v>TURAYEV I.B.</v>
      </c>
    </row>
    <row r="27" spans="1:8" s="31" customFormat="1" x14ac:dyDescent="0.25"/>
    <row r="28" spans="1:8" s="31" customFormat="1" x14ac:dyDescent="0.25"/>
    <row r="29" spans="1:8" s="31" customFormat="1" x14ac:dyDescent="0.25"/>
    <row r="30" spans="1:8" s="31" customFormat="1" x14ac:dyDescent="0.25"/>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Normal="100" zoomScaleSheetLayoutView="100" workbookViewId="0">
      <selection activeCell="D23" sqref="D23"/>
    </sheetView>
  </sheetViews>
  <sheetFormatPr defaultColWidth="9.109375" defaultRowHeight="13.2" x14ac:dyDescent="0.25"/>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x14ac:dyDescent="0.25">
      <c r="A1" s="31"/>
      <c r="B1" s="31"/>
      <c r="C1" s="31"/>
      <c r="D1" s="31"/>
      <c r="E1" s="31"/>
      <c r="F1" s="31"/>
      <c r="G1" s="31"/>
      <c r="H1" s="31"/>
      <c r="I1" s="31"/>
    </row>
    <row r="2" spans="1:9" x14ac:dyDescent="0.25">
      <c r="A2" s="286" t="str">
        <f>""&amp;" "&amp;umumiy_malumot!B74&amp;"-sonli "&amp;" "&amp;umumiy_malumot!C64&amp;" shartnomasi bo‘yicha
 garovga qo‘yilgan mol-mulkni tekshirish bo’yicha "&amp;umumiy_malumot!B5&amp;" bilan tuzilgan dalolatnomasi"</f>
        <v xml:space="preserve"> 6 yanvar 2026 y.dan №3-BR-sonli  Mikroqarz shartnomasi bo‘yicha
 garovga qo‘yilgan mol-mulkni tekshirish bo’yicha TURAYEV ISROIL BURIYEVICH bilan tuzilgan dalolatnomasi</v>
      </c>
      <c r="B2" s="286"/>
      <c r="C2" s="286"/>
      <c r="D2" s="286"/>
      <c r="E2" s="286"/>
      <c r="F2" s="286"/>
      <c r="G2" s="286"/>
      <c r="H2" s="286"/>
      <c r="I2" s="31"/>
    </row>
    <row r="3" spans="1:9" x14ac:dyDescent="0.25">
      <c r="A3" s="286"/>
      <c r="B3" s="286"/>
      <c r="C3" s="286"/>
      <c r="D3" s="286"/>
      <c r="E3" s="286"/>
      <c r="F3" s="286"/>
      <c r="G3" s="286"/>
      <c r="H3" s="286"/>
      <c r="I3" s="31"/>
    </row>
    <row r="5" spans="1:9" x14ac:dyDescent="0.25">
      <c r="A5" s="24" t="s">
        <v>197</v>
      </c>
      <c r="H5" s="141" t="str">
        <f>TEXT(+umumiy_malumot!B2+360,"ДД.ММ.ГГГГ")</f>
        <v>01.01.2027</v>
      </c>
    </row>
    <row r="7" spans="1:9" ht="45" customHeight="1" x14ac:dyDescent="0.25">
      <c r="A7" s="285" t="str">
        <f>"      Men, "&amp;umumiy_malumot!B147&amp;" "&amp;umumiy_malumot!A150&amp;"i "&amp;umumiy_malumot!B150&amp;", jismoniy shaxs "&amp;" "&amp;umumiy_malumot!B5&amp;" "&amp;" "&amp;umumiy_malumot!B74&amp;"-sonli "&amp;umumiy_malumot!C64&amp;" shartnomasi bo‘yicha garovga qo‘yilgan mol-mulkni ko‘zdan kechirdim"</f>
        <v xml:space="preserve">      Men, «PULLOL BUSINESS MIKROMOLIYA TASHKILOTI»  MChJ Buxoro filiali boshlig'ii IKROMOV B.A., jismoniy shaxs  TURAYEV ISROIL BURIYEVICH  6 yanvar 2026 y.dan №3-BR-sonli Mikroqarz shartnomasi bo‘yicha garovga qo‘yilgan mol-mulkni ko‘zdan kechirdim</v>
      </c>
      <c r="B7" s="285"/>
      <c r="C7" s="285"/>
      <c r="D7" s="285"/>
      <c r="E7" s="285"/>
      <c r="F7" s="285"/>
      <c r="G7" s="285"/>
      <c r="H7" s="285"/>
    </row>
    <row r="8" spans="1:9" ht="19.5" customHeight="1" x14ac:dyDescent="0.25">
      <c r="A8" s="289" t="s">
        <v>270</v>
      </c>
      <c r="B8" s="289"/>
      <c r="C8" s="289"/>
      <c r="D8" s="289"/>
      <c r="E8" s="289"/>
      <c r="F8" s="289"/>
      <c r="G8" s="289"/>
      <c r="H8" s="289"/>
    </row>
    <row r="9" spans="1:9" s="142" customFormat="1" ht="32.25" customHeight="1" x14ac:dyDescent="0.3">
      <c r="A9" s="290" t="str">
        <f>monitoring_1!A9</f>
        <v>Nomi</v>
      </c>
      <c r="B9" s="291"/>
      <c r="C9" s="290" t="str">
        <f>monitoring_1!C9</f>
        <v>Kuzov turi  va kuzov raqami*</v>
      </c>
      <c r="D9" s="291"/>
      <c r="E9" s="290" t="str">
        <f>monitoring_1!E9</f>
        <v>Dvigatel va shassi raqami*</v>
      </c>
      <c r="F9" s="291"/>
      <c r="G9" s="290" t="str">
        <f>monitoring_1!G9</f>
        <v>Ishlab chiqarilgan yili va rangi**</v>
      </c>
      <c r="H9" s="291"/>
    </row>
    <row r="10" spans="1:9" s="140" customFormat="1" ht="58.5" customHeight="1" x14ac:dyDescent="0.25">
      <c r="A10" s="292" t="str">
        <f>monitoring_1!A10</f>
        <v>COBALT</v>
      </c>
      <c r="B10" s="292"/>
      <c r="C10" s="292" t="str">
        <f>monitoring_1!C10</f>
        <v>kuzov turi - YENGIL SEDAN, kuzov raqami XWBJF69VEGA010429</v>
      </c>
      <c r="D10" s="292"/>
      <c r="E10" s="292" t="str">
        <f>monitoring_1!E10</f>
        <v>dvigatel raqami B15D211163412DJCX0337, shassi raqami - RAKAMSIZ</v>
      </c>
      <c r="F10" s="292"/>
      <c r="G10" s="292" t="str">
        <f>monitoring_1!G10</f>
        <v>rangi -  OQ OLIMPIYSKAYA BELAYA, ishlab chiqarilgan yili - 2016</v>
      </c>
      <c r="H10" s="292"/>
    </row>
    <row r="11" spans="1:9" ht="19.5" customHeight="1" x14ac:dyDescent="0.25">
      <c r="A11" s="284" t="str">
        <f>dalolatnoma!A22:E22</f>
        <v>-* avtotransport egasi: USMONOV NURIDDID IXTIYOROVICH</v>
      </c>
      <c r="B11" s="284"/>
      <c r="C11" s="284"/>
      <c r="D11" s="284"/>
      <c r="E11" s="284"/>
      <c r="F11" s="284"/>
      <c r="G11" s="284"/>
      <c r="H11" s="284"/>
    </row>
    <row r="12" spans="1:9" ht="19.5" customHeight="1" x14ac:dyDescent="0.25">
      <c r="A12" s="284" t="str">
        <f>dalolatnoma!A23:E23</f>
        <v>-* texnik pasport: AAF      2401056      01.12.2020 y.</v>
      </c>
      <c r="B12" s="284"/>
      <c r="C12" s="284"/>
      <c r="D12" s="284"/>
      <c r="E12" s="284"/>
      <c r="F12" s="284"/>
      <c r="G12" s="284"/>
      <c r="H12" s="284"/>
    </row>
    <row r="13" spans="1:9" ht="19.5" customHeight="1" x14ac:dyDescent="0.25">
      <c r="A13" s="284" t="str">
        <f>dalolatnoma!A24:E24</f>
        <v>-* roʻyxatdan oʻtgan manzili/garaj manzili: BUXORO VILOYATI BUXORO SHAHRI CHO'LPON KO'CHASI 22-A-UY</v>
      </c>
      <c r="B13" s="284"/>
      <c r="C13" s="284"/>
      <c r="D13" s="284"/>
      <c r="E13" s="284"/>
      <c r="F13" s="284"/>
      <c r="G13" s="284"/>
      <c r="H13" s="284"/>
    </row>
    <row r="14" spans="1:9" ht="19.5" customHeight="1" x14ac:dyDescent="0.25">
      <c r="A14" s="284" t="str">
        <f>dalolatnoma!A25:E25</f>
        <v>-* davlat raqami: 80G291QA</v>
      </c>
      <c r="B14" s="284"/>
      <c r="C14" s="284"/>
      <c r="D14" s="284"/>
      <c r="E14" s="284"/>
      <c r="F14" s="284"/>
      <c r="G14" s="284"/>
      <c r="H14" s="284"/>
    </row>
    <row r="15" spans="1:9" ht="33.75" customHeight="1" x14ac:dyDescent="0.25">
      <c r="A15" s="287" t="str">
        <f>+"Shu bilan birga, yuqoridagi mulkning kelishilgan garov qiymati "&amp;dalolatnoma!E30</f>
        <v>Shu bilan birga, yuqoridagi mulkning kelishilgan garov qiymati 46 200 000,00 
(qirq olti million ikki yuz ming so'm)</v>
      </c>
      <c r="B15" s="287"/>
      <c r="C15" s="287"/>
      <c r="D15" s="287"/>
      <c r="E15" s="287"/>
      <c r="F15" s="287"/>
      <c r="G15" s="287"/>
      <c r="H15" s="287"/>
    </row>
    <row r="17" spans="1:8" ht="35.25" customHeight="1" x14ac:dyDescent="0.25">
      <c r="A17" s="288" t="s">
        <v>271</v>
      </c>
      <c r="B17" s="288"/>
      <c r="C17" s="288"/>
      <c r="D17" s="288"/>
      <c r="E17" s="288"/>
      <c r="F17" s="288"/>
      <c r="G17" s="288"/>
      <c r="H17" s="288"/>
    </row>
    <row r="21" spans="1:8" s="31" customFormat="1" x14ac:dyDescent="0.25"/>
    <row r="22" spans="1:8" s="31" customFormat="1" x14ac:dyDescent="0.25">
      <c r="A22" s="31" t="str">
        <f>umumiy_malumot!A150</f>
        <v>Buxoro filiali boshlig'i</v>
      </c>
      <c r="H22" s="143" t="str">
        <f>umumiy_malumot!B150</f>
        <v>IKROMOV B.A.</v>
      </c>
    </row>
    <row r="23" spans="1:8" s="31" customFormat="1" ht="32.25" customHeight="1" x14ac:dyDescent="0.25">
      <c r="H23" s="143"/>
    </row>
    <row r="24" spans="1:8" s="31" customFormat="1" ht="16.5" hidden="1" customHeight="1" x14ac:dyDescent="0.25">
      <c r="A24" s="31" t="s">
        <v>272</v>
      </c>
      <c r="H24" s="31">
        <f>umumiy_malumot!B160</f>
        <v>0</v>
      </c>
    </row>
    <row r="25" spans="1:8" s="31" customFormat="1" ht="60" customHeight="1" x14ac:dyDescent="0.25"/>
    <row r="26" spans="1:8" s="31" customFormat="1" x14ac:dyDescent="0.25">
      <c r="A26" s="31" t="s">
        <v>273</v>
      </c>
      <c r="H26" s="143" t="str">
        <f>umumiy_malumot!B7</f>
        <v>TURAYEV I.B.</v>
      </c>
    </row>
    <row r="27" spans="1:8" s="31" customFormat="1" x14ac:dyDescent="0.25"/>
    <row r="28" spans="1:8" s="31" customFormat="1" x14ac:dyDescent="0.25"/>
    <row r="29" spans="1:8" s="31" customFormat="1" x14ac:dyDescent="0.25"/>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E23" sqref="E23"/>
    </sheetView>
  </sheetViews>
  <sheetFormatPr defaultColWidth="9.109375" defaultRowHeight="13.2" x14ac:dyDescent="0.25"/>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x14ac:dyDescent="0.25">
      <c r="A1" s="31"/>
      <c r="B1" s="31"/>
      <c r="C1" s="31"/>
      <c r="D1" s="31"/>
      <c r="E1" s="31"/>
      <c r="F1" s="31"/>
      <c r="G1" s="31"/>
      <c r="H1" s="31"/>
      <c r="I1" s="31"/>
    </row>
    <row r="2" spans="1:9" x14ac:dyDescent="0.25">
      <c r="A2" s="286" t="str">
        <f>""&amp;" "&amp;umumiy_malumot!B74&amp;"-sonli "&amp;" "&amp;umumiy_malumot!C64&amp;" shartnomasi bo‘yicha
 garovga qo‘yilgan mol-mulkni tekshirish bo’yicha "&amp;umumiy_malumot!B5&amp;" bilan tuzilgan dalolatnomasi"</f>
        <v xml:space="preserve"> 6 yanvar 2026 y.dan №3-BR-sonli  Mikroqarz shartnomasi bo‘yicha
 garovga qo‘yilgan mol-mulkni tekshirish bo’yicha TURAYEV ISROIL BURIYEVICH bilan tuzilgan dalolatnomasi</v>
      </c>
      <c r="B2" s="286"/>
      <c r="C2" s="286"/>
      <c r="D2" s="286"/>
      <c r="E2" s="286"/>
      <c r="F2" s="286"/>
      <c r="G2" s="286"/>
      <c r="H2" s="286"/>
      <c r="I2" s="31"/>
    </row>
    <row r="3" spans="1:9" x14ac:dyDescent="0.25">
      <c r="A3" s="286"/>
      <c r="B3" s="286"/>
      <c r="C3" s="286"/>
      <c r="D3" s="286"/>
      <c r="E3" s="286"/>
      <c r="F3" s="286"/>
      <c r="G3" s="286"/>
      <c r="H3" s="286"/>
      <c r="I3" s="31"/>
    </row>
    <row r="5" spans="1:9" x14ac:dyDescent="0.25">
      <c r="A5" s="24" t="s">
        <v>197</v>
      </c>
      <c r="H5" s="141" t="str">
        <f>TEXT(+umumiy_malumot!B2+540,"ДД.ММ.ГГГГ")</f>
        <v>30.06.2027</v>
      </c>
    </row>
    <row r="7" spans="1:9" ht="45" customHeight="1" x14ac:dyDescent="0.25">
      <c r="A7" s="285" t="str">
        <f>"      Men, "&amp;umumiy_malumot!B147&amp;" "&amp;umumiy_malumot!A150&amp;"i "&amp;umumiy_malumot!B150&amp;", jismoniy shaxs "&amp;" "&amp;umumiy_malumot!B5&amp;" "&amp;" "&amp;umumiy_malumot!B74&amp;"-sonli "&amp;umumiy_malumot!C64&amp;" shartnomasi bo‘yicha garovga qo‘yilgan mol-mulkni ko‘zdan kechirdim"</f>
        <v xml:space="preserve">      Men, «PULLOL BUSINESS MIKROMOLIYA TASHKILOTI»  MChJ Buxoro filiali boshlig'ii IKROMOV B.A., jismoniy shaxs  TURAYEV ISROIL BURIYEVICH  6 yanvar 2026 y.dan №3-BR-sonli Mikroqarz shartnomasi bo‘yicha garovga qo‘yilgan mol-mulkni ko‘zdan kechirdim</v>
      </c>
      <c r="B7" s="285"/>
      <c r="C7" s="285"/>
      <c r="D7" s="285"/>
      <c r="E7" s="285"/>
      <c r="F7" s="285"/>
      <c r="G7" s="285"/>
      <c r="H7" s="285"/>
    </row>
    <row r="8" spans="1:9" ht="19.5" customHeight="1" x14ac:dyDescent="0.25">
      <c r="A8" s="289" t="s">
        <v>270</v>
      </c>
      <c r="B8" s="289"/>
      <c r="C8" s="289"/>
      <c r="D8" s="289"/>
      <c r="E8" s="289"/>
      <c r="F8" s="289"/>
      <c r="G8" s="289"/>
      <c r="H8" s="289"/>
    </row>
    <row r="9" spans="1:9" s="142" customFormat="1" ht="32.25" customHeight="1" x14ac:dyDescent="0.3">
      <c r="A9" s="290" t="str">
        <f>monitoring_1!A9</f>
        <v>Nomi</v>
      </c>
      <c r="B9" s="291"/>
      <c r="C9" s="290" t="str">
        <f>monitoring_1!C9</f>
        <v>Kuzov turi  va kuzov raqami*</v>
      </c>
      <c r="D9" s="291"/>
      <c r="E9" s="290" t="str">
        <f>monitoring_1!E9</f>
        <v>Dvigatel va shassi raqami*</v>
      </c>
      <c r="F9" s="291"/>
      <c r="G9" s="290" t="str">
        <f>monitoring_1!G9</f>
        <v>Ishlab chiqarilgan yili va rangi**</v>
      </c>
      <c r="H9" s="291"/>
    </row>
    <row r="10" spans="1:9" s="140" customFormat="1" ht="58.5" customHeight="1" x14ac:dyDescent="0.25">
      <c r="A10" s="293" t="str">
        <f>monitoring_1!A10</f>
        <v>COBALT</v>
      </c>
      <c r="B10" s="294"/>
      <c r="C10" s="293" t="str">
        <f>monitoring_1!C10</f>
        <v>kuzov turi - YENGIL SEDAN, kuzov raqami XWBJF69VEGA010429</v>
      </c>
      <c r="D10" s="294"/>
      <c r="E10" s="293" t="str">
        <f>monitoring_1!E10</f>
        <v>dvigatel raqami B15D211163412DJCX0337, shassi raqami - RAKAMSIZ</v>
      </c>
      <c r="F10" s="294"/>
      <c r="G10" s="293" t="str">
        <f>monitoring_1!G10</f>
        <v>rangi -  OQ OLIMPIYSKAYA BELAYA, ishlab chiqarilgan yili - 2016</v>
      </c>
      <c r="H10" s="294"/>
    </row>
    <row r="11" spans="1:9" ht="19.5" customHeight="1" x14ac:dyDescent="0.25">
      <c r="A11" s="284" t="str">
        <f>dalolatnoma!A22:E22</f>
        <v>-* avtotransport egasi: USMONOV NURIDDID IXTIYOROVICH</v>
      </c>
      <c r="B11" s="284"/>
      <c r="C11" s="284"/>
      <c r="D11" s="284"/>
      <c r="E11" s="284"/>
      <c r="F11" s="284"/>
      <c r="G11" s="284"/>
      <c r="H11" s="284"/>
    </row>
    <row r="12" spans="1:9" ht="19.5" customHeight="1" x14ac:dyDescent="0.25">
      <c r="A12" s="284" t="str">
        <f>dalolatnoma!A23:E23</f>
        <v>-* texnik pasport: AAF      2401056      01.12.2020 y.</v>
      </c>
      <c r="B12" s="284"/>
      <c r="C12" s="284"/>
      <c r="D12" s="284"/>
      <c r="E12" s="284"/>
      <c r="F12" s="284"/>
      <c r="G12" s="284"/>
      <c r="H12" s="284"/>
    </row>
    <row r="13" spans="1:9" ht="19.5" customHeight="1" x14ac:dyDescent="0.25">
      <c r="A13" s="284" t="str">
        <f>dalolatnoma!A24:E24</f>
        <v>-* roʻyxatdan oʻtgan manzili/garaj manzili: BUXORO VILOYATI BUXORO SHAHRI CHO'LPON KO'CHASI 22-A-UY</v>
      </c>
      <c r="B13" s="284"/>
      <c r="C13" s="284"/>
      <c r="D13" s="284"/>
      <c r="E13" s="284"/>
      <c r="F13" s="284"/>
      <c r="G13" s="284"/>
      <c r="H13" s="284"/>
    </row>
    <row r="14" spans="1:9" ht="19.5" customHeight="1" x14ac:dyDescent="0.25">
      <c r="A14" s="284" t="str">
        <f>dalolatnoma!A25:E25</f>
        <v>-* davlat raqami: 80G291QA</v>
      </c>
      <c r="B14" s="284"/>
      <c r="C14" s="284"/>
      <c r="D14" s="284"/>
      <c r="E14" s="284"/>
      <c r="F14" s="284"/>
      <c r="G14" s="284"/>
      <c r="H14" s="284"/>
    </row>
    <row r="15" spans="1:9" ht="33.75" customHeight="1" x14ac:dyDescent="0.25">
      <c r="A15" s="287" t="str">
        <f>+"Shu bilan birga, yuqoridagi mulkning kelishilgan garov qiymati "&amp;dalolatnoma!E30</f>
        <v>Shu bilan birga, yuqoridagi mulkning kelishilgan garov qiymati 46 200 000,00 
(qirq olti million ikki yuz ming so'm)</v>
      </c>
      <c r="B15" s="287"/>
      <c r="C15" s="287"/>
      <c r="D15" s="287"/>
      <c r="E15" s="287"/>
      <c r="F15" s="287"/>
      <c r="G15" s="287"/>
      <c r="H15" s="287"/>
    </row>
    <row r="17" spans="1:8" s="140" customFormat="1" ht="32.25" customHeight="1" x14ac:dyDescent="0.25">
      <c r="A17" s="288" t="s">
        <v>271</v>
      </c>
      <c r="B17" s="288"/>
      <c r="C17" s="288"/>
      <c r="D17" s="288"/>
      <c r="E17" s="288"/>
      <c r="F17" s="288"/>
      <c r="G17" s="288"/>
      <c r="H17" s="288"/>
    </row>
    <row r="21" spans="1:8" s="31" customFormat="1" x14ac:dyDescent="0.25"/>
    <row r="22" spans="1:8" s="31" customFormat="1" x14ac:dyDescent="0.25">
      <c r="A22" s="31" t="str">
        <f>umumiy_malumot!A150</f>
        <v>Buxoro filiali boshlig'i</v>
      </c>
      <c r="H22" s="143" t="str">
        <f>umumiy_malumot!B150</f>
        <v>IKROMOV B.A.</v>
      </c>
    </row>
    <row r="23" spans="1:8" s="31" customFormat="1" ht="32.25" customHeight="1" x14ac:dyDescent="0.25">
      <c r="H23" s="143"/>
    </row>
    <row r="24" spans="1:8" s="31" customFormat="1" ht="16.5" hidden="1" customHeight="1" x14ac:dyDescent="0.25">
      <c r="A24" s="31" t="s">
        <v>272</v>
      </c>
      <c r="H24" s="31">
        <f>umumiy_malumot!B160</f>
        <v>0</v>
      </c>
    </row>
    <row r="25" spans="1:8" s="31" customFormat="1" ht="60" customHeight="1" x14ac:dyDescent="0.25"/>
    <row r="26" spans="1:8" s="31" customFormat="1" x14ac:dyDescent="0.25">
      <c r="A26" s="31" t="s">
        <v>273</v>
      </c>
      <c r="H26" s="143" t="str">
        <f>umumiy_malumot!B7</f>
        <v>TURAYEV I.B.</v>
      </c>
    </row>
    <row r="27" spans="1:8" s="31" customFormat="1" x14ac:dyDescent="0.25"/>
    <row r="28" spans="1:8" s="31" customFormat="1" x14ac:dyDescent="0.25"/>
    <row r="29" spans="1:8" s="31" customFormat="1" x14ac:dyDescent="0.25"/>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zoomScaleNormal="100" zoomScaleSheetLayoutView="100" workbookViewId="0">
      <selection activeCell="E25" sqref="E25"/>
    </sheetView>
  </sheetViews>
  <sheetFormatPr defaultColWidth="9.109375" defaultRowHeight="13.2" x14ac:dyDescent="0.25"/>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x14ac:dyDescent="0.25">
      <c r="A1" s="31"/>
      <c r="B1" s="31"/>
      <c r="C1" s="31"/>
      <c r="D1" s="31"/>
      <c r="E1" s="31"/>
      <c r="F1" s="31"/>
      <c r="G1" s="31"/>
      <c r="H1" s="31"/>
      <c r="I1" s="31"/>
    </row>
    <row r="2" spans="1:9" x14ac:dyDescent="0.25">
      <c r="A2" s="286" t="str">
        <f>""&amp;" "&amp;umumiy_malumot!B74&amp;"-sonli "&amp;" "&amp;umumiy_malumot!C64&amp;" shartnomasi bo‘yicha
 garovga qo‘yilgan mol-mulkni tekshirish bo’yicha "&amp;umumiy_malumot!B5&amp;" bilan tuzilgan dalolatnomasi"</f>
        <v xml:space="preserve"> 6 yanvar 2026 y.dan №3-BR-sonli  Mikroqarz shartnomasi bo‘yicha
 garovga qo‘yilgan mol-mulkni tekshirish bo’yicha TURAYEV ISROIL BURIYEVICH bilan tuzilgan dalolatnomasi</v>
      </c>
      <c r="B2" s="286"/>
      <c r="C2" s="286"/>
      <c r="D2" s="286"/>
      <c r="E2" s="286"/>
      <c r="F2" s="286"/>
      <c r="G2" s="286"/>
      <c r="H2" s="286"/>
      <c r="I2" s="31"/>
    </row>
    <row r="3" spans="1:9" x14ac:dyDescent="0.25">
      <c r="A3" s="286"/>
      <c r="B3" s="286"/>
      <c r="C3" s="286"/>
      <c r="D3" s="286"/>
      <c r="E3" s="286"/>
      <c r="F3" s="286"/>
      <c r="G3" s="286"/>
      <c r="H3" s="286"/>
      <c r="I3" s="31"/>
    </row>
    <row r="5" spans="1:9" x14ac:dyDescent="0.25">
      <c r="A5" s="24" t="s">
        <v>197</v>
      </c>
      <c r="H5" s="141" t="str">
        <f>TEXT(+umumiy_malumot!B2+720,"ДД.ММ.ГГГГ")</f>
        <v>27.12.2027</v>
      </c>
    </row>
    <row r="7" spans="1:9" ht="45" customHeight="1" x14ac:dyDescent="0.25">
      <c r="A7" s="285" t="str">
        <f>"      Men, "&amp;umumiy_malumot!B147&amp;" "&amp;umumiy_malumot!A150&amp;"i "&amp;umumiy_malumot!B150&amp;", jismoniy shaxs "&amp;" "&amp;umumiy_malumot!B5&amp;" "&amp;" "&amp;umumiy_malumot!B74&amp;"-sonli "&amp;umumiy_malumot!C64&amp;" shartnomasi bo‘yicha garovga qo‘yilgan mol-mulkni ko‘zdan kechirdim"</f>
        <v xml:space="preserve">      Men, «PULLOL BUSINESS MIKROMOLIYA TASHKILOTI»  MChJ Buxoro filiali boshlig'ii IKROMOV B.A., jismoniy shaxs  TURAYEV ISROIL BURIYEVICH  6 yanvar 2026 y.dan №3-BR-sonli Mikroqarz shartnomasi bo‘yicha garovga qo‘yilgan mol-mulkni ko‘zdan kechirdim</v>
      </c>
      <c r="B7" s="285"/>
      <c r="C7" s="285"/>
      <c r="D7" s="285"/>
      <c r="E7" s="285"/>
      <c r="F7" s="285"/>
      <c r="G7" s="285"/>
      <c r="H7" s="285"/>
    </row>
    <row r="8" spans="1:9" ht="19.5" customHeight="1" x14ac:dyDescent="0.25">
      <c r="A8" s="289" t="s">
        <v>270</v>
      </c>
      <c r="B8" s="289"/>
      <c r="C8" s="289"/>
      <c r="D8" s="289"/>
      <c r="E8" s="289"/>
      <c r="F8" s="289"/>
      <c r="G8" s="289"/>
      <c r="H8" s="289"/>
    </row>
    <row r="9" spans="1:9" s="142" customFormat="1" ht="32.25" customHeight="1" x14ac:dyDescent="0.3">
      <c r="A9" s="290" t="str">
        <f>monitoring_1!A9</f>
        <v>Nomi</v>
      </c>
      <c r="B9" s="291"/>
      <c r="C9" s="290" t="str">
        <f>monitoring_1!C9</f>
        <v>Kuzov turi  va kuzov raqami*</v>
      </c>
      <c r="D9" s="291"/>
      <c r="E9" s="290" t="str">
        <f>monitoring_1!E9</f>
        <v>Dvigatel va shassi raqami*</v>
      </c>
      <c r="F9" s="291"/>
      <c r="G9" s="290" t="str">
        <f>monitoring_1!G9</f>
        <v>Ishlab chiqarilgan yili va rangi**</v>
      </c>
      <c r="H9" s="291"/>
    </row>
    <row r="10" spans="1:9" s="140" customFormat="1" ht="58.5" customHeight="1" x14ac:dyDescent="0.25">
      <c r="A10" s="292" t="str">
        <f>monitoring_1!A10</f>
        <v>COBALT</v>
      </c>
      <c r="B10" s="292"/>
      <c r="C10" s="292" t="str">
        <f>monitoring_1!C10</f>
        <v>kuzov turi - YENGIL SEDAN, kuzov raqami XWBJF69VEGA010429</v>
      </c>
      <c r="D10" s="292"/>
      <c r="E10" s="292" t="str">
        <f>monitoring_1!E10</f>
        <v>dvigatel raqami B15D211163412DJCX0337, shassi raqami - RAKAMSIZ</v>
      </c>
      <c r="F10" s="292"/>
      <c r="G10" s="292" t="str">
        <f>monitoring_1!G10</f>
        <v>rangi -  OQ OLIMPIYSKAYA BELAYA, ishlab chiqarilgan yili - 2016</v>
      </c>
      <c r="H10" s="292"/>
    </row>
    <row r="11" spans="1:9" ht="19.5" customHeight="1" x14ac:dyDescent="0.25">
      <c r="A11" s="284" t="str">
        <f>dalolatnoma!A22:E22</f>
        <v>-* avtotransport egasi: USMONOV NURIDDID IXTIYOROVICH</v>
      </c>
      <c r="B11" s="284"/>
      <c r="C11" s="284"/>
      <c r="D11" s="284"/>
      <c r="E11" s="284"/>
      <c r="F11" s="284"/>
      <c r="G11" s="284"/>
      <c r="H11" s="284"/>
    </row>
    <row r="12" spans="1:9" ht="19.5" customHeight="1" x14ac:dyDescent="0.25">
      <c r="A12" s="284" t="str">
        <f>dalolatnoma!A23:E23</f>
        <v>-* texnik pasport: AAF      2401056      01.12.2020 y.</v>
      </c>
      <c r="B12" s="284"/>
      <c r="C12" s="284"/>
      <c r="D12" s="284"/>
      <c r="E12" s="284"/>
      <c r="F12" s="284"/>
      <c r="G12" s="284"/>
      <c r="H12" s="284"/>
    </row>
    <row r="13" spans="1:9" ht="19.5" customHeight="1" x14ac:dyDescent="0.25">
      <c r="A13" s="284" t="str">
        <f>dalolatnoma!A24:E24</f>
        <v>-* roʻyxatdan oʻtgan manzili/garaj manzili: BUXORO VILOYATI BUXORO SHAHRI CHO'LPON KO'CHASI 22-A-UY</v>
      </c>
      <c r="B13" s="284"/>
      <c r="C13" s="284"/>
      <c r="D13" s="284"/>
      <c r="E13" s="284"/>
      <c r="F13" s="284"/>
      <c r="G13" s="284"/>
      <c r="H13" s="284"/>
    </row>
    <row r="14" spans="1:9" ht="19.5" customHeight="1" x14ac:dyDescent="0.25">
      <c r="A14" s="284" t="str">
        <f>dalolatnoma!A25:E25</f>
        <v>-* davlat raqami: 80G291QA</v>
      </c>
      <c r="B14" s="284"/>
      <c r="C14" s="284"/>
      <c r="D14" s="284"/>
      <c r="E14" s="284"/>
      <c r="F14" s="284"/>
      <c r="G14" s="284"/>
      <c r="H14" s="284"/>
    </row>
    <row r="15" spans="1:9" ht="33.75" customHeight="1" x14ac:dyDescent="0.25">
      <c r="A15" s="287" t="str">
        <f>+"Shu bilan birga, yuqoridagi mulkning kelishilgan garov qiymati "&amp;dalolatnoma!E30</f>
        <v>Shu bilan birga, yuqoridagi mulkning kelishilgan garov qiymati 46 200 000,00 
(qirq olti million ikki yuz ming so'm)</v>
      </c>
      <c r="B15" s="287"/>
      <c r="C15" s="287"/>
      <c r="D15" s="287"/>
      <c r="E15" s="287"/>
      <c r="F15" s="287"/>
      <c r="G15" s="287"/>
      <c r="H15" s="287"/>
    </row>
    <row r="17" spans="1:8" ht="28.5" customHeight="1" x14ac:dyDescent="0.25">
      <c r="A17" s="288" t="s">
        <v>271</v>
      </c>
      <c r="B17" s="288"/>
      <c r="C17" s="288"/>
      <c r="D17" s="288"/>
      <c r="E17" s="288"/>
      <c r="F17" s="288"/>
      <c r="G17" s="288"/>
      <c r="H17" s="288"/>
    </row>
    <row r="21" spans="1:8" s="31" customFormat="1" x14ac:dyDescent="0.25"/>
    <row r="22" spans="1:8" s="31" customFormat="1" x14ac:dyDescent="0.25">
      <c r="A22" s="31" t="str">
        <f>umumiy_malumot!A150</f>
        <v>Buxoro filiali boshlig'i</v>
      </c>
      <c r="H22" s="143" t="str">
        <f>umumiy_malumot!B150</f>
        <v>IKROMOV B.A.</v>
      </c>
    </row>
    <row r="23" spans="1:8" s="31" customFormat="1" ht="32.25" customHeight="1" x14ac:dyDescent="0.25">
      <c r="H23" s="143"/>
    </row>
    <row r="24" spans="1:8" s="31" customFormat="1" ht="16.5" hidden="1" customHeight="1" x14ac:dyDescent="0.25">
      <c r="A24" s="31" t="s">
        <v>272</v>
      </c>
      <c r="H24" s="31">
        <f>umumiy_malumot!B160</f>
        <v>0</v>
      </c>
    </row>
    <row r="25" spans="1:8" s="31" customFormat="1" ht="60" customHeight="1" x14ac:dyDescent="0.25"/>
    <row r="26" spans="1:8" s="31" customFormat="1" x14ac:dyDescent="0.25">
      <c r="A26" s="31" t="s">
        <v>273</v>
      </c>
      <c r="H26" s="143" t="str">
        <f>umumiy_malumot!B7</f>
        <v>TURAYEV I.B.</v>
      </c>
    </row>
    <row r="27" spans="1:8" s="31" customFormat="1" x14ac:dyDescent="0.25"/>
    <row r="28" spans="1:8" s="31" customFormat="1" x14ac:dyDescent="0.25"/>
    <row r="29" spans="1:8" s="31" customFormat="1" x14ac:dyDescent="0.25"/>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9">
    <tabColor theme="1"/>
  </sheetPr>
  <dimension ref="A1:V76"/>
  <sheetViews>
    <sheetView topLeftCell="A37" zoomScale="70" zoomScaleNormal="70" zoomScaleSheetLayoutView="70" workbookViewId="0">
      <selection activeCell="A60" sqref="A60:C60"/>
    </sheetView>
  </sheetViews>
  <sheetFormatPr defaultColWidth="9.109375" defaultRowHeight="13.8" outlineLevelCol="1" x14ac:dyDescent="0.25"/>
  <cols>
    <col min="1" max="1" width="9.109375" style="86"/>
    <col min="2" max="2" width="12.33203125" style="86" customWidth="1"/>
    <col min="3" max="3" width="16.5546875" style="86" customWidth="1"/>
    <col min="4" max="4" width="16.6640625" style="86" customWidth="1"/>
    <col min="5" max="5" width="16.5546875" style="86" customWidth="1"/>
    <col min="6" max="6" width="20.88671875" style="86" customWidth="1"/>
    <col min="7" max="7" width="10.109375" style="86" customWidth="1" outlineLevel="1"/>
    <col min="8" max="8" width="19.109375" style="86" customWidth="1"/>
    <col min="9" max="9" width="21.44140625" style="86" customWidth="1"/>
    <col min="10" max="10" width="20.88671875" style="86" customWidth="1"/>
    <col min="11" max="11" width="20.109375" style="86" customWidth="1"/>
    <col min="12" max="12" width="21.44140625" style="86" customWidth="1"/>
    <col min="13" max="13" width="25.44140625" style="86" customWidth="1"/>
    <col min="14" max="14" width="18.33203125" style="86" customWidth="1"/>
    <col min="15" max="17" width="9.109375" style="15"/>
    <col min="18" max="18" width="24.44140625" style="15" customWidth="1"/>
    <col min="19" max="16384" width="9.109375" style="15"/>
  </cols>
  <sheetData>
    <row r="1" spans="1:22" x14ac:dyDescent="0.25">
      <c r="A1" s="85"/>
      <c r="B1" s="85"/>
      <c r="C1" s="85"/>
      <c r="D1" s="85"/>
      <c r="E1" s="323" t="s">
        <v>15</v>
      </c>
      <c r="F1" s="323"/>
    </row>
    <row r="2" spans="1:22" x14ac:dyDescent="0.25">
      <c r="A2" s="85"/>
      <c r="B2" s="85"/>
      <c r="C2" s="85"/>
      <c r="D2" s="85"/>
      <c r="E2" s="85"/>
      <c r="F2" s="87" t="str">
        <f>"к договору микрозайма "&amp;umumiy_malumot!B74&amp;""</f>
        <v>к договору микрозайма 6 yanvar 2026 y.dan №3-BR</v>
      </c>
    </row>
    <row r="3" spans="1:22" ht="19.5" customHeight="1" x14ac:dyDescent="0.25">
      <c r="A3" s="85"/>
      <c r="B3" s="85"/>
      <c r="C3" s="85"/>
      <c r="D3" s="85"/>
      <c r="E3" s="85"/>
      <c r="F3" s="85"/>
      <c r="H3" s="88"/>
      <c r="I3" s="88"/>
      <c r="J3" s="89"/>
      <c r="K3" s="89"/>
    </row>
    <row r="4" spans="1:22" ht="19.5" customHeight="1" x14ac:dyDescent="0.25">
      <c r="A4" s="324" t="s">
        <v>16</v>
      </c>
      <c r="B4" s="324"/>
      <c r="C4" s="324"/>
      <c r="D4" s="324"/>
      <c r="E4" s="324"/>
      <c r="F4" s="324"/>
      <c r="H4" s="88"/>
      <c r="I4" s="88"/>
      <c r="J4" s="88"/>
      <c r="K4" s="88"/>
    </row>
    <row r="5" spans="1:22" ht="19.5" customHeight="1" x14ac:dyDescent="0.25">
      <c r="L5" s="86">
        <f>umumiy_malumot!B81</f>
        <v>36</v>
      </c>
    </row>
    <row r="6" spans="1:22" x14ac:dyDescent="0.25">
      <c r="A6" s="325" t="s">
        <v>14</v>
      </c>
      <c r="B6" s="326" t="s">
        <v>8</v>
      </c>
      <c r="C6" s="326" t="s">
        <v>9</v>
      </c>
      <c r="D6" s="327" t="s">
        <v>10</v>
      </c>
      <c r="E6" s="327"/>
      <c r="F6" s="327"/>
    </row>
    <row r="7" spans="1:22" s="16" customFormat="1" x14ac:dyDescent="0.3">
      <c r="A7" s="325"/>
      <c r="B7" s="326"/>
      <c r="C7" s="326"/>
      <c r="D7" s="90" t="s">
        <v>11</v>
      </c>
      <c r="E7" s="90" t="s">
        <v>12</v>
      </c>
      <c r="F7" s="90" t="s">
        <v>13</v>
      </c>
      <c r="G7" s="91"/>
      <c r="H7" s="91"/>
      <c r="I7" s="91"/>
      <c r="J7" s="91"/>
      <c r="K7" s="91"/>
      <c r="L7" s="91"/>
      <c r="M7" s="91"/>
      <c r="N7" s="91"/>
    </row>
    <row r="8" spans="1:22" x14ac:dyDescent="0.25">
      <c r="A8" s="92">
        <v>1</v>
      </c>
      <c r="B8" s="93">
        <f>umumiy_malumot!B79</f>
        <v>46069</v>
      </c>
      <c r="C8" s="51">
        <f>umumiy_malumot!B75</f>
        <v>33000000</v>
      </c>
      <c r="D8" s="51">
        <f>IF(IF(C8=0,L8,IF(C8&gt;1,I8))="",0,(IF(C8=0,L8,IF(C8&gt;1,I8))))</f>
        <v>916666.67</v>
      </c>
      <c r="E8" s="51">
        <f>IF(C8=0,N6,IF(C8&gt;1,L8))</f>
        <v>2038767.23</v>
      </c>
      <c r="F8" s="51">
        <f>IF(C8=0,O6,IF(C8&gt;1,M8))</f>
        <v>2955433.9</v>
      </c>
      <c r="G8" s="106">
        <f>B8-umumiy_malumot!B67</f>
        <v>41</v>
      </c>
      <c r="H8" s="86">
        <f>DATE(YEAR(B8),12,31)-DATE(YEAR(B8),1,1)+1</f>
        <v>365</v>
      </c>
      <c r="I8" s="94">
        <f>IF(umumiy_malumot!B83=0,ROUND(C8/L5,2),"")</f>
        <v>916666.67</v>
      </c>
      <c r="J8" s="94"/>
      <c r="K8" s="94"/>
      <c r="L8" s="88">
        <f>ROUND(C8*umumiy_malumot!$B$84/H8,2)*G8</f>
        <v>2038767.23</v>
      </c>
      <c r="M8" s="88">
        <f t="shared" ref="M8:M31" si="0">D8+E8</f>
        <v>2955433.9</v>
      </c>
      <c r="N8" s="88"/>
      <c r="O8" s="103" t="str">
        <f>TEXT(B8,"ддд")</f>
        <v>Пн</v>
      </c>
      <c r="P8" s="105">
        <f>IF(O8=$U$8,2,IF(O8=$V$8,1,0))</f>
        <v>0</v>
      </c>
      <c r="Q8" s="105">
        <f>DAY(umumiy_malumot!$B$78)+P8</f>
        <v>15</v>
      </c>
      <c r="R8" s="100"/>
      <c r="S8" s="101" t="s">
        <v>28</v>
      </c>
      <c r="T8" s="101" t="s">
        <v>29</v>
      </c>
      <c r="U8" s="101" t="s">
        <v>30</v>
      </c>
      <c r="V8" s="102" t="s">
        <v>31</v>
      </c>
    </row>
    <row r="9" spans="1:22" x14ac:dyDescent="0.25">
      <c r="A9" s="92">
        <v>2</v>
      </c>
      <c r="B9" s="93">
        <f>IF(A9&lt;=umumiy_malumot!$B$81,DATE(YEAR(R9),MONTH(R9),DAY(IF(A9=umumiy_malumot!$B$81,umumiy_malumot!$B$67,IF(A9&lt;umumiy_malumot!$B$81,(Q9),IF(A9&gt;umumiy_malumot!$B$81,$H$56,0))))))</f>
        <v>46097</v>
      </c>
      <c r="C9" s="51">
        <f t="shared" ref="C9:C30" si="1">C8-D8</f>
        <v>32083333.329999998</v>
      </c>
      <c r="D9" s="51">
        <f t="shared" ref="D9:D30" si="2">IF(C9=0,L9,IF(C9&gt;1,I9))</f>
        <v>916666.67</v>
      </c>
      <c r="E9" s="51">
        <f t="shared" ref="E9:E30" si="3">IF(C9=0,N8,IF(C9&gt;1,L9))</f>
        <v>1353653</v>
      </c>
      <c r="F9" s="51">
        <f t="shared" ref="F9:F30" si="4">IF(C9=0,N8,IF(C9&gt;1,M9))</f>
        <v>2270319.67</v>
      </c>
      <c r="G9" s="86">
        <f>B9-B8</f>
        <v>28</v>
      </c>
      <c r="H9" s="86">
        <f t="shared" ref="H9:H31" si="5">DATE(YEAR(B9),12,31)-DATE(YEAR(B9),1,1)+1</f>
        <v>365</v>
      </c>
      <c r="I9" s="94">
        <f>IF(I8="",ROUND(C8/(L5-1),2),I8)</f>
        <v>916666.67</v>
      </c>
      <c r="J9" s="94"/>
      <c r="K9" s="94"/>
      <c r="L9" s="88">
        <f>ROUND(C9*umumiy_malumot!$B$84/H9,2)*G9</f>
        <v>1353653</v>
      </c>
      <c r="M9" s="88">
        <f t="shared" si="0"/>
        <v>2270319.67</v>
      </c>
      <c r="N9" s="88"/>
      <c r="O9" s="103" t="str">
        <f>TEXT(R9,"ддд")</f>
        <v>Вс</v>
      </c>
      <c r="P9" s="105">
        <f t="shared" ref="P9:P31" si="6">IF(O9=$U$8,2,IF(O9=$V$8,1,0))</f>
        <v>1</v>
      </c>
      <c r="Q9" s="105">
        <f>DAY(umumiy_malumot!$B$78)+P9</f>
        <v>16</v>
      </c>
      <c r="R9" s="100">
        <f>IF(A9&lt;=umumiy_malumot!$B$81,DATE(YEAR($B$8),MONTH($B$8)+A8,DAY(umumiy_malumot!$B$78)),0)</f>
        <v>46096</v>
      </c>
      <c r="S9" s="86"/>
      <c r="T9" s="86"/>
      <c r="U9" s="86"/>
      <c r="V9" s="86"/>
    </row>
    <row r="10" spans="1:22" x14ac:dyDescent="0.25">
      <c r="A10" s="92">
        <v>3</v>
      </c>
      <c r="B10" s="93">
        <f>IF(A10&lt;=umumiy_malumot!$B$81,DATE(YEAR(R10),MONTH(R10),DAY(IF(A10=umumiy_malumot!$B$81,umumiy_malumot!$B$67,IF(A10&lt;umumiy_malumot!$B$81,(Q10),IF(A10&gt;umumiy_malumot!$B$81,$H$56,0))))))</f>
        <v>46127</v>
      </c>
      <c r="C10" s="51">
        <f t="shared" si="1"/>
        <v>31166666.659999996</v>
      </c>
      <c r="D10" s="51">
        <f t="shared" si="2"/>
        <v>916666.67</v>
      </c>
      <c r="E10" s="51">
        <f t="shared" si="3"/>
        <v>1408904.1</v>
      </c>
      <c r="F10" s="51">
        <f t="shared" si="4"/>
        <v>2325570.77</v>
      </c>
      <c r="G10" s="86">
        <f t="shared" ref="G10:G31" si="7">B10-B9</f>
        <v>30</v>
      </c>
      <c r="H10" s="86">
        <f t="shared" si="5"/>
        <v>365</v>
      </c>
      <c r="I10" s="94">
        <f>I9</f>
        <v>916666.67</v>
      </c>
      <c r="J10" s="94"/>
      <c r="K10" s="94"/>
      <c r="L10" s="88">
        <f>ROUND(C10*umumiy_malumot!$B$84/H10,2)*G10</f>
        <v>1408904.1</v>
      </c>
      <c r="M10" s="88">
        <f t="shared" si="0"/>
        <v>2325570.77</v>
      </c>
      <c r="N10" s="88"/>
      <c r="O10" s="103" t="str">
        <f t="shared" ref="O10:O31" si="8">TEXT(R10,"ддд")</f>
        <v>Ср</v>
      </c>
      <c r="P10" s="105">
        <f t="shared" si="6"/>
        <v>0</v>
      </c>
      <c r="Q10" s="105">
        <f>DAY(umumiy_malumot!$B$78)+P10</f>
        <v>15</v>
      </c>
      <c r="R10" s="100">
        <f>IF(A10&lt;=umumiy_malumot!$B$81,DATE(YEAR($B$8),MONTH($B$8)+A9,DAY(umumiy_malumot!$B$78)),0)</f>
        <v>46127</v>
      </c>
      <c r="S10" s="86"/>
      <c r="T10" s="86"/>
      <c r="U10" s="86"/>
      <c r="V10" s="86"/>
    </row>
    <row r="11" spans="1:22" x14ac:dyDescent="0.25">
      <c r="A11" s="92">
        <v>4</v>
      </c>
      <c r="B11" s="93">
        <f>IF(A11&lt;=umumiy_malumot!$B$81,DATE(YEAR(R11),MONTH(R11),DAY(IF(A11=umumiy_malumot!$B$81,umumiy_malumot!$B$67,IF(A11&lt;umumiy_malumot!$B$81,(Q11),IF(A11&gt;umumiy_malumot!$B$81,$H$56,0))))))</f>
        <v>46157</v>
      </c>
      <c r="C11" s="51">
        <f t="shared" si="1"/>
        <v>30249999.989999995</v>
      </c>
      <c r="D11" s="51">
        <f t="shared" si="2"/>
        <v>916666.67</v>
      </c>
      <c r="E11" s="51">
        <f t="shared" si="3"/>
        <v>1367465.7000000002</v>
      </c>
      <c r="F11" s="51">
        <f t="shared" si="4"/>
        <v>2284132.37</v>
      </c>
      <c r="G11" s="86">
        <f t="shared" si="7"/>
        <v>30</v>
      </c>
      <c r="H11" s="86">
        <f t="shared" si="5"/>
        <v>365</v>
      </c>
      <c r="I11" s="94">
        <f>I10</f>
        <v>916666.67</v>
      </c>
      <c r="J11" s="94"/>
      <c r="K11" s="94"/>
      <c r="L11" s="88">
        <f>ROUND(C11*umumiy_malumot!$B$84/H11,2)*G11</f>
        <v>1367465.7000000002</v>
      </c>
      <c r="M11" s="88">
        <f t="shared" si="0"/>
        <v>2284132.37</v>
      </c>
      <c r="N11" s="88"/>
      <c r="O11" s="103" t="str">
        <f t="shared" si="8"/>
        <v>Пт</v>
      </c>
      <c r="P11" s="105">
        <f t="shared" si="6"/>
        <v>0</v>
      </c>
      <c r="Q11" s="105">
        <f>DAY(umumiy_malumot!$B$78)+P11</f>
        <v>15</v>
      </c>
      <c r="R11" s="100">
        <f>IF(A11&lt;=umumiy_malumot!$B$81,DATE(YEAR($B$8),MONTH($B$8)+A10,DAY(umumiy_malumot!$B$78)),0)</f>
        <v>46157</v>
      </c>
      <c r="S11" s="86"/>
      <c r="T11" s="86"/>
      <c r="U11" s="86"/>
      <c r="V11" s="86"/>
    </row>
    <row r="12" spans="1:22" x14ac:dyDescent="0.25">
      <c r="A12" s="92">
        <v>5</v>
      </c>
      <c r="B12" s="93">
        <f>IF(A12&lt;=umumiy_malumot!$B$81,DATE(YEAR(R12),MONTH(R12),DAY(IF(A12=umumiy_malumot!$B$81,umumiy_malumot!$B$67,IF(A12&lt;umumiy_malumot!$B$81,(Q12),IF(A12&gt;umumiy_malumot!$B$81,$H$56,0))))))</f>
        <v>46188</v>
      </c>
      <c r="C12" s="51">
        <f t="shared" si="1"/>
        <v>29333333.319999993</v>
      </c>
      <c r="D12" s="51">
        <f t="shared" si="2"/>
        <v>916666.67</v>
      </c>
      <c r="E12" s="51">
        <f t="shared" si="3"/>
        <v>1370228.2100000002</v>
      </c>
      <c r="F12" s="51">
        <f t="shared" si="4"/>
        <v>2286894.8800000004</v>
      </c>
      <c r="G12" s="86">
        <f t="shared" si="7"/>
        <v>31</v>
      </c>
      <c r="H12" s="86">
        <f t="shared" si="5"/>
        <v>365</v>
      </c>
      <c r="I12" s="94">
        <f>I11</f>
        <v>916666.67</v>
      </c>
      <c r="J12" s="94">
        <f>umumiy_malumot!B75</f>
        <v>33000000</v>
      </c>
      <c r="K12" s="94"/>
      <c r="L12" s="88">
        <f>ROUND(C12*umumiy_malumot!$B$84/H12,2)*G12</f>
        <v>1370228.2100000002</v>
      </c>
      <c r="M12" s="88">
        <f t="shared" si="0"/>
        <v>2286894.8800000004</v>
      </c>
      <c r="N12" s="88"/>
      <c r="O12" s="103" t="str">
        <f t="shared" si="8"/>
        <v>Пн</v>
      </c>
      <c r="P12" s="105">
        <f t="shared" si="6"/>
        <v>0</v>
      </c>
      <c r="Q12" s="105">
        <f>DAY(umumiy_malumot!$B$78)+P12</f>
        <v>15</v>
      </c>
      <c r="R12" s="100">
        <f>IF(A12&lt;=umumiy_malumot!$B$81,DATE(YEAR($B$8),MONTH($B$8)+A11,DAY(umumiy_malumot!$B$78)),0)</f>
        <v>46188</v>
      </c>
      <c r="S12" s="86"/>
      <c r="T12" s="86"/>
      <c r="U12" s="86"/>
      <c r="V12" s="86"/>
    </row>
    <row r="13" spans="1:22" x14ac:dyDescent="0.25">
      <c r="A13" s="92">
        <v>6</v>
      </c>
      <c r="B13" s="93">
        <f>IF(A13&lt;=umumiy_malumot!$B$81,DATE(YEAR(R13),MONTH(R13),DAY(IF(A13=umumiy_malumot!$B$81,umumiy_malumot!$B$67,IF(A13&lt;umumiy_malumot!$B$81,(Q13),IF(A13&gt;umumiy_malumot!$B$81,$H$56,0))))))</f>
        <v>46218</v>
      </c>
      <c r="C13" s="51">
        <f t="shared" si="1"/>
        <v>28416666.649999991</v>
      </c>
      <c r="D13" s="51">
        <f t="shared" si="2"/>
        <v>916666.67</v>
      </c>
      <c r="E13" s="51">
        <f t="shared" si="3"/>
        <v>1284588.8999999999</v>
      </c>
      <c r="F13" s="51">
        <f t="shared" si="4"/>
        <v>2201255.5699999998</v>
      </c>
      <c r="G13" s="86">
        <f t="shared" si="7"/>
        <v>30</v>
      </c>
      <c r="H13" s="86">
        <f t="shared" si="5"/>
        <v>365</v>
      </c>
      <c r="I13" s="94">
        <f>IF(L5=H1,K13,IF(L5&gt;H1,I12))</f>
        <v>916666.67</v>
      </c>
      <c r="J13" s="94">
        <f>SUM($I$8:I12)</f>
        <v>4583333.3500000006</v>
      </c>
      <c r="K13" s="94">
        <f>$J$12-J13</f>
        <v>28416666.649999999</v>
      </c>
      <c r="L13" s="88">
        <f>ROUND(C13*umumiy_malumot!$B$84/H13,2)*G13</f>
        <v>1284588.8999999999</v>
      </c>
      <c r="M13" s="88">
        <f t="shared" si="0"/>
        <v>2201255.5699999998</v>
      </c>
      <c r="N13" s="88"/>
      <c r="O13" s="103" t="str">
        <f t="shared" si="8"/>
        <v>Ср</v>
      </c>
      <c r="P13" s="105">
        <f t="shared" si="6"/>
        <v>0</v>
      </c>
      <c r="Q13" s="105">
        <f>DAY(umumiy_malumot!$B$78)+P13</f>
        <v>15</v>
      </c>
      <c r="R13" s="100">
        <f>IF(A13&lt;=umumiy_malumot!$B$81,DATE(YEAR($B$8),MONTH($B$8)+A12,DAY(umumiy_malumot!$B$78)),0)</f>
        <v>46218</v>
      </c>
      <c r="S13" s="86"/>
      <c r="T13" s="86"/>
      <c r="U13" s="86"/>
      <c r="V13" s="86"/>
    </row>
    <row r="14" spans="1:22" x14ac:dyDescent="0.25">
      <c r="A14" s="92">
        <v>7</v>
      </c>
      <c r="B14" s="93">
        <f>IF(A14&lt;=umumiy_malumot!$B$81,DATE(YEAR(R14),MONTH(R14),DAY(IF(A14=umumiy_malumot!$B$81,umumiy_malumot!$B$67,IF(A14&lt;umumiy_malumot!$B$81,(Q14),IF(A14&gt;umumiy_malumot!$B$81,$H$56,0))))))</f>
        <v>46251</v>
      </c>
      <c r="C14" s="51">
        <f t="shared" si="1"/>
        <v>27499999.979999989</v>
      </c>
      <c r="D14" s="51">
        <f t="shared" si="2"/>
        <v>916666.67</v>
      </c>
      <c r="E14" s="51">
        <f t="shared" si="3"/>
        <v>1367465.8800000001</v>
      </c>
      <c r="F14" s="51">
        <f t="shared" si="4"/>
        <v>2284132.5500000003</v>
      </c>
      <c r="G14" s="86">
        <f t="shared" si="7"/>
        <v>33</v>
      </c>
      <c r="H14" s="86">
        <f t="shared" si="5"/>
        <v>365</v>
      </c>
      <c r="I14" s="94">
        <f>IF($L$5=A14,K14,IF($L$5&gt;A14,I13))</f>
        <v>916666.67</v>
      </c>
      <c r="J14" s="94">
        <f>SUM($I$8:I13)</f>
        <v>5500000.0200000005</v>
      </c>
      <c r="K14" s="94">
        <f t="shared" ref="K14:K31" si="9">$J$12-J14</f>
        <v>27499999.98</v>
      </c>
      <c r="L14" s="88">
        <f>ROUND(C14*umumiy_malumot!$B$84/H14,2)*G14</f>
        <v>1367465.8800000001</v>
      </c>
      <c r="M14" s="88">
        <f t="shared" si="0"/>
        <v>2284132.5500000003</v>
      </c>
      <c r="N14" s="88"/>
      <c r="O14" s="103" t="str">
        <f t="shared" si="8"/>
        <v>Сб</v>
      </c>
      <c r="P14" s="105">
        <f t="shared" si="6"/>
        <v>2</v>
      </c>
      <c r="Q14" s="105">
        <f>DAY(umumiy_malumot!$B$78)+P14</f>
        <v>17</v>
      </c>
      <c r="R14" s="100">
        <f>IF(A14&lt;=umumiy_malumot!$B$81,DATE(YEAR($B$8),MONTH($B$8)+A13,DAY(umumiy_malumot!$B$78)),0)</f>
        <v>46249</v>
      </c>
      <c r="S14" s="86"/>
      <c r="T14" s="86"/>
      <c r="U14" s="86"/>
      <c r="V14" s="86"/>
    </row>
    <row r="15" spans="1:22" x14ac:dyDescent="0.25">
      <c r="A15" s="92">
        <v>8</v>
      </c>
      <c r="B15" s="93">
        <f>IF(A15&lt;=umumiy_malumot!$B$81,DATE(YEAR(R15),MONTH(R15),DAY(IF(A15=umumiy_malumot!$B$81,umumiy_malumot!$B$67,IF(A15&lt;umumiy_malumot!$B$81,(Q15),IF(A15&gt;umumiy_malumot!$B$81,$H$56,0))))))</f>
        <v>46280</v>
      </c>
      <c r="C15" s="51">
        <f t="shared" si="1"/>
        <v>26583333.309999987</v>
      </c>
      <c r="D15" s="51">
        <f t="shared" si="2"/>
        <v>916666.67</v>
      </c>
      <c r="E15" s="51">
        <f t="shared" si="3"/>
        <v>1161655.32</v>
      </c>
      <c r="F15" s="51">
        <f t="shared" si="4"/>
        <v>2078321.9900000002</v>
      </c>
      <c r="G15" s="86">
        <f t="shared" si="7"/>
        <v>29</v>
      </c>
      <c r="H15" s="86">
        <f t="shared" si="5"/>
        <v>365</v>
      </c>
      <c r="I15" s="94">
        <f t="shared" ref="I15:I31" si="10">IF($L$5=A15,K15,IF($L$5&gt;A15,I14))</f>
        <v>916666.67</v>
      </c>
      <c r="J15" s="94">
        <f>SUM($I$8:I14)</f>
        <v>6416666.6900000004</v>
      </c>
      <c r="K15" s="94">
        <f t="shared" si="9"/>
        <v>26583333.309999999</v>
      </c>
      <c r="L15" s="88">
        <f>ROUND(C15*umumiy_malumot!$B$84/H15,2)*G15</f>
        <v>1161655.32</v>
      </c>
      <c r="M15" s="88">
        <f t="shared" si="0"/>
        <v>2078321.9900000002</v>
      </c>
      <c r="N15" s="88"/>
      <c r="O15" s="103" t="str">
        <f t="shared" si="8"/>
        <v>Вт</v>
      </c>
      <c r="P15" s="105">
        <f t="shared" si="6"/>
        <v>0</v>
      </c>
      <c r="Q15" s="105">
        <f>DAY(umumiy_malumot!$B$78)+P15</f>
        <v>15</v>
      </c>
      <c r="R15" s="100">
        <f>IF(A15&lt;=umumiy_malumot!$B$81,DATE(YEAR($B$8),MONTH($B$8)+A14,DAY(umumiy_malumot!$B$78)),0)</f>
        <v>46280</v>
      </c>
      <c r="S15" s="86"/>
      <c r="T15" s="86"/>
      <c r="U15" s="86"/>
      <c r="V15" s="86"/>
    </row>
    <row r="16" spans="1:22" x14ac:dyDescent="0.25">
      <c r="A16" s="92">
        <v>9</v>
      </c>
      <c r="B16" s="93">
        <f>IF(A16&lt;=umumiy_malumot!$B$81,DATE(YEAR(R16),MONTH(R16),DAY(IF(A16=umumiy_malumot!$B$81,umumiy_malumot!$B$67,IF(A16&lt;umumiy_malumot!$B$81,(Q16),IF(A16&gt;umumiy_malumot!$B$81,$H$56,0))))))</f>
        <v>46310</v>
      </c>
      <c r="C16" s="51">
        <f t="shared" si="1"/>
        <v>25666666.639999986</v>
      </c>
      <c r="D16" s="51">
        <f t="shared" si="2"/>
        <v>916666.67</v>
      </c>
      <c r="E16" s="51">
        <f t="shared" si="3"/>
        <v>1160274</v>
      </c>
      <c r="F16" s="51">
        <f t="shared" si="4"/>
        <v>2076940.67</v>
      </c>
      <c r="G16" s="86">
        <f t="shared" si="7"/>
        <v>30</v>
      </c>
      <c r="H16" s="86">
        <f t="shared" si="5"/>
        <v>365</v>
      </c>
      <c r="I16" s="94">
        <f t="shared" si="10"/>
        <v>916666.67</v>
      </c>
      <c r="J16" s="94">
        <f>SUM($I$8:I15)</f>
        <v>7333333.3600000003</v>
      </c>
      <c r="K16" s="94">
        <f t="shared" si="9"/>
        <v>25666666.640000001</v>
      </c>
      <c r="L16" s="88">
        <f>ROUND(C16*umumiy_malumot!$B$84/H16,2)*G16</f>
        <v>1160274</v>
      </c>
      <c r="M16" s="88">
        <f t="shared" si="0"/>
        <v>2076940.67</v>
      </c>
      <c r="N16" s="88"/>
      <c r="O16" s="103" t="str">
        <f t="shared" si="8"/>
        <v>Чт</v>
      </c>
      <c r="P16" s="105">
        <f t="shared" si="6"/>
        <v>0</v>
      </c>
      <c r="Q16" s="105">
        <f>DAY(umumiy_malumot!$B$78)+P16</f>
        <v>15</v>
      </c>
      <c r="R16" s="100">
        <f>IF(A16&lt;=umumiy_malumot!$B$81,DATE(YEAR($B$8),MONTH($B$8)+A15,DAY(umumiy_malumot!$B$78)),0)</f>
        <v>46310</v>
      </c>
      <c r="S16" s="86"/>
      <c r="T16" s="86"/>
      <c r="U16" s="86"/>
      <c r="V16" s="86"/>
    </row>
    <row r="17" spans="1:22" x14ac:dyDescent="0.25">
      <c r="A17" s="92">
        <v>10</v>
      </c>
      <c r="B17" s="93">
        <f>IF(A17&lt;=umumiy_malumot!$B$81,DATE(YEAR(R17),MONTH(R17),DAY(IF(A17=umumiy_malumot!$B$81,umumiy_malumot!$B$67,IF(A17&lt;umumiy_malumot!$B$81,(Q17),IF(A17&gt;umumiy_malumot!$B$81,$H$56,0))))))</f>
        <v>46342</v>
      </c>
      <c r="C17" s="51">
        <f t="shared" si="1"/>
        <v>24749999.969999984</v>
      </c>
      <c r="D17" s="51">
        <f t="shared" si="2"/>
        <v>916666.67</v>
      </c>
      <c r="E17" s="51">
        <f t="shared" si="3"/>
        <v>1193424.6399999999</v>
      </c>
      <c r="F17" s="51">
        <f t="shared" si="4"/>
        <v>2110091.31</v>
      </c>
      <c r="G17" s="86">
        <f t="shared" si="7"/>
        <v>32</v>
      </c>
      <c r="H17" s="86">
        <f t="shared" si="5"/>
        <v>365</v>
      </c>
      <c r="I17" s="94">
        <f t="shared" si="10"/>
        <v>916666.67</v>
      </c>
      <c r="J17" s="94">
        <f>SUM($I$8:I16)</f>
        <v>8250000.0300000003</v>
      </c>
      <c r="K17" s="94">
        <f>$J$12-J17</f>
        <v>24749999.969999999</v>
      </c>
      <c r="L17" s="88">
        <f>ROUND(C17*umumiy_malumot!$B$84/H17,2)*G17</f>
        <v>1193424.6399999999</v>
      </c>
      <c r="M17" s="88">
        <f t="shared" si="0"/>
        <v>2110091.31</v>
      </c>
      <c r="N17" s="88"/>
      <c r="O17" s="103" t="str">
        <f t="shared" si="8"/>
        <v>Вс</v>
      </c>
      <c r="P17" s="105">
        <f t="shared" si="6"/>
        <v>1</v>
      </c>
      <c r="Q17" s="105">
        <f>DAY(umumiy_malumot!$B$78)+P17</f>
        <v>16</v>
      </c>
      <c r="R17" s="100">
        <f>IF(A17&lt;=umumiy_malumot!$B$81,DATE(YEAR($B$8),MONTH($B$8)+A16,DAY(umumiy_malumot!$B$78)),0)</f>
        <v>46341</v>
      </c>
      <c r="S17" s="86"/>
      <c r="T17" s="86"/>
      <c r="U17" s="86"/>
      <c r="V17" s="86"/>
    </row>
    <row r="18" spans="1:22" x14ac:dyDescent="0.25">
      <c r="A18" s="92">
        <v>11</v>
      </c>
      <c r="B18" s="93">
        <f>IF(A18&lt;=umumiy_malumot!$B$81,DATE(YEAR(R18),MONTH(R18),DAY(IF(A18=umumiy_malumot!$B$81,umumiy_malumot!$B$67,IF(A18&lt;umumiy_malumot!$B$81,(Q18),IF(A18&gt;umumiy_malumot!$B$81,$H$56,0))))))</f>
        <v>46371</v>
      </c>
      <c r="C18" s="51">
        <f t="shared" si="1"/>
        <v>23833333.299999982</v>
      </c>
      <c r="D18" s="51">
        <f t="shared" si="2"/>
        <v>916666.67</v>
      </c>
      <c r="E18" s="51">
        <f t="shared" si="3"/>
        <v>1041483.96</v>
      </c>
      <c r="F18" s="51">
        <f t="shared" si="4"/>
        <v>1958150.63</v>
      </c>
      <c r="G18" s="86">
        <f t="shared" si="7"/>
        <v>29</v>
      </c>
      <c r="H18" s="86">
        <f t="shared" si="5"/>
        <v>365</v>
      </c>
      <c r="I18" s="94">
        <f t="shared" si="10"/>
        <v>916666.67</v>
      </c>
      <c r="J18" s="94">
        <f>SUM($I$8:I17)</f>
        <v>9166666.7000000011</v>
      </c>
      <c r="K18" s="94">
        <f t="shared" si="9"/>
        <v>23833333.299999997</v>
      </c>
      <c r="L18" s="88">
        <f>ROUND(C18*umumiy_malumot!$B$84/H18,2)*G18</f>
        <v>1041483.96</v>
      </c>
      <c r="M18" s="88">
        <f t="shared" si="0"/>
        <v>1958150.63</v>
      </c>
      <c r="N18" s="88"/>
      <c r="O18" s="103" t="str">
        <f t="shared" si="8"/>
        <v>Вт</v>
      </c>
      <c r="P18" s="105">
        <f t="shared" si="6"/>
        <v>0</v>
      </c>
      <c r="Q18" s="105">
        <f>DAY(umumiy_malumot!$B$78)+P18</f>
        <v>15</v>
      </c>
      <c r="R18" s="100">
        <f>IF(A18&lt;=umumiy_malumot!$B$81,DATE(YEAR($B$8),MONTH($B$8)+A17,DAY(umumiy_malumot!$B$78)),0)</f>
        <v>46371</v>
      </c>
      <c r="S18" s="86"/>
      <c r="T18" s="86"/>
      <c r="U18" s="86"/>
      <c r="V18" s="86"/>
    </row>
    <row r="19" spans="1:22" x14ac:dyDescent="0.25">
      <c r="A19" s="92">
        <v>12</v>
      </c>
      <c r="B19" s="93">
        <f>IF(A19&lt;=umumiy_malumot!$B$81,DATE(YEAR(R19),MONTH(R19),DAY(IF(A19=umumiy_malumot!$B$81,umumiy_malumot!$B$67,IF(A19&lt;umumiy_malumot!$B$81,(Q19),IF(A19&gt;umumiy_malumot!$B$81,$H$56,0))))))</f>
        <v>46402</v>
      </c>
      <c r="C19" s="51">
        <f t="shared" si="1"/>
        <v>22916666.62999998</v>
      </c>
      <c r="D19" s="51">
        <f t="shared" si="2"/>
        <v>916666.67</v>
      </c>
      <c r="E19" s="51">
        <f t="shared" si="3"/>
        <v>1070490.76</v>
      </c>
      <c r="F19" s="51">
        <f t="shared" si="4"/>
        <v>1987157.4300000002</v>
      </c>
      <c r="G19" s="86">
        <f t="shared" si="7"/>
        <v>31</v>
      </c>
      <c r="H19" s="86">
        <f t="shared" si="5"/>
        <v>365</v>
      </c>
      <c r="I19" s="94">
        <f t="shared" si="10"/>
        <v>916666.67</v>
      </c>
      <c r="J19" s="94">
        <f>SUM($I$8:I18)</f>
        <v>10083333.370000001</v>
      </c>
      <c r="K19" s="94">
        <f t="shared" si="9"/>
        <v>22916666.629999999</v>
      </c>
      <c r="L19" s="88">
        <f>ROUND(C19*umumiy_malumot!$B$84/H19,2)*G19</f>
        <v>1070490.76</v>
      </c>
      <c r="M19" s="88">
        <f t="shared" si="0"/>
        <v>1987157.4300000002</v>
      </c>
      <c r="N19" s="88"/>
      <c r="O19" s="103" t="str">
        <f t="shared" si="8"/>
        <v>Пт</v>
      </c>
      <c r="P19" s="105">
        <f t="shared" si="6"/>
        <v>0</v>
      </c>
      <c r="Q19" s="105">
        <f>DAY(umumiy_malumot!$B$78)+P19</f>
        <v>15</v>
      </c>
      <c r="R19" s="100">
        <f>IF(A19&lt;=umumiy_malumot!$B$81,DATE(YEAR($B$8),MONTH($B$8)+A18,DAY(umumiy_malumot!$B$78)),0)</f>
        <v>46402</v>
      </c>
      <c r="S19" s="86"/>
      <c r="T19" s="86"/>
      <c r="U19" s="86"/>
      <c r="V19" s="86"/>
    </row>
    <row r="20" spans="1:22" x14ac:dyDescent="0.25">
      <c r="A20" s="92">
        <v>13</v>
      </c>
      <c r="B20" s="93">
        <f>IF(A20&lt;=umumiy_malumot!$B$81,DATE(YEAR(R20),MONTH(R20),DAY(IF(A20=umumiy_malumot!$B$81,umumiy_malumot!$B$67,IF(A20&lt;umumiy_malumot!$B$81,(Q20),IF(A20&gt;umumiy_malumot!$B$81,$H$56,0))))))</f>
        <v>46433</v>
      </c>
      <c r="C20" s="51">
        <f t="shared" si="1"/>
        <v>21999999.959999979</v>
      </c>
      <c r="D20" s="51">
        <f t="shared" si="2"/>
        <v>916666.67</v>
      </c>
      <c r="E20" s="51">
        <f t="shared" si="3"/>
        <v>1027671.08</v>
      </c>
      <c r="F20" s="51">
        <f t="shared" si="4"/>
        <v>1944337.75</v>
      </c>
      <c r="G20" s="86">
        <f t="shared" si="7"/>
        <v>31</v>
      </c>
      <c r="H20" s="86">
        <f t="shared" si="5"/>
        <v>365</v>
      </c>
      <c r="I20" s="94">
        <f t="shared" si="10"/>
        <v>916666.67</v>
      </c>
      <c r="J20" s="94">
        <f>SUM($I$8:I19)</f>
        <v>11000000.040000001</v>
      </c>
      <c r="K20" s="94">
        <f>$J$12-J20</f>
        <v>21999999.960000001</v>
      </c>
      <c r="L20" s="88">
        <f>ROUND(C20*umumiy_malumot!$B$84/H20,2)*G20</f>
        <v>1027671.08</v>
      </c>
      <c r="M20" s="88">
        <f t="shared" si="0"/>
        <v>1944337.75</v>
      </c>
      <c r="N20" s="88"/>
      <c r="O20" s="103" t="str">
        <f t="shared" si="8"/>
        <v>Пн</v>
      </c>
      <c r="P20" s="105">
        <f t="shared" si="6"/>
        <v>0</v>
      </c>
      <c r="Q20" s="105">
        <f>DAY(umumiy_malumot!$B$78)+P20</f>
        <v>15</v>
      </c>
      <c r="R20" s="100">
        <f>IF(A20&lt;=umumiy_malumot!$B$81,DATE(YEAR($B$8),MONTH($B$8)+A19,DAY(umumiy_malumot!$B$78)),0)</f>
        <v>46433</v>
      </c>
      <c r="S20" s="86"/>
      <c r="T20" s="86"/>
      <c r="U20" s="86"/>
      <c r="V20" s="86"/>
    </row>
    <row r="21" spans="1:22" x14ac:dyDescent="0.25">
      <c r="A21" s="92">
        <v>14</v>
      </c>
      <c r="B21" s="93">
        <f>IF(A21&lt;=umumiy_malumot!$B$81,DATE(YEAR(R21),MONTH(R21),DAY(IF(A21=umumiy_malumot!$B$81,umumiy_malumot!$B$67,IF(A21&lt;umumiy_malumot!$B$81,(Q21),IF(A21&gt;umumiy_malumot!$B$81,$H$56,0))))))</f>
        <v>46461</v>
      </c>
      <c r="C21" s="51">
        <f t="shared" si="1"/>
        <v>21083333.289999977</v>
      </c>
      <c r="D21" s="51">
        <f t="shared" si="2"/>
        <v>916666.67</v>
      </c>
      <c r="E21" s="51">
        <f t="shared" si="3"/>
        <v>889543.48</v>
      </c>
      <c r="F21" s="51">
        <f t="shared" si="4"/>
        <v>1806210.15</v>
      </c>
      <c r="G21" s="86">
        <f t="shared" si="7"/>
        <v>28</v>
      </c>
      <c r="H21" s="86">
        <f t="shared" si="5"/>
        <v>365</v>
      </c>
      <c r="I21" s="94">
        <f t="shared" si="10"/>
        <v>916666.67</v>
      </c>
      <c r="J21" s="94">
        <f>SUM($I$8:I20)</f>
        <v>11916666.710000001</v>
      </c>
      <c r="K21" s="94">
        <f t="shared" si="9"/>
        <v>21083333.289999999</v>
      </c>
      <c r="L21" s="88">
        <f>ROUND(C21*umumiy_malumot!$B$84/H21,2)*G21</f>
        <v>889543.48</v>
      </c>
      <c r="M21" s="88">
        <f t="shared" si="0"/>
        <v>1806210.15</v>
      </c>
      <c r="N21" s="88"/>
      <c r="O21" s="103" t="str">
        <f t="shared" si="8"/>
        <v>Пн</v>
      </c>
      <c r="P21" s="105">
        <f t="shared" si="6"/>
        <v>0</v>
      </c>
      <c r="Q21" s="105">
        <f>DAY(umumiy_malumot!$B$78)+P21</f>
        <v>15</v>
      </c>
      <c r="R21" s="100">
        <f>IF(A21&lt;=umumiy_malumot!$B$81,DATE(YEAR($B$8),MONTH($B$8)+A20,DAY(umumiy_malumot!$B$78)),0)</f>
        <v>46461</v>
      </c>
      <c r="S21" s="86"/>
      <c r="T21" s="86"/>
      <c r="U21" s="86"/>
      <c r="V21" s="86"/>
    </row>
    <row r="22" spans="1:22" x14ac:dyDescent="0.25">
      <c r="A22" s="92">
        <v>15</v>
      </c>
      <c r="B22" s="93">
        <f>IF(A22&lt;=umumiy_malumot!$B$81,DATE(YEAR(R22),MONTH(R22),DAY(IF(A22=umumiy_malumot!$B$81,umumiy_malumot!$B$67,IF(A22&lt;umumiy_malumot!$B$81,(Q22),IF(A22&gt;umumiy_malumot!$B$81,$H$56,0))))))</f>
        <v>46492</v>
      </c>
      <c r="C22" s="51">
        <f t="shared" si="1"/>
        <v>20166666.619999975</v>
      </c>
      <c r="D22" s="51">
        <f t="shared" si="2"/>
        <v>916666.67</v>
      </c>
      <c r="E22" s="51">
        <f t="shared" si="3"/>
        <v>942032.03</v>
      </c>
      <c r="F22" s="51">
        <f t="shared" si="4"/>
        <v>1858698.7000000002</v>
      </c>
      <c r="G22" s="86">
        <f t="shared" si="7"/>
        <v>31</v>
      </c>
      <c r="H22" s="86">
        <f t="shared" si="5"/>
        <v>365</v>
      </c>
      <c r="I22" s="94">
        <f t="shared" si="10"/>
        <v>916666.67</v>
      </c>
      <c r="J22" s="94">
        <f>SUM($I$8:I21)</f>
        <v>12833333.380000001</v>
      </c>
      <c r="K22" s="94">
        <f t="shared" si="9"/>
        <v>20166666.619999997</v>
      </c>
      <c r="L22" s="88">
        <f>ROUND(C22*umumiy_malumot!$B$84/H22,2)*G22</f>
        <v>942032.03</v>
      </c>
      <c r="M22" s="88">
        <f t="shared" si="0"/>
        <v>1858698.7000000002</v>
      </c>
      <c r="N22" s="88"/>
      <c r="O22" s="103" t="str">
        <f t="shared" si="8"/>
        <v>Чт</v>
      </c>
      <c r="P22" s="105">
        <f t="shared" si="6"/>
        <v>0</v>
      </c>
      <c r="Q22" s="105">
        <f>DAY(umumiy_malumot!$B$78)+P22</f>
        <v>15</v>
      </c>
      <c r="R22" s="100">
        <f>IF(A22&lt;=umumiy_malumot!$B$81,DATE(YEAR($B$8),MONTH($B$8)+A21,DAY(umumiy_malumot!$B$78)),0)</f>
        <v>46492</v>
      </c>
      <c r="S22" s="86"/>
      <c r="T22" s="86"/>
      <c r="U22" s="86"/>
      <c r="V22" s="86"/>
    </row>
    <row r="23" spans="1:22" x14ac:dyDescent="0.25">
      <c r="A23" s="92">
        <v>16</v>
      </c>
      <c r="B23" s="93">
        <f>IF(A23&lt;=umumiy_malumot!$B$81,DATE(YEAR(R23),MONTH(R23),DAY(IF(A23=umumiy_malumot!$B$81,umumiy_malumot!$B$67,IF(A23&lt;umumiy_malumot!$B$81,(Q23),IF(A23&gt;umumiy_malumot!$B$81,$H$56,0))))))</f>
        <v>46524</v>
      </c>
      <c r="C23" s="51">
        <f t="shared" si="1"/>
        <v>19249999.949999973</v>
      </c>
      <c r="D23" s="51">
        <f t="shared" si="2"/>
        <v>916666.67</v>
      </c>
      <c r="E23" s="51">
        <f t="shared" si="3"/>
        <v>928219.2</v>
      </c>
      <c r="F23" s="51">
        <f t="shared" si="4"/>
        <v>1844885.87</v>
      </c>
      <c r="G23" s="86">
        <f t="shared" si="7"/>
        <v>32</v>
      </c>
      <c r="H23" s="86">
        <f t="shared" si="5"/>
        <v>365</v>
      </c>
      <c r="I23" s="94">
        <f t="shared" si="10"/>
        <v>916666.67</v>
      </c>
      <c r="J23" s="94">
        <f>SUM($I$8:I22)</f>
        <v>13750000.050000001</v>
      </c>
      <c r="K23" s="94">
        <f t="shared" si="9"/>
        <v>19249999.949999999</v>
      </c>
      <c r="L23" s="88">
        <f>ROUND(C23*umumiy_malumot!$B$84/H23,2)*G23</f>
        <v>928219.2</v>
      </c>
      <c r="M23" s="88">
        <f t="shared" si="0"/>
        <v>1844885.87</v>
      </c>
      <c r="N23" s="88"/>
      <c r="O23" s="103" t="str">
        <f t="shared" si="8"/>
        <v>Сб</v>
      </c>
      <c r="P23" s="105">
        <f t="shared" si="6"/>
        <v>2</v>
      </c>
      <c r="Q23" s="105">
        <f>DAY(umumiy_malumot!$B$78)+P23</f>
        <v>17</v>
      </c>
      <c r="R23" s="100">
        <f>IF(A23&lt;=umumiy_malumot!$B$81,DATE(YEAR($B$8),MONTH($B$8)+A22,DAY(umumiy_malumot!$B$78)),0)</f>
        <v>46522</v>
      </c>
      <c r="S23" s="86"/>
      <c r="T23" s="86"/>
      <c r="U23" s="86"/>
      <c r="V23" s="86"/>
    </row>
    <row r="24" spans="1:22" x14ac:dyDescent="0.25">
      <c r="A24" s="92">
        <v>17</v>
      </c>
      <c r="B24" s="93">
        <f>IF(A24&lt;=umumiy_malumot!$B$81,DATE(YEAR(R24),MONTH(R24),DAY(IF(A24=umumiy_malumot!$B$81,umumiy_malumot!$B$67,IF(A24&lt;umumiy_malumot!$B$81,(Q24),IF(A24&gt;umumiy_malumot!$B$81,$H$56,0))))))</f>
        <v>46553</v>
      </c>
      <c r="C24" s="51">
        <f t="shared" si="1"/>
        <v>18333333.279999971</v>
      </c>
      <c r="D24" s="51">
        <f t="shared" si="2"/>
        <v>916666.67</v>
      </c>
      <c r="E24" s="51">
        <f t="shared" si="3"/>
        <v>801141.53</v>
      </c>
      <c r="F24" s="51">
        <f t="shared" si="4"/>
        <v>1717808.2000000002</v>
      </c>
      <c r="G24" s="86">
        <f t="shared" si="7"/>
        <v>29</v>
      </c>
      <c r="H24" s="86">
        <f t="shared" si="5"/>
        <v>365</v>
      </c>
      <c r="I24" s="94">
        <f t="shared" si="10"/>
        <v>916666.67</v>
      </c>
      <c r="J24" s="94">
        <f>SUM($I$8:I23)</f>
        <v>14666666.720000001</v>
      </c>
      <c r="K24" s="94">
        <f t="shared" si="9"/>
        <v>18333333.280000001</v>
      </c>
      <c r="L24" s="88">
        <f>ROUND(C24*umumiy_malumot!$B$84/H24,2)*G24</f>
        <v>801141.53</v>
      </c>
      <c r="M24" s="88">
        <f t="shared" si="0"/>
        <v>1717808.2000000002</v>
      </c>
      <c r="N24" s="88"/>
      <c r="O24" s="103" t="str">
        <f t="shared" si="8"/>
        <v>Вт</v>
      </c>
      <c r="P24" s="105">
        <f t="shared" si="6"/>
        <v>0</v>
      </c>
      <c r="Q24" s="105">
        <f>DAY(umumiy_malumot!$B$78)+P24</f>
        <v>15</v>
      </c>
      <c r="R24" s="100">
        <f>IF(A24&lt;=umumiy_malumot!$B$81,DATE(YEAR($B$8),MONTH($B$8)+A23,DAY(umumiy_malumot!$B$78)),0)</f>
        <v>46553</v>
      </c>
      <c r="S24" s="86"/>
      <c r="T24" s="86"/>
      <c r="U24" s="86"/>
      <c r="V24" s="86"/>
    </row>
    <row r="25" spans="1:22" x14ac:dyDescent="0.25">
      <c r="A25" s="92">
        <v>18</v>
      </c>
      <c r="B25" s="93">
        <f>IF(A25&lt;=umumiy_malumot!$B$81,DATE(YEAR(R25),MONTH(R25),DAY(IF(A25=umumiy_malumot!$B$81,umumiy_malumot!$B$67,IF(A25&lt;umumiy_malumot!$B$81,(Q25),IF(A25&gt;umumiy_malumot!$B$81,$H$56,0))))))</f>
        <v>46583</v>
      </c>
      <c r="C25" s="51">
        <f t="shared" si="1"/>
        <v>17416666.60999997</v>
      </c>
      <c r="D25" s="51">
        <f t="shared" si="2"/>
        <v>916666.67</v>
      </c>
      <c r="E25" s="51">
        <f t="shared" si="3"/>
        <v>787328.70000000007</v>
      </c>
      <c r="F25" s="51">
        <f t="shared" si="4"/>
        <v>1703995.37</v>
      </c>
      <c r="G25" s="86">
        <f t="shared" si="7"/>
        <v>30</v>
      </c>
      <c r="H25" s="86">
        <f t="shared" si="5"/>
        <v>365</v>
      </c>
      <c r="I25" s="94">
        <f t="shared" si="10"/>
        <v>916666.67</v>
      </c>
      <c r="J25" s="94">
        <f>SUM($I$8:I24)</f>
        <v>15583333.390000001</v>
      </c>
      <c r="K25" s="94">
        <f t="shared" si="9"/>
        <v>17416666.609999999</v>
      </c>
      <c r="L25" s="88">
        <f>ROUND(C25*umumiy_malumot!$B$84/H25,2)*G25</f>
        <v>787328.70000000007</v>
      </c>
      <c r="M25" s="88">
        <f t="shared" si="0"/>
        <v>1703995.37</v>
      </c>
      <c r="N25" s="88"/>
      <c r="O25" s="103" t="str">
        <f t="shared" si="8"/>
        <v>Чт</v>
      </c>
      <c r="P25" s="105">
        <f t="shared" si="6"/>
        <v>0</v>
      </c>
      <c r="Q25" s="105">
        <f>DAY(umumiy_malumot!$B$78)+P25</f>
        <v>15</v>
      </c>
      <c r="R25" s="100">
        <f>IF(A25&lt;=umumiy_malumot!$B$81,DATE(YEAR($B$8),MONTH($B$8)+A24,DAY(umumiy_malumot!$B$78)),0)</f>
        <v>46583</v>
      </c>
      <c r="S25" s="86"/>
      <c r="T25" s="86"/>
      <c r="U25" s="86"/>
      <c r="V25" s="86"/>
    </row>
    <row r="26" spans="1:22" x14ac:dyDescent="0.25">
      <c r="A26" s="92">
        <v>19</v>
      </c>
      <c r="B26" s="93">
        <f>IF(A26&lt;=umumiy_malumot!$B$81,DATE(YEAR(R26),MONTH(R26),DAY(IF(A26=umumiy_malumot!$B$81,umumiy_malumot!$B$67,IF(A26&lt;umumiy_malumot!$B$81,(Q26),IF(A26&gt;umumiy_malumot!$B$81,$H$56,0))))))</f>
        <v>46615</v>
      </c>
      <c r="C26" s="51">
        <f t="shared" si="1"/>
        <v>16499999.93999997</v>
      </c>
      <c r="D26" s="51">
        <f t="shared" si="2"/>
        <v>916666.67</v>
      </c>
      <c r="E26" s="51">
        <f t="shared" si="3"/>
        <v>795616.32</v>
      </c>
      <c r="F26" s="51">
        <f t="shared" si="4"/>
        <v>1712282.99</v>
      </c>
      <c r="G26" s="86">
        <f t="shared" si="7"/>
        <v>32</v>
      </c>
      <c r="H26" s="86">
        <f t="shared" si="5"/>
        <v>365</v>
      </c>
      <c r="I26" s="94">
        <f t="shared" si="10"/>
        <v>916666.67</v>
      </c>
      <c r="J26" s="94">
        <f>SUM($I$8:I25)</f>
        <v>16500000.060000001</v>
      </c>
      <c r="K26" s="94">
        <f t="shared" si="9"/>
        <v>16499999.939999999</v>
      </c>
      <c r="L26" s="88">
        <f>ROUND(C26*umumiy_malumot!$B$84/H26,2)*G26</f>
        <v>795616.32</v>
      </c>
      <c r="M26" s="88">
        <f t="shared" si="0"/>
        <v>1712282.99</v>
      </c>
      <c r="N26" s="88"/>
      <c r="O26" s="103" t="str">
        <f t="shared" si="8"/>
        <v>Вс</v>
      </c>
      <c r="P26" s="105">
        <f t="shared" si="6"/>
        <v>1</v>
      </c>
      <c r="Q26" s="105">
        <f>DAY(umumiy_malumot!$B$78)+P26</f>
        <v>16</v>
      </c>
      <c r="R26" s="100">
        <f>IF(A26&lt;=umumiy_malumot!$B$81,DATE(YEAR($B$8),MONTH($B$8)+A25,DAY(umumiy_malumot!$B$78)),0)</f>
        <v>46614</v>
      </c>
      <c r="S26" s="86"/>
      <c r="T26" s="86"/>
      <c r="U26" s="86"/>
      <c r="V26" s="86"/>
    </row>
    <row r="27" spans="1:22" x14ac:dyDescent="0.25">
      <c r="A27" s="92">
        <v>20</v>
      </c>
      <c r="B27" s="93">
        <f>IF(A27&lt;=umumiy_malumot!$B$81,DATE(YEAR(R27),MONTH(R27),DAY(IF(A27=umumiy_malumot!$B$81,umumiy_malumot!$B$67,IF(A27&lt;umumiy_malumot!$B$81,(Q27),IF(A27&gt;umumiy_malumot!$B$81,$H$56,0))))))</f>
        <v>46645</v>
      </c>
      <c r="C27" s="51">
        <f t="shared" si="1"/>
        <v>15583333.26999997</v>
      </c>
      <c r="D27" s="51">
        <f t="shared" si="2"/>
        <v>916666.67</v>
      </c>
      <c r="E27" s="51">
        <f t="shared" si="3"/>
        <v>704452.20000000007</v>
      </c>
      <c r="F27" s="51">
        <f t="shared" si="4"/>
        <v>1621118.87</v>
      </c>
      <c r="G27" s="86">
        <f t="shared" si="7"/>
        <v>30</v>
      </c>
      <c r="H27" s="86">
        <f t="shared" si="5"/>
        <v>365</v>
      </c>
      <c r="I27" s="94">
        <f t="shared" si="10"/>
        <v>916666.67</v>
      </c>
      <c r="J27" s="94">
        <f>SUM($I$8:I26)</f>
        <v>17416666.73</v>
      </c>
      <c r="K27" s="94">
        <f t="shared" si="9"/>
        <v>15583333.27</v>
      </c>
      <c r="L27" s="88">
        <f>ROUND(C27*umumiy_malumot!$B$84/H27,2)*G27</f>
        <v>704452.20000000007</v>
      </c>
      <c r="M27" s="88">
        <f t="shared" si="0"/>
        <v>1621118.87</v>
      </c>
      <c r="N27" s="88"/>
      <c r="O27" s="103" t="str">
        <f t="shared" si="8"/>
        <v>Ср</v>
      </c>
      <c r="P27" s="105">
        <f t="shared" si="6"/>
        <v>0</v>
      </c>
      <c r="Q27" s="105">
        <f>DAY(umumiy_malumot!$B$78)+P27</f>
        <v>15</v>
      </c>
      <c r="R27" s="100">
        <f>IF(A27&lt;=umumiy_malumot!$B$81,DATE(YEAR($B$8),MONTH($B$8)+A26,DAY(umumiy_malumot!$B$78)),0)</f>
        <v>46645</v>
      </c>
      <c r="S27" s="86"/>
      <c r="T27" s="86"/>
      <c r="U27" s="86"/>
      <c r="V27" s="86"/>
    </row>
    <row r="28" spans="1:22" x14ac:dyDescent="0.25">
      <c r="A28" s="92">
        <v>21</v>
      </c>
      <c r="B28" s="93">
        <f>IF(A28&lt;=umumiy_malumot!$B$81,DATE(YEAR(R28),MONTH(R28),DAY(IF(A28=umumiy_malumot!$B$81,umumiy_malumot!$B$67,IF(A28&lt;umumiy_malumot!$B$81,(Q28),IF(A28&gt;umumiy_malumot!$B$81,$H$56,0))))))</f>
        <v>46675</v>
      </c>
      <c r="C28" s="51">
        <f t="shared" si="1"/>
        <v>14666666.59999997</v>
      </c>
      <c r="D28" s="51">
        <f t="shared" si="2"/>
        <v>916666.67</v>
      </c>
      <c r="E28" s="51">
        <f t="shared" si="3"/>
        <v>663013.79999999993</v>
      </c>
      <c r="F28" s="51">
        <f t="shared" si="4"/>
        <v>1579680.47</v>
      </c>
      <c r="G28" s="86">
        <f t="shared" si="7"/>
        <v>30</v>
      </c>
      <c r="H28" s="86">
        <f t="shared" si="5"/>
        <v>365</v>
      </c>
      <c r="I28" s="94">
        <f t="shared" si="10"/>
        <v>916666.67</v>
      </c>
      <c r="J28" s="94">
        <f>SUM($I$8:I27)</f>
        <v>18333333.400000002</v>
      </c>
      <c r="K28" s="94">
        <f t="shared" si="9"/>
        <v>14666666.599999998</v>
      </c>
      <c r="L28" s="88">
        <f>ROUND(C28*umumiy_malumot!$B$84/H28,2)*G28</f>
        <v>663013.79999999993</v>
      </c>
      <c r="M28" s="88">
        <f t="shared" si="0"/>
        <v>1579680.47</v>
      </c>
      <c r="N28" s="88"/>
      <c r="O28" s="103" t="str">
        <f t="shared" si="8"/>
        <v>Пт</v>
      </c>
      <c r="P28" s="105">
        <f t="shared" si="6"/>
        <v>0</v>
      </c>
      <c r="Q28" s="105">
        <f>DAY(umumiy_malumot!$B$78)+P28</f>
        <v>15</v>
      </c>
      <c r="R28" s="100">
        <f>IF(A28&lt;=umumiy_malumot!$B$81,DATE(YEAR($B$8),MONTH($B$8)+A27,DAY(umumiy_malumot!$B$78)),0)</f>
        <v>46675</v>
      </c>
      <c r="S28" s="86"/>
      <c r="T28" s="86"/>
      <c r="U28" s="86"/>
      <c r="V28" s="86"/>
    </row>
    <row r="29" spans="1:22" x14ac:dyDescent="0.25">
      <c r="A29" s="92">
        <v>22</v>
      </c>
      <c r="B29" s="93">
        <f>IF(A29&lt;=umumiy_malumot!$B$81,DATE(YEAR(R29),MONTH(R29),DAY(IF(A29=umumiy_malumot!$B$81,umumiy_malumot!$B$67,IF(A29&lt;umumiy_malumot!$B$81,(Q29),IF(A29&gt;umumiy_malumot!$B$81,$H$56,0))))))</f>
        <v>46706</v>
      </c>
      <c r="C29" s="51">
        <f t="shared" si="1"/>
        <v>13749999.92999997</v>
      </c>
      <c r="D29" s="51">
        <f t="shared" si="2"/>
        <v>916666.67</v>
      </c>
      <c r="E29" s="51">
        <f t="shared" si="3"/>
        <v>642294.57999999996</v>
      </c>
      <c r="F29" s="51">
        <f t="shared" si="4"/>
        <v>1558961.25</v>
      </c>
      <c r="G29" s="86">
        <f t="shared" si="7"/>
        <v>31</v>
      </c>
      <c r="H29" s="86">
        <f t="shared" si="5"/>
        <v>365</v>
      </c>
      <c r="I29" s="94">
        <f t="shared" si="10"/>
        <v>916666.67</v>
      </c>
      <c r="J29" s="94">
        <f>SUM($I$8:I28)</f>
        <v>19250000.070000004</v>
      </c>
      <c r="K29" s="94">
        <f t="shared" si="9"/>
        <v>13749999.929999996</v>
      </c>
      <c r="L29" s="88">
        <f>ROUND(C29*umumiy_malumot!$B$84/H29,2)*G29</f>
        <v>642294.57999999996</v>
      </c>
      <c r="M29" s="88">
        <f t="shared" si="0"/>
        <v>1558961.25</v>
      </c>
      <c r="N29" s="88"/>
      <c r="O29" s="103" t="str">
        <f t="shared" si="8"/>
        <v>Пн</v>
      </c>
      <c r="P29" s="105">
        <f t="shared" si="6"/>
        <v>0</v>
      </c>
      <c r="Q29" s="105">
        <f>DAY(umumiy_malumot!$B$78)+P29</f>
        <v>15</v>
      </c>
      <c r="R29" s="100">
        <f>IF(A29&lt;=umumiy_malumot!$B$81,DATE(YEAR($B$8),MONTH($B$8)+A28,DAY(umumiy_malumot!$B$78)),0)</f>
        <v>46706</v>
      </c>
      <c r="S29" s="86"/>
      <c r="T29" s="86"/>
      <c r="U29" s="86"/>
      <c r="V29" s="86"/>
    </row>
    <row r="30" spans="1:22" x14ac:dyDescent="0.25">
      <c r="A30" s="92">
        <v>23</v>
      </c>
      <c r="B30" s="93">
        <f>IF(A30&lt;=umumiy_malumot!$B$81,DATE(YEAR(R30),MONTH(R30),DAY(IF(A30=umumiy_malumot!$B$81,umumiy_malumot!$B$67,IF(A30&lt;umumiy_malumot!$B$81,(Q30),IF(A30&gt;umumiy_malumot!$B$81,$H$56,0))))))</f>
        <v>46736</v>
      </c>
      <c r="C30" s="51">
        <f t="shared" si="1"/>
        <v>12833333.25999997</v>
      </c>
      <c r="D30" s="51">
        <f t="shared" si="2"/>
        <v>916666.67</v>
      </c>
      <c r="E30" s="51">
        <f t="shared" si="3"/>
        <v>580137</v>
      </c>
      <c r="F30" s="51">
        <f t="shared" si="4"/>
        <v>1496803.67</v>
      </c>
      <c r="G30" s="86">
        <f t="shared" si="7"/>
        <v>30</v>
      </c>
      <c r="H30" s="86">
        <f t="shared" si="5"/>
        <v>365</v>
      </c>
      <c r="I30" s="94">
        <f t="shared" si="10"/>
        <v>916666.67</v>
      </c>
      <c r="J30" s="94">
        <f>SUM($I$8:I29)</f>
        <v>20166666.740000006</v>
      </c>
      <c r="K30" s="94">
        <f t="shared" si="9"/>
        <v>12833333.259999994</v>
      </c>
      <c r="L30" s="88">
        <f>ROUND(C30*umumiy_malumot!$B$84/H30,2)*G30</f>
        <v>580137</v>
      </c>
      <c r="M30" s="88">
        <f t="shared" si="0"/>
        <v>1496803.67</v>
      </c>
      <c r="N30" s="88"/>
      <c r="O30" s="103" t="str">
        <f t="shared" si="8"/>
        <v>Ср</v>
      </c>
      <c r="P30" s="105">
        <f t="shared" si="6"/>
        <v>0</v>
      </c>
      <c r="Q30" s="105">
        <f>DAY(umumiy_malumot!$B$78)+P30</f>
        <v>15</v>
      </c>
      <c r="R30" s="100">
        <f>IF(A30&lt;=umumiy_malumot!$B$81,DATE(YEAR($B$8),MONTH($B$8)+A29,DAY(umumiy_malumot!$B$78)),0)</f>
        <v>46736</v>
      </c>
      <c r="S30" s="86"/>
      <c r="T30" s="86"/>
      <c r="U30" s="86"/>
      <c r="V30" s="86"/>
    </row>
    <row r="31" spans="1:22" x14ac:dyDescent="0.25">
      <c r="A31" s="92">
        <v>24</v>
      </c>
      <c r="B31" s="93">
        <f>IF(A31&lt;=umumiy_malumot!$B$81,DATE(YEAR(R31),MONTH(R31),DAY(IF(A31=umumiy_malumot!$B$81,umumiy_malumot!$B$67,IF(A31&lt;umumiy_malumot!$B$81,(Q31),IF(A31&gt;umumiy_malumot!$B$81,$H$56,0))))))</f>
        <v>46769</v>
      </c>
      <c r="C31" s="51">
        <f t="shared" ref="C31" si="11">C30-D30</f>
        <v>11916666.58999997</v>
      </c>
      <c r="D31" s="51">
        <f t="shared" ref="D31" si="12">IF(C31=0,L31,IF(C31&gt;1,I31))</f>
        <v>916666.67</v>
      </c>
      <c r="E31" s="51">
        <f t="shared" ref="E31" si="13">IF(C31=0,N30,IF(C31&gt;1,L31))</f>
        <v>590949.4800000001</v>
      </c>
      <c r="F31" s="51">
        <f t="shared" ref="F31" si="14">IF(C31=0,N30,IF(C31&gt;1,M31))</f>
        <v>1507616.1500000001</v>
      </c>
      <c r="G31" s="86">
        <f t="shared" si="7"/>
        <v>33</v>
      </c>
      <c r="H31" s="86">
        <f t="shared" si="5"/>
        <v>366</v>
      </c>
      <c r="I31" s="94">
        <f t="shared" si="10"/>
        <v>916666.67</v>
      </c>
      <c r="J31" s="94">
        <f>SUM($I$8:I30)</f>
        <v>21083333.410000008</v>
      </c>
      <c r="K31" s="94">
        <f t="shared" si="9"/>
        <v>11916666.589999992</v>
      </c>
      <c r="L31" s="88">
        <f>ROUND(C31*umumiy_malumot!$B$84/H31,2)*G31</f>
        <v>590949.4800000001</v>
      </c>
      <c r="M31" s="88">
        <f t="shared" si="0"/>
        <v>1507616.1500000001</v>
      </c>
      <c r="N31" s="88"/>
      <c r="O31" s="103" t="str">
        <f t="shared" si="8"/>
        <v>Сб</v>
      </c>
      <c r="P31" s="105">
        <f t="shared" si="6"/>
        <v>2</v>
      </c>
      <c r="Q31" s="105">
        <f>DAY(umumiy_malumot!$B$78)+P31</f>
        <v>17</v>
      </c>
      <c r="R31" s="100">
        <f>IF(A31&lt;=umumiy_malumot!$B$81,DATE(YEAR($B$8),MONTH($B$8)+A30,DAY(umumiy_malumot!$B$78)),0)</f>
        <v>46767</v>
      </c>
      <c r="S31" s="86"/>
      <c r="T31" s="86"/>
      <c r="U31" s="86"/>
      <c r="V31" s="86"/>
    </row>
    <row r="32" spans="1:22" x14ac:dyDescent="0.25">
      <c r="A32" s="92">
        <f>1+A31</f>
        <v>25</v>
      </c>
      <c r="B32" s="93">
        <f>IF(A32&lt;=umumiy_malumot!$B$81,DATE(YEAR(R32),MONTH(R32),DAY(IF(A32=umumiy_malumot!$B$81,umumiy_malumot!$B$67,IF(A32&lt;umumiy_malumot!$B$81,(Q32),IF(A32&gt;umumiy_malumot!$B$81,$H$56,0))))))</f>
        <v>46798</v>
      </c>
      <c r="C32" s="51">
        <f t="shared" ref="C32:C42" si="15">C31-D31</f>
        <v>10999999.91999997</v>
      </c>
      <c r="D32" s="51">
        <f t="shared" ref="D32:D42" si="16">IF(C32=0,L32,IF(C32&gt;1,I32))</f>
        <v>916666.67</v>
      </c>
      <c r="E32" s="51">
        <f t="shared" ref="E32:E42" si="17">IF(C32=0,N31,IF(C32&gt;1,L32))</f>
        <v>479371.44999999995</v>
      </c>
      <c r="F32" s="51">
        <f t="shared" ref="F32:F42" si="18">IF(C32=0,N31,IF(C32&gt;1,M32))</f>
        <v>1396038.12</v>
      </c>
      <c r="G32" s="86">
        <f t="shared" ref="G32:G42" si="19">B32-B31</f>
        <v>29</v>
      </c>
      <c r="H32" s="86">
        <f t="shared" ref="H32:H42" si="20">DATE(YEAR(B32),12,31)-DATE(YEAR(B32),1,1)+1</f>
        <v>366</v>
      </c>
      <c r="I32" s="94">
        <f t="shared" ref="I32:I42" si="21">IF($L$5=A32,K32,IF($L$5&gt;A32,I31))</f>
        <v>916666.67</v>
      </c>
      <c r="J32" s="94">
        <f>SUM($I$8:I31)</f>
        <v>22000000.080000009</v>
      </c>
      <c r="K32" s="94">
        <f t="shared" ref="K32:K42" si="22">$J$12-J32</f>
        <v>10999999.919999991</v>
      </c>
      <c r="L32" s="88">
        <f>ROUND(C32*umumiy_malumot!$B$84/H32,2)*G32</f>
        <v>479371.44999999995</v>
      </c>
      <c r="M32" s="88">
        <f t="shared" ref="M32:M42" si="23">D32+E32</f>
        <v>1396038.12</v>
      </c>
      <c r="N32" s="88"/>
      <c r="O32" s="103" t="str">
        <f t="shared" ref="O32:O42" si="24">TEXT(R32,"ддд")</f>
        <v>Вт</v>
      </c>
      <c r="P32" s="105">
        <f t="shared" ref="P32:P42" si="25">IF(O32=$U$8,2,IF(O32=$V$8,1,0))</f>
        <v>0</v>
      </c>
      <c r="Q32" s="105">
        <f>DAY(umumiy_malumot!$B$78)+P32</f>
        <v>15</v>
      </c>
      <c r="R32" s="100">
        <f>IF(A32&lt;=umumiy_malumot!$B$81,DATE(YEAR($B$8),MONTH($B$8)+A31,DAY(umumiy_malumot!$B$78)),0)</f>
        <v>46798</v>
      </c>
      <c r="S32" s="86"/>
      <c r="T32" s="86"/>
      <c r="U32" s="86"/>
      <c r="V32" s="86"/>
    </row>
    <row r="33" spans="1:22" x14ac:dyDescent="0.25">
      <c r="A33" s="92">
        <f t="shared" ref="A33:A42" si="26">1+A32</f>
        <v>26</v>
      </c>
      <c r="B33" s="93">
        <f>IF(A33&lt;=umumiy_malumot!$B$81,DATE(YEAR(R33),MONTH(R33),DAY(IF(A33=umumiy_malumot!$B$81,umumiy_malumot!$B$67,IF(A33&lt;umumiy_malumot!$B$81,(Q33),IF(A33&gt;umumiy_malumot!$B$81,$H$56,0))))))</f>
        <v>46827</v>
      </c>
      <c r="C33" s="51">
        <f t="shared" si="15"/>
        <v>10083333.24999997</v>
      </c>
      <c r="D33" s="51">
        <f t="shared" si="16"/>
        <v>916666.67</v>
      </c>
      <c r="E33" s="51">
        <f t="shared" si="17"/>
        <v>439423.94999999995</v>
      </c>
      <c r="F33" s="51">
        <f t="shared" si="18"/>
        <v>1356090.62</v>
      </c>
      <c r="G33" s="86">
        <f t="shared" si="19"/>
        <v>29</v>
      </c>
      <c r="H33" s="86">
        <f t="shared" si="20"/>
        <v>366</v>
      </c>
      <c r="I33" s="94">
        <f t="shared" si="21"/>
        <v>916666.67</v>
      </c>
      <c r="J33" s="94">
        <f>SUM($I$8:I32)</f>
        <v>22916666.750000011</v>
      </c>
      <c r="K33" s="94">
        <f t="shared" si="22"/>
        <v>10083333.249999989</v>
      </c>
      <c r="L33" s="88">
        <f>ROUND(C33*umumiy_malumot!$B$84/H33,2)*G33</f>
        <v>439423.94999999995</v>
      </c>
      <c r="M33" s="88">
        <f t="shared" si="23"/>
        <v>1356090.62</v>
      </c>
      <c r="N33" s="88"/>
      <c r="O33" s="103" t="str">
        <f t="shared" si="24"/>
        <v>Ср</v>
      </c>
      <c r="P33" s="105">
        <f t="shared" si="25"/>
        <v>0</v>
      </c>
      <c r="Q33" s="105">
        <f>DAY(umumiy_malumot!$B$78)+P33</f>
        <v>15</v>
      </c>
      <c r="R33" s="100">
        <f>IF(A33&lt;=umumiy_malumot!$B$81,DATE(YEAR($B$8),MONTH($B$8)+A32,DAY(umumiy_malumot!$B$78)),0)</f>
        <v>46827</v>
      </c>
      <c r="S33" s="86"/>
      <c r="T33" s="86"/>
      <c r="U33" s="86"/>
      <c r="V33" s="86"/>
    </row>
    <row r="34" spans="1:22" x14ac:dyDescent="0.25">
      <c r="A34" s="92">
        <f t="shared" si="26"/>
        <v>27</v>
      </c>
      <c r="B34" s="93">
        <f>IF(A34&lt;=umumiy_malumot!$B$81,DATE(YEAR(R34),MONTH(R34),DAY(IF(A34=umumiy_malumot!$B$81,umumiy_malumot!$B$67,IF(A34&lt;umumiy_malumot!$B$81,(Q34),IF(A34&gt;umumiy_malumot!$B$81,$H$56,0))))))</f>
        <v>46860</v>
      </c>
      <c r="C34" s="51">
        <f t="shared" si="15"/>
        <v>9166666.5799999703</v>
      </c>
      <c r="D34" s="51">
        <f t="shared" si="16"/>
        <v>916666.67</v>
      </c>
      <c r="E34" s="51">
        <f t="shared" si="17"/>
        <v>454576.64999999997</v>
      </c>
      <c r="F34" s="51">
        <f t="shared" si="18"/>
        <v>1371243.32</v>
      </c>
      <c r="G34" s="86">
        <f t="shared" si="19"/>
        <v>33</v>
      </c>
      <c r="H34" s="86">
        <f t="shared" si="20"/>
        <v>366</v>
      </c>
      <c r="I34" s="94">
        <f t="shared" si="21"/>
        <v>916666.67</v>
      </c>
      <c r="J34" s="94">
        <f>SUM($I$8:I33)</f>
        <v>23833333.420000013</v>
      </c>
      <c r="K34" s="94">
        <f t="shared" si="22"/>
        <v>9166666.579999987</v>
      </c>
      <c r="L34" s="88">
        <f>ROUND(C34*umumiy_malumot!$B$84/H34,2)*G34</f>
        <v>454576.64999999997</v>
      </c>
      <c r="M34" s="88">
        <f t="shared" si="23"/>
        <v>1371243.32</v>
      </c>
      <c r="N34" s="88"/>
      <c r="O34" s="103" t="str">
        <f t="shared" si="24"/>
        <v>Сб</v>
      </c>
      <c r="P34" s="105">
        <f t="shared" si="25"/>
        <v>2</v>
      </c>
      <c r="Q34" s="105">
        <f>DAY(umumiy_malumot!$B$78)+P34</f>
        <v>17</v>
      </c>
      <c r="R34" s="100">
        <f>IF(A34&lt;=umumiy_malumot!$B$81,DATE(YEAR($B$8),MONTH($B$8)+A33,DAY(umumiy_malumot!$B$78)),0)</f>
        <v>46858</v>
      </c>
      <c r="S34" s="86"/>
      <c r="T34" s="86"/>
      <c r="U34" s="86"/>
      <c r="V34" s="86"/>
    </row>
    <row r="35" spans="1:22" x14ac:dyDescent="0.25">
      <c r="A35" s="92">
        <f t="shared" si="26"/>
        <v>28</v>
      </c>
      <c r="B35" s="93">
        <f>IF(A35&lt;=umumiy_malumot!$B$81,DATE(YEAR(R35),MONTH(R35),DAY(IF(A35=umumiy_malumot!$B$81,umumiy_malumot!$B$67,IF(A35&lt;umumiy_malumot!$B$81,(Q35),IF(A35&gt;umumiy_malumot!$B$81,$H$56,0))))))</f>
        <v>46888</v>
      </c>
      <c r="C35" s="51">
        <f t="shared" si="15"/>
        <v>8249999.9099999703</v>
      </c>
      <c r="D35" s="51">
        <f t="shared" si="16"/>
        <v>916666.67</v>
      </c>
      <c r="E35" s="51">
        <f t="shared" si="17"/>
        <v>347131.12</v>
      </c>
      <c r="F35" s="51">
        <f t="shared" si="18"/>
        <v>1263797.79</v>
      </c>
      <c r="G35" s="86">
        <f t="shared" si="19"/>
        <v>28</v>
      </c>
      <c r="H35" s="86">
        <f t="shared" si="20"/>
        <v>366</v>
      </c>
      <c r="I35" s="94">
        <f t="shared" si="21"/>
        <v>916666.67</v>
      </c>
      <c r="J35" s="94">
        <f>SUM($I$8:I34)</f>
        <v>24750000.090000015</v>
      </c>
      <c r="K35" s="94">
        <f t="shared" si="22"/>
        <v>8249999.9099999852</v>
      </c>
      <c r="L35" s="88">
        <f>ROUND(C35*umumiy_malumot!$B$84/H35,2)*G35</f>
        <v>347131.12</v>
      </c>
      <c r="M35" s="88">
        <f t="shared" si="23"/>
        <v>1263797.79</v>
      </c>
      <c r="N35" s="88"/>
      <c r="O35" s="103" t="str">
        <f t="shared" si="24"/>
        <v>Пн</v>
      </c>
      <c r="P35" s="105">
        <f t="shared" si="25"/>
        <v>0</v>
      </c>
      <c r="Q35" s="105">
        <f>DAY(umumiy_malumot!$B$78)+P35</f>
        <v>15</v>
      </c>
      <c r="R35" s="100">
        <f>IF(A35&lt;=umumiy_malumot!$B$81,DATE(YEAR($B$8),MONTH($B$8)+A34,DAY(umumiy_malumot!$B$78)),0)</f>
        <v>46888</v>
      </c>
      <c r="S35" s="86"/>
      <c r="T35" s="86"/>
      <c r="U35" s="86"/>
      <c r="V35" s="86"/>
    </row>
    <row r="36" spans="1:22" x14ac:dyDescent="0.25">
      <c r="A36" s="92">
        <f t="shared" si="26"/>
        <v>29</v>
      </c>
      <c r="B36" s="93">
        <f>IF(A36&lt;=umumiy_malumot!$B$81,DATE(YEAR(R36),MONTH(R36),DAY(IF(A36=umumiy_malumot!$B$81,umumiy_malumot!$B$67,IF(A36&lt;umumiy_malumot!$B$81,(Q36),IF(A36&gt;umumiy_malumot!$B$81,$H$56,0))))))</f>
        <v>46919</v>
      </c>
      <c r="C36" s="51">
        <f t="shared" si="15"/>
        <v>7333333.2399999704</v>
      </c>
      <c r="D36" s="51">
        <f t="shared" si="16"/>
        <v>916666.67</v>
      </c>
      <c r="E36" s="51">
        <f t="shared" si="17"/>
        <v>341621.24000000005</v>
      </c>
      <c r="F36" s="51">
        <f t="shared" si="18"/>
        <v>1258287.9100000001</v>
      </c>
      <c r="G36" s="86">
        <f t="shared" si="19"/>
        <v>31</v>
      </c>
      <c r="H36" s="86">
        <f t="shared" si="20"/>
        <v>366</v>
      </c>
      <c r="I36" s="94">
        <f t="shared" si="21"/>
        <v>916666.67</v>
      </c>
      <c r="J36" s="94">
        <f>SUM($I$8:I35)</f>
        <v>25666666.760000017</v>
      </c>
      <c r="K36" s="94">
        <f t="shared" si="22"/>
        <v>7333333.2399999835</v>
      </c>
      <c r="L36" s="88">
        <f>ROUND(C36*umumiy_malumot!$B$84/H36,2)*G36</f>
        <v>341621.24000000005</v>
      </c>
      <c r="M36" s="88">
        <f t="shared" si="23"/>
        <v>1258287.9100000001</v>
      </c>
      <c r="N36" s="88"/>
      <c r="O36" s="103" t="str">
        <f t="shared" si="24"/>
        <v>Чт</v>
      </c>
      <c r="P36" s="105">
        <f t="shared" si="25"/>
        <v>0</v>
      </c>
      <c r="Q36" s="105">
        <f>DAY(umumiy_malumot!$B$78)+P36</f>
        <v>15</v>
      </c>
      <c r="R36" s="100">
        <f>IF(A36&lt;=umumiy_malumot!$B$81,DATE(YEAR($B$8),MONTH($B$8)+A35,DAY(umumiy_malumot!$B$78)),0)</f>
        <v>46919</v>
      </c>
      <c r="S36" s="86"/>
      <c r="T36" s="86"/>
      <c r="U36" s="86"/>
      <c r="V36" s="86"/>
    </row>
    <row r="37" spans="1:22" x14ac:dyDescent="0.25">
      <c r="A37" s="92">
        <f t="shared" si="26"/>
        <v>30</v>
      </c>
      <c r="B37" s="93">
        <f>IF(A37&lt;=umumiy_malumot!$B$81,DATE(YEAR(R37),MONTH(R37),DAY(IF(A37=umumiy_malumot!$B$81,umumiy_malumot!$B$67,IF(A37&lt;umumiy_malumot!$B$81,(Q37),IF(A37&gt;umumiy_malumot!$B$81,$H$56,0))))))</f>
        <v>46951</v>
      </c>
      <c r="C37" s="51">
        <f t="shared" si="15"/>
        <v>6416666.5699999705</v>
      </c>
      <c r="D37" s="51">
        <f t="shared" si="16"/>
        <v>916666.67</v>
      </c>
      <c r="E37" s="51">
        <f t="shared" si="17"/>
        <v>308560.96000000002</v>
      </c>
      <c r="F37" s="51">
        <f t="shared" si="18"/>
        <v>1225227.6300000001</v>
      </c>
      <c r="G37" s="86">
        <f t="shared" si="19"/>
        <v>32</v>
      </c>
      <c r="H37" s="86">
        <f t="shared" si="20"/>
        <v>366</v>
      </c>
      <c r="I37" s="94">
        <f t="shared" si="21"/>
        <v>916666.67</v>
      </c>
      <c r="J37" s="94">
        <f>SUM($I$8:I36)</f>
        <v>26583333.430000018</v>
      </c>
      <c r="K37" s="94">
        <f t="shared" si="22"/>
        <v>6416666.5699999817</v>
      </c>
      <c r="L37" s="88">
        <f>ROUND(C37*umumiy_malumot!$B$84/H37,2)*G37</f>
        <v>308560.96000000002</v>
      </c>
      <c r="M37" s="88">
        <f t="shared" si="23"/>
        <v>1225227.6300000001</v>
      </c>
      <c r="N37" s="88"/>
      <c r="O37" s="103" t="str">
        <f t="shared" si="24"/>
        <v>Сб</v>
      </c>
      <c r="P37" s="105">
        <f t="shared" si="25"/>
        <v>2</v>
      </c>
      <c r="Q37" s="105">
        <f>DAY(umumiy_malumot!$B$78)+P37</f>
        <v>17</v>
      </c>
      <c r="R37" s="100">
        <f>IF(A37&lt;=umumiy_malumot!$B$81,DATE(YEAR($B$8),MONTH($B$8)+A36,DAY(umumiy_malumot!$B$78)),0)</f>
        <v>46949</v>
      </c>
      <c r="S37" s="86"/>
      <c r="T37" s="86"/>
      <c r="U37" s="86"/>
      <c r="V37" s="86"/>
    </row>
    <row r="38" spans="1:22" x14ac:dyDescent="0.25">
      <c r="A38" s="92">
        <f t="shared" si="26"/>
        <v>31</v>
      </c>
      <c r="B38" s="93">
        <f>IF(A38&lt;=umumiy_malumot!$B$81,DATE(YEAR(R38),MONTH(R38),DAY(IF(A38=umumiy_malumot!$B$81,umumiy_malumot!$B$67,IF(A38&lt;umumiy_malumot!$B$81,(Q38),IF(A38&gt;umumiy_malumot!$B$81,$H$56,0))))))</f>
        <v>46980</v>
      </c>
      <c r="C38" s="51">
        <f t="shared" si="15"/>
        <v>5499999.8999999706</v>
      </c>
      <c r="D38" s="51">
        <f t="shared" si="16"/>
        <v>916666.67</v>
      </c>
      <c r="E38" s="51">
        <f t="shared" si="17"/>
        <v>239685.87000000002</v>
      </c>
      <c r="F38" s="51">
        <f t="shared" si="18"/>
        <v>1156352.54</v>
      </c>
      <c r="G38" s="86">
        <f t="shared" si="19"/>
        <v>29</v>
      </c>
      <c r="H38" s="86">
        <f t="shared" si="20"/>
        <v>366</v>
      </c>
      <c r="I38" s="94">
        <f t="shared" si="21"/>
        <v>916666.67</v>
      </c>
      <c r="J38" s="94">
        <f>SUM($I$8:I37)</f>
        <v>27500000.10000002</v>
      </c>
      <c r="K38" s="94">
        <f t="shared" si="22"/>
        <v>5499999.8999999799</v>
      </c>
      <c r="L38" s="88">
        <f>ROUND(C38*umumiy_malumot!$B$84/H38,2)*G38</f>
        <v>239685.87000000002</v>
      </c>
      <c r="M38" s="88">
        <f t="shared" si="23"/>
        <v>1156352.54</v>
      </c>
      <c r="N38" s="88"/>
      <c r="O38" s="103" t="str">
        <f t="shared" si="24"/>
        <v>Вт</v>
      </c>
      <c r="P38" s="105">
        <f t="shared" si="25"/>
        <v>0</v>
      </c>
      <c r="Q38" s="105">
        <f>DAY(umumiy_malumot!$B$78)+P38</f>
        <v>15</v>
      </c>
      <c r="R38" s="100">
        <f>IF(A38&lt;=umumiy_malumot!$B$81,DATE(YEAR($B$8),MONTH($B$8)+A37,DAY(umumiy_malumot!$B$78)),0)</f>
        <v>46980</v>
      </c>
      <c r="S38" s="86"/>
      <c r="T38" s="86"/>
      <c r="U38" s="86"/>
      <c r="V38" s="86"/>
    </row>
    <row r="39" spans="1:22" x14ac:dyDescent="0.25">
      <c r="A39" s="92">
        <f t="shared" si="26"/>
        <v>32</v>
      </c>
      <c r="B39" s="93">
        <f>IF(A39&lt;=umumiy_malumot!$B$81,DATE(YEAR(R39),MONTH(R39),DAY(IF(A39=umumiy_malumot!$B$81,umumiy_malumot!$B$67,IF(A39&lt;umumiy_malumot!$B$81,(Q39),IF(A39&gt;umumiy_malumot!$B$81,$H$56,0))))))</f>
        <v>47011</v>
      </c>
      <c r="C39" s="51">
        <f t="shared" si="15"/>
        <v>4583333.2299999706</v>
      </c>
      <c r="D39" s="51">
        <f t="shared" si="16"/>
        <v>916666.67</v>
      </c>
      <c r="E39" s="51">
        <f t="shared" si="17"/>
        <v>213513.12000000002</v>
      </c>
      <c r="F39" s="51">
        <f t="shared" si="18"/>
        <v>1130179.79</v>
      </c>
      <c r="G39" s="86">
        <f t="shared" si="19"/>
        <v>31</v>
      </c>
      <c r="H39" s="86">
        <f t="shared" si="20"/>
        <v>366</v>
      </c>
      <c r="I39" s="94">
        <f t="shared" si="21"/>
        <v>916666.67</v>
      </c>
      <c r="J39" s="94">
        <f>SUM($I$8:I38)</f>
        <v>28416666.770000022</v>
      </c>
      <c r="K39" s="94">
        <f t="shared" si="22"/>
        <v>4583333.2299999781</v>
      </c>
      <c r="L39" s="88">
        <f>ROUND(C39*umumiy_malumot!$B$84/H39,2)*G39</f>
        <v>213513.12000000002</v>
      </c>
      <c r="M39" s="88">
        <f t="shared" si="23"/>
        <v>1130179.79</v>
      </c>
      <c r="N39" s="88"/>
      <c r="O39" s="103" t="str">
        <f t="shared" si="24"/>
        <v>Пт</v>
      </c>
      <c r="P39" s="105">
        <f t="shared" si="25"/>
        <v>0</v>
      </c>
      <c r="Q39" s="105">
        <f>DAY(umumiy_malumot!$B$78)+P39</f>
        <v>15</v>
      </c>
      <c r="R39" s="100">
        <f>IF(A39&lt;=umumiy_malumot!$B$81,DATE(YEAR($B$8),MONTH($B$8)+A38,DAY(umumiy_malumot!$B$78)),0)</f>
        <v>47011</v>
      </c>
      <c r="S39" s="86"/>
      <c r="T39" s="86"/>
      <c r="U39" s="86"/>
      <c r="V39" s="86"/>
    </row>
    <row r="40" spans="1:22" x14ac:dyDescent="0.25">
      <c r="A40" s="92">
        <f t="shared" si="26"/>
        <v>33</v>
      </c>
      <c r="B40" s="93">
        <f>IF(A40&lt;=umumiy_malumot!$B$81,DATE(YEAR(R40),MONTH(R40),DAY(IF(A40=umumiy_malumot!$B$81,umumiy_malumot!$B$67,IF(A40&lt;umumiy_malumot!$B$81,(Q40),IF(A40&gt;umumiy_malumot!$B$81,$H$56,0))))))</f>
        <v>47042</v>
      </c>
      <c r="C40" s="51">
        <f t="shared" si="15"/>
        <v>3666666.5599999707</v>
      </c>
      <c r="D40" s="51">
        <f t="shared" si="16"/>
        <v>916666.67</v>
      </c>
      <c r="E40" s="51">
        <f t="shared" si="17"/>
        <v>170810.62000000002</v>
      </c>
      <c r="F40" s="51">
        <f t="shared" si="18"/>
        <v>1087477.29</v>
      </c>
      <c r="G40" s="86">
        <f t="shared" si="19"/>
        <v>31</v>
      </c>
      <c r="H40" s="86">
        <f t="shared" si="20"/>
        <v>366</v>
      </c>
      <c r="I40" s="94">
        <f t="shared" si="21"/>
        <v>916666.67</v>
      </c>
      <c r="J40" s="94">
        <f>SUM($I$8:I39)</f>
        <v>29333333.440000024</v>
      </c>
      <c r="K40" s="94">
        <f t="shared" si="22"/>
        <v>3666666.5599999763</v>
      </c>
      <c r="L40" s="88">
        <f>ROUND(C40*umumiy_malumot!$B$84/H40,2)*G40</f>
        <v>170810.62000000002</v>
      </c>
      <c r="M40" s="88">
        <f t="shared" si="23"/>
        <v>1087477.29</v>
      </c>
      <c r="N40" s="88"/>
      <c r="O40" s="103" t="str">
        <f t="shared" si="24"/>
        <v>Вс</v>
      </c>
      <c r="P40" s="105">
        <f t="shared" si="25"/>
        <v>1</v>
      </c>
      <c r="Q40" s="105">
        <f>DAY(umumiy_malumot!$B$78)+P40</f>
        <v>16</v>
      </c>
      <c r="R40" s="100">
        <f>IF(A40&lt;=umumiy_malumot!$B$81,DATE(YEAR($B$8),MONTH($B$8)+A39,DAY(umumiy_malumot!$B$78)),0)</f>
        <v>47041</v>
      </c>
      <c r="S40" s="86"/>
      <c r="T40" s="86"/>
      <c r="U40" s="86"/>
      <c r="V40" s="86"/>
    </row>
    <row r="41" spans="1:22" x14ac:dyDescent="0.25">
      <c r="A41" s="92">
        <f t="shared" si="26"/>
        <v>34</v>
      </c>
      <c r="B41" s="93">
        <f>IF(A41&lt;=umumiy_malumot!$B$81,DATE(YEAR(R41),MONTH(R41),DAY(IF(A41=umumiy_malumot!$B$81,umumiy_malumot!$B$67,IF(A41&lt;umumiy_malumot!$B$81,(Q41),IF(A41&gt;umumiy_malumot!$B$81,$H$56,0))))))</f>
        <v>47072</v>
      </c>
      <c r="C41" s="51">
        <f t="shared" si="15"/>
        <v>2749999.8899999708</v>
      </c>
      <c r="D41" s="51">
        <f t="shared" si="16"/>
        <v>916666.67</v>
      </c>
      <c r="E41" s="51">
        <f t="shared" si="17"/>
        <v>123975.3</v>
      </c>
      <c r="F41" s="51">
        <f t="shared" si="18"/>
        <v>1040641.9700000001</v>
      </c>
      <c r="G41" s="86">
        <f t="shared" si="19"/>
        <v>30</v>
      </c>
      <c r="H41" s="86">
        <f t="shared" si="20"/>
        <v>366</v>
      </c>
      <c r="I41" s="94">
        <f t="shared" si="21"/>
        <v>916666.67</v>
      </c>
      <c r="J41" s="94">
        <f>SUM($I$8:I40)</f>
        <v>30250000.110000025</v>
      </c>
      <c r="K41" s="94">
        <f t="shared" si="22"/>
        <v>2749999.8899999745</v>
      </c>
      <c r="L41" s="88">
        <f>ROUND(C41*umumiy_malumot!$B$84/H41,2)*G41</f>
        <v>123975.3</v>
      </c>
      <c r="M41" s="88">
        <f t="shared" si="23"/>
        <v>1040641.9700000001</v>
      </c>
      <c r="N41" s="88"/>
      <c r="O41" s="103" t="str">
        <f t="shared" si="24"/>
        <v>Ср</v>
      </c>
      <c r="P41" s="105">
        <f t="shared" si="25"/>
        <v>0</v>
      </c>
      <c r="Q41" s="105">
        <f>DAY(umumiy_malumot!$B$78)+P41</f>
        <v>15</v>
      </c>
      <c r="R41" s="100">
        <f>IF(A41&lt;=umumiy_malumot!$B$81,DATE(YEAR($B$8),MONTH($B$8)+A40,DAY(umumiy_malumot!$B$78)),0)</f>
        <v>47072</v>
      </c>
      <c r="S41" s="86"/>
      <c r="T41" s="86"/>
      <c r="U41" s="86"/>
      <c r="V41" s="86"/>
    </row>
    <row r="42" spans="1:22" x14ac:dyDescent="0.25">
      <c r="A42" s="92">
        <f t="shared" si="26"/>
        <v>35</v>
      </c>
      <c r="B42" s="93">
        <f>IF(A42&lt;=umumiy_malumot!$B$81,DATE(YEAR(R42),MONTH(R42),DAY(IF(A42=umumiy_malumot!$B$81,umumiy_malumot!$B$67,IF(A42&lt;umumiy_malumot!$B$81,(Q42),IF(A42&gt;umumiy_malumot!$B$81,$H$56,0))))))</f>
        <v>47102</v>
      </c>
      <c r="C42" s="51">
        <f t="shared" si="15"/>
        <v>1833333.2199999709</v>
      </c>
      <c r="D42" s="51">
        <f t="shared" si="16"/>
        <v>916666.67</v>
      </c>
      <c r="E42" s="51">
        <f t="shared" si="17"/>
        <v>82650.3</v>
      </c>
      <c r="F42" s="51">
        <f t="shared" si="18"/>
        <v>999316.97000000009</v>
      </c>
      <c r="G42" s="86">
        <f t="shared" si="19"/>
        <v>30</v>
      </c>
      <c r="H42" s="86">
        <f t="shared" si="20"/>
        <v>366</v>
      </c>
      <c r="I42" s="94">
        <f t="shared" si="21"/>
        <v>916666.67</v>
      </c>
      <c r="J42" s="94">
        <f>SUM($I$8:I41)</f>
        <v>31166666.780000027</v>
      </c>
      <c r="K42" s="94">
        <f t="shared" si="22"/>
        <v>1833333.2199999727</v>
      </c>
      <c r="L42" s="88">
        <f>ROUND(C42*umumiy_malumot!$B$84/H42,2)*G42</f>
        <v>82650.3</v>
      </c>
      <c r="M42" s="88">
        <f t="shared" si="23"/>
        <v>999316.97000000009</v>
      </c>
      <c r="N42" s="88"/>
      <c r="O42" s="103" t="str">
        <f t="shared" si="24"/>
        <v>Пт</v>
      </c>
      <c r="P42" s="105">
        <f t="shared" si="25"/>
        <v>0</v>
      </c>
      <c r="Q42" s="105">
        <f>DAY(umumiy_malumot!$B$78)+P42</f>
        <v>15</v>
      </c>
      <c r="R42" s="100">
        <f>IF(A42&lt;=umumiy_malumot!$B$81,DATE(YEAR($B$8),MONTH($B$8)+A41,DAY(umumiy_malumot!$B$78)),0)</f>
        <v>47102</v>
      </c>
      <c r="S42" s="86"/>
      <c r="T42" s="86"/>
      <c r="U42" s="86"/>
      <c r="V42" s="86"/>
    </row>
    <row r="43" spans="1:22" x14ac:dyDescent="0.25">
      <c r="A43" s="92">
        <f t="shared" ref="A43:A55" si="27">1+A42</f>
        <v>36</v>
      </c>
      <c r="B43" s="93">
        <f>IF(A43&lt;=umumiy_malumot!$B$81,DATE(YEAR(R43),MONTH(R43),DAY(IF(A43=umumiy_malumot!$B$81,umumiy_malumot!$B$67,IF(A43&lt;umumiy_malumot!$B$81,(Q43),IF(A43&gt;umumiy_malumot!$B$81,$H$56,0))))))</f>
        <v>47124</v>
      </c>
      <c r="C43" s="51">
        <f t="shared" ref="C43:C55" si="28">C42-D42</f>
        <v>916666.54999997083</v>
      </c>
      <c r="D43" s="51">
        <f t="shared" ref="D43:D55" si="29">IF(C43=0,L43,IF(C43&gt;1,I43))</f>
        <v>916666.54999997094</v>
      </c>
      <c r="E43" s="51">
        <f t="shared" ref="E43:E55" si="30">IF(C43=0,N42,IF(C43&gt;1,L43))</f>
        <v>30388.16</v>
      </c>
      <c r="F43" s="51">
        <f t="shared" ref="F43:F55" si="31">IF(C43=0,N42,IF(C43&gt;1,M43))</f>
        <v>947054.70999997098</v>
      </c>
      <c r="G43" s="86">
        <f t="shared" ref="G43:G55" si="32">B43-B42</f>
        <v>22</v>
      </c>
      <c r="H43" s="86">
        <f t="shared" ref="H43:H55" si="33">DATE(YEAR(B43),12,31)-DATE(YEAR(B43),1,1)+1</f>
        <v>365</v>
      </c>
      <c r="I43" s="94">
        <f t="shared" ref="I43:I55" si="34">IF($L$5=A43,K43,IF($L$5&gt;A43,I42))</f>
        <v>916666.54999997094</v>
      </c>
      <c r="J43" s="94">
        <f>SUM($I$8:I42)</f>
        <v>32083333.450000029</v>
      </c>
      <c r="K43" s="94">
        <f t="shared" ref="K43:K55" si="35">$J$12-J43</f>
        <v>916666.54999997094</v>
      </c>
      <c r="L43" s="88">
        <f>ROUND(C43*umumiy_malumot!$B$84/H43,2)*G43</f>
        <v>30388.16</v>
      </c>
      <c r="M43" s="88">
        <f t="shared" ref="M43:M55" si="36">D43+E43</f>
        <v>947054.70999997098</v>
      </c>
      <c r="N43" s="88"/>
      <c r="O43" s="103" t="str">
        <f t="shared" ref="O43:O55" si="37">TEXT(R43,"ддд")</f>
        <v>Пн</v>
      </c>
      <c r="P43" s="105">
        <f t="shared" ref="P43:P55" si="38">IF(O43=$U$8,2,IF(O43=$V$8,1,0))</f>
        <v>0</v>
      </c>
      <c r="Q43" s="105">
        <f>DAY(umumiy_malumot!$B$78)+P43</f>
        <v>15</v>
      </c>
      <c r="R43" s="100">
        <f>IF(A43&lt;=umumiy_malumot!$B$81,DATE(YEAR($B$8),MONTH($B$8)+A42,DAY(umumiy_malumot!$B$78)),0)</f>
        <v>47133</v>
      </c>
      <c r="S43" s="86"/>
      <c r="T43" s="86"/>
      <c r="U43" s="86"/>
      <c r="V43" s="86"/>
    </row>
    <row r="44" spans="1:22" x14ac:dyDescent="0.25">
      <c r="A44" s="92">
        <f t="shared" si="27"/>
        <v>37</v>
      </c>
      <c r="B44" s="93" t="b">
        <f>IF(A44&lt;=umumiy_malumot!$B$81,DATE(YEAR(R44),MONTH(R44),DAY(IF(A44=umumiy_malumot!$B$81,umumiy_malumot!$B$67,IF(A44&lt;umumiy_malumot!$B$81,(Q44),IF(A44&gt;umumiy_malumot!$B$81,$H$56,0))))))</f>
        <v>0</v>
      </c>
      <c r="C44" s="51">
        <f t="shared" si="28"/>
        <v>0</v>
      </c>
      <c r="D44" s="51">
        <f t="shared" si="29"/>
        <v>0</v>
      </c>
      <c r="E44" s="51">
        <f t="shared" si="30"/>
        <v>0</v>
      </c>
      <c r="F44" s="51">
        <f t="shared" si="31"/>
        <v>0</v>
      </c>
      <c r="G44" s="86">
        <f t="shared" si="32"/>
        <v>-47124</v>
      </c>
      <c r="H44" s="86">
        <f t="shared" si="33"/>
        <v>366</v>
      </c>
      <c r="I44" s="94" t="b">
        <f t="shared" si="34"/>
        <v>0</v>
      </c>
      <c r="J44" s="94">
        <f>SUM($I$8:I43)</f>
        <v>33000000</v>
      </c>
      <c r="K44" s="94">
        <f t="shared" si="35"/>
        <v>0</v>
      </c>
      <c r="L44" s="88">
        <f>ROUND(C44*umumiy_malumot!$B$84/H44,2)*G44</f>
        <v>0</v>
      </c>
      <c r="M44" s="88">
        <f t="shared" si="36"/>
        <v>0</v>
      </c>
      <c r="N44" s="88"/>
      <c r="O44" s="103" t="str">
        <f t="shared" si="37"/>
        <v>Сб</v>
      </c>
      <c r="P44" s="105">
        <f t="shared" si="38"/>
        <v>2</v>
      </c>
      <c r="Q44" s="105">
        <f>DAY(umumiy_malumot!$B$78)+P44</f>
        <v>17</v>
      </c>
      <c r="R44" s="100">
        <f>IF(A44&lt;=umumiy_malumot!$B$81,DATE(YEAR($B$8),MONTH($B$8)+A43,DAY(umumiy_malumot!$B$78)),0)</f>
        <v>0</v>
      </c>
      <c r="S44" s="86"/>
      <c r="T44" s="86"/>
      <c r="U44" s="86"/>
      <c r="V44" s="86"/>
    </row>
    <row r="45" spans="1:22" x14ac:dyDescent="0.25">
      <c r="A45" s="92">
        <f t="shared" si="27"/>
        <v>38</v>
      </c>
      <c r="B45" s="93" t="b">
        <f>IF(A45&lt;=umumiy_malumot!$B$81,DATE(YEAR(R45),MONTH(R45),DAY(IF(A45=umumiy_malumot!$B$81,umumiy_malumot!$B$67,IF(A45&lt;umumiy_malumot!$B$81,(Q45),IF(A45&gt;umumiy_malumot!$B$81,$H$56,0))))))</f>
        <v>0</v>
      </c>
      <c r="C45" s="51">
        <f t="shared" si="28"/>
        <v>0</v>
      </c>
      <c r="D45" s="51">
        <f t="shared" si="29"/>
        <v>0</v>
      </c>
      <c r="E45" s="51">
        <f t="shared" si="30"/>
        <v>0</v>
      </c>
      <c r="F45" s="51">
        <f t="shared" si="31"/>
        <v>0</v>
      </c>
      <c r="G45" s="86">
        <f t="shared" si="32"/>
        <v>0</v>
      </c>
      <c r="H45" s="86">
        <f t="shared" si="33"/>
        <v>366</v>
      </c>
      <c r="I45" s="94" t="b">
        <f t="shared" si="34"/>
        <v>0</v>
      </c>
      <c r="J45" s="94">
        <f>SUM($I$8:I44)</f>
        <v>33000000</v>
      </c>
      <c r="K45" s="94">
        <f t="shared" si="35"/>
        <v>0</v>
      </c>
      <c r="L45" s="88">
        <f>ROUND(C45*umumiy_malumot!$B$84/H45,2)*G45</f>
        <v>0</v>
      </c>
      <c r="M45" s="88">
        <f t="shared" si="36"/>
        <v>0</v>
      </c>
      <c r="N45" s="88"/>
      <c r="O45" s="103" t="str">
        <f t="shared" si="37"/>
        <v>Сб</v>
      </c>
      <c r="P45" s="105">
        <f t="shared" si="38"/>
        <v>2</v>
      </c>
      <c r="Q45" s="105">
        <f>DAY(umumiy_malumot!$B$78)+P45</f>
        <v>17</v>
      </c>
      <c r="R45" s="100">
        <f>IF(A45&lt;=umumiy_malumot!$B$81,DATE(YEAR($B$8),MONTH($B$8)+A44,DAY(umumiy_malumot!$B$78)),0)</f>
        <v>0</v>
      </c>
      <c r="S45" s="86"/>
      <c r="T45" s="86"/>
      <c r="U45" s="86"/>
      <c r="V45" s="86"/>
    </row>
    <row r="46" spans="1:22" x14ac:dyDescent="0.25">
      <c r="A46" s="92">
        <f t="shared" si="27"/>
        <v>39</v>
      </c>
      <c r="B46" s="93" t="b">
        <f>IF(A46&lt;=umumiy_malumot!$B$81,DATE(YEAR(R46),MONTH(R46),DAY(IF(A46=umumiy_malumot!$B$81,umumiy_malumot!$B$67,IF(A46&lt;umumiy_malumot!$B$81,(Q46),IF(A46&gt;umumiy_malumot!$B$81,$H$56,0))))))</f>
        <v>0</v>
      </c>
      <c r="C46" s="51">
        <f t="shared" si="28"/>
        <v>0</v>
      </c>
      <c r="D46" s="51">
        <f t="shared" si="29"/>
        <v>0</v>
      </c>
      <c r="E46" s="51">
        <f t="shared" si="30"/>
        <v>0</v>
      </c>
      <c r="F46" s="51">
        <f t="shared" si="31"/>
        <v>0</v>
      </c>
      <c r="G46" s="86">
        <f t="shared" si="32"/>
        <v>0</v>
      </c>
      <c r="H46" s="86">
        <f t="shared" si="33"/>
        <v>366</v>
      </c>
      <c r="I46" s="94" t="b">
        <f t="shared" si="34"/>
        <v>0</v>
      </c>
      <c r="J46" s="94">
        <f>SUM($I$8:I45)</f>
        <v>33000000</v>
      </c>
      <c r="K46" s="94">
        <f t="shared" si="35"/>
        <v>0</v>
      </c>
      <c r="L46" s="88">
        <f>ROUND(C46*umumiy_malumot!$B$84/H46,2)*G46</f>
        <v>0</v>
      </c>
      <c r="M46" s="88">
        <f t="shared" si="36"/>
        <v>0</v>
      </c>
      <c r="N46" s="88"/>
      <c r="O46" s="103" t="str">
        <f t="shared" si="37"/>
        <v>Сб</v>
      </c>
      <c r="P46" s="105">
        <f t="shared" si="38"/>
        <v>2</v>
      </c>
      <c r="Q46" s="105">
        <f>DAY(umumiy_malumot!$B$78)+P46</f>
        <v>17</v>
      </c>
      <c r="R46" s="100">
        <f>IF(A46&lt;=umumiy_malumot!$B$81,DATE(YEAR($B$8),MONTH($B$8)+A45,DAY(umumiy_malumot!$B$78)),0)</f>
        <v>0</v>
      </c>
      <c r="S46" s="86"/>
      <c r="T46" s="86"/>
      <c r="U46" s="86"/>
      <c r="V46" s="86"/>
    </row>
    <row r="47" spans="1:22" x14ac:dyDescent="0.25">
      <c r="A47" s="92">
        <f t="shared" si="27"/>
        <v>40</v>
      </c>
      <c r="B47" s="93" t="b">
        <f>IF(A47&lt;=umumiy_malumot!$B$81,DATE(YEAR(R47),MONTH(R47),DAY(IF(A47=umumiy_malumot!$B$81,umumiy_malumot!$B$67,IF(A47&lt;umumiy_malumot!$B$81,(Q47),IF(A47&gt;umumiy_malumot!$B$81,$H$56,0))))))</f>
        <v>0</v>
      </c>
      <c r="C47" s="51">
        <f t="shared" si="28"/>
        <v>0</v>
      </c>
      <c r="D47" s="51">
        <f t="shared" si="29"/>
        <v>0</v>
      </c>
      <c r="E47" s="51">
        <f t="shared" si="30"/>
        <v>0</v>
      </c>
      <c r="F47" s="51">
        <f t="shared" si="31"/>
        <v>0</v>
      </c>
      <c r="G47" s="86">
        <f t="shared" si="32"/>
        <v>0</v>
      </c>
      <c r="H47" s="86">
        <f t="shared" si="33"/>
        <v>366</v>
      </c>
      <c r="I47" s="94" t="b">
        <f t="shared" si="34"/>
        <v>0</v>
      </c>
      <c r="J47" s="94">
        <f>SUM($I$8:I46)</f>
        <v>33000000</v>
      </c>
      <c r="K47" s="94">
        <f t="shared" si="35"/>
        <v>0</v>
      </c>
      <c r="L47" s="88">
        <f>ROUND(C47*umumiy_malumot!$B$84/H47,2)*G47</f>
        <v>0</v>
      </c>
      <c r="M47" s="88">
        <f t="shared" si="36"/>
        <v>0</v>
      </c>
      <c r="N47" s="88"/>
      <c r="O47" s="103" t="str">
        <f t="shared" si="37"/>
        <v>Сб</v>
      </c>
      <c r="P47" s="105">
        <f t="shared" si="38"/>
        <v>2</v>
      </c>
      <c r="Q47" s="105">
        <f>DAY(umumiy_malumot!$B$78)+P47</f>
        <v>17</v>
      </c>
      <c r="R47" s="100">
        <f>IF(A47&lt;=umumiy_malumot!$B$81,DATE(YEAR($B$8),MONTH($B$8)+A46,DAY(umumiy_malumot!$B$78)),0)</f>
        <v>0</v>
      </c>
      <c r="S47" s="86"/>
      <c r="T47" s="86"/>
      <c r="U47" s="86"/>
      <c r="V47" s="86"/>
    </row>
    <row r="48" spans="1:22" x14ac:dyDescent="0.25">
      <c r="A48" s="92">
        <f t="shared" si="27"/>
        <v>41</v>
      </c>
      <c r="B48" s="93" t="b">
        <f>IF(A48&lt;=umumiy_malumot!$B$81,DATE(YEAR(R48),MONTH(R48),DAY(IF(A48=umumiy_malumot!$B$81,umumiy_malumot!$B$67,IF(A48&lt;umumiy_malumot!$B$81,(Q48),IF(A48&gt;umumiy_malumot!$B$81,$H$56,0))))))</f>
        <v>0</v>
      </c>
      <c r="C48" s="51">
        <f t="shared" si="28"/>
        <v>0</v>
      </c>
      <c r="D48" s="51">
        <f t="shared" si="29"/>
        <v>0</v>
      </c>
      <c r="E48" s="51">
        <f t="shared" si="30"/>
        <v>0</v>
      </c>
      <c r="F48" s="51">
        <f t="shared" si="31"/>
        <v>0</v>
      </c>
      <c r="G48" s="86">
        <f t="shared" si="32"/>
        <v>0</v>
      </c>
      <c r="H48" s="86">
        <f t="shared" si="33"/>
        <v>366</v>
      </c>
      <c r="I48" s="94" t="b">
        <f t="shared" si="34"/>
        <v>0</v>
      </c>
      <c r="J48" s="94">
        <f>SUM($I$8:I47)</f>
        <v>33000000</v>
      </c>
      <c r="K48" s="94">
        <f t="shared" si="35"/>
        <v>0</v>
      </c>
      <c r="L48" s="88">
        <f>ROUND(C48*umumiy_malumot!$B$84/H48,2)*G48</f>
        <v>0</v>
      </c>
      <c r="M48" s="88">
        <f t="shared" si="36"/>
        <v>0</v>
      </c>
      <c r="N48" s="88"/>
      <c r="O48" s="103" t="str">
        <f t="shared" si="37"/>
        <v>Сб</v>
      </c>
      <c r="P48" s="105">
        <f t="shared" si="38"/>
        <v>2</v>
      </c>
      <c r="Q48" s="105">
        <f>DAY(umumiy_malumot!$B$78)+P48</f>
        <v>17</v>
      </c>
      <c r="R48" s="100">
        <f>IF(A48&lt;=umumiy_malumot!$B$81,DATE(YEAR($B$8),MONTH($B$8)+A47,DAY(umumiy_malumot!$B$78)),0)</f>
        <v>0</v>
      </c>
      <c r="S48" s="86"/>
      <c r="T48" s="86"/>
      <c r="U48" s="86"/>
      <c r="V48" s="86"/>
    </row>
    <row r="49" spans="1:22" x14ac:dyDescent="0.25">
      <c r="A49" s="92">
        <f t="shared" si="27"/>
        <v>42</v>
      </c>
      <c r="B49" s="93" t="b">
        <f>IF(A49&lt;=umumiy_malumot!$B$81,DATE(YEAR(R49),MONTH(R49),DAY(IF(A49=umumiy_malumot!$B$81,umumiy_malumot!$B$67,IF(A49&lt;umumiy_malumot!$B$81,(Q49),IF(A49&gt;umumiy_malumot!$B$81,$H$56,0))))))</f>
        <v>0</v>
      </c>
      <c r="C49" s="51">
        <f t="shared" si="28"/>
        <v>0</v>
      </c>
      <c r="D49" s="51">
        <f t="shared" si="29"/>
        <v>0</v>
      </c>
      <c r="E49" s="51">
        <f t="shared" si="30"/>
        <v>0</v>
      </c>
      <c r="F49" s="51">
        <f t="shared" si="31"/>
        <v>0</v>
      </c>
      <c r="G49" s="86">
        <f t="shared" si="32"/>
        <v>0</v>
      </c>
      <c r="H49" s="86">
        <f t="shared" si="33"/>
        <v>366</v>
      </c>
      <c r="I49" s="94" t="b">
        <f t="shared" si="34"/>
        <v>0</v>
      </c>
      <c r="J49" s="94">
        <f>SUM($I$8:I48)</f>
        <v>33000000</v>
      </c>
      <c r="K49" s="94">
        <f t="shared" si="35"/>
        <v>0</v>
      </c>
      <c r="L49" s="88">
        <f>ROUND(C49*umumiy_malumot!$B$84/H49,2)*G49</f>
        <v>0</v>
      </c>
      <c r="M49" s="88">
        <f t="shared" si="36"/>
        <v>0</v>
      </c>
      <c r="N49" s="88"/>
      <c r="O49" s="103" t="str">
        <f t="shared" si="37"/>
        <v>Сб</v>
      </c>
      <c r="P49" s="105">
        <f t="shared" si="38"/>
        <v>2</v>
      </c>
      <c r="Q49" s="105">
        <f>DAY(umumiy_malumot!$B$78)+P49</f>
        <v>17</v>
      </c>
      <c r="R49" s="100">
        <f>IF(A49&lt;=umumiy_malumot!$B$81,DATE(YEAR($B$8),MONTH($B$8)+A48,DAY(umumiy_malumot!$B$78)),0)</f>
        <v>0</v>
      </c>
      <c r="S49" s="86"/>
      <c r="T49" s="86"/>
      <c r="U49" s="86"/>
      <c r="V49" s="86"/>
    </row>
    <row r="50" spans="1:22" x14ac:dyDescent="0.25">
      <c r="A50" s="92">
        <f t="shared" si="27"/>
        <v>43</v>
      </c>
      <c r="B50" s="93" t="b">
        <f>IF(A50&lt;=umumiy_malumot!$B$81,DATE(YEAR(R50),MONTH(R50),DAY(IF(A50=umumiy_malumot!$B$81,umumiy_malumot!$B$67,IF(A50&lt;umumiy_malumot!$B$81,(Q50),IF(A50&gt;umumiy_malumot!$B$81,$H$56,0))))))</f>
        <v>0</v>
      </c>
      <c r="C50" s="51">
        <f t="shared" si="28"/>
        <v>0</v>
      </c>
      <c r="D50" s="51">
        <f t="shared" si="29"/>
        <v>0</v>
      </c>
      <c r="E50" s="51">
        <f t="shared" si="30"/>
        <v>0</v>
      </c>
      <c r="F50" s="51">
        <f t="shared" si="31"/>
        <v>0</v>
      </c>
      <c r="G50" s="86">
        <f t="shared" si="32"/>
        <v>0</v>
      </c>
      <c r="H50" s="86">
        <f t="shared" si="33"/>
        <v>366</v>
      </c>
      <c r="I50" s="94" t="b">
        <f t="shared" si="34"/>
        <v>0</v>
      </c>
      <c r="J50" s="94">
        <f>SUM($I$8:I49)</f>
        <v>33000000</v>
      </c>
      <c r="K50" s="94">
        <f t="shared" si="35"/>
        <v>0</v>
      </c>
      <c r="L50" s="88">
        <f>ROUND(C50*umumiy_malumot!$B$84/H50,2)*G50</f>
        <v>0</v>
      </c>
      <c r="M50" s="88">
        <f t="shared" si="36"/>
        <v>0</v>
      </c>
      <c r="N50" s="88"/>
      <c r="O50" s="103" t="str">
        <f t="shared" si="37"/>
        <v>Сб</v>
      </c>
      <c r="P50" s="105">
        <f t="shared" si="38"/>
        <v>2</v>
      </c>
      <c r="Q50" s="105">
        <f>DAY(umumiy_malumot!$B$78)+P50</f>
        <v>17</v>
      </c>
      <c r="R50" s="100">
        <f>IF(A50&lt;=umumiy_malumot!$B$81,DATE(YEAR($B$8),MONTH($B$8)+A49,DAY(umumiy_malumot!$B$78)),0)</f>
        <v>0</v>
      </c>
      <c r="S50" s="86"/>
      <c r="T50" s="86"/>
      <c r="U50" s="86"/>
      <c r="V50" s="86"/>
    </row>
    <row r="51" spans="1:22" x14ac:dyDescent="0.25">
      <c r="A51" s="92">
        <f t="shared" si="27"/>
        <v>44</v>
      </c>
      <c r="B51" s="93" t="b">
        <f>IF(A51&lt;=umumiy_malumot!$B$81,DATE(YEAR(R51),MONTH(R51),DAY(IF(A51=umumiy_malumot!$B$81,umumiy_malumot!$B$67,IF(A51&lt;umumiy_malumot!$B$81,(Q51),IF(A51&gt;umumiy_malumot!$B$81,$H$56,0))))))</f>
        <v>0</v>
      </c>
      <c r="C51" s="51">
        <f t="shared" si="28"/>
        <v>0</v>
      </c>
      <c r="D51" s="51">
        <f t="shared" si="29"/>
        <v>0</v>
      </c>
      <c r="E51" s="51">
        <f t="shared" si="30"/>
        <v>0</v>
      </c>
      <c r="F51" s="51">
        <f t="shared" si="31"/>
        <v>0</v>
      </c>
      <c r="G51" s="86">
        <f t="shared" si="32"/>
        <v>0</v>
      </c>
      <c r="H51" s="86">
        <f t="shared" si="33"/>
        <v>366</v>
      </c>
      <c r="I51" s="94" t="b">
        <f t="shared" si="34"/>
        <v>0</v>
      </c>
      <c r="J51" s="94">
        <f>SUM($I$8:I50)</f>
        <v>33000000</v>
      </c>
      <c r="K51" s="94">
        <f t="shared" si="35"/>
        <v>0</v>
      </c>
      <c r="L51" s="88">
        <f>ROUND(C51*umumiy_malumot!$B$84/H51,2)*G51</f>
        <v>0</v>
      </c>
      <c r="M51" s="88">
        <f t="shared" si="36"/>
        <v>0</v>
      </c>
      <c r="N51" s="88"/>
      <c r="O51" s="103" t="str">
        <f t="shared" si="37"/>
        <v>Сб</v>
      </c>
      <c r="P51" s="105">
        <f t="shared" si="38"/>
        <v>2</v>
      </c>
      <c r="Q51" s="105">
        <f>DAY(umumiy_malumot!$B$78)+P51</f>
        <v>17</v>
      </c>
      <c r="R51" s="100">
        <f>IF(A51&lt;=umumiy_malumot!$B$81,DATE(YEAR($B$8),MONTH($B$8)+A50,DAY(umumiy_malumot!$B$78)),0)</f>
        <v>0</v>
      </c>
      <c r="S51" s="86"/>
      <c r="T51" s="86"/>
      <c r="U51" s="86"/>
      <c r="V51" s="86"/>
    </row>
    <row r="52" spans="1:22" x14ac:dyDescent="0.25">
      <c r="A52" s="92">
        <f t="shared" si="27"/>
        <v>45</v>
      </c>
      <c r="B52" s="93" t="b">
        <f>IF(A52&lt;=umumiy_malumot!$B$81,DATE(YEAR(R52),MONTH(R52),DAY(IF(A52=umumiy_malumot!$B$81,umumiy_malumot!$B$67,IF(A52&lt;umumiy_malumot!$B$81,(Q52),IF(A52&gt;umumiy_malumot!$B$81,$H$56,0))))))</f>
        <v>0</v>
      </c>
      <c r="C52" s="51">
        <f t="shared" si="28"/>
        <v>0</v>
      </c>
      <c r="D52" s="51">
        <f t="shared" si="29"/>
        <v>0</v>
      </c>
      <c r="E52" s="51">
        <f t="shared" si="30"/>
        <v>0</v>
      </c>
      <c r="F52" s="51">
        <f t="shared" si="31"/>
        <v>0</v>
      </c>
      <c r="G52" s="86">
        <f t="shared" si="32"/>
        <v>0</v>
      </c>
      <c r="H52" s="86">
        <f t="shared" si="33"/>
        <v>366</v>
      </c>
      <c r="I52" s="94" t="b">
        <f t="shared" si="34"/>
        <v>0</v>
      </c>
      <c r="J52" s="94">
        <f>SUM($I$8:I51)</f>
        <v>33000000</v>
      </c>
      <c r="K52" s="94">
        <f t="shared" si="35"/>
        <v>0</v>
      </c>
      <c r="L52" s="88">
        <f>ROUND(C52*umumiy_malumot!$B$84/H52,2)*G52</f>
        <v>0</v>
      </c>
      <c r="M52" s="88">
        <f t="shared" si="36"/>
        <v>0</v>
      </c>
      <c r="N52" s="88"/>
      <c r="O52" s="103" t="str">
        <f t="shared" si="37"/>
        <v>Сб</v>
      </c>
      <c r="P52" s="105">
        <f t="shared" si="38"/>
        <v>2</v>
      </c>
      <c r="Q52" s="105">
        <f>DAY(umumiy_malumot!$B$78)+P52</f>
        <v>17</v>
      </c>
      <c r="R52" s="100">
        <f>IF(A52&lt;=umumiy_malumot!$B$81,DATE(YEAR($B$8),MONTH($B$8)+A51,DAY(umumiy_malumot!$B$78)),0)</f>
        <v>0</v>
      </c>
      <c r="S52" s="86"/>
      <c r="T52" s="86"/>
      <c r="U52" s="86"/>
      <c r="V52" s="86"/>
    </row>
    <row r="53" spans="1:22" x14ac:dyDescent="0.25">
      <c r="A53" s="92">
        <f t="shared" si="27"/>
        <v>46</v>
      </c>
      <c r="B53" s="93" t="b">
        <f>IF(A53&lt;=umumiy_malumot!$B$81,DATE(YEAR(R53),MONTH(R53),DAY(IF(A53=umumiy_malumot!$B$81,umumiy_malumot!$B$67,IF(A53&lt;umumiy_malumot!$B$81,(Q53),IF(A53&gt;umumiy_malumot!$B$81,$H$56,0))))))</f>
        <v>0</v>
      </c>
      <c r="C53" s="51">
        <f t="shared" si="28"/>
        <v>0</v>
      </c>
      <c r="D53" s="51">
        <f t="shared" si="29"/>
        <v>0</v>
      </c>
      <c r="E53" s="51">
        <f t="shared" si="30"/>
        <v>0</v>
      </c>
      <c r="F53" s="51">
        <f t="shared" si="31"/>
        <v>0</v>
      </c>
      <c r="G53" s="86">
        <f t="shared" si="32"/>
        <v>0</v>
      </c>
      <c r="H53" s="86">
        <f t="shared" si="33"/>
        <v>366</v>
      </c>
      <c r="I53" s="94" t="b">
        <f t="shared" si="34"/>
        <v>0</v>
      </c>
      <c r="J53" s="94">
        <f>SUM($I$8:I52)</f>
        <v>33000000</v>
      </c>
      <c r="K53" s="94">
        <f t="shared" si="35"/>
        <v>0</v>
      </c>
      <c r="L53" s="88">
        <f>ROUND(C53*umumiy_malumot!$B$84/H53,2)*G53</f>
        <v>0</v>
      </c>
      <c r="M53" s="88">
        <f t="shared" si="36"/>
        <v>0</v>
      </c>
      <c r="N53" s="88"/>
      <c r="O53" s="103" t="str">
        <f t="shared" si="37"/>
        <v>Сб</v>
      </c>
      <c r="P53" s="105">
        <f t="shared" si="38"/>
        <v>2</v>
      </c>
      <c r="Q53" s="105">
        <f>DAY(umumiy_malumot!$B$78)+P53</f>
        <v>17</v>
      </c>
      <c r="R53" s="100">
        <f>IF(A53&lt;=umumiy_malumot!$B$81,DATE(YEAR($B$8),MONTH($B$8)+A52,DAY(umumiy_malumot!$B$78)),0)</f>
        <v>0</v>
      </c>
      <c r="S53" s="86"/>
      <c r="T53" s="86"/>
      <c r="U53" s="86"/>
      <c r="V53" s="86"/>
    </row>
    <row r="54" spans="1:22" x14ac:dyDescent="0.25">
      <c r="A54" s="92">
        <f t="shared" si="27"/>
        <v>47</v>
      </c>
      <c r="B54" s="93" t="b">
        <f>IF(A54&lt;=umumiy_malumot!$B$81,DATE(YEAR(R54),MONTH(R54),DAY(IF(A54=umumiy_malumot!$B$81,umumiy_malumot!$B$67,IF(A54&lt;umumiy_malumot!$B$81,(Q54),IF(A54&gt;umumiy_malumot!$B$81,$H$56,0))))))</f>
        <v>0</v>
      </c>
      <c r="C54" s="51">
        <f t="shared" si="28"/>
        <v>0</v>
      </c>
      <c r="D54" s="51">
        <f t="shared" si="29"/>
        <v>0</v>
      </c>
      <c r="E54" s="51">
        <f t="shared" si="30"/>
        <v>0</v>
      </c>
      <c r="F54" s="51">
        <f t="shared" si="31"/>
        <v>0</v>
      </c>
      <c r="G54" s="86">
        <f t="shared" si="32"/>
        <v>0</v>
      </c>
      <c r="H54" s="86">
        <f t="shared" si="33"/>
        <v>366</v>
      </c>
      <c r="I54" s="94" t="b">
        <f t="shared" si="34"/>
        <v>0</v>
      </c>
      <c r="J54" s="94">
        <f>SUM($I$8:I53)</f>
        <v>33000000</v>
      </c>
      <c r="K54" s="94">
        <f t="shared" si="35"/>
        <v>0</v>
      </c>
      <c r="L54" s="88">
        <f>ROUND(C54*umumiy_malumot!$B$84/H54,2)*G54</f>
        <v>0</v>
      </c>
      <c r="M54" s="88">
        <f t="shared" si="36"/>
        <v>0</v>
      </c>
      <c r="N54" s="88"/>
      <c r="O54" s="103" t="str">
        <f t="shared" si="37"/>
        <v>Сб</v>
      </c>
      <c r="P54" s="105">
        <f t="shared" si="38"/>
        <v>2</v>
      </c>
      <c r="Q54" s="105">
        <f>DAY(umumiy_malumot!$B$78)+P54</f>
        <v>17</v>
      </c>
      <c r="R54" s="100">
        <f>IF(A54&lt;=umumiy_malumot!$B$81,DATE(YEAR($B$8),MONTH($B$8)+A53,DAY(umumiy_malumot!$B$78)),0)</f>
        <v>0</v>
      </c>
      <c r="S54" s="86"/>
      <c r="T54" s="86"/>
      <c r="U54" s="86"/>
      <c r="V54" s="86"/>
    </row>
    <row r="55" spans="1:22" x14ac:dyDescent="0.25">
      <c r="A55" s="92">
        <f t="shared" si="27"/>
        <v>48</v>
      </c>
      <c r="B55" s="93" t="b">
        <f>IF(A55&lt;=umumiy_malumot!$B$81,DATE(YEAR(R55),MONTH(R55),DAY(IF(A55=umumiy_malumot!$B$81,umumiy_malumot!$B$67,IF(A55&lt;umumiy_malumot!$B$81,(Q55),IF(A55&gt;umumiy_malumot!$B$81,$H$56,0))))))</f>
        <v>0</v>
      </c>
      <c r="C55" s="51">
        <f t="shared" si="28"/>
        <v>0</v>
      </c>
      <c r="D55" s="51">
        <f t="shared" si="29"/>
        <v>0</v>
      </c>
      <c r="E55" s="51">
        <f t="shared" si="30"/>
        <v>0</v>
      </c>
      <c r="F55" s="51">
        <f t="shared" si="31"/>
        <v>0</v>
      </c>
      <c r="G55" s="86">
        <f t="shared" si="32"/>
        <v>0</v>
      </c>
      <c r="H55" s="86">
        <f t="shared" si="33"/>
        <v>366</v>
      </c>
      <c r="I55" s="94" t="b">
        <f t="shared" si="34"/>
        <v>0</v>
      </c>
      <c r="J55" s="94">
        <f>SUM($I$8:I54)</f>
        <v>33000000</v>
      </c>
      <c r="K55" s="94">
        <f t="shared" si="35"/>
        <v>0</v>
      </c>
      <c r="L55" s="88">
        <f>ROUND(C55*umumiy_malumot!$B$84/H55,2)*G55</f>
        <v>0</v>
      </c>
      <c r="M55" s="88">
        <f t="shared" si="36"/>
        <v>0</v>
      </c>
      <c r="N55" s="88"/>
      <c r="O55" s="103" t="str">
        <f t="shared" si="37"/>
        <v>Сб</v>
      </c>
      <c r="P55" s="105">
        <f t="shared" si="38"/>
        <v>2</v>
      </c>
      <c r="Q55" s="105">
        <f>DAY(umumiy_malumot!$B$78)+P55</f>
        <v>17</v>
      </c>
      <c r="R55" s="100">
        <f>IF(A55&lt;=umumiy_malumot!$B$81,DATE(YEAR($B$8),MONTH($B$8)+A54,DAY(umumiy_malumot!$B$78)),0)</f>
        <v>0</v>
      </c>
      <c r="S55" s="86"/>
      <c r="T55" s="86"/>
      <c r="U55" s="86"/>
      <c r="V55" s="86"/>
    </row>
    <row r="56" spans="1:22" x14ac:dyDescent="0.25">
      <c r="A56" s="95"/>
      <c r="B56" s="96" t="s">
        <v>7</v>
      </c>
      <c r="C56" s="97"/>
      <c r="D56" s="97">
        <f>SUM(D8:D43)</f>
        <v>33000000</v>
      </c>
      <c r="E56" s="97">
        <f t="shared" ref="E56:F56" si="39">SUM(E8:E43)</f>
        <v>28402509.840000004</v>
      </c>
      <c r="F56" s="97">
        <f t="shared" si="39"/>
        <v>61402509.839999966</v>
      </c>
    </row>
    <row r="57" spans="1:22" ht="9" customHeight="1" x14ac:dyDescent="0.25">
      <c r="B57" s="98"/>
      <c r="C57" s="99"/>
      <c r="D57" s="99"/>
      <c r="E57" s="99"/>
      <c r="F57" s="99"/>
    </row>
    <row r="58" spans="1:22" ht="47.25" customHeight="1" x14ac:dyDescent="0.25">
      <c r="A58" s="329" t="s">
        <v>17</v>
      </c>
      <c r="B58" s="329"/>
      <c r="C58" s="329"/>
      <c r="D58" s="329"/>
      <c r="E58" s="329"/>
      <c r="F58" s="329"/>
    </row>
    <row r="59" spans="1:22" ht="7.5" customHeight="1" x14ac:dyDescent="0.25"/>
    <row r="60" spans="1:22" x14ac:dyDescent="0.25">
      <c r="A60" s="330" t="e">
        <f>#REF!</f>
        <v>#REF!</v>
      </c>
      <c r="B60" s="330"/>
      <c r="C60" s="330"/>
      <c r="D60" s="330" t="e">
        <f>#REF!</f>
        <v>#REF!</v>
      </c>
      <c r="E60" s="330"/>
      <c r="F60" s="330"/>
    </row>
    <row r="61" spans="1:22" ht="11.25" customHeight="1" x14ac:dyDescent="0.25">
      <c r="A61" s="331"/>
      <c r="B61" s="331"/>
      <c r="C61" s="331"/>
      <c r="D61" s="331"/>
      <c r="E61" s="331"/>
      <c r="F61" s="331"/>
    </row>
    <row r="62" spans="1:22" ht="30" customHeight="1" x14ac:dyDescent="0.25">
      <c r="A62" s="332" t="e">
        <f>#REF!</f>
        <v>#REF!</v>
      </c>
      <c r="B62" s="332"/>
      <c r="C62" s="332"/>
      <c r="D62" s="332" t="e">
        <f>#REF!</f>
        <v>#REF!</v>
      </c>
      <c r="E62" s="332"/>
      <c r="F62" s="332"/>
    </row>
    <row r="63" spans="1:22" ht="32.25" customHeight="1" x14ac:dyDescent="0.25">
      <c r="A63" s="328" t="e">
        <f>#REF!</f>
        <v>#REF!</v>
      </c>
      <c r="B63" s="328"/>
      <c r="C63" s="328"/>
      <c r="D63" s="328" t="e">
        <f>#REF!</f>
        <v>#REF!</v>
      </c>
      <c r="E63" s="328"/>
      <c r="F63" s="328"/>
    </row>
    <row r="64" spans="1:22" x14ac:dyDescent="0.25">
      <c r="A64" s="328" t="e">
        <f>#REF!</f>
        <v>#REF!</v>
      </c>
      <c r="B64" s="328"/>
      <c r="C64" s="328"/>
      <c r="D64" s="328" t="str">
        <f>"паспорт серии "&amp;umumiy_malumot!B16&amp;", "&amp;umumiy_malumot!B20&amp;""</f>
        <v>паспорт серии AD 6760672, IIV 61013 tomonidan 08.04.2024 yilda berilgan</v>
      </c>
      <c r="E64" s="328"/>
      <c r="F64" s="328"/>
    </row>
    <row r="65" spans="1:6" ht="32.25" customHeight="1" x14ac:dyDescent="0.25">
      <c r="A65" s="328" t="e">
        <f>#REF!</f>
        <v>#REF!</v>
      </c>
      <c r="B65" s="328"/>
      <c r="C65" s="328"/>
      <c r="D65" s="328"/>
      <c r="E65" s="328"/>
      <c r="F65" s="328"/>
    </row>
    <row r="66" spans="1:6" x14ac:dyDescent="0.25">
      <c r="A66" s="328" t="e">
        <f>#REF!</f>
        <v>#REF!</v>
      </c>
      <c r="B66" s="328"/>
      <c r="C66" s="328"/>
      <c r="D66" s="328" t="e">
        <f>#REF!</f>
        <v>#REF!</v>
      </c>
      <c r="E66" s="328"/>
      <c r="F66" s="328"/>
    </row>
    <row r="67" spans="1:6" x14ac:dyDescent="0.25">
      <c r="A67" s="328" t="e">
        <f>#REF!</f>
        <v>#REF!</v>
      </c>
      <c r="B67" s="328"/>
      <c r="C67" s="328"/>
      <c r="D67" s="328" t="e">
        <f>#REF!</f>
        <v>#REF!</v>
      </c>
      <c r="E67" s="328"/>
      <c r="F67" s="328"/>
    </row>
    <row r="68" spans="1:6" x14ac:dyDescent="0.25">
      <c r="A68" s="328" t="e">
        <f>#REF!</f>
        <v>#REF!</v>
      </c>
      <c r="B68" s="328"/>
      <c r="C68" s="328"/>
      <c r="D68" s="328" t="e">
        <f>#REF!</f>
        <v>#REF!</v>
      </c>
      <c r="E68" s="328"/>
      <c r="F68" s="328"/>
    </row>
    <row r="69" spans="1:6" ht="8.25" customHeight="1" x14ac:dyDescent="0.25">
      <c r="A69" s="328"/>
      <c r="B69" s="328"/>
      <c r="C69" s="328"/>
      <c r="D69" s="328"/>
      <c r="E69" s="328"/>
      <c r="F69" s="328"/>
    </row>
    <row r="70" spans="1:6" x14ac:dyDescent="0.25">
      <c r="A70" s="332" t="e">
        <f>#REF!</f>
        <v>#REF!</v>
      </c>
      <c r="B70" s="332"/>
      <c r="C70" s="332"/>
      <c r="D70" s="332" t="e">
        <f>#REF!</f>
        <v>#REF!</v>
      </c>
      <c r="E70" s="332"/>
      <c r="F70" s="332"/>
    </row>
    <row r="71" spans="1:6" ht="7.5" customHeight="1" x14ac:dyDescent="0.25">
      <c r="A71" s="332"/>
      <c r="B71" s="332"/>
      <c r="C71" s="332"/>
      <c r="D71" s="332"/>
      <c r="E71" s="332"/>
      <c r="F71" s="332"/>
    </row>
    <row r="72" spans="1:6" x14ac:dyDescent="0.25">
      <c r="A72" s="332" t="e">
        <f>#REF!</f>
        <v>#REF!</v>
      </c>
      <c r="B72" s="332"/>
      <c r="C72" s="332"/>
      <c r="D72" s="332" t="e">
        <f>#REF!</f>
        <v>#REF!</v>
      </c>
      <c r="E72" s="332"/>
      <c r="F72" s="332"/>
    </row>
    <row r="73" spans="1:6" ht="8.25" customHeight="1" x14ac:dyDescent="0.25">
      <c r="A73" s="328"/>
      <c r="B73" s="328"/>
      <c r="C73" s="328"/>
      <c r="D73" s="328"/>
      <c r="E73" s="328"/>
      <c r="F73" s="328"/>
    </row>
    <row r="74" spans="1:6" ht="30" customHeight="1" x14ac:dyDescent="0.25">
      <c r="A74" s="334"/>
      <c r="B74" s="334"/>
      <c r="C74" s="334"/>
      <c r="D74" s="335" t="e">
        <f>#REF!</f>
        <v>#REF!</v>
      </c>
      <c r="E74" s="335"/>
      <c r="F74" s="335"/>
    </row>
    <row r="75" spans="1:6" x14ac:dyDescent="0.25">
      <c r="A75" s="336"/>
      <c r="B75" s="336"/>
      <c r="C75" s="336"/>
      <c r="D75" s="336"/>
      <c r="E75" s="336"/>
      <c r="F75" s="336"/>
    </row>
    <row r="76" spans="1:6" x14ac:dyDescent="0.25">
      <c r="A76" s="333"/>
      <c r="B76" s="333"/>
      <c r="C76" s="333"/>
      <c r="D76" s="333"/>
      <c r="E76" s="333"/>
      <c r="F76" s="333"/>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2" priority="4" operator="lessThan">
      <formula>22105</formula>
    </cfRule>
  </conditionalFormatting>
  <conditionalFormatting sqref="C8:C55">
    <cfRule type="cellIs" dxfId="1" priority="3" operator="lessThan">
      <formula>1</formula>
    </cfRule>
  </conditionalFormatting>
  <conditionalFormatting sqref="C8:F55">
    <cfRule type="cellIs" dxfId="0"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09375" defaultRowHeight="13.8" x14ac:dyDescent="0.25"/>
  <cols>
    <col min="1" max="1" width="33.88671875" style="15" customWidth="1"/>
    <col min="2" max="2" width="21.33203125" style="15" customWidth="1"/>
    <col min="3" max="3" width="19.109375" style="15" customWidth="1"/>
    <col min="4" max="5" width="21.33203125" style="15" customWidth="1"/>
    <col min="6" max="16384" width="9.109375" style="15"/>
  </cols>
  <sheetData>
    <row r="2" spans="1:5" x14ac:dyDescent="0.25">
      <c r="A2" s="107" t="s">
        <v>45</v>
      </c>
    </row>
    <row r="3" spans="1:5" x14ac:dyDescent="0.25">
      <c r="A3" s="107" t="s">
        <v>46</v>
      </c>
    </row>
    <row r="6" spans="1:5" ht="20.25" customHeight="1" x14ac:dyDescent="0.25">
      <c r="E6" s="108" t="s">
        <v>32</v>
      </c>
    </row>
    <row r="7" spans="1:5" x14ac:dyDescent="0.25">
      <c r="E7" s="108" t="s">
        <v>47</v>
      </c>
    </row>
    <row r="9" spans="1:5" ht="107.25" customHeight="1" x14ac:dyDescent="0.25">
      <c r="A9" s="361" t="str">
        <f>"          Между ООО «Clever Mikrokredit Tashkiloti» и "&amp;umumiy_malumot!B5&amp;"  (паспорт: "&amp;umumiy_malumot!B16&amp;" "&amp;umumiy_malumot!B20&amp;") заключен договор микрозайма "&amp;umumiy_malumot!B74&amp;", на сумму "&amp;FIXED(umumiy_malumot!B75)&amp;" ("&amp;umumiy_malumot!B76&amp;") сум, сроком на "&amp;umumiy_malumot!B81&amp;" ("&amp;umumiy_malumot!B82&amp;") месяцев. В качестве своевременного исполнения обязательств по договору Микрозайма "&amp;umumiy_malumot!B74&amp;" планирует предоставить нижеследующее "&amp;IF(umumiy_malumot!B103=umumiy_malumot!C103,"автотранспортного средство марки "&amp;umumiy_malumot!B125&amp;" принадлежащее на правах собственности "&amp;umumiy_malumot!B117&amp;"","недвижимого имущества в виде "&amp;umumiy_malumot!C126&amp;", общей площадью - "&amp;umumiy_malumot!C130&amp;" и жилой площадью - "&amp;umumiy_malumot!C133&amp;", расположенного по адресу: "&amp;umumiy_malumot!C123&amp;", принадлежащее на правах собственности "&amp;umumiy_malumot!C117&amp;".")</f>
        <v xml:space="preserve">          Между ООО «Clever Mikrokredit Tashkiloti» и TURAYEV ISROIL BURIYEVICH  (паспорт: AD 6760672 IIV 61013 tomonidan 08.04.2024 yilda berilgan) заключен договор микрозайма 6 yanvar 2026 y.dan №3-BR, на сумму 33 000 000,00 (o'ttiz uch million so'm) сум, сроком на 36 (o'ttiz olti) месяцев. В качестве своевременного исполнения обязательств по договору Микрозайма 6 yanvar 2026 y.dan №3-BR планирует предоставить нижеследующее автотранспортного средство марки COBALT принадлежащее на правах собственности USMONOV NURIDDID IXTIYOROVICH</v>
      </c>
      <c r="B9" s="361"/>
      <c r="C9" s="361"/>
      <c r="D9" s="361"/>
      <c r="E9" s="361"/>
    </row>
    <row r="11" spans="1:5" ht="27.6" x14ac:dyDescent="0.2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x14ac:dyDescent="0.25">
      <c r="A12" s="39" t="str">
        <f>buyruq!A20</f>
        <v>COBALT</v>
      </c>
      <c r="B12" s="39" t="str">
        <f>buyruq!B20</f>
        <v>kuzov turi - YENGIL SEDAN, kuzov raqami XWBJF69VEGA010429</v>
      </c>
      <c r="C12" s="39" t="str">
        <f>buyruq!C20</f>
        <v>dvigatel raqami B15D211163412DJCX0337, shassi raqami - RAKAMSIZ</v>
      </c>
      <c r="D12" s="39" t="str">
        <f>buyruq!D20</f>
        <v>rangi -  OQ OLIMPIYSKAYA BELAYA, ishlab chiqarilgan yili - 2016</v>
      </c>
      <c r="E12" s="39" t="str">
        <f>buyruq!E20</f>
        <v>46 200 000,00 
(qirq olti million ikki yuz ming so'm)</v>
      </c>
    </row>
    <row r="13" spans="1:5" x14ac:dyDescent="0.25">
      <c r="A13" s="362" t="str">
        <f>buyruq!A21:E21</f>
        <v>-* avtotransport egasi: USMONOV NURIDDID IXTIYOROVICH</v>
      </c>
      <c r="B13" s="362"/>
      <c r="C13" s="362"/>
      <c r="D13" s="362"/>
      <c r="E13" s="362"/>
    </row>
    <row r="14" spans="1:5" x14ac:dyDescent="0.25">
      <c r="A14" s="362" t="str">
        <f>buyruq!A22:E22</f>
        <v>-* texnik pasport: AAF      2401056      01.12.2020 y.</v>
      </c>
      <c r="B14" s="362"/>
      <c r="C14" s="362"/>
      <c r="D14" s="362"/>
      <c r="E14" s="362"/>
    </row>
    <row r="15" spans="1:5" x14ac:dyDescent="0.25">
      <c r="A15" s="362" t="str">
        <f>buyruq!A23:E23</f>
        <v>-* roʻyxatdan oʻtgan manzili/garaj manzili: BUXORO VILOYATI BUXORO SHAHRI CHO'LPON KO'CHASI 22-A-UY</v>
      </c>
      <c r="B15" s="362"/>
      <c r="C15" s="362"/>
      <c r="D15" s="362"/>
      <c r="E15" s="362"/>
    </row>
    <row r="16" spans="1:5" x14ac:dyDescent="0.25">
      <c r="A16" s="362" t="str">
        <f>buyruq!A24:E24</f>
        <v>-* davlat raqami: 80G291QA</v>
      </c>
      <c r="B16" s="362"/>
      <c r="C16" s="362"/>
      <c r="D16" s="362"/>
      <c r="E16" s="362"/>
    </row>
    <row r="17" spans="1:5" ht="3" customHeight="1" x14ac:dyDescent="0.25"/>
    <row r="19" spans="1:5" ht="59.25" hidden="1" customHeight="1" x14ac:dyDescent="0.25">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x14ac:dyDescent="0.25">
      <c r="A20" s="17" t="e">
        <f>dalolatnoma!A33</f>
        <v>#REF!</v>
      </c>
      <c r="B20" s="17" t="e">
        <f>dalolatnoma!B33</f>
        <v>#REF!</v>
      </c>
      <c r="C20" s="17" t="e">
        <f>dalolatnoma!C33</f>
        <v>#REF!</v>
      </c>
      <c r="D20" s="17" t="e">
        <f>dalolatnoma!D33</f>
        <v>#REF!</v>
      </c>
      <c r="E20" s="276" t="str">
        <f>""&amp;FIXED(umumiy_malumot!C136,2)&amp;" ("&amp;umumiy_malumot!C137&amp;")"</f>
        <v>46 200 000,00 (qirq olti million ikki yuz ming so'm)</v>
      </c>
    </row>
    <row r="21" spans="1:5" ht="17.25" hidden="1" customHeight="1" x14ac:dyDescent="0.25">
      <c r="A21" s="17">
        <f>dalolatnoma!A34</f>
        <v>0</v>
      </c>
      <c r="B21" s="17">
        <f>dalolatnoma!B34</f>
        <v>0</v>
      </c>
      <c r="C21" s="17">
        <f>dalolatnoma!C34</f>
        <v>0</v>
      </c>
      <c r="D21" s="17">
        <f>dalolatnoma!D34</f>
        <v>0</v>
      </c>
      <c r="E21" s="277"/>
    </row>
    <row r="22" spans="1:5" ht="17.25" hidden="1" customHeight="1" x14ac:dyDescent="0.25">
      <c r="A22" s="17" t="e">
        <f>dalolatnoma!A35</f>
        <v>#REF!</v>
      </c>
      <c r="B22" s="17" t="e">
        <f>dalolatnoma!B35</f>
        <v>#REF!</v>
      </c>
      <c r="C22" s="17" t="e">
        <f>dalolatnoma!C35</f>
        <v>#REF!</v>
      </c>
      <c r="D22" s="17" t="e">
        <f>dalolatnoma!D35</f>
        <v>#REF!</v>
      </c>
      <c r="E22" s="277"/>
    </row>
    <row r="23" spans="1:5" ht="17.25" hidden="1" customHeight="1" x14ac:dyDescent="0.25">
      <c r="A23" s="17" t="e">
        <f>dalolatnoma!A36</f>
        <v>#REF!</v>
      </c>
      <c r="B23" s="17" t="e">
        <f>dalolatnoma!B36</f>
        <v>#REF!</v>
      </c>
      <c r="C23" s="17" t="e">
        <f>dalolatnoma!C36</f>
        <v>#REF!</v>
      </c>
      <c r="D23" s="17" t="e">
        <f>dalolatnoma!D36</f>
        <v>#REF!</v>
      </c>
      <c r="E23" s="277"/>
    </row>
    <row r="24" spans="1:5" ht="17.25" hidden="1" customHeight="1" x14ac:dyDescent="0.25">
      <c r="A24" s="17" t="e">
        <f>dalolatnoma!A37</f>
        <v>#REF!</v>
      </c>
      <c r="B24" s="17" t="e">
        <f>dalolatnoma!B37</f>
        <v>#REF!</v>
      </c>
      <c r="C24" s="17" t="e">
        <f>dalolatnoma!C37</f>
        <v>#REF!</v>
      </c>
      <c r="D24" s="17" t="e">
        <f>dalolatnoma!D37</f>
        <v>#REF!</v>
      </c>
      <c r="E24" s="277"/>
    </row>
    <row r="25" spans="1:5" ht="15.75" hidden="1" customHeight="1" x14ac:dyDescent="0.25">
      <c r="A25" s="17" t="e">
        <f>dalolatnoma!A38</f>
        <v>#REF!</v>
      </c>
      <c r="B25" s="17" t="e">
        <f>dalolatnoma!B38</f>
        <v>#REF!</v>
      </c>
      <c r="C25" s="17" t="e">
        <f>dalolatnoma!C38</f>
        <v>#REF!</v>
      </c>
      <c r="D25" s="17" t="e">
        <f>dalolatnoma!D38</f>
        <v>#REF!</v>
      </c>
      <c r="E25" s="277"/>
    </row>
    <row r="26" spans="1:5" ht="17.25" hidden="1" customHeight="1" x14ac:dyDescent="0.25">
      <c r="A26" s="17" t="e">
        <f>dalolatnoma!A39</f>
        <v>#REF!</v>
      </c>
      <c r="B26" s="17" t="e">
        <f>dalolatnoma!B39</f>
        <v>#REF!</v>
      </c>
      <c r="C26" s="17" t="e">
        <f>dalolatnoma!C39</f>
        <v>#REF!</v>
      </c>
      <c r="D26" s="17" t="e">
        <f>dalolatnoma!D39</f>
        <v>#REF!</v>
      </c>
      <c r="E26" s="277"/>
    </row>
    <row r="27" spans="1:5" ht="17.25" hidden="1" customHeight="1" x14ac:dyDescent="0.25">
      <c r="A27" s="17" t="e">
        <f>dalolatnoma!A40</f>
        <v>#REF!</v>
      </c>
      <c r="B27" s="17" t="e">
        <f>dalolatnoma!B40</f>
        <v>#REF!</v>
      </c>
      <c r="C27" s="17" t="e">
        <f>dalolatnoma!C40</f>
        <v>#REF!</v>
      </c>
      <c r="D27" s="17" t="e">
        <f>dalolatnoma!D40</f>
        <v>#REF!</v>
      </c>
      <c r="E27" s="277"/>
    </row>
    <row r="28" spans="1:5" ht="17.25" hidden="1" customHeight="1" x14ac:dyDescent="0.25">
      <c r="A28" s="17" t="e">
        <f>dalolatnoma!A41</f>
        <v>#REF!</v>
      </c>
      <c r="B28" s="17" t="e">
        <f>dalolatnoma!B41</f>
        <v>#REF!</v>
      </c>
      <c r="C28" s="17" t="e">
        <f>dalolatnoma!C41</f>
        <v>#REF!</v>
      </c>
      <c r="D28" s="17" t="e">
        <f>dalolatnoma!D41</f>
        <v>#REF!</v>
      </c>
      <c r="E28" s="277"/>
    </row>
    <row r="29" spans="1:5" ht="17.25" hidden="1" customHeight="1" x14ac:dyDescent="0.25">
      <c r="A29" s="17" t="e">
        <f>dalolatnoma!A42</f>
        <v>#REF!</v>
      </c>
      <c r="B29" s="17" t="e">
        <f>dalolatnoma!B42</f>
        <v>#REF!</v>
      </c>
      <c r="C29" s="17" t="e">
        <f>dalolatnoma!C42</f>
        <v>#REF!</v>
      </c>
      <c r="D29" s="17" t="e">
        <f>dalolatnoma!D42</f>
        <v>#REF!</v>
      </c>
      <c r="E29" s="277"/>
    </row>
    <row r="30" spans="1:5" ht="17.25" hidden="1" customHeight="1" x14ac:dyDescent="0.25">
      <c r="A30" s="17" t="e">
        <f>dalolatnoma!A43</f>
        <v>#REF!</v>
      </c>
      <c r="B30" s="17" t="e">
        <f>dalolatnoma!B43</f>
        <v>#REF!</v>
      </c>
      <c r="C30" s="17" t="e">
        <f>dalolatnoma!C43</f>
        <v>#REF!</v>
      </c>
      <c r="D30" s="17" t="e">
        <f>dalolatnoma!D43</f>
        <v>#REF!</v>
      </c>
      <c r="E30" s="278"/>
    </row>
    <row r="31" spans="1:5" ht="17.25" hidden="1" customHeight="1" x14ac:dyDescent="0.25">
      <c r="A31" s="17" t="e">
        <f>dalolatnoma!A44</f>
        <v>#REF!</v>
      </c>
      <c r="B31" s="17" t="e">
        <f>dalolatnoma!B44</f>
        <v>#REF!</v>
      </c>
      <c r="C31" s="17" t="e">
        <f>dalolatnoma!C44</f>
        <v>#REF!</v>
      </c>
      <c r="D31" s="17" t="e">
        <f>dalolatnoma!D44</f>
        <v>#REF!</v>
      </c>
      <c r="E31" s="17" t="str">
        <f>dalolatnoma!E44</f>
        <v>46 200 000,00</v>
      </c>
    </row>
    <row r="32" spans="1:5" ht="18.75" hidden="1" customHeight="1" x14ac:dyDescent="0.25">
      <c r="A32" s="361" t="e">
        <f>_xlfn.SINGLE(dalolatnoma!#REF!)</f>
        <v>#REF!</v>
      </c>
      <c r="B32" s="361"/>
      <c r="C32" s="361"/>
      <c r="D32" s="361"/>
      <c r="E32" s="361"/>
    </row>
    <row r="33" spans="1:5" ht="24.75" hidden="1" customHeight="1" x14ac:dyDescent="0.25">
      <c r="A33" s="361" t="e">
        <f>_xlfn.SINGLE(dalolatnoma!#REF!)</f>
        <v>#REF!</v>
      </c>
      <c r="B33" s="361"/>
      <c r="C33" s="361"/>
      <c r="D33" s="361"/>
      <c r="E33" s="361"/>
    </row>
    <row r="34" spans="1:5" ht="30.75" hidden="1" customHeight="1" x14ac:dyDescent="0.25">
      <c r="A34" s="361" t="e">
        <f>_xlfn.SINGLE(dalolatnoma!#REF!)</f>
        <v>#REF!</v>
      </c>
      <c r="B34" s="361"/>
      <c r="C34" s="361"/>
      <c r="D34" s="361"/>
      <c r="E34" s="361"/>
    </row>
    <row r="35" spans="1:5" ht="15" hidden="1" customHeight="1" x14ac:dyDescent="0.25">
      <c r="A35" s="361" t="e">
        <f>_xlfn.SINGLE(dalolatnoma!#REF!)</f>
        <v>#REF!</v>
      </c>
      <c r="B35" s="361"/>
      <c r="C35" s="361"/>
      <c r="D35" s="361"/>
      <c r="E35" s="361"/>
    </row>
    <row r="36" spans="1:5" x14ac:dyDescent="0.25">
      <c r="A36" s="22"/>
      <c r="B36" s="22"/>
      <c r="C36" s="22"/>
      <c r="D36" s="22"/>
      <c r="E36" s="22"/>
    </row>
    <row r="37" spans="1:5" s="129" customFormat="1" ht="51" customHeight="1" x14ac:dyDescent="0.3">
      <c r="A37" s="360"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0"/>
      <c r="C37" s="360"/>
      <c r="D37" s="360"/>
      <c r="E37" s="360"/>
    </row>
    <row r="38" spans="1:5" ht="40.5" customHeight="1" x14ac:dyDescent="0.25">
      <c r="A38" s="361" t="str">
        <f>dalolatnoma!A47:E47</f>
        <v>Shu bilan birga, garov predmetining kelishilgan garov qiymati deganda ushbu mulk garov sifatida taqdim etilgan/qabul qilingan qiymati tushuniladi.</v>
      </c>
      <c r="B38" s="361"/>
      <c r="C38" s="361"/>
      <c r="D38" s="361"/>
      <c r="E38" s="361"/>
    </row>
    <row r="39" spans="1:5" ht="39" customHeight="1" x14ac:dyDescent="0.25">
      <c r="A39" s="36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6 yanvar 2026 y.dan №3-BR, при сохранении запрета.</v>
      </c>
      <c r="B39" s="361"/>
      <c r="C39" s="361"/>
      <c r="D39" s="361"/>
      <c r="E39" s="361"/>
    </row>
    <row r="40" spans="1:5" x14ac:dyDescent="0.25">
      <c r="A40" s="364"/>
      <c r="B40" s="364"/>
      <c r="C40" s="364"/>
      <c r="D40" s="364"/>
      <c r="E40" s="364"/>
    </row>
    <row r="41" spans="1:5" x14ac:dyDescent="0.25">
      <c r="A41" s="365" t="s">
        <v>33</v>
      </c>
      <c r="B41" s="365"/>
      <c r="C41" s="365"/>
      <c r="D41" s="365"/>
      <c r="E41" s="365"/>
    </row>
    <row r="42" spans="1:5" x14ac:dyDescent="0.25">
      <c r="A42" s="364"/>
      <c r="B42" s="364"/>
      <c r="C42" s="364"/>
      <c r="D42" s="364"/>
      <c r="E42" s="364"/>
    </row>
    <row r="43" spans="1:5" x14ac:dyDescent="0.25">
      <c r="A43" s="365" t="s">
        <v>34</v>
      </c>
      <c r="B43" s="365"/>
      <c r="C43" s="365"/>
      <c r="D43" s="365"/>
      <c r="E43" s="365"/>
    </row>
    <row r="44" spans="1:5" ht="28.5" customHeight="1" x14ac:dyDescent="0.25">
      <c r="A44" s="363" t="s">
        <v>35</v>
      </c>
      <c r="B44" s="363"/>
      <c r="C44" s="363"/>
      <c r="D44" s="363"/>
      <c r="E44" s="109"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11</vt:i4>
      </vt:variant>
    </vt:vector>
  </HeadingPairs>
  <TitlesOfParts>
    <vt:vector size="32" baseType="lpstr">
      <vt:lpstr>umumiy_malumot</vt:lpstr>
      <vt:lpstr>muqova</vt:lpstr>
      <vt:lpstr>anketa</vt:lpstr>
      <vt:lpstr>mijoz_anketasi</vt:lpstr>
      <vt:lpstr>kredit_ariza</vt:lpstr>
      <vt:lpstr>majburiyatnoma</vt:lpstr>
      <vt:lpstr>garov_ariza</vt:lpstr>
      <vt:lpstr>xulosa</vt:lpstr>
      <vt:lpstr>qaror</vt:lpstr>
      <vt:lpstr>Данные для послед. Залога</vt:lpstr>
      <vt:lpstr>График аннуитет.</vt:lpstr>
      <vt:lpstr>shartnoma</vt:lpstr>
      <vt:lpstr>grafik</vt:lpstr>
      <vt:lpstr>dalolatnoma</vt:lpstr>
      <vt:lpstr>buyruq</vt:lpstr>
      <vt:lpstr>monitoring_1</vt:lpstr>
      <vt:lpstr>monitoring_2</vt:lpstr>
      <vt:lpstr>monitoring_3</vt:lpstr>
      <vt:lpstr>monitoring_4</vt:lpstr>
      <vt:lpstr>График дифференц</vt:lpstr>
      <vt:lpstr>Письмо</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monitoring_3!Область_печати</vt:lpstr>
      <vt:lpstr>muqova!Область_печати</vt:lpstr>
      <vt:lpstr>qaror!Область_печати</vt:lpstr>
      <vt:lpstr>shartnoma!Область_печати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2025-12-15T10:21:58Z</cp:lastPrinted>
  <dcterms:created xsi:type="dcterms:W3CDTF">2015-06-05T18:19:34Z</dcterms:created>
  <dcterms:modified xsi:type="dcterms:W3CDTF">2026-02-03T14:29:47Z</dcterms:modified>
</cp:coreProperties>
</file>