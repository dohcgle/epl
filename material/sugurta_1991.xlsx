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ЭтаКнига"/>
  <mc:AlternateContent xmlns:mc="http://schemas.openxmlformats.org/markup-compatibility/2006">
    <mc:Choice Requires="x15">
      <x15ac:absPath xmlns:x15ac="http://schemas.microsoft.com/office/spreadsheetml/2010/11/ac" url="Z:\Кредитный дела 2026\Январь\№254 XMS\"/>
    </mc:Choice>
  </mc:AlternateContent>
  <xr:revisionPtr revIDLastSave="0" documentId="13_ncr:1_{872E3A8C-5D07-4E35-BB0A-3B8C25605893}" xr6:coauthVersionLast="47" xr6:coauthVersionMax="47" xr10:uidLastSave="{00000000-0000-0000-0000-000000000000}"/>
  <bookViews>
    <workbookView xWindow="-120" yWindow="-120" windowWidth="29040" windowHeight="15720" tabRatio="915"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2" r:id="rId11"/>
    <sheet name="garov_ariza" sheetId="31" r:id="rId12"/>
    <sheet name="muqova" sheetId="9" r:id="rId13"/>
    <sheet name="mijoz_anketasi" sheetId="4" r:id="rId14"/>
    <sheet name="majburiyatnoma" sheetId="24" r:id="rId15"/>
    <sheet name="kredit_ariza" sheetId="2" r:id="rId16"/>
    <sheet name="Письмо" sheetId="20" state="hidden" r:id="rId17"/>
    <sheet name="akt_monitoring_1" sheetId="27" r:id="rId18"/>
    <sheet name="akt_monitoring_2" sheetId="26" r:id="rId19"/>
    <sheet name="akt_monitoring_3" sheetId="28" r:id="rId20"/>
    <sheet name="akt_monitoring_4" sheetId="29" r:id="rId21"/>
    <sheet name="notarius" sheetId="33" r:id="rId22"/>
    <sheet name="Анкета 2" sheetId="22" r:id="rId23"/>
  </sheets>
  <externalReferences>
    <externalReference r:id="rId24"/>
    <externalReference r:id="rId25"/>
  </externalReferences>
  <definedNames>
    <definedName name="mos">'[1]Общие данные'!$C$23:$D$23</definedName>
    <definedName name="mulk">'[1]Общие данные'!$C$24:$W$24</definedName>
    <definedName name="_xlnm.Print_Area" localSheetId="17">akt_monitoring_1!$A$1:$H$34</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ariza!$A$1:$D$24</definedName>
    <definedName name="_xlnm.Print_Area" localSheetId="3">bayonnoma!$A$1:$E$53</definedName>
    <definedName name="_xlnm.Print_Area" localSheetId="2">buyruq!$A$1:$E$29</definedName>
    <definedName name="_xlnm.Print_Area" localSheetId="8">dalolatnoma!$A$2:$E$72</definedName>
    <definedName name="_xlnm.Print_Area" localSheetId="11">garov_ariza!$A$5:$C$26</definedName>
    <definedName name="_xlnm.Print_Area" localSheetId="9">grafik!$A$1:$F$80</definedName>
    <definedName name="_xlnm.Print_Area" localSheetId="15">kredit_ariza!$A$1:$D$46</definedName>
    <definedName name="_xlnm.Print_Area" localSheetId="13">mijoz_anketasi!$A$1:$F$36</definedName>
    <definedName name="_xlnm.Print_Area" localSheetId="12">muqova!$A$1:$G$41</definedName>
    <definedName name="_xlnm.Print_Area" localSheetId="21">notarius!$A$1:$D$31</definedName>
    <definedName name="_xlnm.Print_Area" localSheetId="1">shartnoma!$A$1:$B$133</definedName>
    <definedName name="_xlnm.Print_Area" localSheetId="7">xulosa!$A$1:$E$70</definedName>
    <definedName name="_xlnm.Print_Area" localSheetId="6">'График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32" l="1"/>
  <c r="C1" i="32"/>
  <c r="A41" i="23"/>
  <c r="I132" i="1"/>
  <c r="C132" i="1"/>
  <c r="C44" i="1"/>
  <c r="B117" i="1"/>
  <c r="C112" i="1"/>
  <c r="B76" i="1" l="1"/>
  <c r="C83" i="1" l="1"/>
  <c r="B83" i="1"/>
  <c r="B21" i="7"/>
  <c r="B20" i="7"/>
  <c r="I133" i="1"/>
  <c r="H133" i="1"/>
  <c r="B155" i="1" l="1"/>
  <c r="E139" i="1"/>
  <c r="E138" i="1" l="1"/>
  <c r="E137" i="1"/>
  <c r="B47" i="1"/>
  <c r="B34" i="1"/>
  <c r="B27" i="1"/>
  <c r="A19" i="31"/>
  <c r="D61" i="7"/>
  <c r="C133" i="1"/>
  <c r="C117" i="1"/>
  <c r="C115" i="1"/>
  <c r="C114" i="1"/>
  <c r="C113" i="1"/>
  <c r="B143" i="1" l="1"/>
  <c r="B144" i="1" s="1"/>
  <c r="B145" i="1" s="1"/>
  <c r="C23" i="31" l="1"/>
  <c r="A23" i="31"/>
  <c r="C8" i="31"/>
  <c r="A7" i="3"/>
  <c r="C7" i="31"/>
  <c r="A71" i="16"/>
  <c r="D55" i="3"/>
  <c r="A55" i="3"/>
  <c r="A128" i="19"/>
  <c r="A126" i="19"/>
  <c r="A28" i="31" l="1"/>
  <c r="A29" i="31"/>
  <c r="A30" i="31" s="1"/>
  <c r="A32" i="31" s="1"/>
  <c r="A26" i="31"/>
  <c r="A20" i="31" l="1"/>
  <c r="B64" i="7" s="1"/>
  <c r="A16" i="33" l="1"/>
  <c r="A15" i="33"/>
  <c r="A14" i="33"/>
  <c r="A13" i="33"/>
  <c r="D12" i="33"/>
  <c r="C12" i="33"/>
  <c r="B12" i="33"/>
  <c r="A12" i="33"/>
  <c r="D11" i="33"/>
  <c r="C11" i="33"/>
  <c r="B11" i="33"/>
  <c r="A9" i="33"/>
  <c r="A7" i="33"/>
  <c r="A6" i="33"/>
  <c r="C19" i="31" l="1"/>
  <c r="C6" i="31" l="1"/>
  <c r="A15" i="31"/>
  <c r="C10" i="31"/>
  <c r="C9" i="31"/>
  <c r="C87" i="1" l="1"/>
  <c r="B87" i="1"/>
  <c r="H31" i="26" l="1"/>
  <c r="H31" i="27"/>
  <c r="H27" i="27"/>
  <c r="A27" i="27"/>
  <c r="D43" i="2"/>
  <c r="A43" i="2"/>
  <c r="E52" i="7"/>
  <c r="D59" i="3"/>
  <c r="D63" i="3"/>
  <c r="A63" i="3"/>
  <c r="A59" i="3"/>
  <c r="D49" i="23"/>
  <c r="D45" i="23"/>
  <c r="A45" i="23"/>
  <c r="A49" i="23"/>
  <c r="A72" i="16" l="1"/>
  <c r="H9" i="23"/>
  <c r="A122" i="19"/>
  <c r="A123" i="19"/>
  <c r="A16" i="32"/>
  <c r="B11" i="32"/>
  <c r="B12" i="32"/>
  <c r="B13" i="32"/>
  <c r="B14" i="32"/>
  <c r="B10" i="32"/>
  <c r="A11" i="32"/>
  <c r="A12" i="32"/>
  <c r="A13" i="32"/>
  <c r="A14" i="32"/>
  <c r="A10" i="32"/>
  <c r="C5" i="32"/>
  <c r="C4" i="32"/>
  <c r="B134" i="1" l="1"/>
  <c r="B156" i="1" l="1"/>
  <c r="B77" i="1" l="1"/>
  <c r="A23" i="8"/>
  <c r="A14" i="23"/>
  <c r="A33" i="23"/>
  <c r="A29" i="2"/>
  <c r="A48" i="7" l="1"/>
  <c r="A9" i="32"/>
  <c r="B65" i="1"/>
  <c r="A7" i="23" s="1"/>
  <c r="B126" i="19"/>
  <c r="A52" i="7"/>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C123" i="1"/>
  <c r="C129" i="1" s="1"/>
  <c r="C121" i="1"/>
  <c r="C127" i="1" s="1"/>
  <c r="C120" i="1"/>
  <c r="C126" i="1" s="1"/>
  <c r="C119" i="1"/>
  <c r="C125" i="1" s="1"/>
  <c r="C118" i="1"/>
  <c r="C124" i="1" s="1"/>
  <c r="D59" i="7"/>
  <c r="A62" i="7"/>
  <c r="A61" i="7"/>
  <c r="F61" i="7"/>
  <c r="A25" i="7"/>
  <c r="A23" i="7"/>
  <c r="A14" i="31" l="1"/>
  <c r="A45" i="15"/>
  <c r="A54" i="12"/>
  <c r="A75" i="1"/>
  <c r="A34" i="23"/>
  <c r="A9" i="26"/>
  <c r="A9" i="29" s="1"/>
  <c r="A46" i="15" l="1"/>
  <c r="A55" i="12"/>
  <c r="A9" i="27"/>
  <c r="A9" i="28"/>
  <c r="A47" i="3"/>
  <c r="A35" i="3"/>
  <c r="E30" i="3"/>
  <c r="A30" i="3"/>
  <c r="A33" i="3"/>
  <c r="A47" i="15" l="1"/>
  <c r="D29" i="7"/>
  <c r="D30" i="3" s="1"/>
  <c r="E140" i="1"/>
  <c r="D20" i="7"/>
  <c r="E20" i="7"/>
  <c r="G9" i="26" s="1"/>
  <c r="A48" i="15" l="1"/>
  <c r="G9" i="28"/>
  <c r="G9" i="27"/>
  <c r="G9" i="29"/>
  <c r="B29" i="7"/>
  <c r="B30" i="3" s="1"/>
  <c r="C9" i="26"/>
  <c r="C29" i="7"/>
  <c r="C30" i="3" s="1"/>
  <c r="E9" i="26"/>
  <c r="A49" i="15" l="1"/>
  <c r="E9" i="29"/>
  <c r="E9" i="28"/>
  <c r="E9" i="27"/>
  <c r="C9" i="29"/>
  <c r="C9" i="28"/>
  <c r="C9" i="27"/>
  <c r="A50" i="15" l="1"/>
  <c r="H27" i="29"/>
  <c r="H27" i="28"/>
  <c r="A22" i="26"/>
  <c r="H27" i="26"/>
  <c r="A52" i="3"/>
  <c r="A36" i="3"/>
  <c r="A1" i="3"/>
  <c r="D15" i="23"/>
  <c r="E15" i="23" s="1"/>
  <c r="A1" i="23"/>
  <c r="D70" i="16"/>
  <c r="A51" i="15" l="1"/>
  <c r="A117" i="1"/>
  <c r="A116" i="1"/>
  <c r="A115" i="1"/>
  <c r="A114" i="1"/>
  <c r="C22" i="1"/>
  <c r="A16" i="23"/>
  <c r="A69" i="16"/>
  <c r="A52" i="15" l="1"/>
  <c r="B49" i="1"/>
  <c r="B59" i="1" s="1"/>
  <c r="A53" i="15" l="1"/>
  <c r="A16" i="4"/>
  <c r="A17" i="4"/>
  <c r="A7" i="24"/>
  <c r="B119" i="19"/>
  <c r="B123" i="1"/>
  <c r="B129" i="1" s="1"/>
  <c r="A24" i="7" s="1"/>
  <c r="A34" i="3" s="1"/>
  <c r="B121" i="1"/>
  <c r="B120" i="1"/>
  <c r="B119" i="1"/>
  <c r="B118" i="1"/>
  <c r="A54" i="15" l="1"/>
  <c r="B45" i="1"/>
  <c r="B58" i="1"/>
  <c r="A51" i="7"/>
  <c r="D2" i="2"/>
  <c r="C77" i="1"/>
  <c r="A55" i="15" l="1"/>
  <c r="A31" i="2"/>
  <c r="A31" i="4"/>
  <c r="H79" i="19"/>
  <c r="A79" i="19" s="1"/>
  <c r="H21" i="19"/>
  <c r="A74" i="19"/>
  <c r="H70" i="19"/>
  <c r="A70" i="19" s="1"/>
  <c r="A57" i="19"/>
  <c r="A5" i="23"/>
  <c r="A15" i="19"/>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C31" i="19" l="1"/>
  <c r="A23" i="19"/>
  <c r="E31" i="19"/>
  <c r="D31" i="19" s="1"/>
  <c r="A59"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H7" i="23"/>
  <c r="A2" i="23" s="1"/>
  <c r="B127" i="1" l="1"/>
  <c r="B126" i="1"/>
  <c r="A120" i="19" l="1"/>
  <c r="A65" i="16" s="1"/>
  <c r="A30" i="4"/>
  <c r="B122" i="19"/>
  <c r="D67" i="16" s="1"/>
  <c r="A15" i="4"/>
  <c r="A14" i="4"/>
  <c r="A13" i="4"/>
  <c r="C8" i="15"/>
  <c r="J12" i="15"/>
  <c r="A10" i="4" l="1"/>
  <c r="A9" i="4" s="1"/>
  <c r="D71" i="16"/>
  <c r="B124" i="19"/>
  <c r="D69" i="16" s="1"/>
  <c r="B123" i="19"/>
  <c r="D68" i="16" s="1"/>
  <c r="D64" i="16"/>
  <c r="B117" i="19"/>
  <c r="D63" i="16" s="1"/>
  <c r="A68" i="16" l="1"/>
  <c r="A67" i="16"/>
  <c r="A121" i="19"/>
  <c r="A66" i="16" s="1"/>
  <c r="A119" i="19"/>
  <c r="A64" i="16" s="1"/>
  <c r="B24" i="9" l="1"/>
  <c r="B2" i="9"/>
  <c r="A22" i="29"/>
  <c r="A22" i="28"/>
  <c r="H5" i="29"/>
  <c r="H5" i="28"/>
  <c r="H5" i="27"/>
  <c r="A22" i="27"/>
  <c r="H22" i="26"/>
  <c r="D2" i="1"/>
  <c r="H5" i="26" s="1"/>
  <c r="A35" i="2"/>
  <c r="A29" i="4"/>
  <c r="A28" i="4"/>
  <c r="A20" i="4"/>
  <c r="A7" i="4"/>
  <c r="A11" i="24"/>
  <c r="A14" i="7"/>
  <c r="A13" i="7"/>
  <c r="A2" i="7"/>
  <c r="A8" i="3"/>
  <c r="A5" i="3"/>
  <c r="A4" i="3"/>
  <c r="A9" i="8"/>
  <c r="A8" i="8"/>
  <c r="A7" i="8"/>
  <c r="A12" i="2"/>
  <c r="A11" i="2"/>
  <c r="A7" i="2"/>
  <c r="B175" i="1"/>
  <c r="F132" i="1"/>
  <c r="H132" i="1"/>
  <c r="B140" i="1"/>
  <c r="E21" i="7" s="1"/>
  <c r="B137" i="1"/>
  <c r="D21" i="7" s="1"/>
  <c r="E10" i="26" s="1"/>
  <c r="C10" i="26"/>
  <c r="G10" i="26" l="1"/>
  <c r="D30" i="7"/>
  <c r="D31" i="3" s="1"/>
  <c r="E10" i="28"/>
  <c r="E10" i="27"/>
  <c r="E10" i="29"/>
  <c r="C10" i="28"/>
  <c r="C10" i="27"/>
  <c r="C10" i="29"/>
  <c r="A17" i="7"/>
  <c r="A21" i="7"/>
  <c r="A10" i="26" s="1"/>
  <c r="C144" i="1"/>
  <c r="A6" i="2"/>
  <c r="E30" i="7"/>
  <c r="E31" i="3" s="1"/>
  <c r="A15" i="7"/>
  <c r="E132" i="1"/>
  <c r="A27" i="3"/>
  <c r="A20" i="3"/>
  <c r="A27" i="2"/>
  <c r="A28" i="2"/>
  <c r="F133" i="1"/>
  <c r="E133" i="1"/>
  <c r="A6" i="8"/>
  <c r="A24" i="2" l="1"/>
  <c r="A28" i="3"/>
  <c r="A29" i="3" s="1"/>
  <c r="A25" i="23" s="1"/>
  <c r="A15" i="8"/>
  <c r="G10" i="28"/>
  <c r="G10" i="29"/>
  <c r="G10" i="27"/>
  <c r="A14" i="8"/>
  <c r="A25" i="2"/>
  <c r="A16" i="7"/>
  <c r="A18" i="7" s="1"/>
  <c r="A19" i="7" s="1"/>
  <c r="A37" i="3"/>
  <c r="A21" i="4" l="1"/>
  <c r="A10" i="2"/>
  <c r="A9" i="2"/>
  <c r="A19" i="4"/>
  <c r="B66" i="1" l="1"/>
  <c r="H31" i="29"/>
  <c r="H31" i="28"/>
  <c r="H22" i="29"/>
  <c r="H22" i="28"/>
  <c r="H22" i="27"/>
  <c r="A1" i="19" l="1"/>
  <c r="D56" i="7"/>
  <c r="A56" i="7"/>
  <c r="A132" i="19"/>
  <c r="B109" i="1"/>
  <c r="R131" i="1" l="1"/>
  <c r="R132" i="1" s="1"/>
  <c r="N133" i="1" s="1"/>
  <c r="Q131" i="1"/>
  <c r="Q132" i="1" s="1"/>
  <c r="N132" i="1" s="1"/>
  <c r="B24" i="4" l="1"/>
  <c r="B67" i="1" l="1"/>
  <c r="C79" i="1" s="1"/>
  <c r="C80" i="1" s="1"/>
  <c r="C81" i="1" s="1"/>
  <c r="B80" i="1" s="1"/>
  <c r="B81" i="1" s="1"/>
  <c r="B152" i="1" l="1"/>
  <c r="B150" i="1"/>
  <c r="C18" i="1" l="1"/>
  <c r="B20" i="1" l="1"/>
  <c r="B116" i="1" s="1"/>
  <c r="C20" i="1"/>
  <c r="A5" i="19" s="1"/>
  <c r="B121" i="19" l="1"/>
  <c r="D65" i="16" s="1"/>
  <c r="C116" i="1"/>
  <c r="C122" i="1"/>
  <c r="C128" i="1" s="1"/>
  <c r="C6" i="32"/>
  <c r="B122" i="1"/>
  <c r="B128" i="1" s="1"/>
  <c r="A8" i="2"/>
  <c r="B26" i="23"/>
  <c r="C26" i="23"/>
  <c r="D26" i="23"/>
  <c r="E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3" i="1"/>
  <c r="D49" i="7" l="1"/>
  <c r="E33" i="7"/>
  <c r="A38" i="20"/>
  <c r="A37" i="20"/>
  <c r="B19" i="20"/>
  <c r="C19" i="20"/>
  <c r="D19" i="20"/>
  <c r="E19" i="20"/>
  <c r="A19" i="20"/>
  <c r="L5" i="15" l="1"/>
  <c r="I8" i="15" l="1"/>
  <c r="E20" i="20"/>
  <c r="B26" i="4"/>
  <c r="B27" i="4" s="1"/>
  <c r="C19" i="1" l="1"/>
  <c r="A33" i="20"/>
  <c r="B21" i="1" l="1"/>
  <c r="A6" i="3" s="1"/>
  <c r="C21" i="1"/>
  <c r="B8" i="15"/>
  <c r="C5" i="22"/>
  <c r="A33" i="22" s="1"/>
  <c r="R43" i="15" l="1"/>
  <c r="O43" i="15" s="1"/>
  <c r="P43" i="15" s="1"/>
  <c r="Q43" i="15" s="1"/>
  <c r="B43" i="15" s="1"/>
  <c r="R44" i="15"/>
  <c r="R45" i="15"/>
  <c r="R46" i="15"/>
  <c r="R47" i="15"/>
  <c r="O47" i="15" s="1"/>
  <c r="P47" i="15" s="1"/>
  <c r="Q47" i="15" s="1"/>
  <c r="B47" i="15" s="1"/>
  <c r="R48" i="15"/>
  <c r="O48" i="15" s="1"/>
  <c r="P48" i="15" s="1"/>
  <c r="Q48" i="15" s="1"/>
  <c r="B48" i="15" s="1"/>
  <c r="R49" i="15"/>
  <c r="R50" i="15"/>
  <c r="R51" i="15"/>
  <c r="R52" i="15"/>
  <c r="R53" i="15"/>
  <c r="R54" i="15"/>
  <c r="R55" i="15"/>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s="1"/>
  <c r="O50" i="15"/>
  <c r="P50" i="15" s="1"/>
  <c r="Q50" i="15" s="1"/>
  <c r="B50" i="15" s="1"/>
  <c r="O49" i="15"/>
  <c r="P49" i="15" s="1"/>
  <c r="Q49" i="15" s="1"/>
  <c r="B49" i="15" s="1"/>
  <c r="B48" i="12"/>
  <c r="G48" i="15"/>
  <c r="H48" i="15"/>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9" i="12" l="1"/>
  <c r="H49" i="15"/>
  <c r="G49" i="15"/>
  <c r="B50" i="12"/>
  <c r="H50" i="15"/>
  <c r="G50" i="15"/>
  <c r="B45" i="12"/>
  <c r="H45" i="15"/>
  <c r="G45" i="15"/>
  <c r="B53" i="12"/>
  <c r="G53" i="15"/>
  <c r="H53" i="15"/>
  <c r="B46" i="12"/>
  <c r="H46" i="15"/>
  <c r="G46" i="15"/>
  <c r="G47" i="15"/>
  <c r="B52" i="12"/>
  <c r="H52" i="15"/>
  <c r="G52" i="15"/>
  <c r="B44" i="12"/>
  <c r="G44" i="12" s="1"/>
  <c r="H44" i="15"/>
  <c r="G44" i="15"/>
  <c r="B49" i="16"/>
  <c r="G48" i="12"/>
  <c r="H48" i="12"/>
  <c r="B51" i="12"/>
  <c r="H51" i="15"/>
  <c r="G51" i="15"/>
  <c r="B54" i="12"/>
  <c r="G54" i="15"/>
  <c r="H54" i="15"/>
  <c r="H47" i="12"/>
  <c r="B48" i="16"/>
  <c r="B55" i="12"/>
  <c r="H55" i="15"/>
  <c r="G55"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B55" i="16" l="1"/>
  <c r="H54" i="12"/>
  <c r="G54" i="12"/>
  <c r="H46" i="12"/>
  <c r="G46" i="12"/>
  <c r="B47" i="16"/>
  <c r="B52" i="16"/>
  <c r="G51" i="12"/>
  <c r="H51" i="12"/>
  <c r="H53" i="12"/>
  <c r="G53" i="12"/>
  <c r="B54" i="16"/>
  <c r="B45" i="16"/>
  <c r="H44" i="12"/>
  <c r="H50" i="12"/>
  <c r="B51" i="16"/>
  <c r="G50" i="12"/>
  <c r="B46" i="16"/>
  <c r="G45" i="12"/>
  <c r="H45" i="12"/>
  <c r="G55" i="12"/>
  <c r="B56" i="16"/>
  <c r="H55" i="12"/>
  <c r="G47" i="12"/>
  <c r="G52" i="12"/>
  <c r="B53" i="16"/>
  <c r="H52" i="12"/>
  <c r="B50" i="16"/>
  <c r="H49" i="12"/>
  <c r="G49" i="12"/>
  <c r="G32" i="12"/>
  <c r="B32" i="16"/>
  <c r="H41" i="12"/>
  <c r="G41" i="12"/>
  <c r="G42" i="12"/>
  <c r="G10" i="15"/>
  <c r="H10" i="15"/>
  <c r="H9" i="15"/>
  <c r="G13" i="15"/>
  <c r="G12" i="15"/>
  <c r="H12" i="15"/>
  <c r="H11" i="15"/>
  <c r="G11" i="15"/>
  <c r="I67" i="1"/>
  <c r="G67" i="1"/>
  <c r="A117" i="19" l="1"/>
  <c r="A63"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6" i="1"/>
  <c r="A2" i="8" s="1"/>
  <c r="B149" i="1"/>
  <c r="E4" i="7" s="1"/>
  <c r="A39" i="20"/>
  <c r="B40" i="9"/>
  <c r="A19" i="2"/>
  <c r="D72" i="15"/>
  <c r="A70" i="15"/>
  <c r="A68" i="15"/>
  <c r="D64" i="15"/>
  <c r="D60" i="15"/>
  <c r="A60" i="15"/>
  <c r="A23" i="23" l="1"/>
  <c r="A12" i="8"/>
  <c r="A7" i="7"/>
  <c r="A10" i="7"/>
  <c r="A26" i="7"/>
  <c r="A15" i="3"/>
  <c r="H27" i="15"/>
  <c r="G27" i="15"/>
  <c r="G28" i="15"/>
  <c r="H28" i="15"/>
  <c r="G30" i="15"/>
  <c r="G31" i="15"/>
  <c r="H30" i="15"/>
  <c r="G29" i="15"/>
  <c r="H29" i="15"/>
  <c r="G26" i="15"/>
  <c r="H26" i="15"/>
  <c r="H24" i="15"/>
  <c r="G24" i="15"/>
  <c r="G25" i="15"/>
  <c r="A6" i="7" l="1"/>
  <c r="F2" i="15"/>
  <c r="B62" i="1" l="1"/>
  <c r="D67" i="15" l="1"/>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E44" i="7"/>
  <c r="E31" i="20" s="1"/>
  <c r="A23" i="2" l="1"/>
  <c r="D72" i="12"/>
  <c r="A70" i="12"/>
  <c r="A68" i="12"/>
  <c r="D64" i="12"/>
  <c r="D60" i="12"/>
  <c r="A60" i="12"/>
  <c r="C8" i="12"/>
  <c r="C9" i="16" s="1"/>
  <c r="A32" i="20"/>
  <c r="A25" i="19" l="1"/>
  <c r="A24" i="19" l="1"/>
  <c r="B12" i="9"/>
  <c r="A10" i="8"/>
  <c r="E17" i="8"/>
  <c r="E11" i="20" s="1"/>
  <c r="D17" i="8"/>
  <c r="D11" i="20" s="1"/>
  <c r="C17" i="8"/>
  <c r="C11" i="20" s="1"/>
  <c r="B17" i="8"/>
  <c r="B11" i="20" s="1"/>
  <c r="A17" i="8"/>
  <c r="A11" i="20" s="1"/>
  <c r="D60" i="7"/>
  <c r="D27" i="23"/>
  <c r="C30" i="7"/>
  <c r="B30" i="7"/>
  <c r="A30" i="7"/>
  <c r="C27" i="23" l="1"/>
  <c r="C31" i="3"/>
  <c r="A27" i="23"/>
  <c r="A31" i="3"/>
  <c r="B27" i="23"/>
  <c r="B31" i="3"/>
  <c r="A31" i="23"/>
  <c r="A14" i="26"/>
  <c r="A14" i="29"/>
  <c r="A14" i="28"/>
  <c r="A14" i="27"/>
  <c r="A29" i="23"/>
  <c r="A12" i="27"/>
  <c r="A12" i="29"/>
  <c r="A12" i="28"/>
  <c r="A12" i="26"/>
  <c r="D18" i="8"/>
  <c r="D12" i="20" s="1"/>
  <c r="C18" i="8"/>
  <c r="C12" i="20" s="1"/>
  <c r="B18" i="8"/>
  <c r="B12" i="20" s="1"/>
  <c r="A22" i="8"/>
  <c r="A16" i="20" s="1"/>
  <c r="A18" i="8"/>
  <c r="A12" i="20" s="1"/>
  <c r="A20" i="8"/>
  <c r="A14" i="20" s="1"/>
  <c r="D35" i="4"/>
  <c r="D27" i="4"/>
  <c r="C27" i="4"/>
  <c r="A14" i="3"/>
  <c r="A41" i="3" s="1"/>
  <c r="A11" i="4"/>
  <c r="A8" i="4"/>
  <c r="A6" i="4"/>
  <c r="A5" i="4"/>
  <c r="A4" i="4"/>
  <c r="A40" i="2"/>
  <c r="A17" i="3"/>
  <c r="A44" i="3" s="1"/>
  <c r="A12" i="3"/>
  <c r="A63" i="15" l="1"/>
  <c r="A67" i="15"/>
  <c r="A72" i="15"/>
  <c r="D74" i="15"/>
  <c r="A62" i="15"/>
  <c r="A66" i="15"/>
  <c r="A65" i="15"/>
  <c r="A64" i="15"/>
  <c r="D63" i="15"/>
  <c r="D70" i="15"/>
  <c r="D62" i="15"/>
  <c r="A72" i="12"/>
  <c r="A66" i="12"/>
  <c r="A63" i="12"/>
  <c r="A67" i="12"/>
  <c r="A64" i="12"/>
  <c r="A13" i="3"/>
  <c r="A40" i="3" s="1"/>
  <c r="A65" i="12"/>
  <c r="D68" i="12"/>
  <c r="D66" i="12"/>
  <c r="D67" i="12"/>
  <c r="D63" i="12"/>
  <c r="D70" i="12"/>
  <c r="D62" i="12"/>
  <c r="A62" i="12"/>
  <c r="A39" i="3"/>
  <c r="A42" i="3"/>
  <c r="A11" i="8"/>
  <c r="A16" i="3"/>
  <c r="A43" i="3" s="1"/>
  <c r="A13" i="8"/>
  <c r="A11" i="3"/>
  <c r="A38" i="3" s="1"/>
  <c r="A26" i="2"/>
  <c r="A22" i="2" s="1"/>
  <c r="A15" i="27" l="1"/>
  <c r="A15" i="26"/>
  <c r="A15" i="29"/>
  <c r="A15" i="28"/>
  <c r="A30" i="23"/>
  <c r="A13" i="27"/>
  <c r="A13" i="28"/>
  <c r="A13" i="29"/>
  <c r="A13" i="26"/>
  <c r="A28" i="23"/>
  <c r="A11" i="29"/>
  <c r="A11" i="28"/>
  <c r="A11" i="27"/>
  <c r="A11" i="26"/>
  <c r="E27" i="23"/>
  <c r="A21" i="8"/>
  <c r="A15" i="20" s="1"/>
  <c r="A19" i="8"/>
  <c r="A13" i="20" s="1"/>
  <c r="E18" i="8"/>
  <c r="E12" i="20" s="1"/>
  <c r="A18" i="3"/>
  <c r="A13" i="23" s="1"/>
  <c r="F2" i="12"/>
  <c r="A45"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I13" i="15" s="1"/>
  <c r="I14" i="15" s="1"/>
  <c r="I15" i="15" s="1"/>
  <c r="I16" i="15" s="1"/>
  <c r="I17" i="15" s="1"/>
  <c r="I18" i="15" s="1"/>
  <c r="L9" i="15" l="1"/>
  <c r="E9" i="15" s="1"/>
  <c r="D10" i="15"/>
  <c r="J14" i="15"/>
  <c r="K14" i="15" s="1"/>
  <c r="J13" i="15"/>
  <c r="K13" i="15" s="1"/>
  <c r="J17" i="15"/>
  <c r="K17" i="15" s="1"/>
  <c r="J16" i="15"/>
  <c r="K16" i="15" s="1"/>
  <c r="L10" i="15"/>
  <c r="E10" i="15" s="1"/>
  <c r="J15" i="15"/>
  <c r="K15" i="15" s="1"/>
  <c r="J18" i="15"/>
  <c r="K18" i="15" s="1"/>
  <c r="J19" i="15"/>
  <c r="K19" i="15" s="1"/>
  <c r="I19" i="15" s="1"/>
  <c r="M9" i="15" l="1"/>
  <c r="F9" i="15" s="1"/>
  <c r="C11" i="15"/>
  <c r="D11" i="15" s="1"/>
  <c r="I20" i="15"/>
  <c r="I21" i="15" s="1"/>
  <c r="J20" i="15"/>
  <c r="K20"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J42" i="15"/>
  <c r="K42" i="15" s="1"/>
  <c r="I42" i="15" s="1"/>
  <c r="J43" i="15" s="1"/>
  <c r="K43" i="15" s="1"/>
  <c r="I43" i="15" s="1"/>
  <c r="I44" i="15" l="1"/>
  <c r="J44" i="15"/>
  <c r="K44" i="15" s="1"/>
  <c r="D22" i="15"/>
  <c r="C23" i="15" s="1"/>
  <c r="L23" i="15" s="1"/>
  <c r="E23" i="15" s="1"/>
  <c r="M21" i="15"/>
  <c r="F21" i="15" s="1"/>
  <c r="I45" i="15" l="1"/>
  <c r="J45" i="15"/>
  <c r="K45" i="15" s="1"/>
  <c r="M22" i="15"/>
  <c r="F22" i="15" s="1"/>
  <c r="D23" i="15"/>
  <c r="C24" i="15" s="1"/>
  <c r="L24" i="15" s="1"/>
  <c r="E24" i="15" s="1"/>
  <c r="I46" i="15" l="1"/>
  <c r="J46" i="15"/>
  <c r="K46" i="15" s="1"/>
  <c r="M23" i="15"/>
  <c r="F23" i="15" s="1"/>
  <c r="D24" i="15"/>
  <c r="J47" i="15" l="1"/>
  <c r="K47" i="15" s="1"/>
  <c r="I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J54" i="15" l="1"/>
  <c r="K54" i="15" s="1"/>
  <c r="I54" i="15"/>
  <c r="J55" i="15" s="1"/>
  <c r="K55" i="15" s="1"/>
  <c r="I55"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l="1"/>
  <c r="E43" i="15" s="1"/>
  <c r="M42" i="15"/>
  <c r="F42" i="15" s="1"/>
  <c r="D43" i="15" l="1"/>
  <c r="M43" i="15" s="1"/>
  <c r="F43" i="15" s="1"/>
  <c r="C44" i="15" l="1"/>
  <c r="L44" i="15" s="1"/>
  <c r="D44" i="15" s="1"/>
  <c r="C45" i="15" l="1"/>
  <c r="E44" i="15"/>
  <c r="L45" i="15" l="1"/>
  <c r="D45" i="15" s="1"/>
  <c r="M44" i="15"/>
  <c r="F44" i="15" s="1"/>
  <c r="C46" i="15" l="1"/>
  <c r="E45" i="15"/>
  <c r="L46" i="15" l="1"/>
  <c r="D46" i="15" s="1"/>
  <c r="C47" i="15" s="1"/>
  <c r="M45" i="15"/>
  <c r="F45" i="15" s="1"/>
  <c r="L47" i="15" l="1"/>
  <c r="D47" i="15" s="1"/>
  <c r="C48" i="15" s="1"/>
  <c r="E46" i="15"/>
  <c r="M46" i="15" l="1"/>
  <c r="F46" i="15" s="1"/>
  <c r="L48" i="15"/>
  <c r="D48" i="15" s="1"/>
  <c r="C49" i="15" s="1"/>
  <c r="E47" i="15"/>
  <c r="M47" i="15" l="1"/>
  <c r="F47" i="15" s="1"/>
  <c r="E48" i="15"/>
  <c r="M48" i="15" s="1"/>
  <c r="F48" i="15" s="1"/>
  <c r="L49" i="15"/>
  <c r="D49" i="15" s="1"/>
  <c r="C50" i="15" s="1"/>
  <c r="L50" i="15" l="1"/>
  <c r="D50" i="15" s="1"/>
  <c r="C51" i="15" s="1"/>
  <c r="E49" i="15"/>
  <c r="E50" i="15" l="1"/>
  <c r="M50" i="15" s="1"/>
  <c r="F50" i="15" s="1"/>
  <c r="M49" i="15"/>
  <c r="F49" i="15" s="1"/>
  <c r="L51" i="15"/>
  <c r="E51" i="15" s="1"/>
  <c r="D51" i="15" l="1"/>
  <c r="C52" i="15" s="1"/>
  <c r="L52" i="15" s="1"/>
  <c r="D52" i="15" s="1"/>
  <c r="C53" i="15" s="1"/>
  <c r="M51" i="15" l="1"/>
  <c r="F51" i="15" s="1"/>
  <c r="E52" i="15"/>
  <c r="M52" i="15" s="1"/>
  <c r="F52" i="15" s="1"/>
  <c r="L53" i="15"/>
  <c r="E53" i="15" s="1"/>
  <c r="D53" i="15" l="1"/>
  <c r="M53" i="15" s="1"/>
  <c r="F53" i="15" s="1"/>
  <c r="C54" i="15" l="1"/>
  <c r="L54" i="15" s="1"/>
  <c r="D54" i="15" s="1"/>
  <c r="C55" i="15" s="1"/>
  <c r="L55" i="15" l="1"/>
  <c r="E55" i="15" s="1"/>
  <c r="E54" i="15"/>
  <c r="D55" i="15" l="1"/>
  <c r="M55" i="15" s="1"/>
  <c r="F55" i="15" s="1"/>
  <c r="E56" i="15"/>
  <c r="M54" i="15"/>
  <c r="F54" i="15" s="1"/>
  <c r="D56" i="15" l="1"/>
  <c r="F56" i="15"/>
  <c r="A10" i="27" l="1"/>
  <c r="A10" i="28"/>
  <c r="A10" i="29"/>
  <c r="B91" i="1"/>
  <c r="F8" i="12" s="1"/>
  <c r="A23" i="3" l="1"/>
  <c r="A24" i="3"/>
  <c r="A22" i="3" s="1"/>
  <c r="D8" i="12"/>
  <c r="F9" i="16"/>
  <c r="F9" i="12"/>
  <c r="F10" i="12" l="1"/>
  <c r="F10" i="16"/>
  <c r="C9" i="12"/>
  <c r="D9" i="16"/>
  <c r="C10" i="16" l="1"/>
  <c r="E9" i="12"/>
  <c r="F11" i="16"/>
  <c r="F11" i="12"/>
  <c r="F12" i="16" l="1"/>
  <c r="F12" i="12"/>
  <c r="E10" i="16"/>
  <c r="D9" i="12"/>
  <c r="D10" i="16" l="1"/>
  <c r="C10" i="12"/>
  <c r="F13" i="16"/>
  <c r="F13" i="12"/>
  <c r="F14" i="12" l="1"/>
  <c r="F14" i="16"/>
  <c r="C11" i="16"/>
  <c r="E10" i="12"/>
  <c r="E11" i="16" l="1"/>
  <c r="D10" i="12"/>
  <c r="F15" i="16"/>
  <c r="F15" i="12"/>
  <c r="F16" i="16" l="1"/>
  <c r="F16" i="12"/>
  <c r="D11" i="16"/>
  <c r="C11" i="12"/>
  <c r="F17" i="16" l="1"/>
  <c r="F17" i="12"/>
  <c r="E11" i="12"/>
  <c r="C12" i="16"/>
  <c r="E12" i="16" l="1"/>
  <c r="D11" i="12"/>
  <c r="F18" i="12"/>
  <c r="F18" i="16"/>
  <c r="D12" i="16" l="1"/>
  <c r="C12" i="12"/>
  <c r="F19" i="16"/>
  <c r="F19" i="12"/>
  <c r="F20" i="16" l="1"/>
  <c r="F20" i="12"/>
  <c r="E12" i="12"/>
  <c r="C13" i="16"/>
  <c r="E13" i="16" l="1"/>
  <c r="D12" i="12"/>
  <c r="F21" i="16"/>
  <c r="F21" i="12"/>
  <c r="F22" i="12" l="1"/>
  <c r="F22" i="16"/>
  <c r="D13" i="16"/>
  <c r="C13" i="12"/>
  <c r="E13" i="12" l="1"/>
  <c r="C14" i="16"/>
  <c r="F23" i="16"/>
  <c r="F23" i="12"/>
  <c r="F24" i="16" l="1"/>
  <c r="F24" i="12"/>
  <c r="E14" i="16"/>
  <c r="D13" i="12"/>
  <c r="D14" i="16" l="1"/>
  <c r="C14" i="12"/>
  <c r="F25" i="16"/>
  <c r="F25" i="12"/>
  <c r="F26" i="12" l="1"/>
  <c r="F26" i="16"/>
  <c r="E14" i="12"/>
  <c r="C15" i="16"/>
  <c r="E15" i="16" l="1"/>
  <c r="D14" i="12"/>
  <c r="F27" i="16"/>
  <c r="F27" i="12"/>
  <c r="F28" i="16" l="1"/>
  <c r="F28" i="12"/>
  <c r="D15" i="16"/>
  <c r="C15" i="12"/>
  <c r="C16" i="16" l="1"/>
  <c r="E15" i="12"/>
  <c r="F29" i="16"/>
  <c r="F29" i="12"/>
  <c r="E16" i="16" l="1"/>
  <c r="D15" i="12"/>
  <c r="F30" i="12"/>
  <c r="F30" i="16"/>
  <c r="F31" i="16" l="1"/>
  <c r="D16" i="16"/>
  <c r="C16" i="12"/>
  <c r="E16" i="12" l="1"/>
  <c r="C17" i="16"/>
  <c r="E17" i="16" l="1"/>
  <c r="D16" i="12"/>
  <c r="D17" i="16" l="1"/>
  <c r="C17" i="12"/>
  <c r="E17" i="12" l="1"/>
  <c r="C18" i="16"/>
  <c r="E18" i="16" l="1"/>
  <c r="D17" i="12"/>
  <c r="D18" i="16" l="1"/>
  <c r="C18" i="12"/>
  <c r="C19" i="16" l="1"/>
  <c r="E18" i="12"/>
  <c r="E19" i="16" l="1"/>
  <c r="D18" i="12"/>
  <c r="D19" i="16" l="1"/>
  <c r="C19" i="12"/>
  <c r="E19" i="12" l="1"/>
  <c r="C20" i="16"/>
  <c r="E20" i="16" l="1"/>
  <c r="C63" i="1" s="1"/>
  <c r="C60" i="1" s="1"/>
  <c r="D19" i="12"/>
  <c r="D20" i="16" l="1"/>
  <c r="C20" i="12"/>
  <c r="C21" i="16" l="1"/>
  <c r="E20" i="12"/>
  <c r="E21" i="16" l="1"/>
  <c r="D20" i="12"/>
  <c r="D21" i="16" l="1"/>
  <c r="C21" i="12"/>
  <c r="E21" i="12" l="1"/>
  <c r="C22" i="16"/>
  <c r="E22" i="16" l="1"/>
  <c r="D21" i="12"/>
  <c r="D22" i="16" l="1"/>
  <c r="C22" i="12"/>
  <c r="E22" i="12" l="1"/>
  <c r="C23" i="16"/>
  <c r="E23" i="16" l="1"/>
  <c r="D22" i="12"/>
  <c r="D23" i="16" l="1"/>
  <c r="C23" i="12"/>
  <c r="E23" i="12" l="1"/>
  <c r="C24" i="16"/>
  <c r="E24" i="16" l="1"/>
  <c r="D23" i="12"/>
  <c r="D24" i="16" l="1"/>
  <c r="C24" i="12"/>
  <c r="E24" i="12" l="1"/>
  <c r="C25" i="16"/>
  <c r="E25" i="16" l="1"/>
  <c r="D24" i="12"/>
  <c r="D25" i="16" l="1"/>
  <c r="C25" i="12"/>
  <c r="E25" i="12" l="1"/>
  <c r="C26" i="16"/>
  <c r="E26" i="16" l="1"/>
  <c r="D25" i="12"/>
  <c r="D26" i="16" l="1"/>
  <c r="C26" i="12"/>
  <c r="C27" i="16" l="1"/>
  <c r="E26" i="12"/>
  <c r="E27" i="16" l="1"/>
  <c r="D26" i="12"/>
  <c r="D27" i="16" l="1"/>
  <c r="C27" i="12"/>
  <c r="E27" i="12" l="1"/>
  <c r="C28" i="16"/>
  <c r="E28" i="16" l="1"/>
  <c r="D27" i="12"/>
  <c r="D28" i="16" l="1"/>
  <c r="C28" i="12"/>
  <c r="C29" i="16" l="1"/>
  <c r="E28" i="12"/>
  <c r="E29" i="16" l="1"/>
  <c r="D28" i="12"/>
  <c r="D29" i="16" l="1"/>
  <c r="C29" i="12"/>
  <c r="E29" i="12" l="1"/>
  <c r="C30" i="16"/>
  <c r="E30" i="16" l="1"/>
  <c r="D29" i="12"/>
  <c r="D30" i="16" l="1"/>
  <c r="C30" i="12"/>
  <c r="E30" i="12" l="1"/>
  <c r="C31" i="16"/>
  <c r="E31" i="16" l="1"/>
  <c r="D30" i="12"/>
  <c r="D31" i="16" l="1"/>
  <c r="C31" i="12"/>
  <c r="E31" i="12" l="1"/>
  <c r="C32" i="16"/>
  <c r="E32" i="16" l="1"/>
  <c r="F31" i="12"/>
  <c r="D31" i="12" s="1"/>
  <c r="F32" i="16" l="1"/>
  <c r="F32" i="12"/>
  <c r="F33" i="16" s="1"/>
  <c r="C32" i="12"/>
  <c r="D32" i="16"/>
  <c r="F33" i="12" l="1"/>
  <c r="F34" i="16" s="1"/>
  <c r="E32" i="12"/>
  <c r="C33" i="16"/>
  <c r="F34" i="12" l="1"/>
  <c r="F35" i="16" s="1"/>
  <c r="D32" i="12"/>
  <c r="E33" i="16"/>
  <c r="F35" i="12" l="1"/>
  <c r="F36" i="16"/>
  <c r="F36" i="12"/>
  <c r="D33" i="16"/>
  <c r="C33" i="12"/>
  <c r="F37" i="12" l="1"/>
  <c r="F37" i="16"/>
  <c r="E33" i="12"/>
  <c r="C34" i="16"/>
  <c r="F38" i="12" l="1"/>
  <c r="F38" i="16"/>
  <c r="E34" i="16"/>
  <c r="D33" i="12"/>
  <c r="F39" i="16" l="1"/>
  <c r="F39" i="12"/>
  <c r="D34" i="16"/>
  <c r="C34" i="12"/>
  <c r="F40" i="16" l="1"/>
  <c r="F40" i="12"/>
  <c r="E34" i="12"/>
  <c r="C35" i="16"/>
  <c r="F41" i="16" l="1"/>
  <c r="F41" i="12"/>
  <c r="E35" i="16"/>
  <c r="D34" i="12"/>
  <c r="F42" i="16" l="1"/>
  <c r="D35" i="16"/>
  <c r="C35" i="12"/>
  <c r="E35" i="12" l="1"/>
  <c r="C36" i="16"/>
  <c r="E36" i="16" l="1"/>
  <c r="D35" i="12"/>
  <c r="D36" i="16" l="1"/>
  <c r="C36" i="12"/>
  <c r="E36" i="12" l="1"/>
  <c r="C37" i="16"/>
  <c r="D36" i="12" l="1"/>
  <c r="E37" i="16"/>
  <c r="D37" i="16" l="1"/>
  <c r="C37" i="12"/>
  <c r="E37" i="12" l="1"/>
  <c r="C38" i="16"/>
  <c r="E38" i="16" l="1"/>
  <c r="D37" i="12"/>
  <c r="D38" i="16" l="1"/>
  <c r="C38" i="12"/>
  <c r="E38" i="12" l="1"/>
  <c r="C39" i="16"/>
  <c r="E39" i="16" l="1"/>
  <c r="D38" i="12"/>
  <c r="D39" i="16" l="1"/>
  <c r="C39" i="12"/>
  <c r="E39" i="12" l="1"/>
  <c r="C40" i="16"/>
  <c r="E40" i="16" l="1"/>
  <c r="D39" i="12"/>
  <c r="D40" i="16" l="1"/>
  <c r="C40" i="12"/>
  <c r="E40" i="12" l="1"/>
  <c r="C41" i="16"/>
  <c r="D40" i="12" l="1"/>
  <c r="E41" i="16"/>
  <c r="D41" i="16" l="1"/>
  <c r="C41" i="12"/>
  <c r="E41" i="12" l="1"/>
  <c r="C42" i="16"/>
  <c r="E42" i="16" l="1"/>
  <c r="D41" i="12"/>
  <c r="D42" i="16" l="1"/>
  <c r="C42" i="12"/>
  <c r="E42" i="12" l="1"/>
  <c r="C43" i="16"/>
  <c r="E43" i="16" l="1"/>
  <c r="F42" i="12"/>
  <c r="D42" i="12" s="1"/>
  <c r="F43" i="16" l="1"/>
  <c r="C43" i="12"/>
  <c r="E43" i="12" s="1"/>
  <c r="D43" i="16"/>
  <c r="D43" i="12"/>
  <c r="C44" i="16"/>
  <c r="E44" i="16" l="1"/>
  <c r="F43" i="12"/>
  <c r="D44" i="16"/>
  <c r="C44" i="12"/>
  <c r="F44" i="16" l="1"/>
  <c r="D44" i="12"/>
  <c r="E44" i="12"/>
  <c r="C45" i="12"/>
  <c r="C45" i="16"/>
  <c r="E45" i="16" l="1"/>
  <c r="D45" i="12"/>
  <c r="C46" i="16"/>
  <c r="C46" i="12"/>
  <c r="E45" i="12"/>
  <c r="E46" i="16" s="1"/>
  <c r="F44" i="12"/>
  <c r="D45" i="16"/>
  <c r="F45" i="16" l="1"/>
  <c r="D46" i="12"/>
  <c r="E46" i="12"/>
  <c r="E47" i="16" s="1"/>
  <c r="C47" i="12"/>
  <c r="C47" i="16"/>
  <c r="F45" i="12"/>
  <c r="F46" i="16" s="1"/>
  <c r="D46" i="16"/>
  <c r="D47" i="12" l="1"/>
  <c r="C48" i="12" s="1"/>
  <c r="E47" i="12"/>
  <c r="E48" i="16" s="1"/>
  <c r="C48" i="16"/>
  <c r="D47" i="16"/>
  <c r="F46" i="12"/>
  <c r="F47" i="16" l="1"/>
  <c r="D48" i="12"/>
  <c r="E48" i="12"/>
  <c r="C49" i="12"/>
  <c r="C49" i="16"/>
  <c r="F47" i="12"/>
  <c r="F48" i="16" s="1"/>
  <c r="D48" i="16"/>
  <c r="E49" i="16" l="1"/>
  <c r="D49" i="12"/>
  <c r="C50" i="16"/>
  <c r="C50" i="12"/>
  <c r="E49" i="12"/>
  <c r="E50" i="16" s="1"/>
  <c r="F48" i="12"/>
  <c r="D49" i="16"/>
  <c r="F49" i="16" l="1"/>
  <c r="D50" i="12"/>
  <c r="E50" i="12"/>
  <c r="E51" i="16" s="1"/>
  <c r="C51" i="12"/>
  <c r="C51" i="16"/>
  <c r="F49" i="12"/>
  <c r="F50" i="16" s="1"/>
  <c r="D50" i="16"/>
  <c r="D51" i="12" l="1"/>
  <c r="C52" i="12" s="1"/>
  <c r="E51" i="12"/>
  <c r="E52" i="16" s="1"/>
  <c r="C52" i="16"/>
  <c r="D51" i="16"/>
  <c r="F50" i="12"/>
  <c r="F51" i="16" l="1"/>
  <c r="D52" i="12"/>
  <c r="E52" i="12"/>
  <c r="E53" i="16" s="1"/>
  <c r="C53" i="12"/>
  <c r="C53" i="16"/>
  <c r="F51" i="12"/>
  <c r="F52" i="16" s="1"/>
  <c r="D52" i="16"/>
  <c r="D53" i="12" l="1"/>
  <c r="C54" i="16"/>
  <c r="C54" i="12"/>
  <c r="E53" i="12"/>
  <c r="E54" i="16" s="1"/>
  <c r="F52" i="12"/>
  <c r="F53" i="16" s="1"/>
  <c r="D53" i="16"/>
  <c r="D54" i="12" l="1"/>
  <c r="E54" i="12"/>
  <c r="E55" i="16" s="1"/>
  <c r="C55" i="12"/>
  <c r="C55" i="16"/>
  <c r="D54" i="16"/>
  <c r="F53" i="12"/>
  <c r="F54" i="16" s="1"/>
  <c r="D55" i="12" l="1"/>
  <c r="E55" i="12"/>
  <c r="C56" i="16"/>
  <c r="D55" i="16"/>
  <c r="F54" i="12"/>
  <c r="F55" i="16" s="1"/>
  <c r="E56" i="16" l="1"/>
  <c r="E57" i="16" s="1"/>
  <c r="E56" i="12"/>
  <c r="F55" i="12"/>
  <c r="D56" i="16"/>
  <c r="D57" i="16" s="1"/>
  <c r="D56" i="12"/>
  <c r="F56" i="16" l="1"/>
  <c r="F57" i="16" s="1"/>
  <c r="F56" i="12"/>
</calcChain>
</file>

<file path=xl/sharedStrings.xml><?xml version="1.0" encoding="utf-8"?>
<sst xmlns="http://schemas.openxmlformats.org/spreadsheetml/2006/main" count="624" uniqueCount="456">
  <si>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</si>
  <si>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</si>
  <si>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</si>
  <si>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</si>
  <si>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</si>
  <si>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</si>
  <si>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</si>
  <si>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</si>
  <si>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</si>
  <si>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</si>
  <si>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</si>
  <si>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</si>
  <si>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</si>
  <si>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</si>
  <si>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</si>
  <si>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</si>
  <si>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</si>
  <si>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</si>
  <si>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</si>
  <si>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</si>
  <si>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</si>
  <si>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</si>
  <si>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</si>
  <si>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</si>
  <si>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</si>
  <si>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</si>
  <si>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</si>
  <si>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</si>
  <si>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</si>
  <si>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</si>
  <si>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</si>
  <si>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</si>
  <si>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</si>
  <si>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</si>
  <si>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</si>
  <si>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</si>
  <si>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</si>
  <si>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</si>
  <si>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</si>
  <si>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</si>
  <si>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</si>
  <si>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</si>
  <si>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</si>
  <si>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</si>
  <si>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</si>
  <si>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</si>
  <si>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</si>
  <si>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</si>
  <si>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</si>
  <si>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</si>
  <si>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</si>
  <si>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</si>
  <si>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</si>
  <si>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</si>
  <si>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</si>
  <si>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</si>
  <si>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</si>
  <si>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</si>
  <si>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</si>
  <si>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</si>
  <si>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</si>
  <si>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</si>
  <si>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</si>
  <si>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</si>
  <si>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</si>
  <si>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</si>
  <si>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</si>
  <si>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</si>
  <si>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</si>
  <si>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</si>
  <si>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</si>
  <si>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</si>
  <si>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</si>
  <si>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</si>
  <si>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</si>
  <si>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</si>
  <si>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</si>
  <si>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</si>
  <si>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</si>
  <si>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</si>
  <si>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</si>
  <si>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</si>
  <si>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</si>
  <si>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</si>
  <si>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</si>
  <si>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</si>
  <si>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</si>
  <si>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</si>
  <si>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</si>
  <si>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</si>
  <si>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</si>
  <si>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</si>
  <si>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</si>
  <si>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</si>
  <si>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</si>
  <si>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</si>
  <si>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</si>
  <si>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</si>
  <si>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</si>
  <si>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</si>
  <si>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</si>
  <si>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</si>
  <si>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</si>
  <si>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</si>
  <si>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</si>
  <si>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</si>
  <si>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</si>
  <si>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</si>
  <si>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</si>
  <si>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</si>
  <si>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</si>
  <si>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</si>
  <si>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</si>
  <si>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</si>
  <si>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</si>
  <si>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</si>
  <si>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</si>
  <si>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</si>
  <si>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</si>
  <si>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</si>
  <si>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</si>
  <si>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</si>
  <si>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</si>
  <si>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</si>
  <si>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</si>
  <si>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</si>
  <si>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</si>
  <si>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</si>
  <si>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</si>
  <si>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</si>
  <si>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</si>
  <si>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</si>
  <si>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</si>
  <si>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</si>
  <si>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</si>
  <si>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</si>
  <si>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</si>
  <si>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</si>
  <si>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</si>
  <si>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</si>
  <si>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</si>
  <si>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</si>
  <si>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</si>
  <si>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</si>
  <si>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</si>
  <si>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</si>
  <si>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</si>
  <si>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</si>
  <si>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</si>
  <si>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</si>
  <si>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</si>
  <si>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</si>
  <si>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</si>
  <si>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</si>
  <si>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</si>
  <si>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</si>
  <si>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</si>
  <si>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</si>
  <si>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</si>
  <si>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</si>
  <si>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</si>
  <si>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</si>
  <si>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</si>
  <si>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</si>
  <si>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</si>
  <si>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</si>
  <si>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</si>
  <si>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</si>
  <si>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</si>
  <si>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</si>
  <si>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</si>
  <si>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</si>
  <si>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</si>
  <si>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</si>
  <si>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</si>
  <si>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</si>
  <si>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</si>
  <si>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</si>
  <si>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</si>
  <si>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</si>
  <si>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</si>
  <si>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</si>
  <si>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</si>
  <si>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</si>
  <si>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</si>
  <si>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</si>
  <si>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</si>
  <si>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</si>
  <si>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</si>
  <si>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</si>
  <si>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</si>
  <si>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</si>
  <si>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</si>
  <si>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</si>
  <si>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</si>
  <si>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</si>
  <si>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</si>
  <si>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</si>
  <si>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</si>
  <si>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</si>
  <si>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</si>
  <si>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</si>
  <si>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</si>
  <si>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</si>
  <si>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</si>
  <si>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</si>
  <si>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</si>
  <si>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</si>
  <si>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</si>
  <si>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</si>
  <si>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</si>
  <si>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</si>
  <si>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</si>
  <si>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</si>
  <si>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</si>
  <si>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</si>
  <si>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</si>
  <si>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</si>
  <si>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</si>
  <si>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</si>
  <si>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</si>
  <si>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</si>
  <si>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</si>
  <si>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</si>
  <si>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</si>
  <si>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</si>
  <si>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</si>
  <si>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</si>
  <si>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</si>
  <si>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</si>
  <si>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</si>
  <si>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</si>
  <si>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</si>
  <si>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</si>
  <si>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</si>
  <si>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</si>
  <si>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</si>
  <si>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</si>
  <si>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</si>
  <si>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</si>
  <si>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</si>
  <si>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</si>
  <si>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</si>
  <si>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</si>
  <si>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</si>
  <si>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</si>
  <si>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</si>
  <si>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</si>
  <si>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</si>
  <si>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</si>
  <si>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</si>
  <si>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</si>
  <si>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</si>
  <si>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</si>
  <si>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</si>
  <si>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</si>
  <si>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</si>
  <si>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</si>
  <si>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</si>
  <si>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</si>
  <si>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</si>
  <si>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</si>
  <si>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</si>
  <si>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</si>
  <si>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</si>
  <si>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</si>
  <si>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</si>
  <si>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</si>
  <si>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</si>
  <si>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</si>
  <si>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</si>
  <si>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</si>
  <si>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</si>
  <si>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</si>
  <si>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</si>
  <si>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</si>
  <si>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</si>
  <si>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</si>
  <si>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</si>
  <si>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</si>
  <si>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</si>
  <si>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</si>
  <si>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</si>
  <si>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</si>
  <si>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</si>
  <si>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</si>
  <si>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</si>
  <si>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</si>
  <si>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</si>
  <si>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</si>
  <si>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</si>
  <si>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</si>
  <si>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</si>
  <si>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</si>
  <si>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</si>
  <si>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</si>
  <si>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</si>
  <si>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</si>
  <si>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</si>
  <si>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</si>
  <si>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</si>
  <si>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</si>
  <si>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</si>
  <si>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</si>
  <si>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</si>
  <si>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</si>
  <si>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</si>
  <si>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</si>
  <si>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</si>
  <si>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</si>
  <si>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</si>
  <si>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</si>
  <si>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</si>
  <si>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</si>
  <si>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</si>
  <si>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</si>
  <si>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</si>
  <si>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</si>
  <si>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</si>
  <si>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</si>
  <si>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</si>
  <si>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</si>
  <si>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</si>
  <si>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</si>
  <si>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</si>
  <si>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</si>
  <si>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</si>
  <si>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</si>
  <si>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</si>
  <si>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</si>
  <si>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</si>
  <si>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</si>
  <si>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</si>
  <si>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</si>
  <si>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</si>
  <si>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</si>
  <si>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</si>
  <si>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</si>
  <si>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</si>
  <si>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</si>
  <si>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</si>
  <si>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</si>
  <si>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</si>
  <si>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</si>
  <si>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</si>
  <si>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</si>
  <si>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</si>
  <si>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</si>
  <si>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</si>
  <si>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</si>
  <si>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</si>
  <si>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</si>
  <si>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</si>
  <si>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</si>
  <si>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</si>
  <si>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</si>
  <si>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</si>
  <si>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</si>
  <si>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</si>
  <si>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</si>
  <si>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</si>
  <si>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</si>
  <si>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</si>
  <si>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</si>
  <si>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</si>
  <si>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</si>
  <si>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</si>
  <si>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</si>
  <si>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 kadastr raqami</t>
  </si>
  <si>
    <t>Foydalanishga topshirilgan yili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</si>
  <si>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</si>
  <si>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Процент годовой</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</si>
  <si>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</si>
  <si>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</si>
  <si>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</si>
  <si>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</si>
  <si>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5. Mikroqarz bo‘yicha ta'minot:</t>
  </si>
  <si>
    <t>ARIZA</t>
  </si>
  <si>
    <t>Mijoz plastik kartasi parametrlari</t>
  </si>
  <si>
    <t>Bank nomi:</t>
  </si>
  <si>
    <t>H/r:</t>
  </si>
  <si>
    <t>MFO:</t>
  </si>
  <si>
    <t>STIR:</t>
  </si>
  <si>
    <t>Karta raqami:</t>
  </si>
  <si>
    <t>________________</t>
  </si>
  <si>
    <t>N. Abduraximov</t>
  </si>
  <si>
    <t>sana</t>
  </si>
  <si>
    <t>_______________</t>
  </si>
  <si>
    <t>Imzolaganlar ro'yxati:</t>
  </si>
  <si>
    <t>55</t>
  </si>
  <si>
    <t>105</t>
  </si>
  <si>
    <t>dan</t>
  </si>
  <si>
    <t>Sana:</t>
  </si>
  <si>
    <t>“CLEVER MIKROMOLIYA TASHKILOTI” MChJ</t>
  </si>
  <si>
    <t>Toshkent sh, Olmazor tumani, Sag’bon ko’chasi 30-tup., 6-uy</t>
  </si>
  <si>
    <t>h/r: 2021 6000 7050 6838 0001, STIR: 306 365 847, MFO: 01042,</t>
  </si>
  <si>
    <t>“Kapitalbank” AKB Sergeli filiali</t>
  </si>
  <si>
    <t>O‘zbekiston Respublikasi</t>
  </si>
  <si>
    <t>Notarial idoralariga</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</si>
  <si>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</si>
  <si>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</si>
  <si>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TASHKILOTI» MChJ rahbari</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</si>
  <si>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</si>
  <si>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</si>
  <si>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</si>
  <si>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№20216000105068380006</t>
  </si>
  <si>
    <t>№01183</t>
  </si>
  <si>
    <t>bir yuz besh</t>
  </si>
  <si>
    <t>Toshkent sh., "ANOR BANK"</t>
  </si>
  <si>
    <t>sanasidan</t>
  </si>
  <si>
    <t xml:space="preserve">Kreditlash bo’limi boshlig’i </t>
  </si>
  <si>
    <t>Ajratilayotgan qarzning sug'urta hisobidan qoplanadigan taminot qismi</t>
  </si>
  <si>
    <t>D.Axmedov</t>
  </si>
  <si>
    <t>umumiy foydali maydoni</t>
  </si>
  <si>
    <t>J. Sadiriddinzoda</t>
  </si>
  <si>
    <t>Davlat ro'yxatidan o'tkazilgan yer maydoni</t>
  </si>
  <si>
    <t>umumiy maydoni (tashqi)</t>
  </si>
  <si>
    <t>АО "TRUST INSURANCE"</t>
  </si>
  <si>
    <t>B.Ismoilov</t>
  </si>
  <si>
    <t>B.Ismoilovga</t>
  </si>
  <si>
    <t>ADXAMJONOV SHOXRUX SHORAXM O'G'LI</t>
  </si>
  <si>
    <t>ADXAMJONOV SH.SH</t>
  </si>
  <si>
    <t>MATKARIMOV OLIM VALIYEVICH tomonidan so’ralayotgan 48 (Qirq sakkiz  ) oy muddatga, 80 000 000 (sakson million so'm) miqdoridagi mikroqarzning ta’minoti sifatida menga mulk huquqi asosida tegishli bo’lgan   yakka tartibdagi uy-joy, umumiy foydali maydon 266.65 , va yashash maydoni 84.91, Davlat ro'yxatidan o'tkazilgan yer maydoni 800 NAMANGAN VILOYATI UCHQO'RG'ON TUMANI UCHKO'PRIK MFY MARKAZIY KO'CHASI 43-UY manzilda joylashgan ko'chmas mulkni qabul qilishingizni so’rayman:</t>
  </si>
  <si>
    <t>00446</t>
  </si>
  <si>
    <t>201 055 108</t>
  </si>
  <si>
    <t>TURONBANK</t>
  </si>
  <si>
    <t>Xorazm filiali boshlig'i</t>
  </si>
  <si>
    <t>M.Sharipov</t>
  </si>
  <si>
    <t>Sharipov Maxmud Ravshanbekovich</t>
  </si>
  <si>
    <t>Mikroqarz shartnomasining bir nusxasini oldim ______________</t>
  </si>
  <si>
    <t>93-586-24-94 KLIENT</t>
  </si>
  <si>
    <t>93-068-65-04 OTASI</t>
  </si>
  <si>
    <t>2312 0000 4000 1128 6001</t>
  </si>
  <si>
    <t>30.01.2026</t>
  </si>
  <si>
    <t>OLLABERGANOVA GO'ZALOY IBRAHIMOVNA</t>
  </si>
  <si>
    <t>OLLABERGANOVA G.I.</t>
  </si>
  <si>
    <t>12.07.1990 y</t>
  </si>
  <si>
    <t>AE 2898945</t>
  </si>
  <si>
    <t>IIV 33212</t>
  </si>
  <si>
    <t>XORAZM VILOYATI QO'SHKO'PIR TUMANI XOSIYON QFY XOSIYON MFY SHOLIKOR KO'CHASI 37-UY</t>
  </si>
  <si>
    <t>99-500-01-45 KLIENT</t>
  </si>
  <si>
    <t>47-SON MAKTAB</t>
  </si>
  <si>
    <t>QO'SHKO'PIR TUMANI</t>
  </si>
  <si>
    <t>91-995-07-90 OTASI</t>
  </si>
  <si>
    <t>77-734-07-90 BEXRUZBEK</t>
  </si>
  <si>
    <t>№22:09:41:01:02:0317</t>
  </si>
  <si>
    <t>117.49</t>
  </si>
  <si>
    <t>88.79</t>
  </si>
  <si>
    <t>42.17</t>
  </si>
  <si>
    <t>OLLABEREGANOVA G.I.</t>
  </si>
  <si>
    <t>№254- XMS</t>
  </si>
  <si>
    <t>26.01.2026 yildan №1733212/Y-26001010</t>
  </si>
  <si>
    <t>«CLEVER MIKROMOLIYA TASHKILOTI» MChJ ijrochi direktori</t>
  </si>
  <si>
    <t>Ijrochi direktori</t>
  </si>
  <si>
    <t>Mijoz quyidagi majburiyatlarga ega: TOSHKЕNT Sh., "DAVR-BANK" XAT BANKINING BOSH OFISI 75 326 421.00 so'm. Ayni paytda muddati o'tgan qarzdorligi mavjud emas. O‘rtacha oylik to‘lov 2 353 950.67  so‘mni tashkil qiladi</t>
  </si>
  <si>
    <t>5614 6885 1385 0601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</si>
</sst>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 _₽_-;\-* #\ ##0.00\ _₽_-;_-* &quot;-&quot;??\ _₽_-;_-@_-"/>
    <numFmt numFmtId="171" formatCode="_-* #\ ##0.00_-;\-* #\ ##0.00_-;_-* &quot;-&quot;??_-;_-@_-"/>
  </numFmts>
  <fonts count="7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b/>
      <u/>
      <sz val="12"/>
      <name val="Times New Roman"/>
      <family val="1"/>
      <charset val="204"/>
    </font>
    <font>
      <b/>
      <sz val="12"/>
      <name val="Times New Roman"/>
      <family val="1"/>
      <charset val="204"/>
    </font>
    <font>
      <sz val="11"/>
      <color theme="1"/>
      <name val="Arial"/>
      <family val="2"/>
      <charset val="204"/>
    </font>
    <font>
      <sz val="22"/>
      <color rgb="FFFF0000"/>
      <name val="Arial"/>
      <family val="2"/>
      <charset val="204"/>
    </font>
    <font>
      <sz val="12"/>
      <color theme="0"/>
      <name val="Times New Roman"/>
      <family val="1"/>
      <charset val="204"/>
    </font>
    <font>
      <sz val="9"/>
      <color theme="1"/>
      <name val="Times New Roman"/>
      <family val="1"/>
      <charset val="204"/>
    </font>
    <font>
      <sz val="11"/>
      <color rgb="FF8C0101"/>
      <name val="Times New Roman"/>
      <family val="1"/>
      <charset val="204"/>
    </font>
    <font>
      <sz val="11"/>
      <color theme="1"/>
      <name val="Calibri"/>
      <family val="2"/>
      <charset val="204"/>
      <scheme val="minor"/>
    </font>
    <font>
      <sz val="11"/>
      <color theme="1"/>
      <name val="Calibri"/>
      <family val="2"/>
      <charset val="204"/>
      <scheme val="minor"/>
    </font>
    <font>
      <sz val="11"/>
      <name val="Calibri"/>
      <family val="2"/>
      <charset val="204"/>
    </font>
    <font>
      <b/>
      <sz val="14"/>
      <color theme="1"/>
      <name val="Arial"/>
      <family val="2"/>
      <charset val="204"/>
    </font>
    <font>
      <b/>
      <sz val="14"/>
      <color rgb="FFFF0000"/>
      <name val="Arial"/>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s>
  <cellStyleXfs count="51496">
    <xf numFmtId="0" fontId="0"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0" fillId="0" borderId="0">
      <alignment vertical="center"/>
    </xf>
    <xf numFmtId="0" fontId="60" fillId="0" borderId="0">
      <alignment vertical="center"/>
    </xf>
    <xf numFmtId="43" fontId="15"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9" fillId="0" borderId="0"/>
    <xf numFmtId="0" fontId="70" fillId="0" borderId="0"/>
    <xf numFmtId="171" fontId="69" fillId="0" borderId="0" applyFont="0" applyFill="0" applyBorder="0" applyAlignment="0" applyProtection="0"/>
    <xf numFmtId="171" fontId="69" fillId="0" borderId="0" applyFont="0" applyFill="0" applyBorder="0" applyAlignment="0" applyProtection="0"/>
    <xf numFmtId="0" fontId="70" fillId="0" borderId="0"/>
    <xf numFmtId="171" fontId="69" fillId="0" borderId="0" applyFont="0" applyFill="0" applyBorder="0" applyAlignment="0" applyProtection="0"/>
    <xf numFmtId="171" fontId="69" fillId="0" borderId="0" applyFont="0" applyFill="0" applyBorder="0" applyAlignment="0" applyProtection="0"/>
    <xf numFmtId="0" fontId="71" fillId="0" borderId="0">
      <alignment vertical="center"/>
    </xf>
    <xf numFmtId="0" fontId="70" fillId="0" borderId="0"/>
    <xf numFmtId="171" fontId="69" fillId="0" borderId="0" applyFont="0" applyFill="0" applyBorder="0" applyAlignment="0" applyProtection="0"/>
    <xf numFmtId="0" fontId="70" fillId="0" borderId="0"/>
    <xf numFmtId="0" fontId="70" fillId="0" borderId="0"/>
    <xf numFmtId="0" fontId="70" fillId="0" borderId="0"/>
    <xf numFmtId="0" fontId="70" fillId="0" borderId="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0" fontId="71" fillId="0" borderId="0">
      <alignment vertical="center"/>
    </xf>
    <xf numFmtId="171" fontId="69" fillId="0" borderId="0" applyFont="0" applyFill="0" applyBorder="0" applyAlignment="0" applyProtection="0"/>
    <xf numFmtId="0" fontId="70" fillId="0" borderId="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171" fontId="69" fillId="0" borderId="0" applyFont="0" applyFill="0" applyBorder="0" applyAlignment="0" applyProtection="0"/>
    <xf numFmtId="9" fontId="69"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71" fontId="6" fillId="0" borderId="0" applyFont="0" applyFill="0" applyBorder="0" applyAlignment="0" applyProtection="0"/>
    <xf numFmtId="171" fontId="6" fillId="0" borderId="0" applyFont="0" applyFill="0" applyBorder="0" applyAlignment="0" applyProtection="0"/>
    <xf numFmtId="0" fontId="6" fillId="0" borderId="0"/>
    <xf numFmtId="171" fontId="6" fillId="0" borderId="0" applyFont="0" applyFill="0" applyBorder="0" applyAlignment="0" applyProtection="0"/>
    <xf numFmtId="171" fontId="6" fillId="0" borderId="0" applyFont="0" applyFill="0" applyBorder="0" applyAlignment="0" applyProtection="0"/>
    <xf numFmtId="0" fontId="60" fillId="0" borderId="0">
      <alignment vertical="center"/>
    </xf>
    <xf numFmtId="0" fontId="6" fillId="0" borderId="0"/>
    <xf numFmtId="171" fontId="6" fillId="0" borderId="0" applyFont="0" applyFill="0" applyBorder="0" applyAlignment="0" applyProtection="0"/>
    <xf numFmtId="0" fontId="6" fillId="0" borderId="0"/>
    <xf numFmtId="0" fontId="6" fillId="0" borderId="0"/>
    <xf numFmtId="0" fontId="6" fillId="0" borderId="0"/>
    <xf numFmtId="0" fontId="6" fillId="0" borderId="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0" fontId="60" fillId="0" borderId="0">
      <alignment vertical="center"/>
    </xf>
    <xf numFmtId="171" fontId="6" fillId="0" borderId="0" applyFont="0" applyFill="0" applyBorder="0" applyAlignment="0" applyProtection="0"/>
    <xf numFmtId="0" fontId="6" fillId="0" borderId="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9" fontId="6"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0" fontId="5" fillId="0" borderId="0"/>
    <xf numFmtId="171" fontId="5" fillId="0" borderId="0" applyFont="0" applyFill="0" applyBorder="0" applyAlignment="0" applyProtection="0"/>
    <xf numFmtId="171" fontId="5" fillId="0" borderId="0" applyFont="0" applyFill="0" applyBorder="0" applyAlignment="0" applyProtection="0"/>
    <xf numFmtId="0" fontId="5" fillId="0" borderId="0"/>
    <xf numFmtId="171" fontId="5" fillId="0" borderId="0" applyFont="0" applyFill="0" applyBorder="0" applyAlignment="0" applyProtection="0"/>
    <xf numFmtId="0" fontId="5" fillId="0" borderId="0"/>
    <xf numFmtId="0" fontId="5" fillId="0" borderId="0"/>
    <xf numFmtId="0" fontId="5" fillId="0" borderId="0"/>
    <xf numFmtId="0" fontId="5" fillId="0" borderId="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9" fontId="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171" fontId="4" fillId="0" borderId="0" applyFont="0" applyFill="0" applyBorder="0" applyAlignment="0" applyProtection="0"/>
    <xf numFmtId="171" fontId="4" fillId="0" borderId="0" applyFont="0" applyFill="0" applyBorder="0" applyAlignment="0" applyProtection="0"/>
    <xf numFmtId="43" fontId="15" fillId="0" borderId="0" applyFont="0" applyFill="0" applyBorder="0" applyAlignment="0" applyProtection="0"/>
    <xf numFmtId="0" fontId="4" fillId="0" borderId="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9"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43" fontId="15" fillId="0" borderId="0" applyFont="0" applyFill="0" applyBorder="0" applyAlignment="0" applyProtection="0"/>
    <xf numFmtId="0" fontId="3" fillId="0" borderId="0"/>
    <xf numFmtId="171" fontId="3" fillId="0" borderId="0" applyFont="0" applyFill="0" applyBorder="0" applyAlignment="0" applyProtection="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9"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9"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43" fontId="15" fillId="0" borderId="0" applyFont="0" applyFill="0" applyBorder="0" applyAlignment="0" applyProtection="0"/>
    <xf numFmtId="0" fontId="3" fillId="0" borderId="0"/>
    <xf numFmtId="171" fontId="3" fillId="0" borderId="0" applyFont="0" applyFill="0" applyBorder="0" applyAlignment="0" applyProtection="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9" fontId="3"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43" fontId="15" fillId="0" borderId="0" applyFont="0" applyFill="0" applyBorder="0" applyAlignment="0" applyProtection="0"/>
    <xf numFmtId="0" fontId="2" fillId="0" borderId="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43" fontId="15" fillId="0" borderId="0" applyFont="0" applyFill="0" applyBorder="0" applyAlignment="0" applyProtection="0"/>
    <xf numFmtId="0" fontId="2" fillId="0" borderId="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43" fontId="15" fillId="0" borderId="0" applyFont="0" applyFill="0" applyBorder="0" applyAlignment="0" applyProtection="0"/>
    <xf numFmtId="0" fontId="2" fillId="0" borderId="0"/>
    <xf numFmtId="171" fontId="2" fillId="0" borderId="0" applyFont="0" applyFill="0" applyBorder="0" applyAlignment="0" applyProtection="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9"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43" fontId="15" fillId="0" borderId="0" applyFont="0" applyFill="0" applyBorder="0" applyAlignment="0" applyProtection="0"/>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 fillId="0" borderId="0"/>
    <xf numFmtId="0" fontId="1" fillId="0" borderId="0"/>
    <xf numFmtId="0" fontId="15" fillId="0" borderId="0"/>
    <xf numFmtId="0" fontId="1" fillId="0" borderId="0"/>
    <xf numFmtId="9" fontId="1" fillId="0" borderId="0" applyFont="0" applyFill="0" applyBorder="0" applyAlignment="0" applyProtection="0"/>
    <xf numFmtId="0" fontId="1"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cellStyleXfs>
  <cellXfs count="394">
    <xf numFmtId="0" fontId="0" fillId="0" borderId="0" xfId="0"/>
    <xf numFmtId="0" fontId="16" fillId="0" borderId="1" xfId="0" applyFont="1" applyBorder="1" applyAlignment="1">
      <alignment vertical="center" wrapText="1"/>
    </xf>
    <xf numFmtId="49" fontId="16" fillId="0" borderId="1" xfId="0" applyNumberFormat="1" applyFont="1" applyBorder="1" applyAlignment="1">
      <alignment vertical="center" wrapText="1"/>
    </xf>
    <xf numFmtId="0" fontId="17" fillId="2" borderId="1" xfId="0" applyFont="1" applyFill="1" applyBorder="1" applyAlignment="1">
      <alignment vertical="center" wrapText="1"/>
    </xf>
    <xf numFmtId="165" fontId="16" fillId="0" borderId="1" xfId="0" applyNumberFormat="1" applyFont="1" applyBorder="1" applyAlignment="1">
      <alignment vertical="center" wrapText="1"/>
    </xf>
    <xf numFmtId="0" fontId="18" fillId="0" borderId="0" xfId="0" applyFont="1"/>
    <xf numFmtId="0" fontId="20" fillId="2" borderId="1" xfId="0" applyFont="1" applyFill="1" applyBorder="1" applyAlignment="1">
      <alignment horizontal="left" vertical="center" wrapText="1"/>
    </xf>
    <xf numFmtId="0" fontId="20" fillId="2" borderId="1" xfId="0" applyFont="1" applyFill="1" applyBorder="1" applyAlignment="1">
      <alignment horizontal="center" vertical="center" wrapText="1"/>
    </xf>
    <xf numFmtId="0" fontId="22" fillId="0" borderId="0" xfId="0" applyFont="1" applyAlignment="1" applyProtection="1">
      <alignment horizontal="center" vertical="top"/>
      <protection hidden="1"/>
    </xf>
    <xf numFmtId="0" fontId="22" fillId="0" borderId="0" xfId="0" applyFont="1" applyAlignment="1" applyProtection="1">
      <alignment horizontal="center" vertical="center"/>
      <protection hidden="1"/>
    </xf>
    <xf numFmtId="0" fontId="19" fillId="0" borderId="0" xfId="0" applyFont="1"/>
    <xf numFmtId="0" fontId="19" fillId="0" borderId="0" xfId="0" applyFont="1" applyAlignment="1">
      <alignment horizontal="right"/>
    </xf>
    <xf numFmtId="0" fontId="23" fillId="0" borderId="0" xfId="0" applyFont="1"/>
    <xf numFmtId="0" fontId="23" fillId="0" borderId="0" xfId="0" applyFont="1" applyAlignment="1">
      <alignment horizontal="center" vertical="center" wrapText="1"/>
    </xf>
    <xf numFmtId="0" fontId="23" fillId="0" borderId="1" xfId="0" applyFont="1" applyBorder="1" applyAlignment="1">
      <alignment horizontal="center" vertical="center" wrapText="1"/>
    </xf>
    <xf numFmtId="0" fontId="23" fillId="0" borderId="1" xfId="0" applyFont="1" applyBorder="1"/>
    <xf numFmtId="0" fontId="23" fillId="0" borderId="0" xfId="0" applyFont="1" applyAlignment="1">
      <alignment horizontal="justify" vertical="top" wrapText="1"/>
    </xf>
    <xf numFmtId="0" fontId="23" fillId="0" borderId="0" xfId="0" applyFont="1" applyAlignment="1">
      <alignment wrapText="1"/>
    </xf>
    <xf numFmtId="0" fontId="23" fillId="0" borderId="0" xfId="0" applyFont="1" applyAlignment="1">
      <alignment vertical="top" wrapText="1"/>
    </xf>
    <xf numFmtId="0" fontId="23" fillId="0" borderId="0" xfId="0" applyFont="1" applyAlignment="1">
      <alignment vertical="center" wrapText="1"/>
    </xf>
    <xf numFmtId="0" fontId="26" fillId="0" borderId="0" xfId="0" applyFont="1"/>
    <xf numFmtId="0" fontId="25" fillId="0" borderId="1" xfId="0" applyFont="1" applyBorder="1" applyAlignment="1">
      <alignment horizontal="center" vertical="center" wrapText="1"/>
    </xf>
    <xf numFmtId="0" fontId="25" fillId="0" borderId="0" xfId="0" applyFont="1" applyAlignment="1">
      <alignment horizontal="center" vertical="center" wrapText="1"/>
    </xf>
    <xf numFmtId="0" fontId="26" fillId="0" borderId="1" xfId="0" applyFont="1" applyBorder="1" applyAlignment="1">
      <alignment horizontal="center" vertical="top" wrapText="1"/>
    </xf>
    <xf numFmtId="43" fontId="26" fillId="0" borderId="1" xfId="1" applyFont="1" applyBorder="1" applyAlignment="1">
      <alignment horizontal="center" vertical="top" wrapText="1"/>
    </xf>
    <xf numFmtId="0" fontId="25" fillId="0" borderId="1" xfId="0" applyFont="1" applyBorder="1" applyAlignment="1">
      <alignment horizontal="center" vertical="top" wrapText="1"/>
    </xf>
    <xf numFmtId="43" fontId="25" fillId="0" borderId="1" xfId="0" applyNumberFormat="1" applyFont="1" applyBorder="1" applyAlignment="1">
      <alignment horizontal="center" vertical="top" wrapText="1"/>
    </xf>
    <xf numFmtId="0" fontId="25" fillId="0" borderId="0" xfId="0" applyFont="1"/>
    <xf numFmtId="0" fontId="18" fillId="0" borderId="0" xfId="0" applyFont="1" applyAlignment="1">
      <alignment horizontal="left"/>
    </xf>
    <xf numFmtId="14" fontId="23" fillId="0" borderId="1" xfId="0" applyNumberFormat="1" applyFont="1" applyBorder="1"/>
    <xf numFmtId="43" fontId="23" fillId="0" borderId="1" xfId="1" applyFont="1" applyBorder="1"/>
    <xf numFmtId="14" fontId="23" fillId="0" borderId="0" xfId="0" applyNumberFormat="1" applyFont="1"/>
    <xf numFmtId="43" fontId="23" fillId="0" borderId="0" xfId="1" applyFont="1" applyBorder="1"/>
    <xf numFmtId="0" fontId="24" fillId="0" borderId="0" xfId="0" applyFont="1"/>
    <xf numFmtId="0" fontId="24" fillId="0" borderId="0" xfId="0" applyFont="1" applyAlignment="1">
      <alignment horizontal="right"/>
    </xf>
    <xf numFmtId="0" fontId="24" fillId="0" borderId="1" xfId="0" applyFont="1" applyBorder="1" applyAlignment="1">
      <alignment horizontal="center" vertical="center" wrapText="1"/>
    </xf>
    <xf numFmtId="0" fontId="24" fillId="0" borderId="0" xfId="0" applyFont="1" applyAlignment="1">
      <alignment horizontal="center"/>
    </xf>
    <xf numFmtId="0" fontId="31" fillId="0" borderId="0" xfId="0" applyFont="1" applyAlignment="1">
      <alignment horizontal="center" wrapText="1"/>
    </xf>
    <xf numFmtId="0" fontId="23" fillId="0" borderId="0" xfId="0" applyFont="1" applyAlignment="1">
      <alignment horizontal="center" wrapText="1"/>
    </xf>
    <xf numFmtId="0" fontId="30" fillId="0" borderId="0" xfId="0" applyFont="1" applyAlignment="1">
      <alignment horizontal="center" wrapText="1"/>
    </xf>
    <xf numFmtId="0" fontId="23" fillId="0" borderId="8" xfId="0" applyFont="1" applyBorder="1" applyAlignment="1">
      <alignment horizontal="center" wrapText="1"/>
    </xf>
    <xf numFmtId="0" fontId="23" fillId="0" borderId="9" xfId="0" applyFont="1" applyBorder="1" applyAlignment="1">
      <alignment horizontal="center" wrapText="1"/>
    </xf>
    <xf numFmtId="0" fontId="24" fillId="0" borderId="1" xfId="0" applyFont="1" applyBorder="1"/>
    <xf numFmtId="14" fontId="24" fillId="0" borderId="1" xfId="0" applyNumberFormat="1" applyFont="1" applyBorder="1"/>
    <xf numFmtId="43" fontId="24" fillId="0" borderId="1" xfId="1" applyFont="1" applyBorder="1"/>
    <xf numFmtId="0" fontId="16" fillId="4" borderId="1" xfId="0" applyFont="1" applyFill="1" applyBorder="1" applyAlignment="1">
      <alignment vertical="center" wrapText="1"/>
    </xf>
    <xf numFmtId="0" fontId="24" fillId="0" borderId="0" xfId="0" applyFont="1" applyAlignment="1">
      <alignment horizontal="center" vertical="center" wrapText="1"/>
    </xf>
    <xf numFmtId="43" fontId="36" fillId="0" borderId="1" xfId="1" applyFont="1" applyBorder="1"/>
    <xf numFmtId="43" fontId="16" fillId="4" borderId="1" xfId="1" applyFont="1" applyFill="1" applyBorder="1" applyAlignment="1">
      <alignment vertical="center" wrapText="1"/>
    </xf>
    <xf numFmtId="0" fontId="23" fillId="0" borderId="0" xfId="0" applyFont="1" applyAlignment="1">
      <alignment horizontal="left" vertical="top" wrapText="1"/>
    </xf>
    <xf numFmtId="0" fontId="23" fillId="0" borderId="8" xfId="0" applyFont="1" applyBorder="1" applyAlignment="1">
      <alignment wrapText="1"/>
    </xf>
    <xf numFmtId="0" fontId="23" fillId="0" borderId="9" xfId="0" applyFont="1" applyBorder="1" applyAlignment="1">
      <alignment wrapText="1"/>
    </xf>
    <xf numFmtId="165" fontId="35" fillId="2" borderId="1" xfId="0" applyNumberFormat="1" applyFont="1" applyFill="1" applyBorder="1" applyAlignment="1">
      <alignment vertical="center" wrapText="1"/>
    </xf>
    <xf numFmtId="165" fontId="16" fillId="2" borderId="1" xfId="0" applyNumberFormat="1" applyFont="1" applyFill="1" applyBorder="1" applyAlignment="1">
      <alignment vertical="center" wrapText="1"/>
    </xf>
    <xf numFmtId="0" fontId="16"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9" fillId="4" borderId="1" xfId="0" applyFont="1" applyFill="1" applyBorder="1"/>
    <xf numFmtId="0" fontId="19" fillId="0" borderId="0" xfId="0" applyFont="1" applyAlignment="1">
      <alignment horizontal="center" vertical="center" wrapText="1"/>
    </xf>
    <xf numFmtId="0" fontId="19" fillId="0" borderId="0" xfId="0" applyFont="1" applyAlignment="1">
      <alignment horizontal="center"/>
    </xf>
    <xf numFmtId="0" fontId="18" fillId="0" borderId="0" xfId="0" applyFont="1" applyAlignment="1">
      <alignment horizontal="center" vertical="center"/>
    </xf>
    <xf numFmtId="43" fontId="16" fillId="4" borderId="3" xfId="1" applyFont="1" applyFill="1" applyBorder="1" applyAlignment="1">
      <alignment vertical="center" wrapText="1"/>
    </xf>
    <xf numFmtId="0" fontId="17" fillId="2" borderId="1" xfId="0" applyFont="1" applyFill="1" applyBorder="1" applyAlignment="1">
      <alignment horizontal="right" vertical="center" wrapText="1"/>
    </xf>
    <xf numFmtId="0" fontId="18" fillId="0" borderId="0" xfId="0" applyFont="1" applyAlignment="1">
      <alignment vertical="top" wrapText="1"/>
    </xf>
    <xf numFmtId="0" fontId="19" fillId="0" borderId="0" xfId="0" applyFont="1" applyAlignment="1">
      <alignment horizontal="center" wrapText="1"/>
    </xf>
    <xf numFmtId="0" fontId="18" fillId="0" borderId="0" xfId="0" applyFont="1" applyAlignment="1">
      <alignment vertical="top"/>
    </xf>
    <xf numFmtId="0" fontId="16" fillId="6" borderId="1" xfId="0" applyFont="1" applyFill="1" applyBorder="1" applyAlignment="1">
      <alignment vertical="center" wrapText="1"/>
    </xf>
    <xf numFmtId="165" fontId="16" fillId="2" borderId="1" xfId="0" applyNumberFormat="1" applyFont="1" applyFill="1" applyBorder="1" applyAlignment="1">
      <alignment horizontal="left" vertical="center" wrapText="1"/>
    </xf>
    <xf numFmtId="14" fontId="16" fillId="6" borderId="1" xfId="0" applyNumberFormat="1" applyFont="1" applyFill="1" applyBorder="1" applyAlignment="1">
      <alignment vertical="center" wrapText="1"/>
    </xf>
    <xf numFmtId="165" fontId="16" fillId="6" borderId="1" xfId="0" applyNumberFormat="1" applyFont="1" applyFill="1" applyBorder="1" applyAlignment="1">
      <alignment vertical="center" wrapText="1"/>
    </xf>
    <xf numFmtId="9" fontId="16" fillId="7" borderId="1" xfId="0" applyNumberFormat="1" applyFont="1" applyFill="1" applyBorder="1" applyAlignment="1">
      <alignment vertical="center" wrapText="1"/>
    </xf>
    <xf numFmtId="49" fontId="16" fillId="7" borderId="1" xfId="1" applyNumberFormat="1" applyFont="1" applyFill="1" applyBorder="1" applyAlignment="1">
      <alignment vertical="center" wrapText="1"/>
    </xf>
    <xf numFmtId="40" fontId="16" fillId="7" borderId="1" xfId="1" applyNumberFormat="1" applyFont="1" applyFill="1" applyBorder="1" applyAlignment="1">
      <alignment vertical="center" wrapText="1"/>
    </xf>
    <xf numFmtId="0" fontId="17" fillId="2" borderId="1" xfId="0" applyFont="1" applyFill="1" applyBorder="1" applyAlignment="1">
      <alignment horizontal="center" vertical="center" wrapText="1"/>
    </xf>
    <xf numFmtId="49" fontId="16" fillId="4" borderId="1" xfId="0" applyNumberFormat="1" applyFont="1" applyFill="1" applyBorder="1" applyAlignment="1">
      <alignment horizontal="left" vertical="center" wrapText="1"/>
    </xf>
    <xf numFmtId="0" fontId="42" fillId="0" borderId="0" xfId="0" applyFont="1"/>
    <xf numFmtId="0" fontId="36" fillId="0" borderId="0" xfId="0" applyFont="1"/>
    <xf numFmtId="0" fontId="42" fillId="0" borderId="0" xfId="0" applyFont="1" applyAlignment="1">
      <alignment horizontal="right"/>
    </xf>
    <xf numFmtId="164" fontId="36" fillId="0" borderId="0" xfId="0" applyNumberFormat="1" applyFont="1"/>
    <xf numFmtId="166" fontId="36" fillId="0" borderId="0" xfId="0" applyNumberFormat="1" applyFont="1"/>
    <xf numFmtId="0" fontId="36" fillId="0" borderId="1" xfId="0" applyFont="1" applyBorder="1" applyAlignment="1">
      <alignment horizontal="center" vertical="center" wrapText="1"/>
    </xf>
    <xf numFmtId="0" fontId="36" fillId="0" borderId="0" xfId="0" applyFont="1" applyAlignment="1">
      <alignment horizontal="center" vertical="center" wrapText="1"/>
    </xf>
    <xf numFmtId="0" fontId="36" fillId="0" borderId="1" xfId="0" applyFont="1" applyBorder="1"/>
    <xf numFmtId="14" fontId="36" fillId="0" borderId="1" xfId="0" applyNumberFormat="1" applyFont="1" applyBorder="1"/>
    <xf numFmtId="167" fontId="36" fillId="0" borderId="0" xfId="0" applyNumberFormat="1" applyFont="1"/>
    <xf numFmtId="0" fontId="42" fillId="0" borderId="1" xfId="0" applyFont="1" applyBorder="1"/>
    <xf numFmtId="14" fontId="42" fillId="0" borderId="1" xfId="0" applyNumberFormat="1" applyFont="1" applyBorder="1"/>
    <xf numFmtId="43" fontId="42" fillId="0" borderId="1" xfId="1" applyFont="1" applyBorder="1"/>
    <xf numFmtId="14" fontId="36" fillId="0" borderId="0" xfId="0" applyNumberFormat="1" applyFont="1"/>
    <xf numFmtId="43" fontId="36" fillId="0" borderId="0" xfId="1" applyFont="1" applyBorder="1"/>
    <xf numFmtId="14" fontId="35" fillId="5" borderId="0" xfId="0" applyNumberFormat="1" applyFont="1" applyFill="1"/>
    <xf numFmtId="0" fontId="35" fillId="5" borderId="0" xfId="0" applyFont="1" applyFill="1"/>
    <xf numFmtId="0" fontId="35" fillId="0" borderId="0" xfId="0" applyFont="1"/>
    <xf numFmtId="168" fontId="45" fillId="5" borderId="0" xfId="0" applyNumberFormat="1" applyFont="1" applyFill="1"/>
    <xf numFmtId="0" fontId="35" fillId="4" borderId="0" xfId="0" applyFont="1" applyFill="1"/>
    <xf numFmtId="1" fontId="35" fillId="5" borderId="0" xfId="0" applyNumberFormat="1" applyFont="1" applyFill="1"/>
    <xf numFmtId="49" fontId="36" fillId="0" borderId="0" xfId="0" applyNumberFormat="1" applyFont="1" applyAlignment="1">
      <alignment horizontal="right"/>
    </xf>
    <xf numFmtId="0" fontId="46" fillId="0" borderId="0" xfId="0" applyFont="1" applyAlignment="1">
      <alignment vertical="center"/>
    </xf>
    <xf numFmtId="0" fontId="47" fillId="0" borderId="0" xfId="0" applyFont="1" applyAlignment="1">
      <alignment horizontal="right" vertical="center"/>
    </xf>
    <xf numFmtId="0" fontId="47" fillId="0" borderId="0" xfId="0" applyFont="1" applyAlignment="1">
      <alignment horizontal="right" vertical="center" wrapText="1"/>
    </xf>
    <xf numFmtId="43" fontId="23" fillId="0" borderId="1" xfId="1" applyFont="1" applyBorder="1" applyAlignment="1">
      <alignment horizontal="center" vertical="top" wrapText="1"/>
    </xf>
    <xf numFmtId="0" fontId="48" fillId="7" borderId="1" xfId="0" applyFont="1" applyFill="1" applyBorder="1"/>
    <xf numFmtId="0" fontId="48"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35" fillId="4" borderId="1" xfId="0" applyFont="1" applyFill="1" applyBorder="1"/>
    <xf numFmtId="0" fontId="48"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7" fillId="0" borderId="0" xfId="0" applyFont="1" applyAlignment="1">
      <alignment horizontal="right"/>
    </xf>
    <xf numFmtId="0" fontId="37" fillId="0" borderId="0" xfId="0" applyFont="1" applyAlignment="1">
      <alignment horizontal="justify"/>
    </xf>
    <xf numFmtId="0" fontId="37" fillId="0" borderId="0" xfId="0" applyFont="1" applyAlignment="1">
      <alignment horizontal="justify" vertical="center"/>
    </xf>
    <xf numFmtId="0" fontId="37" fillId="0" borderId="1" xfId="0" applyFont="1" applyBorder="1" applyAlignment="1">
      <alignment horizontal="justify"/>
    </xf>
    <xf numFmtId="0" fontId="37" fillId="0" borderId="0" xfId="0" applyFont="1" applyAlignment="1">
      <alignment horizontal="justify" vertical="center" wrapText="1"/>
    </xf>
    <xf numFmtId="0" fontId="37" fillId="0" borderId="0" xfId="0" applyFont="1" applyAlignment="1">
      <alignment horizontal="left"/>
    </xf>
    <xf numFmtId="0" fontId="37" fillId="0" borderId="11" xfId="0" applyFont="1" applyBorder="1" applyAlignment="1">
      <alignment horizontal="center"/>
    </xf>
    <xf numFmtId="0" fontId="37" fillId="0" borderId="0" xfId="0" applyFont="1" applyAlignment="1">
      <alignment horizontal="center"/>
    </xf>
    <xf numFmtId="0" fontId="16" fillId="3" borderId="1" xfId="0" applyFont="1" applyFill="1" applyBorder="1" applyAlignment="1">
      <alignment horizontal="center" vertical="center" wrapText="1"/>
    </xf>
    <xf numFmtId="0" fontId="23" fillId="0" borderId="0" xfId="0" applyFont="1" applyAlignment="1">
      <alignment vertical="top"/>
    </xf>
    <xf numFmtId="0" fontId="24" fillId="0" borderId="0" xfId="0" applyFont="1" applyAlignment="1">
      <alignment horizontal="left" vertical="center" wrapText="1"/>
    </xf>
    <xf numFmtId="0" fontId="24" fillId="0" borderId="0" xfId="0" applyFont="1" applyAlignment="1">
      <alignment horizontal="right" vertical="center" wrapText="1"/>
    </xf>
    <xf numFmtId="0" fontId="0" fillId="0" borderId="0" xfId="0" applyAlignment="1">
      <alignment horizontal="left" vertical="center"/>
    </xf>
    <xf numFmtId="0" fontId="23" fillId="0" borderId="0" xfId="0" applyFont="1" applyAlignment="1">
      <alignment horizontal="left" vertical="center" wrapText="1"/>
    </xf>
    <xf numFmtId="0" fontId="23" fillId="0" borderId="0" xfId="0" applyFont="1" applyAlignment="1">
      <alignment horizontal="right"/>
    </xf>
    <xf numFmtId="0" fontId="17" fillId="6" borderId="1" xfId="0" applyFont="1" applyFill="1" applyBorder="1" applyAlignment="1">
      <alignment horizontal="left" vertical="center" wrapText="1"/>
    </xf>
    <xf numFmtId="0" fontId="17" fillId="6" borderId="1" xfId="0" applyFont="1" applyFill="1" applyBorder="1" applyAlignment="1">
      <alignment vertical="center" wrapText="1"/>
    </xf>
    <xf numFmtId="0" fontId="20" fillId="4" borderId="1" xfId="0" applyFont="1" applyFill="1" applyBorder="1" applyAlignment="1">
      <alignment horizontal="center" vertical="center" wrapText="1"/>
    </xf>
    <xf numFmtId="0" fontId="26" fillId="0" borderId="0" xfId="0" applyFont="1" applyAlignment="1">
      <alignment wrapText="1"/>
    </xf>
    <xf numFmtId="165" fontId="26" fillId="0" borderId="0" xfId="0" applyNumberFormat="1" applyFont="1"/>
    <xf numFmtId="0" fontId="25" fillId="0" borderId="0" xfId="0" applyFont="1" applyAlignment="1">
      <alignment vertical="center" wrapText="1"/>
    </xf>
    <xf numFmtId="0" fontId="25" fillId="0" borderId="0" xfId="0" applyFont="1" applyAlignment="1">
      <alignment horizontal="left"/>
    </xf>
    <xf numFmtId="0" fontId="19" fillId="0" borderId="0" xfId="0" applyFont="1" applyAlignment="1">
      <alignment horizontal="left"/>
    </xf>
    <xf numFmtId="0" fontId="16" fillId="4" borderId="3" xfId="0" applyFont="1" applyFill="1" applyBorder="1" applyAlignment="1">
      <alignment vertical="center" wrapText="1"/>
    </xf>
    <xf numFmtId="0" fontId="26" fillId="0" borderId="0" xfId="0" applyFont="1" applyAlignment="1">
      <alignment horizontal="center" vertical="top" wrapText="1"/>
    </xf>
    <xf numFmtId="0" fontId="50" fillId="2" borderId="1" xfId="0" applyFont="1" applyFill="1" applyBorder="1" applyAlignment="1">
      <alignment vertical="center" wrapText="1"/>
    </xf>
    <xf numFmtId="0" fontId="16" fillId="9" borderId="1" xfId="0" applyFont="1" applyFill="1" applyBorder="1" applyAlignment="1">
      <alignment vertical="center" wrapText="1"/>
    </xf>
    <xf numFmtId="0" fontId="14" fillId="0" borderId="0" xfId="0" applyFont="1"/>
    <xf numFmtId="0" fontId="51" fillId="0" borderId="0" xfId="0" applyFont="1" applyAlignment="1">
      <alignment vertical="center"/>
    </xf>
    <xf numFmtId="0" fontId="52" fillId="0" borderId="0" xfId="0" applyFont="1" applyAlignment="1">
      <alignment wrapText="1"/>
    </xf>
    <xf numFmtId="0" fontId="18" fillId="0" borderId="0" xfId="0" applyFont="1" applyAlignment="1">
      <alignment wrapText="1"/>
    </xf>
    <xf numFmtId="0" fontId="54" fillId="0" borderId="0" xfId="0" applyFont="1"/>
    <xf numFmtId="0" fontId="19" fillId="0" borderId="0" xfId="0" applyFont="1" applyAlignment="1">
      <alignment horizontal="left" vertical="center" wrapText="1"/>
    </xf>
    <xf numFmtId="0" fontId="18" fillId="0" borderId="0" xfId="0" applyFont="1" applyAlignment="1">
      <alignment horizontal="left" vertical="top" wrapText="1"/>
    </xf>
    <xf numFmtId="0" fontId="40" fillId="0" borderId="0" xfId="0" applyFont="1" applyAlignment="1">
      <alignment horizontal="left"/>
    </xf>
    <xf numFmtId="0" fontId="19" fillId="0" borderId="0" xfId="0" applyFont="1" applyAlignment="1">
      <alignment horizontal="left" vertical="top" wrapText="1"/>
    </xf>
    <xf numFmtId="49" fontId="18" fillId="0" borderId="0" xfId="0" applyNumberFormat="1" applyFont="1" applyAlignment="1">
      <alignment horizontal="left" vertical="top" wrapText="1"/>
    </xf>
    <xf numFmtId="0" fontId="16" fillId="5" borderId="1" xfId="0" applyFont="1" applyFill="1" applyBorder="1" applyAlignment="1">
      <alignment vertical="center" wrapText="1"/>
    </xf>
    <xf numFmtId="0" fontId="23" fillId="0" borderId="0" xfId="0" applyFont="1" applyAlignment="1">
      <alignment horizontal="left"/>
    </xf>
    <xf numFmtId="14" fontId="16" fillId="3" borderId="1" xfId="0" applyNumberFormat="1" applyFont="1" applyFill="1" applyBorder="1" applyAlignment="1">
      <alignment horizontal="center" vertical="center" wrapText="1"/>
    </xf>
    <xf numFmtId="0" fontId="56" fillId="2" borderId="1" xfId="0" applyFont="1" applyFill="1" applyBorder="1" applyAlignment="1">
      <alignment vertical="center" wrapText="1"/>
    </xf>
    <xf numFmtId="0" fontId="38" fillId="4" borderId="1" xfId="0" applyFont="1" applyFill="1" applyBorder="1" applyAlignment="1">
      <alignment vertical="center" wrapText="1"/>
    </xf>
    <xf numFmtId="0" fontId="58" fillId="4" borderId="1" xfId="0" applyFont="1" applyFill="1" applyBorder="1" applyAlignment="1">
      <alignment vertical="center" wrapText="1"/>
    </xf>
    <xf numFmtId="0" fontId="57" fillId="2" borderId="1" xfId="0" applyFont="1" applyFill="1" applyBorder="1" applyAlignment="1">
      <alignment vertical="center" wrapText="1"/>
    </xf>
    <xf numFmtId="0" fontId="56" fillId="10" borderId="2" xfId="0" applyFont="1" applyFill="1" applyBorder="1" applyAlignment="1">
      <alignment horizontal="left" vertical="center" wrapText="1"/>
    </xf>
    <xf numFmtId="43" fontId="58" fillId="4" borderId="1" xfId="1" applyFont="1" applyFill="1" applyBorder="1" applyAlignment="1">
      <alignment vertical="center" wrapText="1"/>
    </xf>
    <xf numFmtId="0" fontId="23" fillId="11" borderId="0" xfId="0" applyFont="1" applyFill="1"/>
    <xf numFmtId="0" fontId="16" fillId="10" borderId="0" xfId="0" applyFont="1" applyFill="1"/>
    <xf numFmtId="0" fontId="17" fillId="10" borderId="0" xfId="0" applyFont="1" applyFill="1" applyAlignment="1">
      <alignment vertical="center" wrapText="1"/>
    </xf>
    <xf numFmtId="0" fontId="16" fillId="10" borderId="0" xfId="0" applyFont="1" applyFill="1" applyAlignment="1">
      <alignment vertical="center" wrapText="1"/>
    </xf>
    <xf numFmtId="49" fontId="38" fillId="4" borderId="1" xfId="0" applyNumberFormat="1" applyFont="1" applyFill="1" applyBorder="1" applyAlignment="1">
      <alignment vertical="center" wrapText="1"/>
    </xf>
    <xf numFmtId="0" fontId="17" fillId="2" borderId="13" xfId="0" applyFont="1" applyFill="1" applyBorder="1" applyAlignment="1">
      <alignment vertical="center" wrapText="1"/>
    </xf>
    <xf numFmtId="0" fontId="16" fillId="0" borderId="13" xfId="0" applyFont="1" applyBorder="1" applyAlignment="1">
      <alignment vertical="center" wrapText="1"/>
    </xf>
    <xf numFmtId="0" fontId="55" fillId="12" borderId="25" xfId="0" applyFont="1" applyFill="1" applyBorder="1" applyAlignment="1">
      <alignment vertical="center" wrapText="1"/>
    </xf>
    <xf numFmtId="0" fontId="55" fillId="12" borderId="27" xfId="0" applyFont="1" applyFill="1" applyBorder="1" applyAlignment="1">
      <alignment vertical="center" wrapText="1"/>
    </xf>
    <xf numFmtId="43" fontId="16" fillId="12" borderId="28" xfId="1" applyFont="1" applyFill="1" applyBorder="1" applyAlignment="1">
      <alignment vertical="center" wrapText="1"/>
    </xf>
    <xf numFmtId="0" fontId="17" fillId="12" borderId="29" xfId="0" applyFont="1" applyFill="1" applyBorder="1" applyAlignment="1">
      <alignment vertical="center" wrapText="1"/>
    </xf>
    <xf numFmtId="43" fontId="16" fillId="12" borderId="30" xfId="1" applyFont="1" applyFill="1" applyBorder="1" applyAlignment="1">
      <alignment vertical="center" wrapText="1"/>
    </xf>
    <xf numFmtId="0" fontId="24" fillId="0" borderId="0" xfId="0" applyFont="1" applyAlignment="1">
      <alignment horizontal="left" wrapText="1"/>
    </xf>
    <xf numFmtId="0" fontId="18" fillId="0" borderId="0" xfId="0" applyFont="1" applyAlignment="1">
      <alignment vertical="center" wrapText="1"/>
    </xf>
    <xf numFmtId="0" fontId="17" fillId="2" borderId="1" xfId="0" applyFont="1" applyFill="1" applyBorder="1" applyAlignment="1">
      <alignment horizontal="left" vertical="center" wrapText="1"/>
    </xf>
    <xf numFmtId="0" fontId="62" fillId="0" borderId="0" xfId="0" applyFont="1" applyAlignment="1" applyProtection="1">
      <alignment horizontal="center" vertical="center"/>
      <protection hidden="1"/>
    </xf>
    <xf numFmtId="0" fontId="63" fillId="0" borderId="0" xfId="0" applyFont="1" applyAlignment="1" applyProtection="1">
      <alignment horizontal="center" vertical="center"/>
      <protection hidden="1"/>
    </xf>
    <xf numFmtId="0" fontId="27" fillId="0" borderId="0" xfId="0" applyFont="1" applyAlignment="1">
      <alignment horizontal="center"/>
    </xf>
    <xf numFmtId="0" fontId="18" fillId="0" borderId="0" xfId="0" applyFont="1" applyAlignment="1">
      <alignment horizontal="left" vertical="center" wrapText="1"/>
    </xf>
    <xf numFmtId="0" fontId="18" fillId="0" borderId="0" xfId="0" applyFont="1" applyAlignment="1">
      <alignment horizontal="center"/>
    </xf>
    <xf numFmtId="0" fontId="65" fillId="4" borderId="1" xfId="0" applyFont="1" applyFill="1" applyBorder="1" applyAlignment="1">
      <alignment vertical="center" wrapText="1"/>
    </xf>
    <xf numFmtId="0" fontId="64" fillId="0" borderId="1" xfId="0" applyFont="1" applyBorder="1" applyAlignment="1">
      <alignment vertical="center" wrapText="1"/>
    </xf>
    <xf numFmtId="170" fontId="64" fillId="0" borderId="1" xfId="0" applyNumberFormat="1" applyFont="1" applyBorder="1" applyAlignment="1">
      <alignment vertical="center" wrapText="1"/>
    </xf>
    <xf numFmtId="43" fontId="64" fillId="4" borderId="1" xfId="1" applyFont="1" applyFill="1" applyBorder="1" applyAlignment="1">
      <alignment vertical="center" wrapText="1"/>
    </xf>
    <xf numFmtId="170" fontId="64" fillId="4" borderId="1" xfId="0" applyNumberFormat="1" applyFont="1" applyFill="1" applyBorder="1" applyAlignment="1">
      <alignment vertical="center" wrapText="1"/>
    </xf>
    <xf numFmtId="0" fontId="18" fillId="5" borderId="0" xfId="0" applyFont="1" applyFill="1"/>
    <xf numFmtId="0" fontId="24" fillId="0" borderId="0" xfId="0" applyFont="1" applyAlignment="1">
      <alignment wrapText="1"/>
    </xf>
    <xf numFmtId="0" fontId="24" fillId="0" borderId="0" xfId="0" applyFont="1" applyAlignment="1">
      <alignment vertical="top" wrapText="1"/>
    </xf>
    <xf numFmtId="0" fontId="19" fillId="0" borderId="0" xfId="0" applyFont="1" applyAlignment="1">
      <alignment wrapText="1"/>
    </xf>
    <xf numFmtId="0" fontId="25" fillId="0" borderId="0" xfId="0" applyFont="1" applyAlignment="1">
      <alignment vertical="center"/>
    </xf>
    <xf numFmtId="0" fontId="21" fillId="0" borderId="0" xfId="0" applyFont="1" applyAlignment="1" applyProtection="1">
      <alignment horizontal="center" vertical="center"/>
      <protection hidden="1"/>
    </xf>
    <xf numFmtId="0" fontId="19" fillId="0" borderId="0" xfId="0" applyFont="1" applyAlignment="1">
      <alignment horizontal="center" vertical="center"/>
    </xf>
    <xf numFmtId="0" fontId="19" fillId="0" borderId="0" xfId="0" applyFont="1" applyAlignment="1">
      <alignment horizontal="right" wrapText="1"/>
    </xf>
    <xf numFmtId="0" fontId="66" fillId="0" borderId="0" xfId="0" applyFont="1"/>
    <xf numFmtId="0" fontId="18" fillId="0" borderId="0" xfId="0" applyFont="1" applyAlignment="1">
      <alignment horizontal="right"/>
    </xf>
    <xf numFmtId="49" fontId="18" fillId="0" borderId="0" xfId="0" applyNumberFormat="1" applyFont="1" applyAlignment="1">
      <alignment horizontal="right"/>
    </xf>
    <xf numFmtId="0" fontId="18" fillId="0" borderId="0" xfId="0" applyFont="1" applyAlignment="1">
      <alignment horizontal="left" wrapText="1"/>
    </xf>
    <xf numFmtId="0" fontId="18" fillId="5" borderId="0" xfId="0" applyFont="1" applyFill="1" applyAlignment="1">
      <alignment horizontal="left" wrapText="1"/>
    </xf>
    <xf numFmtId="0" fontId="18" fillId="5" borderId="0" xfId="0" applyFont="1" applyFill="1" applyAlignment="1">
      <alignment horizontal="left" vertical="center" wrapText="1"/>
    </xf>
    <xf numFmtId="0" fontId="23" fillId="0" borderId="0" xfId="0" applyFont="1" applyAlignment="1">
      <alignment vertical="center"/>
    </xf>
    <xf numFmtId="0" fontId="23" fillId="0" borderId="0" xfId="0" applyFont="1" applyAlignment="1">
      <alignment horizontal="right" vertical="center"/>
    </xf>
    <xf numFmtId="0" fontId="24" fillId="0" borderId="0" xfId="0" applyFont="1" applyAlignment="1">
      <alignment vertical="center"/>
    </xf>
    <xf numFmtId="0" fontId="67" fillId="4" borderId="0" xfId="0" applyFont="1" applyFill="1"/>
    <xf numFmtId="0" fontId="67" fillId="4" borderId="0" xfId="0" applyFont="1" applyFill="1" applyAlignment="1">
      <alignment vertical="center"/>
    </xf>
    <xf numFmtId="0" fontId="10" fillId="7" borderId="1" xfId="0" applyFont="1" applyFill="1" applyBorder="1" applyAlignment="1">
      <alignment vertical="center" wrapText="1"/>
    </xf>
    <xf numFmtId="14" fontId="18" fillId="0" borderId="0" xfId="0" applyNumberFormat="1" applyFont="1"/>
    <xf numFmtId="0" fontId="7" fillId="4" borderId="1" xfId="0" applyFont="1" applyFill="1" applyBorder="1" applyAlignment="1">
      <alignment vertical="center" wrapText="1"/>
    </xf>
    <xf numFmtId="49" fontId="7" fillId="4" borderId="1" xfId="0" applyNumberFormat="1" applyFont="1" applyFill="1" applyBorder="1" applyAlignment="1">
      <alignment vertical="center" wrapText="1"/>
    </xf>
    <xf numFmtId="0" fontId="17" fillId="3" borderId="31" xfId="0" applyFont="1" applyFill="1" applyBorder="1" applyAlignment="1">
      <alignment vertical="center" wrapText="1"/>
    </xf>
    <xf numFmtId="4" fontId="16" fillId="3" borderId="19" xfId="0" applyNumberFormat="1" applyFont="1" applyFill="1" applyBorder="1" applyAlignment="1">
      <alignment vertical="center" wrapText="1"/>
    </xf>
    <xf numFmtId="0" fontId="7" fillId="4" borderId="1" xfId="0" applyFont="1" applyFill="1" applyBorder="1" applyAlignment="1">
      <alignment horizontal="left" vertical="center" wrapText="1"/>
    </xf>
    <xf numFmtId="11" fontId="7" fillId="4" borderId="1" xfId="0" applyNumberFormat="1" applyFont="1" applyFill="1" applyBorder="1" applyAlignment="1">
      <alignment vertical="center" wrapText="1"/>
    </xf>
    <xf numFmtId="0" fontId="72" fillId="4" borderId="1" xfId="0" applyFont="1" applyFill="1" applyBorder="1" applyAlignment="1">
      <alignment horizontal="center" vertical="center" wrapText="1"/>
    </xf>
    <xf numFmtId="49" fontId="72" fillId="4" borderId="1" xfId="0" applyNumberFormat="1" applyFont="1" applyFill="1" applyBorder="1" applyAlignment="1">
      <alignment horizontal="center" vertical="center" wrapText="1"/>
    </xf>
    <xf numFmtId="169" fontId="72" fillId="4" borderId="1" xfId="0" applyNumberFormat="1" applyFont="1" applyFill="1" applyBorder="1" applyAlignment="1">
      <alignment horizontal="center" vertical="center" wrapText="1"/>
    </xf>
    <xf numFmtId="43" fontId="23" fillId="0" borderId="0" xfId="1" applyFont="1"/>
    <xf numFmtId="0" fontId="16" fillId="4" borderId="0" xfId="0" applyFont="1" applyFill="1"/>
    <xf numFmtId="0" fontId="16" fillId="4" borderId="1" xfId="0" applyFont="1" applyFill="1" applyBorder="1"/>
    <xf numFmtId="0" fontId="16" fillId="4" borderId="1" xfId="0" applyFont="1" applyFill="1" applyBorder="1" applyAlignment="1">
      <alignment wrapText="1"/>
    </xf>
    <xf numFmtId="10" fontId="38" fillId="4" borderId="0" xfId="287" applyNumberFormat="1" applyFont="1" applyFill="1" applyAlignment="1">
      <alignment horizontal="center"/>
    </xf>
    <xf numFmtId="0" fontId="38" fillId="4" borderId="0" xfId="0" applyFont="1" applyFill="1" applyAlignment="1">
      <alignment horizontal="center"/>
    </xf>
    <xf numFmtId="0" fontId="38" fillId="4" borderId="0" xfId="0" applyFont="1" applyFill="1"/>
    <xf numFmtId="43" fontId="16" fillId="4" borderId="0" xfId="0" applyNumberFormat="1" applyFont="1" applyFill="1"/>
    <xf numFmtId="14" fontId="16" fillId="4" borderId="0" xfId="0" applyNumberFormat="1" applyFont="1" applyFill="1"/>
    <xf numFmtId="0" fontId="61" fillId="4" borderId="16" xfId="0" applyFont="1" applyFill="1" applyBorder="1"/>
    <xf numFmtId="164" fontId="16" fillId="4" borderId="3" xfId="0" applyNumberFormat="1" applyFont="1" applyFill="1" applyBorder="1" applyAlignment="1">
      <alignment horizontal="left" vertical="top" wrapText="1"/>
    </xf>
    <xf numFmtId="168" fontId="17" fillId="4" borderId="0" xfId="0" applyNumberFormat="1" applyFont="1" applyFill="1"/>
    <xf numFmtId="0" fontId="10" fillId="4" borderId="0" xfId="0" applyFont="1" applyFill="1"/>
    <xf numFmtId="0" fontId="16" fillId="4" borderId="19" xfId="0" applyFont="1" applyFill="1" applyBorder="1"/>
    <xf numFmtId="0" fontId="16" fillId="4" borderId="20" xfId="0" applyFont="1" applyFill="1" applyBorder="1"/>
    <xf numFmtId="0" fontId="16" fillId="4"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6" fillId="4" borderId="1" xfId="0" applyFont="1" applyFill="1" applyBorder="1" applyAlignment="1">
      <alignment horizontal="left" vertical="center"/>
    </xf>
    <xf numFmtId="0" fontId="16" fillId="4" borderId="1" xfId="0" applyFont="1" applyFill="1" applyBorder="1" applyAlignment="1">
      <alignment horizontal="left" vertical="center" wrapText="1"/>
    </xf>
    <xf numFmtId="0" fontId="17" fillId="4" borderId="0" xfId="0" applyFont="1" applyFill="1" applyAlignment="1">
      <alignment vertical="center"/>
    </xf>
    <xf numFmtId="0" fontId="16" fillId="4" borderId="13" xfId="0" applyFont="1" applyFill="1" applyBorder="1" applyAlignment="1">
      <alignment vertical="center"/>
    </xf>
    <xf numFmtId="0" fontId="16" fillId="4" borderId="15" xfId="0" applyFont="1" applyFill="1" applyBorder="1" applyAlignment="1">
      <alignment vertical="center"/>
    </xf>
    <xf numFmtId="0" fontId="17" fillId="4" borderId="0" xfId="0" applyFont="1" applyFill="1"/>
    <xf numFmtId="0" fontId="17" fillId="4" borderId="0" xfId="0" applyFont="1" applyFill="1" applyAlignment="1">
      <alignment wrapText="1"/>
    </xf>
    <xf numFmtId="164" fontId="16" fillId="4" borderId="1" xfId="0" applyNumberFormat="1" applyFont="1" applyFill="1" applyBorder="1" applyAlignment="1">
      <alignment vertical="center" wrapText="1"/>
    </xf>
    <xf numFmtId="164" fontId="16" fillId="4" borderId="0" xfId="0" applyNumberFormat="1" applyFont="1" applyFill="1" applyAlignment="1">
      <alignment vertical="center" wrapText="1"/>
    </xf>
    <xf numFmtId="49" fontId="16" fillId="4" borderId="0" xfId="0" applyNumberFormat="1" applyFont="1" applyFill="1"/>
    <xf numFmtId="0" fontId="7" fillId="6" borderId="1" xfId="0" applyFont="1" applyFill="1" applyBorder="1" applyAlignment="1">
      <alignment vertical="center" wrapText="1"/>
    </xf>
    <xf numFmtId="169" fontId="7" fillId="4" borderId="1" xfId="0" applyNumberFormat="1" applyFont="1" applyFill="1" applyBorder="1" applyAlignment="1">
      <alignment vertical="center" wrapText="1"/>
    </xf>
    <xf numFmtId="14" fontId="20" fillId="4" borderId="1" xfId="0" applyNumberFormat="1" applyFont="1" applyFill="1" applyBorder="1" applyAlignment="1">
      <alignment horizontal="center" vertical="center" wrapText="1"/>
    </xf>
    <xf numFmtId="0" fontId="73" fillId="10" borderId="24" xfId="0" applyFont="1" applyFill="1" applyBorder="1" applyAlignment="1">
      <alignment horizontal="left" vertical="center" wrapText="1"/>
    </xf>
    <xf numFmtId="0" fontId="73" fillId="2" borderId="1" xfId="0" applyFont="1" applyFill="1" applyBorder="1" applyAlignment="1">
      <alignment horizontal="left" vertical="center" wrapText="1"/>
    </xf>
    <xf numFmtId="0" fontId="7" fillId="4" borderId="1" xfId="0" applyFont="1" applyFill="1" applyBorder="1" applyAlignment="1">
      <alignment horizontal="left" vertical="center"/>
    </xf>
    <xf numFmtId="14" fontId="7" fillId="4" borderId="1" xfId="0" applyNumberFormat="1" applyFont="1" applyFill="1" applyBorder="1"/>
    <xf numFmtId="0" fontId="7" fillId="4" borderId="1" xfId="0" applyFont="1" applyFill="1" applyBorder="1"/>
    <xf numFmtId="49" fontId="7" fillId="4" borderId="1" xfId="0" applyNumberFormat="1" applyFont="1" applyFill="1" applyBorder="1"/>
    <xf numFmtId="0" fontId="7" fillId="4" borderId="0" xfId="0" applyFont="1" applyFill="1"/>
    <xf numFmtId="0" fontId="7" fillId="0" borderId="1" xfId="0" applyFont="1" applyBorder="1" applyAlignment="1">
      <alignment vertical="center" wrapText="1"/>
    </xf>
    <xf numFmtId="43" fontId="16" fillId="3" borderId="3" xfId="1" applyFont="1" applyFill="1" applyBorder="1" applyAlignment="1">
      <alignment vertical="center" wrapText="1"/>
    </xf>
    <xf numFmtId="43" fontId="7" fillId="0" borderId="1" xfId="1" applyFont="1" applyBorder="1" applyAlignment="1">
      <alignment vertical="center" wrapText="1"/>
    </xf>
    <xf numFmtId="49" fontId="7" fillId="0" borderId="1" xfId="0" applyNumberFormat="1" applyFont="1" applyBorder="1" applyAlignment="1">
      <alignment vertical="center" wrapText="1"/>
    </xf>
    <xf numFmtId="0" fontId="7" fillId="4" borderId="1" xfId="0" applyFont="1" applyFill="1" applyBorder="1" applyAlignment="1">
      <alignment horizontal="left"/>
    </xf>
    <xf numFmtId="0" fontId="24" fillId="0" borderId="0" xfId="0" applyFont="1" applyAlignment="1">
      <alignment horizontal="left"/>
    </xf>
    <xf numFmtId="0" fontId="7" fillId="12" borderId="26" xfId="0" applyFont="1" applyFill="1" applyBorder="1" applyAlignment="1">
      <alignment vertical="center" wrapText="1"/>
    </xf>
    <xf numFmtId="49" fontId="7" fillId="4" borderId="1" xfId="0" applyNumberFormat="1" applyFont="1" applyFill="1" applyBorder="1" applyAlignment="1">
      <alignment horizontal="left" vertical="center" wrapText="1"/>
    </xf>
    <xf numFmtId="169" fontId="7" fillId="4" borderId="1" xfId="0" applyNumberFormat="1" applyFont="1" applyFill="1" applyBorder="1" applyAlignment="1">
      <alignment horizontal="left" vertical="top" wrapText="1"/>
    </xf>
    <xf numFmtId="14" fontId="20" fillId="2" borderId="1" xfId="0" applyNumberFormat="1" applyFont="1" applyFill="1" applyBorder="1" applyAlignment="1">
      <alignment horizontal="center" vertical="center" wrapText="1"/>
    </xf>
    <xf numFmtId="0" fontId="17" fillId="2" borderId="1" xfId="0" applyFont="1" applyFill="1" applyBorder="1" applyAlignment="1">
      <alignment vertical="center" wrapText="1"/>
    </xf>
    <xf numFmtId="0" fontId="17" fillId="2" borderId="1"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wrapText="1"/>
    </xf>
    <xf numFmtId="0" fontId="17" fillId="2" borderId="15"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8" fillId="0" borderId="0" xfId="0" applyFont="1" applyAlignment="1">
      <alignment horizontal="left" vertical="top" wrapText="1"/>
    </xf>
    <xf numFmtId="0" fontId="19" fillId="0" borderId="0" xfId="0" applyFont="1" applyAlignment="1">
      <alignment horizontal="right" vertical="center" wrapText="1"/>
    </xf>
    <xf numFmtId="0" fontId="19" fillId="0" borderId="0" xfId="0" applyFont="1" applyAlignment="1">
      <alignment horizontal="center" vertical="center" wrapText="1"/>
    </xf>
    <xf numFmtId="0" fontId="19" fillId="0" borderId="0" xfId="0" applyFont="1" applyAlignment="1">
      <alignment horizontal="center"/>
    </xf>
    <xf numFmtId="0" fontId="19" fillId="0" borderId="0" xfId="0" applyFont="1" applyAlignment="1">
      <alignment horizontal="center" vertical="center"/>
    </xf>
    <xf numFmtId="0" fontId="19" fillId="0" borderId="0" xfId="0" applyFont="1" applyAlignment="1">
      <alignment horizontal="center" wrapText="1"/>
    </xf>
    <xf numFmtId="49" fontId="18" fillId="0" borderId="0" xfId="0" applyNumberFormat="1" applyFont="1" applyAlignment="1">
      <alignment horizontal="left" vertical="top" wrapText="1"/>
    </xf>
    <xf numFmtId="0" fontId="40" fillId="0" borderId="0" xfId="0" applyFont="1" applyAlignment="1">
      <alignment horizontal="left"/>
    </xf>
    <xf numFmtId="0" fontId="19" fillId="0" borderId="0" xfId="0" applyFont="1" applyAlignment="1">
      <alignment horizontal="center" vertical="top" wrapText="1"/>
    </xf>
    <xf numFmtId="0" fontId="18" fillId="0" borderId="0" xfId="0" applyFont="1" applyAlignment="1">
      <alignment vertical="top" wrapText="1"/>
    </xf>
    <xf numFmtId="0" fontId="37" fillId="5" borderId="0" xfId="0" applyFont="1" applyFill="1" applyAlignment="1">
      <alignment horizontal="left" vertical="top" wrapText="1"/>
    </xf>
    <xf numFmtId="0" fontId="40" fillId="0" borderId="0" xfId="0" applyFont="1" applyAlignment="1">
      <alignment horizontal="center" vertical="top" wrapText="1"/>
    </xf>
    <xf numFmtId="0" fontId="18" fillId="5" borderId="0" xfId="0" applyFont="1" applyFill="1" applyAlignment="1">
      <alignment horizontal="left" vertical="top" wrapText="1"/>
    </xf>
    <xf numFmtId="0" fontId="23" fillId="0" borderId="0" xfId="0" applyFont="1" applyAlignment="1">
      <alignment horizontal="justify" vertical="top" wrapText="1"/>
    </xf>
    <xf numFmtId="0" fontId="23" fillId="0" borderId="0" xfId="0" applyFont="1" applyAlignment="1">
      <alignment horizontal="left" vertical="top" wrapText="1"/>
    </xf>
    <xf numFmtId="0" fontId="24" fillId="0" borderId="0" xfId="0" applyFont="1" applyAlignment="1">
      <alignment horizontal="center" vertical="top" wrapText="1"/>
    </xf>
    <xf numFmtId="0" fontId="24" fillId="0" borderId="0" xfId="0" applyFont="1" applyAlignment="1">
      <alignment horizontal="left" vertical="center" wrapText="1"/>
    </xf>
    <xf numFmtId="0" fontId="23" fillId="0" borderId="0" xfId="0" applyFont="1" applyAlignment="1">
      <alignment horizontal="left" vertical="center" wrapText="1"/>
    </xf>
    <xf numFmtId="0" fontId="24" fillId="0" borderId="0" xfId="0" applyFont="1" applyAlignment="1">
      <alignment horizontal="center" vertical="center" wrapText="1"/>
    </xf>
    <xf numFmtId="0" fontId="42" fillId="0" borderId="0" xfId="0" applyFont="1" applyAlignment="1">
      <alignment horizontal="center" vertical="center" wrapText="1"/>
    </xf>
    <xf numFmtId="0" fontId="53" fillId="0" borderId="0" xfId="0" applyFont="1" applyAlignment="1">
      <alignment horizontal="justify" vertical="top" wrapText="1"/>
    </xf>
    <xf numFmtId="0" fontId="42" fillId="0" borderId="0" xfId="0" applyFont="1" applyAlignment="1">
      <alignment horizontal="right"/>
    </xf>
    <xf numFmtId="0" fontId="42" fillId="0" borderId="0" xfId="0" applyFont="1" applyAlignment="1">
      <alignment horizontal="center"/>
    </xf>
    <xf numFmtId="0" fontId="36" fillId="0" borderId="1" xfId="0" applyFont="1" applyBorder="1" applyAlignment="1">
      <alignment horizontal="center" vertical="center"/>
    </xf>
    <xf numFmtId="0" fontId="36" fillId="0" borderId="1" xfId="0" applyFont="1" applyBorder="1" applyAlignment="1">
      <alignment horizontal="center" vertical="center" wrapText="1"/>
    </xf>
    <xf numFmtId="0" fontId="36" fillId="0" borderId="1" xfId="0" applyFont="1" applyBorder="1" applyAlignment="1">
      <alignment horizontal="center"/>
    </xf>
    <xf numFmtId="0" fontId="36" fillId="0" borderId="0" xfId="0" applyFont="1" applyAlignment="1">
      <alignment horizontal="center" vertical="top" wrapText="1"/>
    </xf>
    <xf numFmtId="0" fontId="36" fillId="0" borderId="0" xfId="0" applyFont="1" applyAlignment="1">
      <alignment horizontal="justify" vertical="top" wrapText="1"/>
    </xf>
    <xf numFmtId="0" fontId="43" fillId="0" borderId="0" xfId="0" applyFont="1" applyAlignment="1">
      <alignment horizontal="center" vertical="center" wrapText="1"/>
    </xf>
    <xf numFmtId="0" fontId="42" fillId="0" borderId="0" xfId="0" applyFont="1" applyAlignment="1">
      <alignment horizontal="center" wrapText="1"/>
    </xf>
    <xf numFmtId="0" fontId="42" fillId="0" borderId="0" xfId="0" applyFont="1" applyAlignment="1">
      <alignment horizontal="center" vertical="top" wrapText="1"/>
    </xf>
    <xf numFmtId="0" fontId="36" fillId="0" borderId="0" xfId="0" applyFont="1" applyAlignment="1">
      <alignment horizontal="center"/>
    </xf>
    <xf numFmtId="0" fontId="36" fillId="0" borderId="0" xfId="0" applyFont="1" applyAlignment="1">
      <alignment horizontal="left" wrapText="1"/>
    </xf>
    <xf numFmtId="0" fontId="44" fillId="0" borderId="0" xfId="0" applyFont="1" applyAlignment="1">
      <alignment horizontal="center" vertical="top" wrapText="1"/>
    </xf>
    <xf numFmtId="0" fontId="36" fillId="0" borderId="0" xfId="0" applyFont="1" applyAlignment="1">
      <alignment horizontal="center" wrapText="1"/>
    </xf>
    <xf numFmtId="0" fontId="24" fillId="0" borderId="0" xfId="0" applyFont="1" applyAlignment="1">
      <alignment horizontal="right"/>
    </xf>
    <xf numFmtId="0" fontId="24" fillId="0" borderId="0" xfId="0" applyFont="1" applyAlignment="1">
      <alignment horizontal="center"/>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0" fontId="23" fillId="0" borderId="1" xfId="0" applyFont="1" applyBorder="1" applyAlignment="1">
      <alignment horizontal="center"/>
    </xf>
    <xf numFmtId="0" fontId="23" fillId="0" borderId="0" xfId="0" applyFont="1" applyAlignment="1">
      <alignment horizontal="center" vertical="top" wrapText="1"/>
    </xf>
    <xf numFmtId="0" fontId="29" fillId="0" borderId="0" xfId="0" applyFont="1" applyAlignment="1">
      <alignment horizontal="center" vertical="center" wrapText="1"/>
    </xf>
    <xf numFmtId="0" fontId="24" fillId="0" borderId="0" xfId="0" applyFont="1" applyAlignment="1">
      <alignment horizontal="center" wrapText="1"/>
    </xf>
    <xf numFmtId="0" fontId="23" fillId="0" borderId="0" xfId="0" applyFont="1" applyAlignment="1">
      <alignment horizontal="center"/>
    </xf>
    <xf numFmtId="0" fontId="23" fillId="0" borderId="0" xfId="0" applyFont="1" applyAlignment="1">
      <alignment horizontal="left" wrapText="1"/>
    </xf>
    <xf numFmtId="0" fontId="28" fillId="0" borderId="0" xfId="0" applyFont="1" applyAlignment="1">
      <alignment horizontal="center" vertical="top" wrapText="1"/>
    </xf>
    <xf numFmtId="0" fontId="23" fillId="0" borderId="0" xfId="0" applyFont="1" applyAlignment="1">
      <alignment horizontal="center" wrapText="1"/>
    </xf>
    <xf numFmtId="0" fontId="24" fillId="0" borderId="0" xfId="0" applyFont="1" applyAlignment="1">
      <alignment horizontal="left" vertical="top"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34" fillId="0" borderId="0" xfId="0" applyFont="1" applyAlignment="1">
      <alignment horizontal="right" vertical="top"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42" fillId="0" borderId="0" xfId="0" applyFont="1" applyAlignment="1">
      <alignment horizontal="left" vertical="center" wrapText="1"/>
    </xf>
    <xf numFmtId="0" fontId="24" fillId="0" borderId="0" xfId="0" applyFont="1" applyAlignment="1">
      <alignment horizontal="right" vertical="center" wrapText="1"/>
    </xf>
    <xf numFmtId="0" fontId="59" fillId="0" borderId="0" xfId="0" applyFont="1" applyAlignment="1">
      <alignment horizontal="center" wrapText="1"/>
    </xf>
    <xf numFmtId="0" fontId="24" fillId="0" borderId="0" xfId="0" applyFont="1" applyAlignment="1">
      <alignment horizontal="right" vertical="top" wrapText="1"/>
    </xf>
    <xf numFmtId="0" fontId="18" fillId="0" borderId="0" xfId="0" applyFont="1" applyAlignment="1">
      <alignment horizontal="left" vertical="center" wrapText="1"/>
    </xf>
    <xf numFmtId="0" fontId="19" fillId="0" borderId="0" xfId="0" applyFont="1" applyAlignment="1">
      <alignment horizontal="left" vertical="center" wrapText="1"/>
    </xf>
    <xf numFmtId="0" fontId="19" fillId="0" borderId="0" xfId="0" applyFont="1" applyAlignment="1">
      <alignment horizontal="left" vertical="top" wrapText="1"/>
    </xf>
    <xf numFmtId="0" fontId="19" fillId="0" borderId="0" xfId="0" applyFont="1" applyAlignment="1">
      <alignment horizontal="right" vertical="center"/>
    </xf>
    <xf numFmtId="0" fontId="18" fillId="0" borderId="0" xfId="0" applyFont="1" applyAlignment="1">
      <alignment horizontal="justify" vertical="top" wrapText="1"/>
    </xf>
    <xf numFmtId="0" fontId="18" fillId="8" borderId="0" xfId="0" applyFont="1" applyFill="1" applyAlignment="1">
      <alignment horizontal="justify" vertical="top" wrapText="1"/>
    </xf>
    <xf numFmtId="0" fontId="18" fillId="0" borderId="0" xfId="0" applyFont="1" applyAlignment="1">
      <alignment horizontal="center" vertical="center" wrapText="1"/>
    </xf>
    <xf numFmtId="0" fontId="23" fillId="0" borderId="8" xfId="0" applyFont="1" applyBorder="1" applyAlignment="1">
      <alignment horizontal="center" wrapText="1"/>
    </xf>
    <xf numFmtId="0" fontId="23" fillId="0" borderId="9"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33" fillId="0" borderId="5" xfId="0" applyFont="1" applyBorder="1" applyAlignment="1">
      <alignment horizontal="center" wrapText="1"/>
    </xf>
    <xf numFmtId="0" fontId="33" fillId="0" borderId="6" xfId="0" applyFont="1" applyBorder="1" applyAlignment="1">
      <alignment horizontal="center" wrapText="1"/>
    </xf>
    <xf numFmtId="0" fontId="33" fillId="0" borderId="7" xfId="0" applyFont="1" applyBorder="1" applyAlignment="1">
      <alignment horizontal="center" wrapText="1"/>
    </xf>
    <xf numFmtId="0" fontId="41" fillId="0" borderId="8" xfId="0" applyFont="1" applyBorder="1" applyAlignment="1">
      <alignment horizontal="center" wrapText="1"/>
    </xf>
    <xf numFmtId="0" fontId="41" fillId="0" borderId="0" xfId="0" applyFont="1" applyAlignment="1">
      <alignment horizontal="center" wrapText="1"/>
    </xf>
    <xf numFmtId="0" fontId="41" fillId="0" borderId="9" xfId="0" applyFont="1" applyBorder="1" applyAlignment="1">
      <alignment horizontal="center" wrapText="1"/>
    </xf>
    <xf numFmtId="0" fontId="24" fillId="0" borderId="10" xfId="0" applyFont="1" applyBorder="1" applyAlignment="1">
      <alignment horizontal="center" wrapText="1"/>
    </xf>
    <xf numFmtId="0" fontId="24" fillId="0" borderId="11" xfId="0" applyFont="1" applyBorder="1" applyAlignment="1">
      <alignment horizontal="center" wrapText="1"/>
    </xf>
    <xf numFmtId="0" fontId="24" fillId="0" borderId="12" xfId="0" applyFont="1" applyBorder="1" applyAlignment="1">
      <alignment horizontal="center" wrapText="1"/>
    </xf>
    <xf numFmtId="0" fontId="24" fillId="0" borderId="8" xfId="0" applyFont="1" applyBorder="1" applyAlignment="1">
      <alignment horizontal="left" wrapText="1"/>
    </xf>
    <xf numFmtId="0" fontId="24" fillId="0" borderId="0" xfId="0" applyFont="1" applyAlignment="1">
      <alignment horizontal="left" wrapText="1"/>
    </xf>
    <xf numFmtId="0" fontId="24" fillId="0" borderId="9" xfId="0" applyFont="1" applyBorder="1" applyAlignment="1">
      <alignment horizontal="left" wrapText="1"/>
    </xf>
    <xf numFmtId="0" fontId="26" fillId="0" borderId="0" xfId="0" applyFont="1" applyAlignment="1">
      <alignment horizontal="justify" vertical="top" wrapText="1"/>
    </xf>
    <xf numFmtId="0" fontId="26" fillId="0" borderId="0" xfId="0" applyFont="1" applyAlignment="1">
      <alignment horizontal="center" vertical="top" wrapText="1"/>
    </xf>
    <xf numFmtId="0" fontId="26" fillId="0" borderId="4" xfId="0" applyFont="1" applyBorder="1" applyAlignment="1">
      <alignment horizontal="center" vertical="top" wrapText="1"/>
    </xf>
    <xf numFmtId="49" fontId="26" fillId="0" borderId="0" xfId="0" applyNumberFormat="1" applyFont="1" applyAlignment="1">
      <alignment horizontal="center" vertical="center" wrapText="1"/>
    </xf>
    <xf numFmtId="0" fontId="25" fillId="0" borderId="0" xfId="0" applyFont="1" applyAlignment="1">
      <alignment horizontal="center" vertical="top" wrapText="1"/>
    </xf>
    <xf numFmtId="0" fontId="26" fillId="0" borderId="0" xfId="0" applyFont="1" applyAlignment="1">
      <alignment horizontal="left" vertical="top" wrapText="1"/>
    </xf>
    <xf numFmtId="0" fontId="23" fillId="0" borderId="0" xfId="0" applyFont="1" applyAlignment="1">
      <alignment horizontal="center" vertical="center"/>
    </xf>
    <xf numFmtId="49" fontId="23" fillId="0" borderId="0" xfId="0" applyNumberFormat="1" applyFont="1" applyAlignment="1">
      <alignment horizontal="justify" vertical="top" wrapText="1"/>
    </xf>
    <xf numFmtId="0" fontId="18" fillId="0" borderId="0" xfId="0" applyFont="1" applyAlignment="1">
      <alignment horizontal="justify" wrapText="1"/>
    </xf>
    <xf numFmtId="0" fontId="19" fillId="0" borderId="0" xfId="0" applyFont="1" applyAlignment="1">
      <alignment horizontal="right" vertical="top" wrapText="1"/>
    </xf>
    <xf numFmtId="0" fontId="46" fillId="0" borderId="0" xfId="0" applyFont="1" applyAlignment="1">
      <alignment horizontal="justify" vertical="top" wrapText="1"/>
    </xf>
    <xf numFmtId="0" fontId="46" fillId="0" borderId="0" xfId="0" applyFont="1" applyAlignment="1">
      <alignment horizontal="justify" vertical="center" wrapText="1"/>
    </xf>
    <xf numFmtId="0" fontId="23" fillId="0" borderId="0" xfId="0" applyFont="1" applyAlignment="1">
      <alignment horizontal="left"/>
    </xf>
    <xf numFmtId="0" fontId="47" fillId="0" borderId="0" xfId="0" applyFont="1" applyAlignment="1">
      <alignment vertical="center" wrapText="1"/>
    </xf>
    <xf numFmtId="0" fontId="23" fillId="0" borderId="0" xfId="0" applyFont="1" applyAlignment="1">
      <alignment vertical="top" wrapText="1"/>
    </xf>
    <xf numFmtId="0" fontId="47" fillId="0" borderId="0" xfId="0" applyFont="1" applyAlignment="1">
      <alignment horizontal="justify" vertical="center" wrapText="1"/>
    </xf>
    <xf numFmtId="0" fontId="26" fillId="0" borderId="0" xfId="0" applyFont="1" applyAlignment="1">
      <alignment horizontal="left" wrapText="1"/>
    </xf>
    <xf numFmtId="0" fontId="26" fillId="0" borderId="1" xfId="0" applyFont="1" applyBorder="1" applyAlignment="1">
      <alignment horizontal="center" vertical="center" wrapText="1"/>
    </xf>
    <xf numFmtId="0" fontId="26" fillId="0" borderId="0" xfId="0" applyFont="1" applyAlignment="1">
      <alignment horizontal="left"/>
    </xf>
    <xf numFmtId="0" fontId="25" fillId="8" borderId="3" xfId="0" applyFont="1" applyFill="1" applyBorder="1" applyAlignment="1">
      <alignment horizontal="center" vertical="center" wrapText="1"/>
    </xf>
    <xf numFmtId="0" fontId="25" fillId="8" borderId="2" xfId="0" applyFont="1" applyFill="1" applyBorder="1" applyAlignment="1">
      <alignment horizontal="center" vertical="center" wrapText="1"/>
    </xf>
    <xf numFmtId="0" fontId="25" fillId="0" borderId="0" xfId="0" applyFont="1" applyAlignment="1">
      <alignment horizontal="center" wrapText="1"/>
    </xf>
    <xf numFmtId="0" fontId="49" fillId="0" borderId="0" xfId="0" applyFont="1" applyAlignment="1">
      <alignment horizontal="left" vertical="center" wrapText="1" readingOrder="1"/>
    </xf>
    <xf numFmtId="0" fontId="26" fillId="0" borderId="0" xfId="0" applyFont="1" applyAlignment="1">
      <alignment horizontal="justify" vertical="top" wrapText="1" readingOrder="1"/>
    </xf>
    <xf numFmtId="0" fontId="25" fillId="0" borderId="4" xfId="0" applyFont="1" applyBorder="1" applyAlignment="1">
      <alignment horizontal="left" vertical="top"/>
    </xf>
    <xf numFmtId="0" fontId="26" fillId="0" borderId="3" xfId="0" applyFont="1" applyBorder="1" applyAlignment="1">
      <alignment horizontal="center" vertical="center" wrapText="1"/>
    </xf>
    <xf numFmtId="0" fontId="26" fillId="0" borderId="2" xfId="0" applyFont="1" applyBorder="1" applyAlignment="1">
      <alignment horizontal="center" vertical="center" wrapText="1"/>
    </xf>
    <xf numFmtId="0" fontId="23" fillId="0" borderId="17" xfId="0" applyFont="1" applyBorder="1" applyAlignment="1">
      <alignment horizontal="left" vertical="center"/>
    </xf>
    <xf numFmtId="0" fontId="23" fillId="0" borderId="0" xfId="0" applyFont="1" applyAlignment="1">
      <alignment horizontal="left" vertical="center"/>
    </xf>
    <xf numFmtId="0" fontId="37" fillId="0" borderId="0" xfId="0" applyFont="1" applyAlignment="1">
      <alignment horizontal="center"/>
    </xf>
    <xf numFmtId="0" fontId="37" fillId="0" borderId="3" xfId="0" applyFont="1" applyBorder="1" applyAlignment="1">
      <alignment horizontal="justify" vertical="center" wrapText="1"/>
    </xf>
    <xf numFmtId="0" fontId="37" fillId="0" borderId="18" xfId="0" applyFont="1" applyBorder="1" applyAlignment="1">
      <alignment horizontal="justify" vertical="center" wrapText="1"/>
    </xf>
    <xf numFmtId="0" fontId="37" fillId="0" borderId="2" xfId="0" applyFont="1" applyBorder="1" applyAlignment="1">
      <alignment horizontal="justify" vertical="center" wrapText="1"/>
    </xf>
    <xf numFmtId="0" fontId="37" fillId="0" borderId="3" xfId="0" applyFont="1" applyBorder="1" applyAlignment="1">
      <alignment horizontal="justify" vertical="center"/>
    </xf>
    <xf numFmtId="0" fontId="37" fillId="0" borderId="2" xfId="0" applyFont="1" applyBorder="1" applyAlignment="1">
      <alignment horizontal="justify" vertical="center"/>
    </xf>
    <xf numFmtId="0" fontId="37" fillId="0" borderId="21" xfId="0" applyFont="1" applyBorder="1" applyAlignment="1">
      <alignment horizontal="justify" vertical="center"/>
    </xf>
    <xf numFmtId="0" fontId="37" fillId="0" borderId="17" xfId="0" applyFont="1" applyBorder="1" applyAlignment="1">
      <alignment horizontal="justify" vertical="center"/>
    </xf>
    <xf numFmtId="0" fontId="37" fillId="0" borderId="22" xfId="0" applyFont="1" applyBorder="1" applyAlignment="1">
      <alignment horizontal="justify" vertical="center"/>
    </xf>
    <xf numFmtId="0" fontId="37" fillId="0" borderId="20" xfId="0" applyFont="1" applyBorder="1" applyAlignment="1">
      <alignment horizontal="justify" vertical="center"/>
    </xf>
    <xf numFmtId="0" fontId="37" fillId="0" borderId="4" xfId="0" applyFont="1" applyBorder="1" applyAlignment="1">
      <alignment horizontal="justify" vertical="center"/>
    </xf>
    <xf numFmtId="0" fontId="37" fillId="0" borderId="23" xfId="0" applyFont="1" applyBorder="1" applyAlignment="1">
      <alignment horizontal="justify" vertical="center"/>
    </xf>
    <xf numFmtId="0" fontId="37" fillId="0" borderId="1" xfId="0" applyFont="1" applyBorder="1" applyAlignment="1">
      <alignment horizontal="justify" vertical="center" wrapText="1"/>
    </xf>
    <xf numFmtId="0" fontId="37" fillId="0" borderId="17" xfId="0" applyFont="1" applyBorder="1" applyAlignment="1">
      <alignment horizontal="justify" vertical="center" wrapText="1"/>
    </xf>
    <xf numFmtId="0" fontId="37" fillId="0" borderId="11" xfId="0" applyFont="1" applyBorder="1" applyAlignment="1">
      <alignment horizontal="justify"/>
    </xf>
    <xf numFmtId="0" fontId="37" fillId="0" borderId="0" xfId="0" applyFont="1" applyAlignment="1">
      <alignment horizontal="justify" vertical="center" wrapText="1"/>
    </xf>
  </cellXfs>
  <cellStyles count="51496">
    <cellStyle name="Normal" xfId="51486" xr:uid="{00000000-0005-0000-0000-000000000000}"/>
    <cellStyle name="Обычный" xfId="0" builtinId="0"/>
    <cellStyle name="Обычный 10" xfId="72" xr:uid="{00000000-0005-0000-0000-000002000000}"/>
    <cellStyle name="Обычный 10 10" xfId="4326" xr:uid="{00000000-0005-0000-0000-000003000000}"/>
    <cellStyle name="Обычный 10 10 2" xfId="16305" xr:uid="{00000000-0005-0000-0000-000004000000}"/>
    <cellStyle name="Обычный 10 10 2 2" xfId="40260" xr:uid="{00000000-0005-0000-0000-000005000000}"/>
    <cellStyle name="Обычный 10 10 3" xfId="28283" xr:uid="{00000000-0005-0000-0000-000006000000}"/>
    <cellStyle name="Обычный 10 11" xfId="6113" xr:uid="{00000000-0005-0000-0000-000007000000}"/>
    <cellStyle name="Обычный 10 11 2" xfId="18091" xr:uid="{00000000-0005-0000-0000-000008000000}"/>
    <cellStyle name="Обычный 10 11 2 2" xfId="42046" xr:uid="{00000000-0005-0000-0000-000009000000}"/>
    <cellStyle name="Обычный 10 11 3" xfId="30068" xr:uid="{00000000-0005-0000-0000-00000A000000}"/>
    <cellStyle name="Обычный 10 12" xfId="8720" xr:uid="{00000000-0005-0000-0000-00000B000000}"/>
    <cellStyle name="Обычный 10 12 2" xfId="20698" xr:uid="{00000000-0005-0000-0000-00000C000000}"/>
    <cellStyle name="Обычный 10 12 2 2" xfId="44653" xr:uid="{00000000-0005-0000-0000-00000D000000}"/>
    <cellStyle name="Обычный 10 12 3" xfId="32675" xr:uid="{00000000-0005-0000-0000-00000E000000}"/>
    <cellStyle name="Обычный 10 13" xfId="12054" xr:uid="{00000000-0005-0000-0000-00000F000000}"/>
    <cellStyle name="Обычный 10 13 2" xfId="36009" xr:uid="{00000000-0005-0000-0000-000010000000}"/>
    <cellStyle name="Обычный 10 14" xfId="24032" xr:uid="{00000000-0005-0000-0000-000011000000}"/>
    <cellStyle name="Обычный 10 15" xfId="47990" xr:uid="{00000000-0005-0000-0000-000012000000}"/>
    <cellStyle name="Обычный 10 2" xfId="208" xr:uid="{00000000-0005-0000-0000-000013000000}"/>
    <cellStyle name="Обычный 10 2 10" xfId="8856" xr:uid="{00000000-0005-0000-0000-000014000000}"/>
    <cellStyle name="Обычный 10 2 10 2" xfId="20834" xr:uid="{00000000-0005-0000-0000-000015000000}"/>
    <cellStyle name="Обычный 10 2 10 2 2" xfId="44789" xr:uid="{00000000-0005-0000-0000-000016000000}"/>
    <cellStyle name="Обычный 10 2 10 3" xfId="32811" xr:uid="{00000000-0005-0000-0000-000017000000}"/>
    <cellStyle name="Обычный 10 2 11" xfId="12190" xr:uid="{00000000-0005-0000-0000-000018000000}"/>
    <cellStyle name="Обычный 10 2 11 2" xfId="36145" xr:uid="{00000000-0005-0000-0000-000019000000}"/>
    <cellStyle name="Обычный 10 2 12" xfId="24168" xr:uid="{00000000-0005-0000-0000-00001A000000}"/>
    <cellStyle name="Обычный 10 2 13" xfId="48126" xr:uid="{00000000-0005-0000-0000-00001B000000}"/>
    <cellStyle name="Обычный 10 2 2" xfId="1306" xr:uid="{00000000-0005-0000-0000-00001C000000}"/>
    <cellStyle name="Обычный 10 2 2 2" xfId="1416" xr:uid="{00000000-0005-0000-0000-00001D000000}"/>
    <cellStyle name="Обычный 10 2 2 2 2" xfId="3200" xr:uid="{00000000-0005-0000-0000-00001E000000}"/>
    <cellStyle name="Обычный 10 2 2 2 2 2" xfId="15179" xr:uid="{00000000-0005-0000-0000-00001F000000}"/>
    <cellStyle name="Обычный 10 2 2 2 2 2 2" xfId="39134" xr:uid="{00000000-0005-0000-0000-000020000000}"/>
    <cellStyle name="Обычный 10 2 2 2 2 3" xfId="27157" xr:uid="{00000000-0005-0000-0000-000021000000}"/>
    <cellStyle name="Обычный 10 2 2 2 2 4" xfId="50288" xr:uid="{00000000-0005-0000-0000-000022000000}"/>
    <cellStyle name="Обычный 10 2 2 2 3" xfId="4844" xr:uid="{00000000-0005-0000-0000-000023000000}"/>
    <cellStyle name="Обычный 10 2 2 2 3 2" xfId="16823" xr:uid="{00000000-0005-0000-0000-000024000000}"/>
    <cellStyle name="Обычный 10 2 2 2 3 2 2" xfId="40778" xr:uid="{00000000-0005-0000-0000-000025000000}"/>
    <cellStyle name="Обычный 10 2 2 2 3 3" xfId="28801" xr:uid="{00000000-0005-0000-0000-000026000000}"/>
    <cellStyle name="Обычный 10 2 2 2 4" xfId="7456" xr:uid="{00000000-0005-0000-0000-000027000000}"/>
    <cellStyle name="Обычный 10 2 2 2 4 2" xfId="19434" xr:uid="{00000000-0005-0000-0000-000028000000}"/>
    <cellStyle name="Обычный 10 2 2 2 4 2 2" xfId="43389" xr:uid="{00000000-0005-0000-0000-000029000000}"/>
    <cellStyle name="Обычный 10 2 2 2 4 3" xfId="31411" xr:uid="{00000000-0005-0000-0000-00002A000000}"/>
    <cellStyle name="Обычный 10 2 2 2 5" xfId="9238" xr:uid="{00000000-0005-0000-0000-00002B000000}"/>
    <cellStyle name="Обычный 10 2 2 2 5 2" xfId="21216" xr:uid="{00000000-0005-0000-0000-00002C000000}"/>
    <cellStyle name="Обычный 10 2 2 2 5 2 2" xfId="45171" xr:uid="{00000000-0005-0000-0000-00002D000000}"/>
    <cellStyle name="Обычный 10 2 2 2 5 3" xfId="33193" xr:uid="{00000000-0005-0000-0000-00002E000000}"/>
    <cellStyle name="Обычный 10 2 2 2 6" xfId="13397" xr:uid="{00000000-0005-0000-0000-00002F000000}"/>
    <cellStyle name="Обычный 10 2 2 2 6 2" xfId="37352" xr:uid="{00000000-0005-0000-0000-000030000000}"/>
    <cellStyle name="Обычный 10 2 2 2 7" xfId="25375" xr:uid="{00000000-0005-0000-0000-000031000000}"/>
    <cellStyle name="Обычный 10 2 2 2 8" xfId="48508" xr:uid="{00000000-0005-0000-0000-000032000000}"/>
    <cellStyle name="Обычный 10 2 2 3" xfId="3090" xr:uid="{00000000-0005-0000-0000-000033000000}"/>
    <cellStyle name="Обычный 10 2 2 3 2" xfId="15069" xr:uid="{00000000-0005-0000-0000-000034000000}"/>
    <cellStyle name="Обычный 10 2 2 3 2 2" xfId="39024" xr:uid="{00000000-0005-0000-0000-000035000000}"/>
    <cellStyle name="Обычный 10 2 2 3 3" xfId="27047" xr:uid="{00000000-0005-0000-0000-000036000000}"/>
    <cellStyle name="Обычный 10 2 2 3 4" xfId="50178" xr:uid="{00000000-0005-0000-0000-000037000000}"/>
    <cellStyle name="Обычный 10 2 2 4" xfId="4734" xr:uid="{00000000-0005-0000-0000-000038000000}"/>
    <cellStyle name="Обычный 10 2 2 4 2" xfId="16713" xr:uid="{00000000-0005-0000-0000-000039000000}"/>
    <cellStyle name="Обычный 10 2 2 4 2 2" xfId="40668" xr:uid="{00000000-0005-0000-0000-00003A000000}"/>
    <cellStyle name="Обычный 10 2 2 4 3" xfId="28691" xr:uid="{00000000-0005-0000-0000-00003B000000}"/>
    <cellStyle name="Обычный 10 2 2 5" xfId="7346" xr:uid="{00000000-0005-0000-0000-00003C000000}"/>
    <cellStyle name="Обычный 10 2 2 5 2" xfId="19324" xr:uid="{00000000-0005-0000-0000-00003D000000}"/>
    <cellStyle name="Обычный 10 2 2 5 2 2" xfId="43279" xr:uid="{00000000-0005-0000-0000-00003E000000}"/>
    <cellStyle name="Обычный 10 2 2 5 3" xfId="31301" xr:uid="{00000000-0005-0000-0000-00003F000000}"/>
    <cellStyle name="Обычный 10 2 2 6" xfId="9128" xr:uid="{00000000-0005-0000-0000-000040000000}"/>
    <cellStyle name="Обычный 10 2 2 6 2" xfId="21106" xr:uid="{00000000-0005-0000-0000-000041000000}"/>
    <cellStyle name="Обычный 10 2 2 6 2 2" xfId="45061" xr:uid="{00000000-0005-0000-0000-000042000000}"/>
    <cellStyle name="Обычный 10 2 2 6 3" xfId="33083" xr:uid="{00000000-0005-0000-0000-000043000000}"/>
    <cellStyle name="Обычный 10 2 2 7" xfId="13287" xr:uid="{00000000-0005-0000-0000-000044000000}"/>
    <cellStyle name="Обычный 10 2 2 7 2" xfId="37242" xr:uid="{00000000-0005-0000-0000-000045000000}"/>
    <cellStyle name="Обычный 10 2 2 8" xfId="25265" xr:uid="{00000000-0005-0000-0000-000046000000}"/>
    <cellStyle name="Обычный 10 2 2 9" xfId="48398" xr:uid="{00000000-0005-0000-0000-000047000000}"/>
    <cellStyle name="Обычный 10 2 3" xfId="1400" xr:uid="{00000000-0005-0000-0000-000048000000}"/>
    <cellStyle name="Обычный 10 2 3 2" xfId="3184" xr:uid="{00000000-0005-0000-0000-000049000000}"/>
    <cellStyle name="Обычный 10 2 3 2 2" xfId="15163" xr:uid="{00000000-0005-0000-0000-00004A000000}"/>
    <cellStyle name="Обычный 10 2 3 2 2 2" xfId="39118" xr:uid="{00000000-0005-0000-0000-00004B000000}"/>
    <cellStyle name="Обычный 10 2 3 2 3" xfId="27141" xr:uid="{00000000-0005-0000-0000-00004C000000}"/>
    <cellStyle name="Обычный 10 2 3 2 4" xfId="50272" xr:uid="{00000000-0005-0000-0000-00004D000000}"/>
    <cellStyle name="Обычный 10 2 3 3" xfId="4828" xr:uid="{00000000-0005-0000-0000-00004E000000}"/>
    <cellStyle name="Обычный 10 2 3 3 2" xfId="16807" xr:uid="{00000000-0005-0000-0000-00004F000000}"/>
    <cellStyle name="Обычный 10 2 3 3 2 2" xfId="40762" xr:uid="{00000000-0005-0000-0000-000050000000}"/>
    <cellStyle name="Обычный 10 2 3 3 3" xfId="28785" xr:uid="{00000000-0005-0000-0000-000051000000}"/>
    <cellStyle name="Обычный 10 2 3 4" xfId="7440" xr:uid="{00000000-0005-0000-0000-000052000000}"/>
    <cellStyle name="Обычный 10 2 3 4 2" xfId="19418" xr:uid="{00000000-0005-0000-0000-000053000000}"/>
    <cellStyle name="Обычный 10 2 3 4 2 2" xfId="43373" xr:uid="{00000000-0005-0000-0000-000054000000}"/>
    <cellStyle name="Обычный 10 2 3 4 3" xfId="31395" xr:uid="{00000000-0005-0000-0000-000055000000}"/>
    <cellStyle name="Обычный 10 2 3 5" xfId="9222" xr:uid="{00000000-0005-0000-0000-000056000000}"/>
    <cellStyle name="Обычный 10 2 3 5 2" xfId="21200" xr:uid="{00000000-0005-0000-0000-000057000000}"/>
    <cellStyle name="Обычный 10 2 3 5 2 2" xfId="45155" xr:uid="{00000000-0005-0000-0000-000058000000}"/>
    <cellStyle name="Обычный 10 2 3 5 3" xfId="33177" xr:uid="{00000000-0005-0000-0000-000059000000}"/>
    <cellStyle name="Обычный 10 2 3 6" xfId="13381" xr:uid="{00000000-0005-0000-0000-00005A000000}"/>
    <cellStyle name="Обычный 10 2 3 6 2" xfId="37336" xr:uid="{00000000-0005-0000-0000-00005B000000}"/>
    <cellStyle name="Обычный 10 2 3 7" xfId="25359" xr:uid="{00000000-0005-0000-0000-00005C000000}"/>
    <cellStyle name="Обычный 10 2 3 8" xfId="48492" xr:uid="{00000000-0005-0000-0000-00005D000000}"/>
    <cellStyle name="Обычный 10 2 4" xfId="2537" xr:uid="{00000000-0005-0000-0000-00005E000000}"/>
    <cellStyle name="Обычный 10 2 4 2" xfId="4182" xr:uid="{00000000-0005-0000-0000-00005F000000}"/>
    <cellStyle name="Обычный 10 2 4 2 2" xfId="16161" xr:uid="{00000000-0005-0000-0000-000060000000}"/>
    <cellStyle name="Обычный 10 2 4 2 2 2" xfId="40116" xr:uid="{00000000-0005-0000-0000-000061000000}"/>
    <cellStyle name="Обычный 10 2 4 2 3" xfId="28139" xr:uid="{00000000-0005-0000-0000-000062000000}"/>
    <cellStyle name="Обычный 10 2 4 2 4" xfId="51408" xr:uid="{00000000-0005-0000-0000-000063000000}"/>
    <cellStyle name="Обычный 10 2 4 3" xfId="5965" xr:uid="{00000000-0005-0000-0000-000064000000}"/>
    <cellStyle name="Обычный 10 2 4 3 2" xfId="17943" xr:uid="{00000000-0005-0000-0000-000065000000}"/>
    <cellStyle name="Обычный 10 2 4 3 2 2" xfId="41898" xr:uid="{00000000-0005-0000-0000-000066000000}"/>
    <cellStyle name="Обычный 10 2 4 3 3" xfId="29920" xr:uid="{00000000-0005-0000-0000-000067000000}"/>
    <cellStyle name="Обычный 10 2 4 4" xfId="8575" xr:uid="{00000000-0005-0000-0000-000068000000}"/>
    <cellStyle name="Обычный 10 2 4 4 2" xfId="20553" xr:uid="{00000000-0005-0000-0000-000069000000}"/>
    <cellStyle name="Обычный 10 2 4 4 2 2" xfId="44508" xr:uid="{00000000-0005-0000-0000-00006A000000}"/>
    <cellStyle name="Обычный 10 2 4 4 3" xfId="32530" xr:uid="{00000000-0005-0000-0000-00006B000000}"/>
    <cellStyle name="Обычный 10 2 4 5" xfId="10358" xr:uid="{00000000-0005-0000-0000-00006C000000}"/>
    <cellStyle name="Обычный 10 2 4 5 2" xfId="22336" xr:uid="{00000000-0005-0000-0000-00006D000000}"/>
    <cellStyle name="Обычный 10 2 4 5 2 2" xfId="46291" xr:uid="{00000000-0005-0000-0000-00006E000000}"/>
    <cellStyle name="Обычный 10 2 4 5 3" xfId="34313" xr:uid="{00000000-0005-0000-0000-00006F000000}"/>
    <cellStyle name="Обычный 10 2 4 6" xfId="14516" xr:uid="{00000000-0005-0000-0000-000070000000}"/>
    <cellStyle name="Обычный 10 2 4 6 2" xfId="38471" xr:uid="{00000000-0005-0000-0000-000071000000}"/>
    <cellStyle name="Обычный 10 2 4 7" xfId="26494" xr:uid="{00000000-0005-0000-0000-000072000000}"/>
    <cellStyle name="Обычный 10 2 4 8" xfId="49627" xr:uid="{00000000-0005-0000-0000-000073000000}"/>
    <cellStyle name="Обычный 10 2 5" xfId="1041" xr:uid="{00000000-0005-0000-0000-000074000000}"/>
    <cellStyle name="Обычный 10 2 5 2" xfId="7081" xr:uid="{00000000-0005-0000-0000-000075000000}"/>
    <cellStyle name="Обычный 10 2 5 2 2" xfId="19059" xr:uid="{00000000-0005-0000-0000-000076000000}"/>
    <cellStyle name="Обычный 10 2 5 2 2 2" xfId="43014" xr:uid="{00000000-0005-0000-0000-000077000000}"/>
    <cellStyle name="Обычный 10 2 5 2 3" xfId="31036" xr:uid="{00000000-0005-0000-0000-000078000000}"/>
    <cellStyle name="Обычный 10 2 5 3" xfId="13022" xr:uid="{00000000-0005-0000-0000-000079000000}"/>
    <cellStyle name="Обычный 10 2 5 3 2" xfId="36977" xr:uid="{00000000-0005-0000-0000-00007A000000}"/>
    <cellStyle name="Обычный 10 2 5 4" xfId="25000" xr:uid="{00000000-0005-0000-0000-00007B000000}"/>
    <cellStyle name="Обычный 10 2 5 5" xfId="49906" xr:uid="{00000000-0005-0000-0000-00007C000000}"/>
    <cellStyle name="Обычный 10 2 6" xfId="629" xr:uid="{00000000-0005-0000-0000-00007D000000}"/>
    <cellStyle name="Обычный 10 2 6 2" xfId="6669" xr:uid="{00000000-0005-0000-0000-00007E000000}"/>
    <cellStyle name="Обычный 10 2 6 2 2" xfId="18647" xr:uid="{00000000-0005-0000-0000-00007F000000}"/>
    <cellStyle name="Обычный 10 2 6 2 2 2" xfId="42602" xr:uid="{00000000-0005-0000-0000-000080000000}"/>
    <cellStyle name="Обычный 10 2 6 2 3" xfId="30624" xr:uid="{00000000-0005-0000-0000-000081000000}"/>
    <cellStyle name="Обычный 10 2 6 3" xfId="12610" xr:uid="{00000000-0005-0000-0000-000082000000}"/>
    <cellStyle name="Обычный 10 2 6 3 2" xfId="36565" xr:uid="{00000000-0005-0000-0000-000083000000}"/>
    <cellStyle name="Обычный 10 2 6 4" xfId="24588" xr:uid="{00000000-0005-0000-0000-000084000000}"/>
    <cellStyle name="Обычный 10 2 7" xfId="2818" xr:uid="{00000000-0005-0000-0000-000085000000}"/>
    <cellStyle name="Обычный 10 2 7 2" xfId="14797" xr:uid="{00000000-0005-0000-0000-000086000000}"/>
    <cellStyle name="Обычный 10 2 7 2 2" xfId="38752" xr:uid="{00000000-0005-0000-0000-000087000000}"/>
    <cellStyle name="Обычный 10 2 7 3" xfId="26775" xr:uid="{00000000-0005-0000-0000-000088000000}"/>
    <cellStyle name="Обычный 10 2 8" xfId="4462" xr:uid="{00000000-0005-0000-0000-000089000000}"/>
    <cellStyle name="Обычный 10 2 8 2" xfId="16441" xr:uid="{00000000-0005-0000-0000-00008A000000}"/>
    <cellStyle name="Обычный 10 2 8 2 2" xfId="40396" xr:uid="{00000000-0005-0000-0000-00008B000000}"/>
    <cellStyle name="Обычный 10 2 8 3" xfId="28419" xr:uid="{00000000-0005-0000-0000-00008C000000}"/>
    <cellStyle name="Обычный 10 2 9" xfId="6249" xr:uid="{00000000-0005-0000-0000-00008D000000}"/>
    <cellStyle name="Обычный 10 2 9 2" xfId="18227" xr:uid="{00000000-0005-0000-0000-00008E000000}"/>
    <cellStyle name="Обычный 10 2 9 2 2" xfId="42182" xr:uid="{00000000-0005-0000-0000-00008F000000}"/>
    <cellStyle name="Обычный 10 2 9 3" xfId="30204" xr:uid="{00000000-0005-0000-0000-000090000000}"/>
    <cellStyle name="Обычный 10 3" xfId="357" xr:uid="{00000000-0005-0000-0000-000091000000}"/>
    <cellStyle name="Обычный 10 3 10" xfId="48262" xr:uid="{00000000-0005-0000-0000-000092000000}"/>
    <cellStyle name="Обычный 10 3 2" xfId="1408" xr:uid="{00000000-0005-0000-0000-000093000000}"/>
    <cellStyle name="Обычный 10 3 2 2" xfId="3192" xr:uid="{00000000-0005-0000-0000-000094000000}"/>
    <cellStyle name="Обычный 10 3 2 2 2" xfId="15171" xr:uid="{00000000-0005-0000-0000-000095000000}"/>
    <cellStyle name="Обычный 10 3 2 2 2 2" xfId="39126" xr:uid="{00000000-0005-0000-0000-000096000000}"/>
    <cellStyle name="Обычный 10 3 2 2 3" xfId="27149" xr:uid="{00000000-0005-0000-0000-000097000000}"/>
    <cellStyle name="Обычный 10 3 2 2 4" xfId="50280" xr:uid="{00000000-0005-0000-0000-000098000000}"/>
    <cellStyle name="Обычный 10 3 2 3" xfId="4836" xr:uid="{00000000-0005-0000-0000-000099000000}"/>
    <cellStyle name="Обычный 10 3 2 3 2" xfId="16815" xr:uid="{00000000-0005-0000-0000-00009A000000}"/>
    <cellStyle name="Обычный 10 3 2 3 2 2" xfId="40770" xr:uid="{00000000-0005-0000-0000-00009B000000}"/>
    <cellStyle name="Обычный 10 3 2 3 3" xfId="28793" xr:uid="{00000000-0005-0000-0000-00009C000000}"/>
    <cellStyle name="Обычный 10 3 2 4" xfId="7448" xr:uid="{00000000-0005-0000-0000-00009D000000}"/>
    <cellStyle name="Обычный 10 3 2 4 2" xfId="19426" xr:uid="{00000000-0005-0000-0000-00009E000000}"/>
    <cellStyle name="Обычный 10 3 2 4 2 2" xfId="43381" xr:uid="{00000000-0005-0000-0000-00009F000000}"/>
    <cellStyle name="Обычный 10 3 2 4 3" xfId="31403" xr:uid="{00000000-0005-0000-0000-0000A0000000}"/>
    <cellStyle name="Обычный 10 3 2 5" xfId="9230" xr:uid="{00000000-0005-0000-0000-0000A1000000}"/>
    <cellStyle name="Обычный 10 3 2 5 2" xfId="21208" xr:uid="{00000000-0005-0000-0000-0000A2000000}"/>
    <cellStyle name="Обычный 10 3 2 5 2 2" xfId="45163" xr:uid="{00000000-0005-0000-0000-0000A3000000}"/>
    <cellStyle name="Обычный 10 3 2 5 3" xfId="33185" xr:uid="{00000000-0005-0000-0000-0000A4000000}"/>
    <cellStyle name="Обычный 10 3 2 6" xfId="13389" xr:uid="{00000000-0005-0000-0000-0000A5000000}"/>
    <cellStyle name="Обычный 10 3 2 6 2" xfId="37344" xr:uid="{00000000-0005-0000-0000-0000A6000000}"/>
    <cellStyle name="Обычный 10 3 2 7" xfId="25367" xr:uid="{00000000-0005-0000-0000-0000A7000000}"/>
    <cellStyle name="Обычный 10 3 2 8" xfId="48500" xr:uid="{00000000-0005-0000-0000-0000A8000000}"/>
    <cellStyle name="Обычный 10 3 3" xfId="777" xr:uid="{00000000-0005-0000-0000-0000A9000000}"/>
    <cellStyle name="Обычный 10 3 3 2" xfId="6817" xr:uid="{00000000-0005-0000-0000-0000AA000000}"/>
    <cellStyle name="Обычный 10 3 3 2 2" xfId="18795" xr:uid="{00000000-0005-0000-0000-0000AB000000}"/>
    <cellStyle name="Обычный 10 3 3 2 2 2" xfId="42750" xr:uid="{00000000-0005-0000-0000-0000AC000000}"/>
    <cellStyle name="Обычный 10 3 3 2 3" xfId="30772" xr:uid="{00000000-0005-0000-0000-0000AD000000}"/>
    <cellStyle name="Обычный 10 3 3 3" xfId="12758" xr:uid="{00000000-0005-0000-0000-0000AE000000}"/>
    <cellStyle name="Обычный 10 3 3 3 2" xfId="36713" xr:uid="{00000000-0005-0000-0000-0000AF000000}"/>
    <cellStyle name="Обычный 10 3 3 4" xfId="24736" xr:uid="{00000000-0005-0000-0000-0000B0000000}"/>
    <cellStyle name="Обычный 10 3 3 5" xfId="50042" xr:uid="{00000000-0005-0000-0000-0000B1000000}"/>
    <cellStyle name="Обычный 10 3 4" xfId="2954" xr:uid="{00000000-0005-0000-0000-0000B2000000}"/>
    <cellStyle name="Обычный 10 3 4 2" xfId="14933" xr:uid="{00000000-0005-0000-0000-0000B3000000}"/>
    <cellStyle name="Обычный 10 3 4 2 2" xfId="38888" xr:uid="{00000000-0005-0000-0000-0000B4000000}"/>
    <cellStyle name="Обычный 10 3 4 3" xfId="26911" xr:uid="{00000000-0005-0000-0000-0000B5000000}"/>
    <cellStyle name="Обычный 10 3 5" xfId="4598" xr:uid="{00000000-0005-0000-0000-0000B6000000}"/>
    <cellStyle name="Обычный 10 3 5 2" xfId="16577" xr:uid="{00000000-0005-0000-0000-0000B7000000}"/>
    <cellStyle name="Обычный 10 3 5 2 2" xfId="40532" xr:uid="{00000000-0005-0000-0000-0000B8000000}"/>
    <cellStyle name="Обычный 10 3 5 3" xfId="28555" xr:uid="{00000000-0005-0000-0000-0000B9000000}"/>
    <cellStyle name="Обычный 10 3 6" xfId="6397" xr:uid="{00000000-0005-0000-0000-0000BA000000}"/>
    <cellStyle name="Обычный 10 3 6 2" xfId="18375" xr:uid="{00000000-0005-0000-0000-0000BB000000}"/>
    <cellStyle name="Обычный 10 3 6 2 2" xfId="42330" xr:uid="{00000000-0005-0000-0000-0000BC000000}"/>
    <cellStyle name="Обычный 10 3 6 3" xfId="30352" xr:uid="{00000000-0005-0000-0000-0000BD000000}"/>
    <cellStyle name="Обычный 10 3 7" xfId="8992" xr:uid="{00000000-0005-0000-0000-0000BE000000}"/>
    <cellStyle name="Обычный 10 3 7 2" xfId="20970" xr:uid="{00000000-0005-0000-0000-0000BF000000}"/>
    <cellStyle name="Обычный 10 3 7 2 2" xfId="44925" xr:uid="{00000000-0005-0000-0000-0000C0000000}"/>
    <cellStyle name="Обычный 10 3 7 3" xfId="32947" xr:uid="{00000000-0005-0000-0000-0000C1000000}"/>
    <cellStyle name="Обычный 10 3 8" xfId="12338" xr:uid="{00000000-0005-0000-0000-0000C2000000}"/>
    <cellStyle name="Обычный 10 3 8 2" xfId="36293" xr:uid="{00000000-0005-0000-0000-0000C3000000}"/>
    <cellStyle name="Обычный 10 3 9" xfId="24316" xr:uid="{00000000-0005-0000-0000-0000C4000000}"/>
    <cellStyle name="Обычный 10 4" xfId="1426" xr:uid="{00000000-0005-0000-0000-0000C5000000}"/>
    <cellStyle name="Обычный 10 4 2" xfId="1880" xr:uid="{00000000-0005-0000-0000-0000C6000000}"/>
    <cellStyle name="Обычный 10 4 2 2" xfId="3525" xr:uid="{00000000-0005-0000-0000-0000C7000000}"/>
    <cellStyle name="Обычный 10 4 2 2 2" xfId="15504" xr:uid="{00000000-0005-0000-0000-0000C8000000}"/>
    <cellStyle name="Обычный 10 4 2 2 2 2" xfId="39459" xr:uid="{00000000-0005-0000-0000-0000C9000000}"/>
    <cellStyle name="Обычный 10 4 2 2 3" xfId="27482" xr:uid="{00000000-0005-0000-0000-0000CA000000}"/>
    <cellStyle name="Обычный 10 4 2 2 4" xfId="50751" xr:uid="{00000000-0005-0000-0000-0000CB000000}"/>
    <cellStyle name="Обычный 10 4 2 3" xfId="5308" xr:uid="{00000000-0005-0000-0000-0000CC000000}"/>
    <cellStyle name="Обычный 10 4 2 3 2" xfId="17286" xr:uid="{00000000-0005-0000-0000-0000CD000000}"/>
    <cellStyle name="Обычный 10 4 2 3 2 2" xfId="41241" xr:uid="{00000000-0005-0000-0000-0000CE000000}"/>
    <cellStyle name="Обычный 10 4 2 3 3" xfId="29263" xr:uid="{00000000-0005-0000-0000-0000CF000000}"/>
    <cellStyle name="Обычный 10 4 2 4" xfId="7918" xr:uid="{00000000-0005-0000-0000-0000D0000000}"/>
    <cellStyle name="Обычный 10 4 2 4 2" xfId="19896" xr:uid="{00000000-0005-0000-0000-0000D1000000}"/>
    <cellStyle name="Обычный 10 4 2 4 2 2" xfId="43851" xr:uid="{00000000-0005-0000-0000-0000D2000000}"/>
    <cellStyle name="Обычный 10 4 2 4 3" xfId="31873" xr:uid="{00000000-0005-0000-0000-0000D3000000}"/>
    <cellStyle name="Обычный 10 4 2 5" xfId="9701" xr:uid="{00000000-0005-0000-0000-0000D4000000}"/>
    <cellStyle name="Обычный 10 4 2 5 2" xfId="21679" xr:uid="{00000000-0005-0000-0000-0000D5000000}"/>
    <cellStyle name="Обычный 10 4 2 5 2 2" xfId="45634" xr:uid="{00000000-0005-0000-0000-0000D6000000}"/>
    <cellStyle name="Обычный 10 4 2 5 3" xfId="33656" xr:uid="{00000000-0005-0000-0000-0000D7000000}"/>
    <cellStyle name="Обычный 10 4 2 6" xfId="13859" xr:uid="{00000000-0005-0000-0000-0000D8000000}"/>
    <cellStyle name="Обычный 10 4 2 6 2" xfId="37814" xr:uid="{00000000-0005-0000-0000-0000D9000000}"/>
    <cellStyle name="Обычный 10 4 2 7" xfId="25837" xr:uid="{00000000-0005-0000-0000-0000DA000000}"/>
    <cellStyle name="Обычный 10 4 2 8" xfId="48970" xr:uid="{00000000-0005-0000-0000-0000DB000000}"/>
    <cellStyle name="Обычный 10 4 3" xfId="4854" xr:uid="{00000000-0005-0000-0000-0000DC000000}"/>
    <cellStyle name="Обычный 10 4 3 2" xfId="16833" xr:uid="{00000000-0005-0000-0000-0000DD000000}"/>
    <cellStyle name="Обычный 10 4 3 2 2" xfId="40788" xr:uid="{00000000-0005-0000-0000-0000DE000000}"/>
    <cellStyle name="Обычный 10 4 3 3" xfId="28810" xr:uid="{00000000-0005-0000-0000-0000DF000000}"/>
    <cellStyle name="Обычный 10 4 3 4" xfId="50298" xr:uid="{00000000-0005-0000-0000-0000E0000000}"/>
    <cellStyle name="Обычный 10 4 4" xfId="7465" xr:uid="{00000000-0005-0000-0000-0000E1000000}"/>
    <cellStyle name="Обычный 10 4 4 2" xfId="19443" xr:uid="{00000000-0005-0000-0000-0000E2000000}"/>
    <cellStyle name="Обычный 10 4 4 2 2" xfId="43398" xr:uid="{00000000-0005-0000-0000-0000E3000000}"/>
    <cellStyle name="Обычный 10 4 4 3" xfId="31420" xr:uid="{00000000-0005-0000-0000-0000E4000000}"/>
    <cellStyle name="Обычный 10 4 5" xfId="9248" xr:uid="{00000000-0005-0000-0000-0000E5000000}"/>
    <cellStyle name="Обычный 10 4 5 2" xfId="21226" xr:uid="{00000000-0005-0000-0000-0000E6000000}"/>
    <cellStyle name="Обычный 10 4 5 2 2" xfId="45181" xr:uid="{00000000-0005-0000-0000-0000E7000000}"/>
    <cellStyle name="Обычный 10 4 5 3" xfId="33203" xr:uid="{00000000-0005-0000-0000-0000E8000000}"/>
    <cellStyle name="Обычный 10 4 6" xfId="13406" xr:uid="{00000000-0005-0000-0000-0000E9000000}"/>
    <cellStyle name="Обычный 10 4 6 2" xfId="37361" xr:uid="{00000000-0005-0000-0000-0000EA000000}"/>
    <cellStyle name="Обычный 10 4 7" xfId="25384" xr:uid="{00000000-0005-0000-0000-0000EB000000}"/>
    <cellStyle name="Обычный 10 4 8" xfId="48517" xr:uid="{00000000-0005-0000-0000-0000EC000000}"/>
    <cellStyle name="Обычный 10 5" xfId="1392" xr:uid="{00000000-0005-0000-0000-0000ED000000}"/>
    <cellStyle name="Обычный 10 5 2" xfId="3176" xr:uid="{00000000-0005-0000-0000-0000EE000000}"/>
    <cellStyle name="Обычный 10 5 2 2" xfId="15155" xr:uid="{00000000-0005-0000-0000-0000EF000000}"/>
    <cellStyle name="Обычный 10 5 2 2 2" xfId="39110" xr:uid="{00000000-0005-0000-0000-0000F0000000}"/>
    <cellStyle name="Обычный 10 5 2 3" xfId="27133" xr:uid="{00000000-0005-0000-0000-0000F1000000}"/>
    <cellStyle name="Обычный 10 5 2 4" xfId="50264" xr:uid="{00000000-0005-0000-0000-0000F2000000}"/>
    <cellStyle name="Обычный 10 5 3" xfId="4820" xr:uid="{00000000-0005-0000-0000-0000F3000000}"/>
    <cellStyle name="Обычный 10 5 3 2" xfId="16799" xr:uid="{00000000-0005-0000-0000-0000F4000000}"/>
    <cellStyle name="Обычный 10 5 3 2 2" xfId="40754" xr:uid="{00000000-0005-0000-0000-0000F5000000}"/>
    <cellStyle name="Обычный 10 5 3 3" xfId="28777" xr:uid="{00000000-0005-0000-0000-0000F6000000}"/>
    <cellStyle name="Обычный 10 5 4" xfId="7432" xr:uid="{00000000-0005-0000-0000-0000F7000000}"/>
    <cellStyle name="Обычный 10 5 4 2" xfId="19410" xr:uid="{00000000-0005-0000-0000-0000F8000000}"/>
    <cellStyle name="Обычный 10 5 4 2 2" xfId="43365" xr:uid="{00000000-0005-0000-0000-0000F9000000}"/>
    <cellStyle name="Обычный 10 5 4 3" xfId="31387" xr:uid="{00000000-0005-0000-0000-0000FA000000}"/>
    <cellStyle name="Обычный 10 5 5" xfId="9214" xr:uid="{00000000-0005-0000-0000-0000FB000000}"/>
    <cellStyle name="Обычный 10 5 5 2" xfId="21192" xr:uid="{00000000-0005-0000-0000-0000FC000000}"/>
    <cellStyle name="Обычный 10 5 5 2 2" xfId="45147" xr:uid="{00000000-0005-0000-0000-0000FD000000}"/>
    <cellStyle name="Обычный 10 5 5 3" xfId="33169" xr:uid="{00000000-0005-0000-0000-0000FE000000}"/>
    <cellStyle name="Обычный 10 5 6" xfId="13373" xr:uid="{00000000-0005-0000-0000-0000FF000000}"/>
    <cellStyle name="Обычный 10 5 6 2" xfId="37328" xr:uid="{00000000-0005-0000-0000-000000010000}"/>
    <cellStyle name="Обычный 10 5 7" xfId="25351" xr:uid="{00000000-0005-0000-0000-000001010000}"/>
    <cellStyle name="Обычный 10 5 8" xfId="48484" xr:uid="{00000000-0005-0000-0000-000002010000}"/>
    <cellStyle name="Обычный 10 6" xfId="2401" xr:uid="{00000000-0005-0000-0000-000003010000}"/>
    <cellStyle name="Обычный 10 6 2" xfId="4046" xr:uid="{00000000-0005-0000-0000-000004010000}"/>
    <cellStyle name="Обычный 10 6 2 2" xfId="16025" xr:uid="{00000000-0005-0000-0000-000005010000}"/>
    <cellStyle name="Обычный 10 6 2 2 2" xfId="39980" xr:uid="{00000000-0005-0000-0000-000006010000}"/>
    <cellStyle name="Обычный 10 6 2 3" xfId="28003" xr:uid="{00000000-0005-0000-0000-000007010000}"/>
    <cellStyle name="Обычный 10 6 2 4" xfId="51272" xr:uid="{00000000-0005-0000-0000-000008010000}"/>
    <cellStyle name="Обычный 10 6 3" xfId="5829" xr:uid="{00000000-0005-0000-0000-000009010000}"/>
    <cellStyle name="Обычный 10 6 3 2" xfId="17807" xr:uid="{00000000-0005-0000-0000-00000A010000}"/>
    <cellStyle name="Обычный 10 6 3 2 2" xfId="41762" xr:uid="{00000000-0005-0000-0000-00000B010000}"/>
    <cellStyle name="Обычный 10 6 3 3" xfId="29784" xr:uid="{00000000-0005-0000-0000-00000C010000}"/>
    <cellStyle name="Обычный 10 6 4" xfId="8439" xr:uid="{00000000-0005-0000-0000-00000D010000}"/>
    <cellStyle name="Обычный 10 6 4 2" xfId="20417" xr:uid="{00000000-0005-0000-0000-00000E010000}"/>
    <cellStyle name="Обычный 10 6 4 2 2" xfId="44372" xr:uid="{00000000-0005-0000-0000-00000F010000}"/>
    <cellStyle name="Обычный 10 6 4 3" xfId="32394" xr:uid="{00000000-0005-0000-0000-000010010000}"/>
    <cellStyle name="Обычный 10 6 5" xfId="10222" xr:uid="{00000000-0005-0000-0000-000011010000}"/>
    <cellStyle name="Обычный 10 6 5 2" xfId="22200" xr:uid="{00000000-0005-0000-0000-000012010000}"/>
    <cellStyle name="Обычный 10 6 5 2 2" xfId="46155" xr:uid="{00000000-0005-0000-0000-000013010000}"/>
    <cellStyle name="Обычный 10 6 5 3" xfId="34177" xr:uid="{00000000-0005-0000-0000-000014010000}"/>
    <cellStyle name="Обычный 10 6 6" xfId="14380" xr:uid="{00000000-0005-0000-0000-000015010000}"/>
    <cellStyle name="Обычный 10 6 6 2" xfId="38335" xr:uid="{00000000-0005-0000-0000-000016010000}"/>
    <cellStyle name="Обычный 10 6 7" xfId="26358" xr:uid="{00000000-0005-0000-0000-000017010000}"/>
    <cellStyle name="Обычный 10 6 8" xfId="49491" xr:uid="{00000000-0005-0000-0000-000018010000}"/>
    <cellStyle name="Обычный 10 7" xfId="1628" xr:uid="{00000000-0005-0000-0000-000019010000}"/>
    <cellStyle name="Обычный 10 7 2" xfId="3273" xr:uid="{00000000-0005-0000-0000-00001A010000}"/>
    <cellStyle name="Обычный 10 7 2 2" xfId="15252" xr:uid="{00000000-0005-0000-0000-00001B010000}"/>
    <cellStyle name="Обычный 10 7 2 2 2" xfId="39207" xr:uid="{00000000-0005-0000-0000-00001C010000}"/>
    <cellStyle name="Обычный 10 7 2 3" xfId="27230" xr:uid="{00000000-0005-0000-0000-00001D010000}"/>
    <cellStyle name="Обычный 10 7 2 4" xfId="50499" xr:uid="{00000000-0005-0000-0000-00001E010000}"/>
    <cellStyle name="Обычный 10 7 3" xfId="5056" xr:uid="{00000000-0005-0000-0000-00001F010000}"/>
    <cellStyle name="Обычный 10 7 3 2" xfId="17034" xr:uid="{00000000-0005-0000-0000-000020010000}"/>
    <cellStyle name="Обычный 10 7 3 2 2" xfId="40989" xr:uid="{00000000-0005-0000-0000-000021010000}"/>
    <cellStyle name="Обычный 10 7 3 3" xfId="29011" xr:uid="{00000000-0005-0000-0000-000022010000}"/>
    <cellStyle name="Обычный 10 7 4" xfId="7666" xr:uid="{00000000-0005-0000-0000-000023010000}"/>
    <cellStyle name="Обычный 10 7 4 2" xfId="19644" xr:uid="{00000000-0005-0000-0000-000024010000}"/>
    <cellStyle name="Обычный 10 7 4 2 2" xfId="43599" xr:uid="{00000000-0005-0000-0000-000025010000}"/>
    <cellStyle name="Обычный 10 7 4 3" xfId="31621" xr:uid="{00000000-0005-0000-0000-000026010000}"/>
    <cellStyle name="Обычный 10 7 5" xfId="9449" xr:uid="{00000000-0005-0000-0000-000027010000}"/>
    <cellStyle name="Обычный 10 7 5 2" xfId="21427" xr:uid="{00000000-0005-0000-0000-000028010000}"/>
    <cellStyle name="Обычный 10 7 5 2 2" xfId="45382" xr:uid="{00000000-0005-0000-0000-000029010000}"/>
    <cellStyle name="Обычный 10 7 5 3" xfId="33404" xr:uid="{00000000-0005-0000-0000-00002A010000}"/>
    <cellStyle name="Обычный 10 7 6" xfId="13607" xr:uid="{00000000-0005-0000-0000-00002B010000}"/>
    <cellStyle name="Обычный 10 7 6 2" xfId="37562" xr:uid="{00000000-0005-0000-0000-00002C010000}"/>
    <cellStyle name="Обычный 10 7 7" xfId="25585" xr:uid="{00000000-0005-0000-0000-00002D010000}"/>
    <cellStyle name="Обычный 10 7 8" xfId="48718" xr:uid="{00000000-0005-0000-0000-00002E010000}"/>
    <cellStyle name="Обычный 10 8" xfId="493" xr:uid="{00000000-0005-0000-0000-00002F010000}"/>
    <cellStyle name="Обычный 10 8 2" xfId="6533" xr:uid="{00000000-0005-0000-0000-000030010000}"/>
    <cellStyle name="Обычный 10 8 2 2" xfId="18511" xr:uid="{00000000-0005-0000-0000-000031010000}"/>
    <cellStyle name="Обычный 10 8 2 2 2" xfId="42466" xr:uid="{00000000-0005-0000-0000-000032010000}"/>
    <cellStyle name="Обычный 10 8 2 3" xfId="30488" xr:uid="{00000000-0005-0000-0000-000033010000}"/>
    <cellStyle name="Обычный 10 8 3" xfId="12474" xr:uid="{00000000-0005-0000-0000-000034010000}"/>
    <cellStyle name="Обычный 10 8 3 2" xfId="36429" xr:uid="{00000000-0005-0000-0000-000035010000}"/>
    <cellStyle name="Обычный 10 8 4" xfId="24452" xr:uid="{00000000-0005-0000-0000-000036010000}"/>
    <cellStyle name="Обычный 10 8 5" xfId="49770" xr:uid="{00000000-0005-0000-0000-000037010000}"/>
    <cellStyle name="Обычный 10 9" xfId="2682" xr:uid="{00000000-0005-0000-0000-000038010000}"/>
    <cellStyle name="Обычный 10 9 2" xfId="14661" xr:uid="{00000000-0005-0000-0000-000039010000}"/>
    <cellStyle name="Обычный 10 9 2 2" xfId="38616" xr:uid="{00000000-0005-0000-0000-00003A010000}"/>
    <cellStyle name="Обычный 10 9 3" xfId="26639" xr:uid="{00000000-0005-0000-0000-00003B010000}"/>
    <cellStyle name="Обычный 11" xfId="73" xr:uid="{00000000-0005-0000-0000-00003C010000}"/>
    <cellStyle name="Обычный 11 10" xfId="4327" xr:uid="{00000000-0005-0000-0000-00003D010000}"/>
    <cellStyle name="Обычный 11 10 2" xfId="16306" xr:uid="{00000000-0005-0000-0000-00003E010000}"/>
    <cellStyle name="Обычный 11 10 2 2" xfId="40261" xr:uid="{00000000-0005-0000-0000-00003F010000}"/>
    <cellStyle name="Обычный 11 10 3" xfId="28284" xr:uid="{00000000-0005-0000-0000-000040010000}"/>
    <cellStyle name="Обычный 11 11" xfId="6114" xr:uid="{00000000-0005-0000-0000-000041010000}"/>
    <cellStyle name="Обычный 11 11 2" xfId="18092" xr:uid="{00000000-0005-0000-0000-000042010000}"/>
    <cellStyle name="Обычный 11 11 2 2" xfId="42047" xr:uid="{00000000-0005-0000-0000-000043010000}"/>
    <cellStyle name="Обычный 11 11 3" xfId="30069" xr:uid="{00000000-0005-0000-0000-000044010000}"/>
    <cellStyle name="Обычный 11 12" xfId="8721" xr:uid="{00000000-0005-0000-0000-000045010000}"/>
    <cellStyle name="Обычный 11 12 2" xfId="20699" xr:uid="{00000000-0005-0000-0000-000046010000}"/>
    <cellStyle name="Обычный 11 12 2 2" xfId="44654" xr:uid="{00000000-0005-0000-0000-000047010000}"/>
    <cellStyle name="Обычный 11 12 3" xfId="32676" xr:uid="{00000000-0005-0000-0000-000048010000}"/>
    <cellStyle name="Обычный 11 13" xfId="12055" xr:uid="{00000000-0005-0000-0000-000049010000}"/>
    <cellStyle name="Обычный 11 13 2" xfId="36010" xr:uid="{00000000-0005-0000-0000-00004A010000}"/>
    <cellStyle name="Обычный 11 14" xfId="24033" xr:uid="{00000000-0005-0000-0000-00004B010000}"/>
    <cellStyle name="Обычный 11 15" xfId="47991" xr:uid="{00000000-0005-0000-0000-00004C010000}"/>
    <cellStyle name="Обычный 11 2" xfId="209" xr:uid="{00000000-0005-0000-0000-00004D010000}"/>
    <cellStyle name="Обычный 11 2 10" xfId="8857" xr:uid="{00000000-0005-0000-0000-00004E010000}"/>
    <cellStyle name="Обычный 11 2 10 2" xfId="20835" xr:uid="{00000000-0005-0000-0000-00004F010000}"/>
    <cellStyle name="Обычный 11 2 10 2 2" xfId="44790" xr:uid="{00000000-0005-0000-0000-000050010000}"/>
    <cellStyle name="Обычный 11 2 10 3" xfId="32812" xr:uid="{00000000-0005-0000-0000-000051010000}"/>
    <cellStyle name="Обычный 11 2 11" xfId="12191" xr:uid="{00000000-0005-0000-0000-000052010000}"/>
    <cellStyle name="Обычный 11 2 11 2" xfId="36146" xr:uid="{00000000-0005-0000-0000-000053010000}"/>
    <cellStyle name="Обычный 11 2 12" xfId="24169" xr:uid="{00000000-0005-0000-0000-000054010000}"/>
    <cellStyle name="Обычный 11 2 13" xfId="48127" xr:uid="{00000000-0005-0000-0000-000055010000}"/>
    <cellStyle name="Обычный 11 2 2" xfId="1307" xr:uid="{00000000-0005-0000-0000-000056010000}"/>
    <cellStyle name="Обычный 11 2 2 2" xfId="1417" xr:uid="{00000000-0005-0000-0000-000057010000}"/>
    <cellStyle name="Обычный 11 2 2 2 2" xfId="3201" xr:uid="{00000000-0005-0000-0000-000058010000}"/>
    <cellStyle name="Обычный 11 2 2 2 2 2" xfId="15180" xr:uid="{00000000-0005-0000-0000-000059010000}"/>
    <cellStyle name="Обычный 11 2 2 2 2 2 2" xfId="39135" xr:uid="{00000000-0005-0000-0000-00005A010000}"/>
    <cellStyle name="Обычный 11 2 2 2 2 3" xfId="27158" xr:uid="{00000000-0005-0000-0000-00005B010000}"/>
    <cellStyle name="Обычный 11 2 2 2 2 4" xfId="50289" xr:uid="{00000000-0005-0000-0000-00005C010000}"/>
    <cellStyle name="Обычный 11 2 2 2 3" xfId="4845" xr:uid="{00000000-0005-0000-0000-00005D010000}"/>
    <cellStyle name="Обычный 11 2 2 2 3 2" xfId="16824" xr:uid="{00000000-0005-0000-0000-00005E010000}"/>
    <cellStyle name="Обычный 11 2 2 2 3 2 2" xfId="40779" xr:uid="{00000000-0005-0000-0000-00005F010000}"/>
    <cellStyle name="Обычный 11 2 2 2 3 3" xfId="28802" xr:uid="{00000000-0005-0000-0000-000060010000}"/>
    <cellStyle name="Обычный 11 2 2 2 4" xfId="7457" xr:uid="{00000000-0005-0000-0000-000061010000}"/>
    <cellStyle name="Обычный 11 2 2 2 4 2" xfId="19435" xr:uid="{00000000-0005-0000-0000-000062010000}"/>
    <cellStyle name="Обычный 11 2 2 2 4 2 2" xfId="43390" xr:uid="{00000000-0005-0000-0000-000063010000}"/>
    <cellStyle name="Обычный 11 2 2 2 4 3" xfId="31412" xr:uid="{00000000-0005-0000-0000-000064010000}"/>
    <cellStyle name="Обычный 11 2 2 2 5" xfId="9239" xr:uid="{00000000-0005-0000-0000-000065010000}"/>
    <cellStyle name="Обычный 11 2 2 2 5 2" xfId="21217" xr:uid="{00000000-0005-0000-0000-000066010000}"/>
    <cellStyle name="Обычный 11 2 2 2 5 2 2" xfId="45172" xr:uid="{00000000-0005-0000-0000-000067010000}"/>
    <cellStyle name="Обычный 11 2 2 2 5 3" xfId="33194" xr:uid="{00000000-0005-0000-0000-000068010000}"/>
    <cellStyle name="Обычный 11 2 2 2 6" xfId="13398" xr:uid="{00000000-0005-0000-0000-000069010000}"/>
    <cellStyle name="Обычный 11 2 2 2 6 2" xfId="37353" xr:uid="{00000000-0005-0000-0000-00006A010000}"/>
    <cellStyle name="Обычный 11 2 2 2 7" xfId="25376" xr:uid="{00000000-0005-0000-0000-00006B010000}"/>
    <cellStyle name="Обычный 11 2 2 2 8" xfId="48509" xr:uid="{00000000-0005-0000-0000-00006C010000}"/>
    <cellStyle name="Обычный 11 2 2 3" xfId="3091" xr:uid="{00000000-0005-0000-0000-00006D010000}"/>
    <cellStyle name="Обычный 11 2 2 3 2" xfId="15070" xr:uid="{00000000-0005-0000-0000-00006E010000}"/>
    <cellStyle name="Обычный 11 2 2 3 2 2" xfId="39025" xr:uid="{00000000-0005-0000-0000-00006F010000}"/>
    <cellStyle name="Обычный 11 2 2 3 3" xfId="27048" xr:uid="{00000000-0005-0000-0000-000070010000}"/>
    <cellStyle name="Обычный 11 2 2 3 4" xfId="50179" xr:uid="{00000000-0005-0000-0000-000071010000}"/>
    <cellStyle name="Обычный 11 2 2 4" xfId="4735" xr:uid="{00000000-0005-0000-0000-000072010000}"/>
    <cellStyle name="Обычный 11 2 2 4 2" xfId="16714" xr:uid="{00000000-0005-0000-0000-000073010000}"/>
    <cellStyle name="Обычный 11 2 2 4 2 2" xfId="40669" xr:uid="{00000000-0005-0000-0000-000074010000}"/>
    <cellStyle name="Обычный 11 2 2 4 3" xfId="28692" xr:uid="{00000000-0005-0000-0000-000075010000}"/>
    <cellStyle name="Обычный 11 2 2 5" xfId="7347" xr:uid="{00000000-0005-0000-0000-000076010000}"/>
    <cellStyle name="Обычный 11 2 2 5 2" xfId="19325" xr:uid="{00000000-0005-0000-0000-000077010000}"/>
    <cellStyle name="Обычный 11 2 2 5 2 2" xfId="43280" xr:uid="{00000000-0005-0000-0000-000078010000}"/>
    <cellStyle name="Обычный 11 2 2 5 3" xfId="31302" xr:uid="{00000000-0005-0000-0000-000079010000}"/>
    <cellStyle name="Обычный 11 2 2 6" xfId="9129" xr:uid="{00000000-0005-0000-0000-00007A010000}"/>
    <cellStyle name="Обычный 11 2 2 6 2" xfId="21107" xr:uid="{00000000-0005-0000-0000-00007B010000}"/>
    <cellStyle name="Обычный 11 2 2 6 2 2" xfId="45062" xr:uid="{00000000-0005-0000-0000-00007C010000}"/>
    <cellStyle name="Обычный 11 2 2 6 3" xfId="33084" xr:uid="{00000000-0005-0000-0000-00007D010000}"/>
    <cellStyle name="Обычный 11 2 2 7" xfId="13288" xr:uid="{00000000-0005-0000-0000-00007E010000}"/>
    <cellStyle name="Обычный 11 2 2 7 2" xfId="37243" xr:uid="{00000000-0005-0000-0000-00007F010000}"/>
    <cellStyle name="Обычный 11 2 2 8" xfId="25266" xr:uid="{00000000-0005-0000-0000-000080010000}"/>
    <cellStyle name="Обычный 11 2 2 9" xfId="48399" xr:uid="{00000000-0005-0000-0000-000081010000}"/>
    <cellStyle name="Обычный 11 2 3" xfId="1401" xr:uid="{00000000-0005-0000-0000-000082010000}"/>
    <cellStyle name="Обычный 11 2 3 2" xfId="3185" xr:uid="{00000000-0005-0000-0000-000083010000}"/>
    <cellStyle name="Обычный 11 2 3 2 2" xfId="15164" xr:uid="{00000000-0005-0000-0000-000084010000}"/>
    <cellStyle name="Обычный 11 2 3 2 2 2" xfId="39119" xr:uid="{00000000-0005-0000-0000-000085010000}"/>
    <cellStyle name="Обычный 11 2 3 2 3" xfId="27142" xr:uid="{00000000-0005-0000-0000-000086010000}"/>
    <cellStyle name="Обычный 11 2 3 2 4" xfId="50273" xr:uid="{00000000-0005-0000-0000-000087010000}"/>
    <cellStyle name="Обычный 11 2 3 3" xfId="4829" xr:uid="{00000000-0005-0000-0000-000088010000}"/>
    <cellStyle name="Обычный 11 2 3 3 2" xfId="16808" xr:uid="{00000000-0005-0000-0000-000089010000}"/>
    <cellStyle name="Обычный 11 2 3 3 2 2" xfId="40763" xr:uid="{00000000-0005-0000-0000-00008A010000}"/>
    <cellStyle name="Обычный 11 2 3 3 3" xfId="28786" xr:uid="{00000000-0005-0000-0000-00008B010000}"/>
    <cellStyle name="Обычный 11 2 3 4" xfId="7441" xr:uid="{00000000-0005-0000-0000-00008C010000}"/>
    <cellStyle name="Обычный 11 2 3 4 2" xfId="19419" xr:uid="{00000000-0005-0000-0000-00008D010000}"/>
    <cellStyle name="Обычный 11 2 3 4 2 2" xfId="43374" xr:uid="{00000000-0005-0000-0000-00008E010000}"/>
    <cellStyle name="Обычный 11 2 3 4 3" xfId="31396" xr:uid="{00000000-0005-0000-0000-00008F010000}"/>
    <cellStyle name="Обычный 11 2 3 5" xfId="9223" xr:uid="{00000000-0005-0000-0000-000090010000}"/>
    <cellStyle name="Обычный 11 2 3 5 2" xfId="21201" xr:uid="{00000000-0005-0000-0000-000091010000}"/>
    <cellStyle name="Обычный 11 2 3 5 2 2" xfId="45156" xr:uid="{00000000-0005-0000-0000-000092010000}"/>
    <cellStyle name="Обычный 11 2 3 5 3" xfId="33178" xr:uid="{00000000-0005-0000-0000-000093010000}"/>
    <cellStyle name="Обычный 11 2 3 6" xfId="13382" xr:uid="{00000000-0005-0000-0000-000094010000}"/>
    <cellStyle name="Обычный 11 2 3 6 2" xfId="37337" xr:uid="{00000000-0005-0000-0000-000095010000}"/>
    <cellStyle name="Обычный 11 2 3 7" xfId="25360" xr:uid="{00000000-0005-0000-0000-000096010000}"/>
    <cellStyle name="Обычный 11 2 3 8" xfId="48493" xr:uid="{00000000-0005-0000-0000-000097010000}"/>
    <cellStyle name="Обычный 11 2 4" xfId="2538" xr:uid="{00000000-0005-0000-0000-000098010000}"/>
    <cellStyle name="Обычный 11 2 4 2" xfId="4183" xr:uid="{00000000-0005-0000-0000-000099010000}"/>
    <cellStyle name="Обычный 11 2 4 2 2" xfId="16162" xr:uid="{00000000-0005-0000-0000-00009A010000}"/>
    <cellStyle name="Обычный 11 2 4 2 2 2" xfId="40117" xr:uid="{00000000-0005-0000-0000-00009B010000}"/>
    <cellStyle name="Обычный 11 2 4 2 3" xfId="28140" xr:uid="{00000000-0005-0000-0000-00009C010000}"/>
    <cellStyle name="Обычный 11 2 4 2 4" xfId="51409" xr:uid="{00000000-0005-0000-0000-00009D010000}"/>
    <cellStyle name="Обычный 11 2 4 3" xfId="5966" xr:uid="{00000000-0005-0000-0000-00009E010000}"/>
    <cellStyle name="Обычный 11 2 4 3 2" xfId="17944" xr:uid="{00000000-0005-0000-0000-00009F010000}"/>
    <cellStyle name="Обычный 11 2 4 3 2 2" xfId="41899" xr:uid="{00000000-0005-0000-0000-0000A0010000}"/>
    <cellStyle name="Обычный 11 2 4 3 3" xfId="29921" xr:uid="{00000000-0005-0000-0000-0000A1010000}"/>
    <cellStyle name="Обычный 11 2 4 4" xfId="8576" xr:uid="{00000000-0005-0000-0000-0000A2010000}"/>
    <cellStyle name="Обычный 11 2 4 4 2" xfId="20554" xr:uid="{00000000-0005-0000-0000-0000A3010000}"/>
    <cellStyle name="Обычный 11 2 4 4 2 2" xfId="44509" xr:uid="{00000000-0005-0000-0000-0000A4010000}"/>
    <cellStyle name="Обычный 11 2 4 4 3" xfId="32531" xr:uid="{00000000-0005-0000-0000-0000A5010000}"/>
    <cellStyle name="Обычный 11 2 4 5" xfId="10359" xr:uid="{00000000-0005-0000-0000-0000A6010000}"/>
    <cellStyle name="Обычный 11 2 4 5 2" xfId="22337" xr:uid="{00000000-0005-0000-0000-0000A7010000}"/>
    <cellStyle name="Обычный 11 2 4 5 2 2" xfId="46292" xr:uid="{00000000-0005-0000-0000-0000A8010000}"/>
    <cellStyle name="Обычный 11 2 4 5 3" xfId="34314" xr:uid="{00000000-0005-0000-0000-0000A9010000}"/>
    <cellStyle name="Обычный 11 2 4 6" xfId="14517" xr:uid="{00000000-0005-0000-0000-0000AA010000}"/>
    <cellStyle name="Обычный 11 2 4 6 2" xfId="38472" xr:uid="{00000000-0005-0000-0000-0000AB010000}"/>
    <cellStyle name="Обычный 11 2 4 7" xfId="26495" xr:uid="{00000000-0005-0000-0000-0000AC010000}"/>
    <cellStyle name="Обычный 11 2 4 8" xfId="49628" xr:uid="{00000000-0005-0000-0000-0000AD010000}"/>
    <cellStyle name="Обычный 11 2 5" xfId="1042" xr:uid="{00000000-0005-0000-0000-0000AE010000}"/>
    <cellStyle name="Обычный 11 2 5 2" xfId="7082" xr:uid="{00000000-0005-0000-0000-0000AF010000}"/>
    <cellStyle name="Обычный 11 2 5 2 2" xfId="19060" xr:uid="{00000000-0005-0000-0000-0000B0010000}"/>
    <cellStyle name="Обычный 11 2 5 2 2 2" xfId="43015" xr:uid="{00000000-0005-0000-0000-0000B1010000}"/>
    <cellStyle name="Обычный 11 2 5 2 3" xfId="31037" xr:uid="{00000000-0005-0000-0000-0000B2010000}"/>
    <cellStyle name="Обычный 11 2 5 3" xfId="13023" xr:uid="{00000000-0005-0000-0000-0000B3010000}"/>
    <cellStyle name="Обычный 11 2 5 3 2" xfId="36978" xr:uid="{00000000-0005-0000-0000-0000B4010000}"/>
    <cellStyle name="Обычный 11 2 5 4" xfId="25001" xr:uid="{00000000-0005-0000-0000-0000B5010000}"/>
    <cellStyle name="Обычный 11 2 5 5" xfId="49907" xr:uid="{00000000-0005-0000-0000-0000B6010000}"/>
    <cellStyle name="Обычный 11 2 6" xfId="630" xr:uid="{00000000-0005-0000-0000-0000B7010000}"/>
    <cellStyle name="Обычный 11 2 6 2" xfId="6670" xr:uid="{00000000-0005-0000-0000-0000B8010000}"/>
    <cellStyle name="Обычный 11 2 6 2 2" xfId="18648" xr:uid="{00000000-0005-0000-0000-0000B9010000}"/>
    <cellStyle name="Обычный 11 2 6 2 2 2" xfId="42603" xr:uid="{00000000-0005-0000-0000-0000BA010000}"/>
    <cellStyle name="Обычный 11 2 6 2 3" xfId="30625" xr:uid="{00000000-0005-0000-0000-0000BB010000}"/>
    <cellStyle name="Обычный 11 2 6 3" xfId="12611" xr:uid="{00000000-0005-0000-0000-0000BC010000}"/>
    <cellStyle name="Обычный 11 2 6 3 2" xfId="36566" xr:uid="{00000000-0005-0000-0000-0000BD010000}"/>
    <cellStyle name="Обычный 11 2 6 4" xfId="24589" xr:uid="{00000000-0005-0000-0000-0000BE010000}"/>
    <cellStyle name="Обычный 11 2 7" xfId="2819" xr:uid="{00000000-0005-0000-0000-0000BF010000}"/>
    <cellStyle name="Обычный 11 2 7 2" xfId="14798" xr:uid="{00000000-0005-0000-0000-0000C0010000}"/>
    <cellStyle name="Обычный 11 2 7 2 2" xfId="38753" xr:uid="{00000000-0005-0000-0000-0000C1010000}"/>
    <cellStyle name="Обычный 11 2 7 3" xfId="26776" xr:uid="{00000000-0005-0000-0000-0000C2010000}"/>
    <cellStyle name="Обычный 11 2 8" xfId="4463" xr:uid="{00000000-0005-0000-0000-0000C3010000}"/>
    <cellStyle name="Обычный 11 2 8 2" xfId="16442" xr:uid="{00000000-0005-0000-0000-0000C4010000}"/>
    <cellStyle name="Обычный 11 2 8 2 2" xfId="40397" xr:uid="{00000000-0005-0000-0000-0000C5010000}"/>
    <cellStyle name="Обычный 11 2 8 3" xfId="28420" xr:uid="{00000000-0005-0000-0000-0000C6010000}"/>
    <cellStyle name="Обычный 11 2 9" xfId="6250" xr:uid="{00000000-0005-0000-0000-0000C7010000}"/>
    <cellStyle name="Обычный 11 2 9 2" xfId="18228" xr:uid="{00000000-0005-0000-0000-0000C8010000}"/>
    <cellStyle name="Обычный 11 2 9 2 2" xfId="42183" xr:uid="{00000000-0005-0000-0000-0000C9010000}"/>
    <cellStyle name="Обычный 11 2 9 3" xfId="30205" xr:uid="{00000000-0005-0000-0000-0000CA010000}"/>
    <cellStyle name="Обычный 11 3" xfId="358" xr:uid="{00000000-0005-0000-0000-0000CB010000}"/>
    <cellStyle name="Обычный 11 3 10" xfId="48263" xr:uid="{00000000-0005-0000-0000-0000CC010000}"/>
    <cellStyle name="Обычный 11 3 2" xfId="1409" xr:uid="{00000000-0005-0000-0000-0000CD010000}"/>
    <cellStyle name="Обычный 11 3 2 2" xfId="3193" xr:uid="{00000000-0005-0000-0000-0000CE010000}"/>
    <cellStyle name="Обычный 11 3 2 2 2" xfId="15172" xr:uid="{00000000-0005-0000-0000-0000CF010000}"/>
    <cellStyle name="Обычный 11 3 2 2 2 2" xfId="39127" xr:uid="{00000000-0005-0000-0000-0000D0010000}"/>
    <cellStyle name="Обычный 11 3 2 2 3" xfId="27150" xr:uid="{00000000-0005-0000-0000-0000D1010000}"/>
    <cellStyle name="Обычный 11 3 2 2 4" xfId="50281" xr:uid="{00000000-0005-0000-0000-0000D2010000}"/>
    <cellStyle name="Обычный 11 3 2 3" xfId="4837" xr:uid="{00000000-0005-0000-0000-0000D3010000}"/>
    <cellStyle name="Обычный 11 3 2 3 2" xfId="16816" xr:uid="{00000000-0005-0000-0000-0000D4010000}"/>
    <cellStyle name="Обычный 11 3 2 3 2 2" xfId="40771" xr:uid="{00000000-0005-0000-0000-0000D5010000}"/>
    <cellStyle name="Обычный 11 3 2 3 3" xfId="28794" xr:uid="{00000000-0005-0000-0000-0000D6010000}"/>
    <cellStyle name="Обычный 11 3 2 4" xfId="7449" xr:uid="{00000000-0005-0000-0000-0000D7010000}"/>
    <cellStyle name="Обычный 11 3 2 4 2" xfId="19427" xr:uid="{00000000-0005-0000-0000-0000D8010000}"/>
    <cellStyle name="Обычный 11 3 2 4 2 2" xfId="43382" xr:uid="{00000000-0005-0000-0000-0000D9010000}"/>
    <cellStyle name="Обычный 11 3 2 4 3" xfId="31404" xr:uid="{00000000-0005-0000-0000-0000DA010000}"/>
    <cellStyle name="Обычный 11 3 2 5" xfId="9231" xr:uid="{00000000-0005-0000-0000-0000DB010000}"/>
    <cellStyle name="Обычный 11 3 2 5 2" xfId="21209" xr:uid="{00000000-0005-0000-0000-0000DC010000}"/>
    <cellStyle name="Обычный 11 3 2 5 2 2" xfId="45164" xr:uid="{00000000-0005-0000-0000-0000DD010000}"/>
    <cellStyle name="Обычный 11 3 2 5 3" xfId="33186" xr:uid="{00000000-0005-0000-0000-0000DE010000}"/>
    <cellStyle name="Обычный 11 3 2 6" xfId="13390" xr:uid="{00000000-0005-0000-0000-0000DF010000}"/>
    <cellStyle name="Обычный 11 3 2 6 2" xfId="37345" xr:uid="{00000000-0005-0000-0000-0000E0010000}"/>
    <cellStyle name="Обычный 11 3 2 7" xfId="25368" xr:uid="{00000000-0005-0000-0000-0000E1010000}"/>
    <cellStyle name="Обычный 11 3 2 8" xfId="48501" xr:uid="{00000000-0005-0000-0000-0000E2010000}"/>
    <cellStyle name="Обычный 11 3 3" xfId="778" xr:uid="{00000000-0005-0000-0000-0000E3010000}"/>
    <cellStyle name="Обычный 11 3 3 2" xfId="6818" xr:uid="{00000000-0005-0000-0000-0000E4010000}"/>
    <cellStyle name="Обычный 11 3 3 2 2" xfId="18796" xr:uid="{00000000-0005-0000-0000-0000E5010000}"/>
    <cellStyle name="Обычный 11 3 3 2 2 2" xfId="42751" xr:uid="{00000000-0005-0000-0000-0000E6010000}"/>
    <cellStyle name="Обычный 11 3 3 2 3" xfId="30773" xr:uid="{00000000-0005-0000-0000-0000E7010000}"/>
    <cellStyle name="Обычный 11 3 3 3" xfId="12759" xr:uid="{00000000-0005-0000-0000-0000E8010000}"/>
    <cellStyle name="Обычный 11 3 3 3 2" xfId="36714" xr:uid="{00000000-0005-0000-0000-0000E9010000}"/>
    <cellStyle name="Обычный 11 3 3 4" xfId="24737" xr:uid="{00000000-0005-0000-0000-0000EA010000}"/>
    <cellStyle name="Обычный 11 3 3 5" xfId="50043" xr:uid="{00000000-0005-0000-0000-0000EB010000}"/>
    <cellStyle name="Обычный 11 3 4" xfId="2955" xr:uid="{00000000-0005-0000-0000-0000EC010000}"/>
    <cellStyle name="Обычный 11 3 4 2" xfId="14934" xr:uid="{00000000-0005-0000-0000-0000ED010000}"/>
    <cellStyle name="Обычный 11 3 4 2 2" xfId="38889" xr:uid="{00000000-0005-0000-0000-0000EE010000}"/>
    <cellStyle name="Обычный 11 3 4 3" xfId="26912" xr:uid="{00000000-0005-0000-0000-0000EF010000}"/>
    <cellStyle name="Обычный 11 3 5" xfId="4599" xr:uid="{00000000-0005-0000-0000-0000F0010000}"/>
    <cellStyle name="Обычный 11 3 5 2" xfId="16578" xr:uid="{00000000-0005-0000-0000-0000F1010000}"/>
    <cellStyle name="Обычный 11 3 5 2 2" xfId="40533" xr:uid="{00000000-0005-0000-0000-0000F2010000}"/>
    <cellStyle name="Обычный 11 3 5 3" xfId="28556" xr:uid="{00000000-0005-0000-0000-0000F3010000}"/>
    <cellStyle name="Обычный 11 3 6" xfId="6398" xr:uid="{00000000-0005-0000-0000-0000F4010000}"/>
    <cellStyle name="Обычный 11 3 6 2" xfId="18376" xr:uid="{00000000-0005-0000-0000-0000F5010000}"/>
    <cellStyle name="Обычный 11 3 6 2 2" xfId="42331" xr:uid="{00000000-0005-0000-0000-0000F6010000}"/>
    <cellStyle name="Обычный 11 3 6 3" xfId="30353" xr:uid="{00000000-0005-0000-0000-0000F7010000}"/>
    <cellStyle name="Обычный 11 3 7" xfId="8993" xr:uid="{00000000-0005-0000-0000-0000F8010000}"/>
    <cellStyle name="Обычный 11 3 7 2" xfId="20971" xr:uid="{00000000-0005-0000-0000-0000F9010000}"/>
    <cellStyle name="Обычный 11 3 7 2 2" xfId="44926" xr:uid="{00000000-0005-0000-0000-0000FA010000}"/>
    <cellStyle name="Обычный 11 3 7 3" xfId="32948" xr:uid="{00000000-0005-0000-0000-0000FB010000}"/>
    <cellStyle name="Обычный 11 3 8" xfId="12339" xr:uid="{00000000-0005-0000-0000-0000FC010000}"/>
    <cellStyle name="Обычный 11 3 8 2" xfId="36294" xr:uid="{00000000-0005-0000-0000-0000FD010000}"/>
    <cellStyle name="Обычный 11 3 9" xfId="24317" xr:uid="{00000000-0005-0000-0000-0000FE010000}"/>
    <cellStyle name="Обычный 11 4" xfId="1442" xr:uid="{00000000-0005-0000-0000-0000FF010000}"/>
    <cellStyle name="Обычный 11 4 2" xfId="1881" xr:uid="{00000000-0005-0000-0000-000000020000}"/>
    <cellStyle name="Обычный 11 4 2 2" xfId="3526" xr:uid="{00000000-0005-0000-0000-000001020000}"/>
    <cellStyle name="Обычный 11 4 2 2 2" xfId="15505" xr:uid="{00000000-0005-0000-0000-000002020000}"/>
    <cellStyle name="Обычный 11 4 2 2 2 2" xfId="39460" xr:uid="{00000000-0005-0000-0000-000003020000}"/>
    <cellStyle name="Обычный 11 4 2 2 3" xfId="27483" xr:uid="{00000000-0005-0000-0000-000004020000}"/>
    <cellStyle name="Обычный 11 4 2 2 4" xfId="50752" xr:uid="{00000000-0005-0000-0000-000005020000}"/>
    <cellStyle name="Обычный 11 4 2 3" xfId="5309" xr:uid="{00000000-0005-0000-0000-000006020000}"/>
    <cellStyle name="Обычный 11 4 2 3 2" xfId="17287" xr:uid="{00000000-0005-0000-0000-000007020000}"/>
    <cellStyle name="Обычный 11 4 2 3 2 2" xfId="41242" xr:uid="{00000000-0005-0000-0000-000008020000}"/>
    <cellStyle name="Обычный 11 4 2 3 3" xfId="29264" xr:uid="{00000000-0005-0000-0000-000009020000}"/>
    <cellStyle name="Обычный 11 4 2 4" xfId="7919" xr:uid="{00000000-0005-0000-0000-00000A020000}"/>
    <cellStyle name="Обычный 11 4 2 4 2" xfId="19897" xr:uid="{00000000-0005-0000-0000-00000B020000}"/>
    <cellStyle name="Обычный 11 4 2 4 2 2" xfId="43852" xr:uid="{00000000-0005-0000-0000-00000C020000}"/>
    <cellStyle name="Обычный 11 4 2 4 3" xfId="31874" xr:uid="{00000000-0005-0000-0000-00000D020000}"/>
    <cellStyle name="Обычный 11 4 2 5" xfId="9702" xr:uid="{00000000-0005-0000-0000-00000E020000}"/>
    <cellStyle name="Обычный 11 4 2 5 2" xfId="21680" xr:uid="{00000000-0005-0000-0000-00000F020000}"/>
    <cellStyle name="Обычный 11 4 2 5 2 2" xfId="45635" xr:uid="{00000000-0005-0000-0000-000010020000}"/>
    <cellStyle name="Обычный 11 4 2 5 3" xfId="33657" xr:uid="{00000000-0005-0000-0000-000011020000}"/>
    <cellStyle name="Обычный 11 4 2 6" xfId="13860" xr:uid="{00000000-0005-0000-0000-000012020000}"/>
    <cellStyle name="Обычный 11 4 2 6 2" xfId="37815" xr:uid="{00000000-0005-0000-0000-000013020000}"/>
    <cellStyle name="Обычный 11 4 2 7" xfId="25838" xr:uid="{00000000-0005-0000-0000-000014020000}"/>
    <cellStyle name="Обычный 11 4 2 8" xfId="48971" xr:uid="{00000000-0005-0000-0000-000015020000}"/>
    <cellStyle name="Обычный 11 4 3" xfId="4870" xr:uid="{00000000-0005-0000-0000-000016020000}"/>
    <cellStyle name="Обычный 11 4 3 2" xfId="16848" xr:uid="{00000000-0005-0000-0000-000017020000}"/>
    <cellStyle name="Обычный 11 4 3 2 2" xfId="40803" xr:uid="{00000000-0005-0000-0000-000018020000}"/>
    <cellStyle name="Обычный 11 4 3 3" xfId="28825" xr:uid="{00000000-0005-0000-0000-000019020000}"/>
    <cellStyle name="Обычный 11 4 3 4" xfId="50313" xr:uid="{00000000-0005-0000-0000-00001A020000}"/>
    <cellStyle name="Обычный 11 4 4" xfId="7480" xr:uid="{00000000-0005-0000-0000-00001B020000}"/>
    <cellStyle name="Обычный 11 4 4 2" xfId="19458" xr:uid="{00000000-0005-0000-0000-00001C020000}"/>
    <cellStyle name="Обычный 11 4 4 2 2" xfId="43413" xr:uid="{00000000-0005-0000-0000-00001D020000}"/>
    <cellStyle name="Обычный 11 4 4 3" xfId="31435" xr:uid="{00000000-0005-0000-0000-00001E020000}"/>
    <cellStyle name="Обычный 11 4 5" xfId="9263" xr:uid="{00000000-0005-0000-0000-00001F020000}"/>
    <cellStyle name="Обычный 11 4 5 2" xfId="21241" xr:uid="{00000000-0005-0000-0000-000020020000}"/>
    <cellStyle name="Обычный 11 4 5 2 2" xfId="45196" xr:uid="{00000000-0005-0000-0000-000021020000}"/>
    <cellStyle name="Обычный 11 4 5 3" xfId="33218" xr:uid="{00000000-0005-0000-0000-000022020000}"/>
    <cellStyle name="Обычный 11 4 6" xfId="13421" xr:uid="{00000000-0005-0000-0000-000023020000}"/>
    <cellStyle name="Обычный 11 4 6 2" xfId="37376" xr:uid="{00000000-0005-0000-0000-000024020000}"/>
    <cellStyle name="Обычный 11 4 7" xfId="25399" xr:uid="{00000000-0005-0000-0000-000025020000}"/>
    <cellStyle name="Обычный 11 4 8" xfId="48532" xr:uid="{00000000-0005-0000-0000-000026020000}"/>
    <cellStyle name="Обычный 11 5" xfId="1393" xr:uid="{00000000-0005-0000-0000-000027020000}"/>
    <cellStyle name="Обычный 11 5 2" xfId="3177" xr:uid="{00000000-0005-0000-0000-000028020000}"/>
    <cellStyle name="Обычный 11 5 2 2" xfId="15156" xr:uid="{00000000-0005-0000-0000-000029020000}"/>
    <cellStyle name="Обычный 11 5 2 2 2" xfId="39111" xr:uid="{00000000-0005-0000-0000-00002A020000}"/>
    <cellStyle name="Обычный 11 5 2 3" xfId="27134" xr:uid="{00000000-0005-0000-0000-00002B020000}"/>
    <cellStyle name="Обычный 11 5 2 4" xfId="50265" xr:uid="{00000000-0005-0000-0000-00002C020000}"/>
    <cellStyle name="Обычный 11 5 3" xfId="4821" xr:uid="{00000000-0005-0000-0000-00002D020000}"/>
    <cellStyle name="Обычный 11 5 3 2" xfId="16800" xr:uid="{00000000-0005-0000-0000-00002E020000}"/>
    <cellStyle name="Обычный 11 5 3 2 2" xfId="40755" xr:uid="{00000000-0005-0000-0000-00002F020000}"/>
    <cellStyle name="Обычный 11 5 3 3" xfId="28778" xr:uid="{00000000-0005-0000-0000-000030020000}"/>
    <cellStyle name="Обычный 11 5 4" xfId="7433" xr:uid="{00000000-0005-0000-0000-000031020000}"/>
    <cellStyle name="Обычный 11 5 4 2" xfId="19411" xr:uid="{00000000-0005-0000-0000-000032020000}"/>
    <cellStyle name="Обычный 11 5 4 2 2" xfId="43366" xr:uid="{00000000-0005-0000-0000-000033020000}"/>
    <cellStyle name="Обычный 11 5 4 3" xfId="31388" xr:uid="{00000000-0005-0000-0000-000034020000}"/>
    <cellStyle name="Обычный 11 5 5" xfId="9215" xr:uid="{00000000-0005-0000-0000-000035020000}"/>
    <cellStyle name="Обычный 11 5 5 2" xfId="21193" xr:uid="{00000000-0005-0000-0000-000036020000}"/>
    <cellStyle name="Обычный 11 5 5 2 2" xfId="45148" xr:uid="{00000000-0005-0000-0000-000037020000}"/>
    <cellStyle name="Обычный 11 5 5 3" xfId="33170" xr:uid="{00000000-0005-0000-0000-000038020000}"/>
    <cellStyle name="Обычный 11 5 6" xfId="13374" xr:uid="{00000000-0005-0000-0000-000039020000}"/>
    <cellStyle name="Обычный 11 5 6 2" xfId="37329" xr:uid="{00000000-0005-0000-0000-00003A020000}"/>
    <cellStyle name="Обычный 11 5 7" xfId="25352" xr:uid="{00000000-0005-0000-0000-00003B020000}"/>
    <cellStyle name="Обычный 11 5 8" xfId="48485" xr:uid="{00000000-0005-0000-0000-00003C020000}"/>
    <cellStyle name="Обычный 11 6" xfId="2402" xr:uid="{00000000-0005-0000-0000-00003D020000}"/>
    <cellStyle name="Обычный 11 6 2" xfId="4047" xr:uid="{00000000-0005-0000-0000-00003E020000}"/>
    <cellStyle name="Обычный 11 6 2 2" xfId="16026" xr:uid="{00000000-0005-0000-0000-00003F020000}"/>
    <cellStyle name="Обычный 11 6 2 2 2" xfId="39981" xr:uid="{00000000-0005-0000-0000-000040020000}"/>
    <cellStyle name="Обычный 11 6 2 3" xfId="28004" xr:uid="{00000000-0005-0000-0000-000041020000}"/>
    <cellStyle name="Обычный 11 6 2 4" xfId="51273" xr:uid="{00000000-0005-0000-0000-000042020000}"/>
    <cellStyle name="Обычный 11 6 3" xfId="5830" xr:uid="{00000000-0005-0000-0000-000043020000}"/>
    <cellStyle name="Обычный 11 6 3 2" xfId="17808" xr:uid="{00000000-0005-0000-0000-000044020000}"/>
    <cellStyle name="Обычный 11 6 3 2 2" xfId="41763" xr:uid="{00000000-0005-0000-0000-000045020000}"/>
    <cellStyle name="Обычный 11 6 3 3" xfId="29785" xr:uid="{00000000-0005-0000-0000-000046020000}"/>
    <cellStyle name="Обычный 11 6 4" xfId="8440" xr:uid="{00000000-0005-0000-0000-000047020000}"/>
    <cellStyle name="Обычный 11 6 4 2" xfId="20418" xr:uid="{00000000-0005-0000-0000-000048020000}"/>
    <cellStyle name="Обычный 11 6 4 2 2" xfId="44373" xr:uid="{00000000-0005-0000-0000-000049020000}"/>
    <cellStyle name="Обычный 11 6 4 3" xfId="32395" xr:uid="{00000000-0005-0000-0000-00004A020000}"/>
    <cellStyle name="Обычный 11 6 5" xfId="10223" xr:uid="{00000000-0005-0000-0000-00004B020000}"/>
    <cellStyle name="Обычный 11 6 5 2" xfId="22201" xr:uid="{00000000-0005-0000-0000-00004C020000}"/>
    <cellStyle name="Обычный 11 6 5 2 2" xfId="46156" xr:uid="{00000000-0005-0000-0000-00004D020000}"/>
    <cellStyle name="Обычный 11 6 5 3" xfId="34178" xr:uid="{00000000-0005-0000-0000-00004E020000}"/>
    <cellStyle name="Обычный 11 6 6" xfId="14381" xr:uid="{00000000-0005-0000-0000-00004F020000}"/>
    <cellStyle name="Обычный 11 6 6 2" xfId="38336" xr:uid="{00000000-0005-0000-0000-000050020000}"/>
    <cellStyle name="Обычный 11 6 7" xfId="26359" xr:uid="{00000000-0005-0000-0000-000051020000}"/>
    <cellStyle name="Обычный 11 6 8" xfId="49492" xr:uid="{00000000-0005-0000-0000-000052020000}"/>
    <cellStyle name="Обычный 11 7" xfId="1629" xr:uid="{00000000-0005-0000-0000-000053020000}"/>
    <cellStyle name="Обычный 11 7 2" xfId="3274" xr:uid="{00000000-0005-0000-0000-000054020000}"/>
    <cellStyle name="Обычный 11 7 2 2" xfId="15253" xr:uid="{00000000-0005-0000-0000-000055020000}"/>
    <cellStyle name="Обычный 11 7 2 2 2" xfId="39208" xr:uid="{00000000-0005-0000-0000-000056020000}"/>
    <cellStyle name="Обычный 11 7 2 3" xfId="27231" xr:uid="{00000000-0005-0000-0000-000057020000}"/>
    <cellStyle name="Обычный 11 7 2 4" xfId="50500" xr:uid="{00000000-0005-0000-0000-000058020000}"/>
    <cellStyle name="Обычный 11 7 3" xfId="5057" xr:uid="{00000000-0005-0000-0000-000059020000}"/>
    <cellStyle name="Обычный 11 7 3 2" xfId="17035" xr:uid="{00000000-0005-0000-0000-00005A020000}"/>
    <cellStyle name="Обычный 11 7 3 2 2" xfId="40990" xr:uid="{00000000-0005-0000-0000-00005B020000}"/>
    <cellStyle name="Обычный 11 7 3 3" xfId="29012" xr:uid="{00000000-0005-0000-0000-00005C020000}"/>
    <cellStyle name="Обычный 11 7 4" xfId="7667" xr:uid="{00000000-0005-0000-0000-00005D020000}"/>
    <cellStyle name="Обычный 11 7 4 2" xfId="19645" xr:uid="{00000000-0005-0000-0000-00005E020000}"/>
    <cellStyle name="Обычный 11 7 4 2 2" xfId="43600" xr:uid="{00000000-0005-0000-0000-00005F020000}"/>
    <cellStyle name="Обычный 11 7 4 3" xfId="31622" xr:uid="{00000000-0005-0000-0000-000060020000}"/>
    <cellStyle name="Обычный 11 7 5" xfId="9450" xr:uid="{00000000-0005-0000-0000-000061020000}"/>
    <cellStyle name="Обычный 11 7 5 2" xfId="21428" xr:uid="{00000000-0005-0000-0000-000062020000}"/>
    <cellStyle name="Обычный 11 7 5 2 2" xfId="45383" xr:uid="{00000000-0005-0000-0000-000063020000}"/>
    <cellStyle name="Обычный 11 7 5 3" xfId="33405" xr:uid="{00000000-0005-0000-0000-000064020000}"/>
    <cellStyle name="Обычный 11 7 6" xfId="13608" xr:uid="{00000000-0005-0000-0000-000065020000}"/>
    <cellStyle name="Обычный 11 7 6 2" xfId="37563" xr:uid="{00000000-0005-0000-0000-000066020000}"/>
    <cellStyle name="Обычный 11 7 7" xfId="25586" xr:uid="{00000000-0005-0000-0000-000067020000}"/>
    <cellStyle name="Обычный 11 7 8" xfId="48719" xr:uid="{00000000-0005-0000-0000-000068020000}"/>
    <cellStyle name="Обычный 11 8" xfId="494" xr:uid="{00000000-0005-0000-0000-000069020000}"/>
    <cellStyle name="Обычный 11 8 2" xfId="6534" xr:uid="{00000000-0005-0000-0000-00006A020000}"/>
    <cellStyle name="Обычный 11 8 2 2" xfId="18512" xr:uid="{00000000-0005-0000-0000-00006B020000}"/>
    <cellStyle name="Обычный 11 8 2 2 2" xfId="42467" xr:uid="{00000000-0005-0000-0000-00006C020000}"/>
    <cellStyle name="Обычный 11 8 2 3" xfId="30489" xr:uid="{00000000-0005-0000-0000-00006D020000}"/>
    <cellStyle name="Обычный 11 8 3" xfId="12475" xr:uid="{00000000-0005-0000-0000-00006E020000}"/>
    <cellStyle name="Обычный 11 8 3 2" xfId="36430" xr:uid="{00000000-0005-0000-0000-00006F020000}"/>
    <cellStyle name="Обычный 11 8 4" xfId="24453" xr:uid="{00000000-0005-0000-0000-000070020000}"/>
    <cellStyle name="Обычный 11 8 5" xfId="49771" xr:uid="{00000000-0005-0000-0000-000071020000}"/>
    <cellStyle name="Обычный 11 9" xfId="2683" xr:uid="{00000000-0005-0000-0000-000072020000}"/>
    <cellStyle name="Обычный 11 9 2" xfId="14662" xr:uid="{00000000-0005-0000-0000-000073020000}"/>
    <cellStyle name="Обычный 11 9 2 2" xfId="38617" xr:uid="{00000000-0005-0000-0000-000074020000}"/>
    <cellStyle name="Обычный 11 9 3" xfId="26640" xr:uid="{00000000-0005-0000-0000-000075020000}"/>
    <cellStyle name="Обычный 12" xfId="1418" xr:uid="{00000000-0005-0000-0000-000076020000}"/>
    <cellStyle name="Обычный 12 2" xfId="4846" xr:uid="{00000000-0005-0000-0000-000077020000}"/>
    <cellStyle name="Обычный 12 2 2" xfId="16825" xr:uid="{00000000-0005-0000-0000-000078020000}"/>
    <cellStyle name="Обычный 12 2 2 2" xfId="40780" xr:uid="{00000000-0005-0000-0000-000079020000}"/>
    <cellStyle name="Обычный 12 2 3" xfId="28803" xr:uid="{00000000-0005-0000-0000-00007A020000}"/>
    <cellStyle name="Обычный 12 2 4" xfId="50290" xr:uid="{00000000-0005-0000-0000-00007B020000}"/>
    <cellStyle name="Обычный 12 3" xfId="7458" xr:uid="{00000000-0005-0000-0000-00007C020000}"/>
    <cellStyle name="Обычный 12 3 2" xfId="19436" xr:uid="{00000000-0005-0000-0000-00007D020000}"/>
    <cellStyle name="Обычный 12 3 2 2" xfId="43391" xr:uid="{00000000-0005-0000-0000-00007E020000}"/>
    <cellStyle name="Обычный 12 3 3" xfId="31413" xr:uid="{00000000-0005-0000-0000-00007F020000}"/>
    <cellStyle name="Обычный 12 4" xfId="9240" xr:uid="{00000000-0005-0000-0000-000080020000}"/>
    <cellStyle name="Обычный 12 4 2" xfId="21218" xr:uid="{00000000-0005-0000-0000-000081020000}"/>
    <cellStyle name="Обычный 12 4 2 2" xfId="45173" xr:uid="{00000000-0005-0000-0000-000082020000}"/>
    <cellStyle name="Обычный 12 4 3" xfId="33195" xr:uid="{00000000-0005-0000-0000-000083020000}"/>
    <cellStyle name="Обычный 12 5" xfId="13399" xr:uid="{00000000-0005-0000-0000-000084020000}"/>
    <cellStyle name="Обычный 12 5 2" xfId="37354" xr:uid="{00000000-0005-0000-0000-000085020000}"/>
    <cellStyle name="Обычный 12 6" xfId="25377" xr:uid="{00000000-0005-0000-0000-000086020000}"/>
    <cellStyle name="Обычный 12 7" xfId="48510" xr:uid="{00000000-0005-0000-0000-000087020000}"/>
    <cellStyle name="Обычный 2" xfId="63" xr:uid="{00000000-0005-0000-0000-000088020000}"/>
    <cellStyle name="Обычный 2 2" xfId="1440" xr:uid="{00000000-0005-0000-0000-000089020000}"/>
    <cellStyle name="Обычный 2 2 2" xfId="4868" xr:uid="{00000000-0005-0000-0000-00008A020000}"/>
    <cellStyle name="Обычный 2 3" xfId="51484" xr:uid="{00000000-0005-0000-0000-00008B020000}"/>
    <cellStyle name="Обычный 3" xfId="64" xr:uid="{00000000-0005-0000-0000-00008C020000}"/>
    <cellStyle name="Обычный 3 2" xfId="1425" xr:uid="{00000000-0005-0000-0000-00008D020000}"/>
    <cellStyle name="Обычный 3 2 2" xfId="4853" xr:uid="{00000000-0005-0000-0000-00008E020000}"/>
    <cellStyle name="Обычный 3 3" xfId="51485" xr:uid="{00000000-0005-0000-0000-00008F020000}"/>
    <cellStyle name="Обычный 4" xfId="66" xr:uid="{00000000-0005-0000-0000-000090020000}"/>
    <cellStyle name="Обычный 4 10" xfId="4320" xr:uid="{00000000-0005-0000-0000-000091020000}"/>
    <cellStyle name="Обычный 4 10 2" xfId="16299" xr:uid="{00000000-0005-0000-0000-000092020000}"/>
    <cellStyle name="Обычный 4 10 2 2" xfId="40254" xr:uid="{00000000-0005-0000-0000-000093020000}"/>
    <cellStyle name="Обычный 4 10 3" xfId="28277" xr:uid="{00000000-0005-0000-0000-000094020000}"/>
    <cellStyle name="Обычный 4 11" xfId="6107" xr:uid="{00000000-0005-0000-0000-000095020000}"/>
    <cellStyle name="Обычный 4 11 2" xfId="18085" xr:uid="{00000000-0005-0000-0000-000096020000}"/>
    <cellStyle name="Обычный 4 11 2 2" xfId="42040" xr:uid="{00000000-0005-0000-0000-000097020000}"/>
    <cellStyle name="Обычный 4 11 3" xfId="30062" xr:uid="{00000000-0005-0000-0000-000098020000}"/>
    <cellStyle name="Обычный 4 12" xfId="8714" xr:uid="{00000000-0005-0000-0000-000099020000}"/>
    <cellStyle name="Обычный 4 12 2" xfId="20692" xr:uid="{00000000-0005-0000-0000-00009A020000}"/>
    <cellStyle name="Обычный 4 12 2 2" xfId="44647" xr:uid="{00000000-0005-0000-0000-00009B020000}"/>
    <cellStyle name="Обычный 4 12 3" xfId="32669" xr:uid="{00000000-0005-0000-0000-00009C020000}"/>
    <cellStyle name="Обычный 4 13" xfId="12048" xr:uid="{00000000-0005-0000-0000-00009D020000}"/>
    <cellStyle name="Обычный 4 13 2" xfId="36003" xr:uid="{00000000-0005-0000-0000-00009E020000}"/>
    <cellStyle name="Обычный 4 14" xfId="24026" xr:uid="{00000000-0005-0000-0000-00009F020000}"/>
    <cellStyle name="Обычный 4 15" xfId="47984" xr:uid="{00000000-0005-0000-0000-0000A0020000}"/>
    <cellStyle name="Обычный 4 2" xfId="202" xr:uid="{00000000-0005-0000-0000-0000A1020000}"/>
    <cellStyle name="Обычный 4 2 10" xfId="8850" xr:uid="{00000000-0005-0000-0000-0000A2020000}"/>
    <cellStyle name="Обычный 4 2 10 2" xfId="20828" xr:uid="{00000000-0005-0000-0000-0000A3020000}"/>
    <cellStyle name="Обычный 4 2 10 2 2" xfId="44783" xr:uid="{00000000-0005-0000-0000-0000A4020000}"/>
    <cellStyle name="Обычный 4 2 10 3" xfId="32805" xr:uid="{00000000-0005-0000-0000-0000A5020000}"/>
    <cellStyle name="Обычный 4 2 11" xfId="12184" xr:uid="{00000000-0005-0000-0000-0000A6020000}"/>
    <cellStyle name="Обычный 4 2 11 2" xfId="36139" xr:uid="{00000000-0005-0000-0000-0000A7020000}"/>
    <cellStyle name="Обычный 4 2 12" xfId="24162" xr:uid="{00000000-0005-0000-0000-0000A8020000}"/>
    <cellStyle name="Обычный 4 2 13" xfId="48120" xr:uid="{00000000-0005-0000-0000-0000A9020000}"/>
    <cellStyle name="Обычный 4 2 2" xfId="1300" xr:uid="{00000000-0005-0000-0000-0000AA020000}"/>
    <cellStyle name="Обычный 4 2 2 2" xfId="1410" xr:uid="{00000000-0005-0000-0000-0000AB020000}"/>
    <cellStyle name="Обычный 4 2 2 2 2" xfId="3194" xr:uid="{00000000-0005-0000-0000-0000AC020000}"/>
    <cellStyle name="Обычный 4 2 2 2 2 2" xfId="15173" xr:uid="{00000000-0005-0000-0000-0000AD020000}"/>
    <cellStyle name="Обычный 4 2 2 2 2 2 2" xfId="39128" xr:uid="{00000000-0005-0000-0000-0000AE020000}"/>
    <cellStyle name="Обычный 4 2 2 2 2 3" xfId="27151" xr:uid="{00000000-0005-0000-0000-0000AF020000}"/>
    <cellStyle name="Обычный 4 2 2 2 2 4" xfId="50282" xr:uid="{00000000-0005-0000-0000-0000B0020000}"/>
    <cellStyle name="Обычный 4 2 2 2 3" xfId="4838" xr:uid="{00000000-0005-0000-0000-0000B1020000}"/>
    <cellStyle name="Обычный 4 2 2 2 3 2" xfId="16817" xr:uid="{00000000-0005-0000-0000-0000B2020000}"/>
    <cellStyle name="Обычный 4 2 2 2 3 2 2" xfId="40772" xr:uid="{00000000-0005-0000-0000-0000B3020000}"/>
    <cellStyle name="Обычный 4 2 2 2 3 3" xfId="28795" xr:uid="{00000000-0005-0000-0000-0000B4020000}"/>
    <cellStyle name="Обычный 4 2 2 2 4" xfId="7450" xr:uid="{00000000-0005-0000-0000-0000B5020000}"/>
    <cellStyle name="Обычный 4 2 2 2 4 2" xfId="19428" xr:uid="{00000000-0005-0000-0000-0000B6020000}"/>
    <cellStyle name="Обычный 4 2 2 2 4 2 2" xfId="43383" xr:uid="{00000000-0005-0000-0000-0000B7020000}"/>
    <cellStyle name="Обычный 4 2 2 2 4 3" xfId="31405" xr:uid="{00000000-0005-0000-0000-0000B8020000}"/>
    <cellStyle name="Обычный 4 2 2 2 5" xfId="9232" xr:uid="{00000000-0005-0000-0000-0000B9020000}"/>
    <cellStyle name="Обычный 4 2 2 2 5 2" xfId="21210" xr:uid="{00000000-0005-0000-0000-0000BA020000}"/>
    <cellStyle name="Обычный 4 2 2 2 5 2 2" xfId="45165" xr:uid="{00000000-0005-0000-0000-0000BB020000}"/>
    <cellStyle name="Обычный 4 2 2 2 5 3" xfId="33187" xr:uid="{00000000-0005-0000-0000-0000BC020000}"/>
    <cellStyle name="Обычный 4 2 2 2 6" xfId="13391" xr:uid="{00000000-0005-0000-0000-0000BD020000}"/>
    <cellStyle name="Обычный 4 2 2 2 6 2" xfId="37346" xr:uid="{00000000-0005-0000-0000-0000BE020000}"/>
    <cellStyle name="Обычный 4 2 2 2 7" xfId="25369" xr:uid="{00000000-0005-0000-0000-0000BF020000}"/>
    <cellStyle name="Обычный 4 2 2 2 8" xfId="48502" xr:uid="{00000000-0005-0000-0000-0000C0020000}"/>
    <cellStyle name="Обычный 4 2 2 3" xfId="3084" xr:uid="{00000000-0005-0000-0000-0000C1020000}"/>
    <cellStyle name="Обычный 4 2 2 3 2" xfId="15063" xr:uid="{00000000-0005-0000-0000-0000C2020000}"/>
    <cellStyle name="Обычный 4 2 2 3 2 2" xfId="39018" xr:uid="{00000000-0005-0000-0000-0000C3020000}"/>
    <cellStyle name="Обычный 4 2 2 3 3" xfId="27041" xr:uid="{00000000-0005-0000-0000-0000C4020000}"/>
    <cellStyle name="Обычный 4 2 2 3 4" xfId="50172" xr:uid="{00000000-0005-0000-0000-0000C5020000}"/>
    <cellStyle name="Обычный 4 2 2 4" xfId="4728" xr:uid="{00000000-0005-0000-0000-0000C6020000}"/>
    <cellStyle name="Обычный 4 2 2 4 2" xfId="16707" xr:uid="{00000000-0005-0000-0000-0000C7020000}"/>
    <cellStyle name="Обычный 4 2 2 4 2 2" xfId="40662" xr:uid="{00000000-0005-0000-0000-0000C8020000}"/>
    <cellStyle name="Обычный 4 2 2 4 3" xfId="28685" xr:uid="{00000000-0005-0000-0000-0000C9020000}"/>
    <cellStyle name="Обычный 4 2 2 5" xfId="7340" xr:uid="{00000000-0005-0000-0000-0000CA020000}"/>
    <cellStyle name="Обычный 4 2 2 5 2" xfId="19318" xr:uid="{00000000-0005-0000-0000-0000CB020000}"/>
    <cellStyle name="Обычный 4 2 2 5 2 2" xfId="43273" xr:uid="{00000000-0005-0000-0000-0000CC020000}"/>
    <cellStyle name="Обычный 4 2 2 5 3" xfId="31295" xr:uid="{00000000-0005-0000-0000-0000CD020000}"/>
    <cellStyle name="Обычный 4 2 2 6" xfId="9122" xr:uid="{00000000-0005-0000-0000-0000CE020000}"/>
    <cellStyle name="Обычный 4 2 2 6 2" xfId="21100" xr:uid="{00000000-0005-0000-0000-0000CF020000}"/>
    <cellStyle name="Обычный 4 2 2 6 2 2" xfId="45055" xr:uid="{00000000-0005-0000-0000-0000D0020000}"/>
    <cellStyle name="Обычный 4 2 2 6 3" xfId="33077" xr:uid="{00000000-0005-0000-0000-0000D1020000}"/>
    <cellStyle name="Обычный 4 2 2 7" xfId="13281" xr:uid="{00000000-0005-0000-0000-0000D2020000}"/>
    <cellStyle name="Обычный 4 2 2 7 2" xfId="37236" xr:uid="{00000000-0005-0000-0000-0000D3020000}"/>
    <cellStyle name="Обычный 4 2 2 8" xfId="25259" xr:uid="{00000000-0005-0000-0000-0000D4020000}"/>
    <cellStyle name="Обычный 4 2 2 9" xfId="48392" xr:uid="{00000000-0005-0000-0000-0000D5020000}"/>
    <cellStyle name="Обычный 4 2 3" xfId="1394" xr:uid="{00000000-0005-0000-0000-0000D6020000}"/>
    <cellStyle name="Обычный 4 2 3 2" xfId="3178" xr:uid="{00000000-0005-0000-0000-0000D7020000}"/>
    <cellStyle name="Обычный 4 2 3 2 2" xfId="15157" xr:uid="{00000000-0005-0000-0000-0000D8020000}"/>
    <cellStyle name="Обычный 4 2 3 2 2 2" xfId="39112" xr:uid="{00000000-0005-0000-0000-0000D9020000}"/>
    <cellStyle name="Обычный 4 2 3 2 3" xfId="27135" xr:uid="{00000000-0005-0000-0000-0000DA020000}"/>
    <cellStyle name="Обычный 4 2 3 2 4" xfId="50266" xr:uid="{00000000-0005-0000-0000-0000DB020000}"/>
    <cellStyle name="Обычный 4 2 3 3" xfId="4822" xr:uid="{00000000-0005-0000-0000-0000DC020000}"/>
    <cellStyle name="Обычный 4 2 3 3 2" xfId="16801" xr:uid="{00000000-0005-0000-0000-0000DD020000}"/>
    <cellStyle name="Обычный 4 2 3 3 2 2" xfId="40756" xr:uid="{00000000-0005-0000-0000-0000DE020000}"/>
    <cellStyle name="Обычный 4 2 3 3 3" xfId="28779" xr:uid="{00000000-0005-0000-0000-0000DF020000}"/>
    <cellStyle name="Обычный 4 2 3 4" xfId="7434" xr:uid="{00000000-0005-0000-0000-0000E0020000}"/>
    <cellStyle name="Обычный 4 2 3 4 2" xfId="19412" xr:uid="{00000000-0005-0000-0000-0000E1020000}"/>
    <cellStyle name="Обычный 4 2 3 4 2 2" xfId="43367" xr:uid="{00000000-0005-0000-0000-0000E2020000}"/>
    <cellStyle name="Обычный 4 2 3 4 3" xfId="31389" xr:uid="{00000000-0005-0000-0000-0000E3020000}"/>
    <cellStyle name="Обычный 4 2 3 5" xfId="9216" xr:uid="{00000000-0005-0000-0000-0000E4020000}"/>
    <cellStyle name="Обычный 4 2 3 5 2" xfId="21194" xr:uid="{00000000-0005-0000-0000-0000E5020000}"/>
    <cellStyle name="Обычный 4 2 3 5 2 2" xfId="45149" xr:uid="{00000000-0005-0000-0000-0000E6020000}"/>
    <cellStyle name="Обычный 4 2 3 5 3" xfId="33171" xr:uid="{00000000-0005-0000-0000-0000E7020000}"/>
    <cellStyle name="Обычный 4 2 3 6" xfId="13375" xr:uid="{00000000-0005-0000-0000-0000E8020000}"/>
    <cellStyle name="Обычный 4 2 3 6 2" xfId="37330" xr:uid="{00000000-0005-0000-0000-0000E9020000}"/>
    <cellStyle name="Обычный 4 2 3 7" xfId="25353" xr:uid="{00000000-0005-0000-0000-0000EA020000}"/>
    <cellStyle name="Обычный 4 2 3 8" xfId="48486" xr:uid="{00000000-0005-0000-0000-0000EB020000}"/>
    <cellStyle name="Обычный 4 2 4" xfId="2531" xr:uid="{00000000-0005-0000-0000-0000EC020000}"/>
    <cellStyle name="Обычный 4 2 4 2" xfId="4176" xr:uid="{00000000-0005-0000-0000-0000ED020000}"/>
    <cellStyle name="Обычный 4 2 4 2 2" xfId="16155" xr:uid="{00000000-0005-0000-0000-0000EE020000}"/>
    <cellStyle name="Обычный 4 2 4 2 2 2" xfId="40110" xr:uid="{00000000-0005-0000-0000-0000EF020000}"/>
    <cellStyle name="Обычный 4 2 4 2 3" xfId="28133" xr:uid="{00000000-0005-0000-0000-0000F0020000}"/>
    <cellStyle name="Обычный 4 2 4 2 4" xfId="51402" xr:uid="{00000000-0005-0000-0000-0000F1020000}"/>
    <cellStyle name="Обычный 4 2 4 3" xfId="5959" xr:uid="{00000000-0005-0000-0000-0000F2020000}"/>
    <cellStyle name="Обычный 4 2 4 3 2" xfId="17937" xr:uid="{00000000-0005-0000-0000-0000F3020000}"/>
    <cellStyle name="Обычный 4 2 4 3 2 2" xfId="41892" xr:uid="{00000000-0005-0000-0000-0000F4020000}"/>
    <cellStyle name="Обычный 4 2 4 3 3" xfId="29914" xr:uid="{00000000-0005-0000-0000-0000F5020000}"/>
    <cellStyle name="Обычный 4 2 4 4" xfId="8569" xr:uid="{00000000-0005-0000-0000-0000F6020000}"/>
    <cellStyle name="Обычный 4 2 4 4 2" xfId="20547" xr:uid="{00000000-0005-0000-0000-0000F7020000}"/>
    <cellStyle name="Обычный 4 2 4 4 2 2" xfId="44502" xr:uid="{00000000-0005-0000-0000-0000F8020000}"/>
    <cellStyle name="Обычный 4 2 4 4 3" xfId="32524" xr:uid="{00000000-0005-0000-0000-0000F9020000}"/>
    <cellStyle name="Обычный 4 2 4 5" xfId="10352" xr:uid="{00000000-0005-0000-0000-0000FA020000}"/>
    <cellStyle name="Обычный 4 2 4 5 2" xfId="22330" xr:uid="{00000000-0005-0000-0000-0000FB020000}"/>
    <cellStyle name="Обычный 4 2 4 5 2 2" xfId="46285" xr:uid="{00000000-0005-0000-0000-0000FC020000}"/>
    <cellStyle name="Обычный 4 2 4 5 3" xfId="34307" xr:uid="{00000000-0005-0000-0000-0000FD020000}"/>
    <cellStyle name="Обычный 4 2 4 6" xfId="14510" xr:uid="{00000000-0005-0000-0000-0000FE020000}"/>
    <cellStyle name="Обычный 4 2 4 6 2" xfId="38465" xr:uid="{00000000-0005-0000-0000-0000FF020000}"/>
    <cellStyle name="Обычный 4 2 4 7" xfId="26488" xr:uid="{00000000-0005-0000-0000-000000030000}"/>
    <cellStyle name="Обычный 4 2 4 8" xfId="49621" xr:uid="{00000000-0005-0000-0000-000001030000}"/>
    <cellStyle name="Обычный 4 2 5" xfId="1035" xr:uid="{00000000-0005-0000-0000-000002030000}"/>
    <cellStyle name="Обычный 4 2 5 2" xfId="7075" xr:uid="{00000000-0005-0000-0000-000003030000}"/>
    <cellStyle name="Обычный 4 2 5 2 2" xfId="19053" xr:uid="{00000000-0005-0000-0000-000004030000}"/>
    <cellStyle name="Обычный 4 2 5 2 2 2" xfId="43008" xr:uid="{00000000-0005-0000-0000-000005030000}"/>
    <cellStyle name="Обычный 4 2 5 2 3" xfId="31030" xr:uid="{00000000-0005-0000-0000-000006030000}"/>
    <cellStyle name="Обычный 4 2 5 3" xfId="13016" xr:uid="{00000000-0005-0000-0000-000007030000}"/>
    <cellStyle name="Обычный 4 2 5 3 2" xfId="36971" xr:uid="{00000000-0005-0000-0000-000008030000}"/>
    <cellStyle name="Обычный 4 2 5 4" xfId="24994" xr:uid="{00000000-0005-0000-0000-000009030000}"/>
    <cellStyle name="Обычный 4 2 5 5" xfId="49900" xr:uid="{00000000-0005-0000-0000-00000A030000}"/>
    <cellStyle name="Обычный 4 2 6" xfId="623" xr:uid="{00000000-0005-0000-0000-00000B030000}"/>
    <cellStyle name="Обычный 4 2 6 2" xfId="6663" xr:uid="{00000000-0005-0000-0000-00000C030000}"/>
    <cellStyle name="Обычный 4 2 6 2 2" xfId="18641" xr:uid="{00000000-0005-0000-0000-00000D030000}"/>
    <cellStyle name="Обычный 4 2 6 2 2 2" xfId="42596" xr:uid="{00000000-0005-0000-0000-00000E030000}"/>
    <cellStyle name="Обычный 4 2 6 2 3" xfId="30618" xr:uid="{00000000-0005-0000-0000-00000F030000}"/>
    <cellStyle name="Обычный 4 2 6 3" xfId="12604" xr:uid="{00000000-0005-0000-0000-000010030000}"/>
    <cellStyle name="Обычный 4 2 6 3 2" xfId="36559" xr:uid="{00000000-0005-0000-0000-000011030000}"/>
    <cellStyle name="Обычный 4 2 6 4" xfId="24582" xr:uid="{00000000-0005-0000-0000-000012030000}"/>
    <cellStyle name="Обычный 4 2 7" xfId="2812" xr:uid="{00000000-0005-0000-0000-000013030000}"/>
    <cellStyle name="Обычный 4 2 7 2" xfId="14791" xr:uid="{00000000-0005-0000-0000-000014030000}"/>
    <cellStyle name="Обычный 4 2 7 2 2" xfId="38746" xr:uid="{00000000-0005-0000-0000-000015030000}"/>
    <cellStyle name="Обычный 4 2 7 3" xfId="26769" xr:uid="{00000000-0005-0000-0000-000016030000}"/>
    <cellStyle name="Обычный 4 2 8" xfId="4456" xr:uid="{00000000-0005-0000-0000-000017030000}"/>
    <cellStyle name="Обычный 4 2 8 2" xfId="16435" xr:uid="{00000000-0005-0000-0000-000018030000}"/>
    <cellStyle name="Обычный 4 2 8 2 2" xfId="40390" xr:uid="{00000000-0005-0000-0000-000019030000}"/>
    <cellStyle name="Обычный 4 2 8 3" xfId="28413" xr:uid="{00000000-0005-0000-0000-00001A030000}"/>
    <cellStyle name="Обычный 4 2 9" xfId="6243" xr:uid="{00000000-0005-0000-0000-00001B030000}"/>
    <cellStyle name="Обычный 4 2 9 2" xfId="18221" xr:uid="{00000000-0005-0000-0000-00001C030000}"/>
    <cellStyle name="Обычный 4 2 9 2 2" xfId="42176" xr:uid="{00000000-0005-0000-0000-00001D030000}"/>
    <cellStyle name="Обычный 4 2 9 3" xfId="30198" xr:uid="{00000000-0005-0000-0000-00001E030000}"/>
    <cellStyle name="Обычный 4 3" xfId="351" xr:uid="{00000000-0005-0000-0000-00001F030000}"/>
    <cellStyle name="Обычный 4 3 10" xfId="48256" xr:uid="{00000000-0005-0000-0000-000020030000}"/>
    <cellStyle name="Обычный 4 3 2" xfId="1402" xr:uid="{00000000-0005-0000-0000-000021030000}"/>
    <cellStyle name="Обычный 4 3 2 2" xfId="3186" xr:uid="{00000000-0005-0000-0000-000022030000}"/>
    <cellStyle name="Обычный 4 3 2 2 2" xfId="15165" xr:uid="{00000000-0005-0000-0000-000023030000}"/>
    <cellStyle name="Обычный 4 3 2 2 2 2" xfId="39120" xr:uid="{00000000-0005-0000-0000-000024030000}"/>
    <cellStyle name="Обычный 4 3 2 2 3" xfId="27143" xr:uid="{00000000-0005-0000-0000-000025030000}"/>
    <cellStyle name="Обычный 4 3 2 2 4" xfId="50274" xr:uid="{00000000-0005-0000-0000-000026030000}"/>
    <cellStyle name="Обычный 4 3 2 3" xfId="4830" xr:uid="{00000000-0005-0000-0000-000027030000}"/>
    <cellStyle name="Обычный 4 3 2 3 2" xfId="16809" xr:uid="{00000000-0005-0000-0000-000028030000}"/>
    <cellStyle name="Обычный 4 3 2 3 2 2" xfId="40764" xr:uid="{00000000-0005-0000-0000-000029030000}"/>
    <cellStyle name="Обычный 4 3 2 3 3" xfId="28787" xr:uid="{00000000-0005-0000-0000-00002A030000}"/>
    <cellStyle name="Обычный 4 3 2 4" xfId="7442" xr:uid="{00000000-0005-0000-0000-00002B030000}"/>
    <cellStyle name="Обычный 4 3 2 4 2" xfId="19420" xr:uid="{00000000-0005-0000-0000-00002C030000}"/>
    <cellStyle name="Обычный 4 3 2 4 2 2" xfId="43375" xr:uid="{00000000-0005-0000-0000-00002D030000}"/>
    <cellStyle name="Обычный 4 3 2 4 3" xfId="31397" xr:uid="{00000000-0005-0000-0000-00002E030000}"/>
    <cellStyle name="Обычный 4 3 2 5" xfId="9224" xr:uid="{00000000-0005-0000-0000-00002F030000}"/>
    <cellStyle name="Обычный 4 3 2 5 2" xfId="21202" xr:uid="{00000000-0005-0000-0000-000030030000}"/>
    <cellStyle name="Обычный 4 3 2 5 2 2" xfId="45157" xr:uid="{00000000-0005-0000-0000-000031030000}"/>
    <cellStyle name="Обычный 4 3 2 5 3" xfId="33179" xr:uid="{00000000-0005-0000-0000-000032030000}"/>
    <cellStyle name="Обычный 4 3 2 6" xfId="13383" xr:uid="{00000000-0005-0000-0000-000033030000}"/>
    <cellStyle name="Обычный 4 3 2 6 2" xfId="37338" xr:uid="{00000000-0005-0000-0000-000034030000}"/>
    <cellStyle name="Обычный 4 3 2 7" xfId="25361" xr:uid="{00000000-0005-0000-0000-000035030000}"/>
    <cellStyle name="Обычный 4 3 2 8" xfId="48494" xr:uid="{00000000-0005-0000-0000-000036030000}"/>
    <cellStyle name="Обычный 4 3 3" xfId="771" xr:uid="{00000000-0005-0000-0000-000037030000}"/>
    <cellStyle name="Обычный 4 3 3 2" xfId="6811" xr:uid="{00000000-0005-0000-0000-000038030000}"/>
    <cellStyle name="Обычный 4 3 3 2 2" xfId="18789" xr:uid="{00000000-0005-0000-0000-000039030000}"/>
    <cellStyle name="Обычный 4 3 3 2 2 2" xfId="42744" xr:uid="{00000000-0005-0000-0000-00003A030000}"/>
    <cellStyle name="Обычный 4 3 3 2 3" xfId="30766" xr:uid="{00000000-0005-0000-0000-00003B030000}"/>
    <cellStyle name="Обычный 4 3 3 3" xfId="12752" xr:uid="{00000000-0005-0000-0000-00003C030000}"/>
    <cellStyle name="Обычный 4 3 3 3 2" xfId="36707" xr:uid="{00000000-0005-0000-0000-00003D030000}"/>
    <cellStyle name="Обычный 4 3 3 4" xfId="24730" xr:uid="{00000000-0005-0000-0000-00003E030000}"/>
    <cellStyle name="Обычный 4 3 3 5" xfId="50036" xr:uid="{00000000-0005-0000-0000-00003F030000}"/>
    <cellStyle name="Обычный 4 3 4" xfId="2948" xr:uid="{00000000-0005-0000-0000-000040030000}"/>
    <cellStyle name="Обычный 4 3 4 2" xfId="14927" xr:uid="{00000000-0005-0000-0000-000041030000}"/>
    <cellStyle name="Обычный 4 3 4 2 2" xfId="38882" xr:uid="{00000000-0005-0000-0000-000042030000}"/>
    <cellStyle name="Обычный 4 3 4 3" xfId="26905" xr:uid="{00000000-0005-0000-0000-000043030000}"/>
    <cellStyle name="Обычный 4 3 5" xfId="4592" xr:uid="{00000000-0005-0000-0000-000044030000}"/>
    <cellStyle name="Обычный 4 3 5 2" xfId="16571" xr:uid="{00000000-0005-0000-0000-000045030000}"/>
    <cellStyle name="Обычный 4 3 5 2 2" xfId="40526" xr:uid="{00000000-0005-0000-0000-000046030000}"/>
    <cellStyle name="Обычный 4 3 5 3" xfId="28549" xr:uid="{00000000-0005-0000-0000-000047030000}"/>
    <cellStyle name="Обычный 4 3 6" xfId="6391" xr:uid="{00000000-0005-0000-0000-000048030000}"/>
    <cellStyle name="Обычный 4 3 6 2" xfId="18369" xr:uid="{00000000-0005-0000-0000-000049030000}"/>
    <cellStyle name="Обычный 4 3 6 2 2" xfId="42324" xr:uid="{00000000-0005-0000-0000-00004A030000}"/>
    <cellStyle name="Обычный 4 3 6 3" xfId="30346" xr:uid="{00000000-0005-0000-0000-00004B030000}"/>
    <cellStyle name="Обычный 4 3 7" xfId="8986" xr:uid="{00000000-0005-0000-0000-00004C030000}"/>
    <cellStyle name="Обычный 4 3 7 2" xfId="20964" xr:uid="{00000000-0005-0000-0000-00004D030000}"/>
    <cellStyle name="Обычный 4 3 7 2 2" xfId="44919" xr:uid="{00000000-0005-0000-0000-00004E030000}"/>
    <cellStyle name="Обычный 4 3 7 3" xfId="32941" xr:uid="{00000000-0005-0000-0000-00004F030000}"/>
    <cellStyle name="Обычный 4 3 8" xfId="12332" xr:uid="{00000000-0005-0000-0000-000050030000}"/>
    <cellStyle name="Обычный 4 3 8 2" xfId="36287" xr:uid="{00000000-0005-0000-0000-000051030000}"/>
    <cellStyle name="Обычный 4 3 9" xfId="24310" xr:uid="{00000000-0005-0000-0000-000052030000}"/>
    <cellStyle name="Обычный 4 4" xfId="1419" xr:uid="{00000000-0005-0000-0000-000053030000}"/>
    <cellStyle name="Обычный 4 4 2" xfId="1874" xr:uid="{00000000-0005-0000-0000-000054030000}"/>
    <cellStyle name="Обычный 4 4 2 2" xfId="3519" xr:uid="{00000000-0005-0000-0000-000055030000}"/>
    <cellStyle name="Обычный 4 4 2 2 2" xfId="15498" xr:uid="{00000000-0005-0000-0000-000056030000}"/>
    <cellStyle name="Обычный 4 4 2 2 2 2" xfId="39453" xr:uid="{00000000-0005-0000-0000-000057030000}"/>
    <cellStyle name="Обычный 4 4 2 2 3" xfId="27476" xr:uid="{00000000-0005-0000-0000-000058030000}"/>
    <cellStyle name="Обычный 4 4 2 2 4" xfId="50745" xr:uid="{00000000-0005-0000-0000-000059030000}"/>
    <cellStyle name="Обычный 4 4 2 3" xfId="5302" xr:uid="{00000000-0005-0000-0000-00005A030000}"/>
    <cellStyle name="Обычный 4 4 2 3 2" xfId="17280" xr:uid="{00000000-0005-0000-0000-00005B030000}"/>
    <cellStyle name="Обычный 4 4 2 3 2 2" xfId="41235" xr:uid="{00000000-0005-0000-0000-00005C030000}"/>
    <cellStyle name="Обычный 4 4 2 3 3" xfId="29257" xr:uid="{00000000-0005-0000-0000-00005D030000}"/>
    <cellStyle name="Обычный 4 4 2 4" xfId="7912" xr:uid="{00000000-0005-0000-0000-00005E030000}"/>
    <cellStyle name="Обычный 4 4 2 4 2" xfId="19890" xr:uid="{00000000-0005-0000-0000-00005F030000}"/>
    <cellStyle name="Обычный 4 4 2 4 2 2" xfId="43845" xr:uid="{00000000-0005-0000-0000-000060030000}"/>
    <cellStyle name="Обычный 4 4 2 4 3" xfId="31867" xr:uid="{00000000-0005-0000-0000-000061030000}"/>
    <cellStyle name="Обычный 4 4 2 5" xfId="9695" xr:uid="{00000000-0005-0000-0000-000062030000}"/>
    <cellStyle name="Обычный 4 4 2 5 2" xfId="21673" xr:uid="{00000000-0005-0000-0000-000063030000}"/>
    <cellStyle name="Обычный 4 4 2 5 2 2" xfId="45628" xr:uid="{00000000-0005-0000-0000-000064030000}"/>
    <cellStyle name="Обычный 4 4 2 5 3" xfId="33650" xr:uid="{00000000-0005-0000-0000-000065030000}"/>
    <cellStyle name="Обычный 4 4 2 6" xfId="13853" xr:uid="{00000000-0005-0000-0000-000066030000}"/>
    <cellStyle name="Обычный 4 4 2 6 2" xfId="37808" xr:uid="{00000000-0005-0000-0000-000067030000}"/>
    <cellStyle name="Обычный 4 4 2 7" xfId="25831" xr:uid="{00000000-0005-0000-0000-000068030000}"/>
    <cellStyle name="Обычный 4 4 2 8" xfId="48964" xr:uid="{00000000-0005-0000-0000-000069030000}"/>
    <cellStyle name="Обычный 4 4 3" xfId="4847" xr:uid="{00000000-0005-0000-0000-00006A030000}"/>
    <cellStyle name="Обычный 4 4 3 2" xfId="16826" xr:uid="{00000000-0005-0000-0000-00006B030000}"/>
    <cellStyle name="Обычный 4 4 3 2 2" xfId="40781" xr:uid="{00000000-0005-0000-0000-00006C030000}"/>
    <cellStyle name="Обычный 4 4 3 3" xfId="28804" xr:uid="{00000000-0005-0000-0000-00006D030000}"/>
    <cellStyle name="Обычный 4 4 3 4" xfId="50291" xr:uid="{00000000-0005-0000-0000-00006E030000}"/>
    <cellStyle name="Обычный 4 4 4" xfId="7459" xr:uid="{00000000-0005-0000-0000-00006F030000}"/>
    <cellStyle name="Обычный 4 4 4 2" xfId="19437" xr:uid="{00000000-0005-0000-0000-000070030000}"/>
    <cellStyle name="Обычный 4 4 4 2 2" xfId="43392" xr:uid="{00000000-0005-0000-0000-000071030000}"/>
    <cellStyle name="Обычный 4 4 4 3" xfId="31414" xr:uid="{00000000-0005-0000-0000-000072030000}"/>
    <cellStyle name="Обычный 4 4 5" xfId="9241" xr:uid="{00000000-0005-0000-0000-000073030000}"/>
    <cellStyle name="Обычный 4 4 5 2" xfId="21219" xr:uid="{00000000-0005-0000-0000-000074030000}"/>
    <cellStyle name="Обычный 4 4 5 2 2" xfId="45174" xr:uid="{00000000-0005-0000-0000-000075030000}"/>
    <cellStyle name="Обычный 4 4 5 3" xfId="33196" xr:uid="{00000000-0005-0000-0000-000076030000}"/>
    <cellStyle name="Обычный 4 4 6" xfId="13400" xr:uid="{00000000-0005-0000-0000-000077030000}"/>
    <cellStyle name="Обычный 4 4 6 2" xfId="37355" xr:uid="{00000000-0005-0000-0000-000078030000}"/>
    <cellStyle name="Обычный 4 4 7" xfId="25378" xr:uid="{00000000-0005-0000-0000-000079030000}"/>
    <cellStyle name="Обычный 4 4 8" xfId="48511" xr:uid="{00000000-0005-0000-0000-00007A030000}"/>
    <cellStyle name="Обычный 4 5" xfId="1386" xr:uid="{00000000-0005-0000-0000-00007B030000}"/>
    <cellStyle name="Обычный 4 5 2" xfId="3170" xr:uid="{00000000-0005-0000-0000-00007C030000}"/>
    <cellStyle name="Обычный 4 5 2 2" xfId="15149" xr:uid="{00000000-0005-0000-0000-00007D030000}"/>
    <cellStyle name="Обычный 4 5 2 2 2" xfId="39104" xr:uid="{00000000-0005-0000-0000-00007E030000}"/>
    <cellStyle name="Обычный 4 5 2 3" xfId="27127" xr:uid="{00000000-0005-0000-0000-00007F030000}"/>
    <cellStyle name="Обычный 4 5 2 4" xfId="50258" xr:uid="{00000000-0005-0000-0000-000080030000}"/>
    <cellStyle name="Обычный 4 5 3" xfId="4814" xr:uid="{00000000-0005-0000-0000-000081030000}"/>
    <cellStyle name="Обычный 4 5 3 2" xfId="16793" xr:uid="{00000000-0005-0000-0000-000082030000}"/>
    <cellStyle name="Обычный 4 5 3 2 2" xfId="40748" xr:uid="{00000000-0005-0000-0000-000083030000}"/>
    <cellStyle name="Обычный 4 5 3 3" xfId="28771" xr:uid="{00000000-0005-0000-0000-000084030000}"/>
    <cellStyle name="Обычный 4 5 4" xfId="7426" xr:uid="{00000000-0005-0000-0000-000085030000}"/>
    <cellStyle name="Обычный 4 5 4 2" xfId="19404" xr:uid="{00000000-0005-0000-0000-000086030000}"/>
    <cellStyle name="Обычный 4 5 4 2 2" xfId="43359" xr:uid="{00000000-0005-0000-0000-000087030000}"/>
    <cellStyle name="Обычный 4 5 4 3" xfId="31381" xr:uid="{00000000-0005-0000-0000-000088030000}"/>
    <cellStyle name="Обычный 4 5 5" xfId="9208" xr:uid="{00000000-0005-0000-0000-000089030000}"/>
    <cellStyle name="Обычный 4 5 5 2" xfId="21186" xr:uid="{00000000-0005-0000-0000-00008A030000}"/>
    <cellStyle name="Обычный 4 5 5 2 2" xfId="45141" xr:uid="{00000000-0005-0000-0000-00008B030000}"/>
    <cellStyle name="Обычный 4 5 5 3" xfId="33163" xr:uid="{00000000-0005-0000-0000-00008C030000}"/>
    <cellStyle name="Обычный 4 5 6" xfId="13367" xr:uid="{00000000-0005-0000-0000-00008D030000}"/>
    <cellStyle name="Обычный 4 5 6 2" xfId="37322" xr:uid="{00000000-0005-0000-0000-00008E030000}"/>
    <cellStyle name="Обычный 4 5 7" xfId="25345" xr:uid="{00000000-0005-0000-0000-00008F030000}"/>
    <cellStyle name="Обычный 4 5 8" xfId="48478" xr:uid="{00000000-0005-0000-0000-000090030000}"/>
    <cellStyle name="Обычный 4 6" xfId="2395" xr:uid="{00000000-0005-0000-0000-000091030000}"/>
    <cellStyle name="Обычный 4 6 2" xfId="4040" xr:uid="{00000000-0005-0000-0000-000092030000}"/>
    <cellStyle name="Обычный 4 6 2 2" xfId="16019" xr:uid="{00000000-0005-0000-0000-000093030000}"/>
    <cellStyle name="Обычный 4 6 2 2 2" xfId="39974" xr:uid="{00000000-0005-0000-0000-000094030000}"/>
    <cellStyle name="Обычный 4 6 2 3" xfId="27997" xr:uid="{00000000-0005-0000-0000-000095030000}"/>
    <cellStyle name="Обычный 4 6 2 4" xfId="51266" xr:uid="{00000000-0005-0000-0000-000096030000}"/>
    <cellStyle name="Обычный 4 6 3" xfId="5823" xr:uid="{00000000-0005-0000-0000-000097030000}"/>
    <cellStyle name="Обычный 4 6 3 2" xfId="17801" xr:uid="{00000000-0005-0000-0000-000098030000}"/>
    <cellStyle name="Обычный 4 6 3 2 2" xfId="41756" xr:uid="{00000000-0005-0000-0000-000099030000}"/>
    <cellStyle name="Обычный 4 6 3 3" xfId="29778" xr:uid="{00000000-0005-0000-0000-00009A030000}"/>
    <cellStyle name="Обычный 4 6 4" xfId="8433" xr:uid="{00000000-0005-0000-0000-00009B030000}"/>
    <cellStyle name="Обычный 4 6 4 2" xfId="20411" xr:uid="{00000000-0005-0000-0000-00009C030000}"/>
    <cellStyle name="Обычный 4 6 4 2 2" xfId="44366" xr:uid="{00000000-0005-0000-0000-00009D030000}"/>
    <cellStyle name="Обычный 4 6 4 3" xfId="32388" xr:uid="{00000000-0005-0000-0000-00009E030000}"/>
    <cellStyle name="Обычный 4 6 5" xfId="10216" xr:uid="{00000000-0005-0000-0000-00009F030000}"/>
    <cellStyle name="Обычный 4 6 5 2" xfId="22194" xr:uid="{00000000-0005-0000-0000-0000A0030000}"/>
    <cellStyle name="Обычный 4 6 5 2 2" xfId="46149" xr:uid="{00000000-0005-0000-0000-0000A1030000}"/>
    <cellStyle name="Обычный 4 6 5 3" xfId="34171" xr:uid="{00000000-0005-0000-0000-0000A2030000}"/>
    <cellStyle name="Обычный 4 6 6" xfId="14374" xr:uid="{00000000-0005-0000-0000-0000A3030000}"/>
    <cellStyle name="Обычный 4 6 6 2" xfId="38329" xr:uid="{00000000-0005-0000-0000-0000A4030000}"/>
    <cellStyle name="Обычный 4 6 7" xfId="26352" xr:uid="{00000000-0005-0000-0000-0000A5030000}"/>
    <cellStyle name="Обычный 4 6 8" xfId="49485" xr:uid="{00000000-0005-0000-0000-0000A6030000}"/>
    <cellStyle name="Обычный 4 7" xfId="1622" xr:uid="{00000000-0005-0000-0000-0000A7030000}"/>
    <cellStyle name="Обычный 4 7 2" xfId="3267" xr:uid="{00000000-0005-0000-0000-0000A8030000}"/>
    <cellStyle name="Обычный 4 7 2 2" xfId="15246" xr:uid="{00000000-0005-0000-0000-0000A9030000}"/>
    <cellStyle name="Обычный 4 7 2 2 2" xfId="39201" xr:uid="{00000000-0005-0000-0000-0000AA030000}"/>
    <cellStyle name="Обычный 4 7 2 3" xfId="27224" xr:uid="{00000000-0005-0000-0000-0000AB030000}"/>
    <cellStyle name="Обычный 4 7 2 4" xfId="50493" xr:uid="{00000000-0005-0000-0000-0000AC030000}"/>
    <cellStyle name="Обычный 4 7 3" xfId="5050" xr:uid="{00000000-0005-0000-0000-0000AD030000}"/>
    <cellStyle name="Обычный 4 7 3 2" xfId="17028" xr:uid="{00000000-0005-0000-0000-0000AE030000}"/>
    <cellStyle name="Обычный 4 7 3 2 2" xfId="40983" xr:uid="{00000000-0005-0000-0000-0000AF030000}"/>
    <cellStyle name="Обычный 4 7 3 3" xfId="29005" xr:uid="{00000000-0005-0000-0000-0000B0030000}"/>
    <cellStyle name="Обычный 4 7 4" xfId="7660" xr:uid="{00000000-0005-0000-0000-0000B1030000}"/>
    <cellStyle name="Обычный 4 7 4 2" xfId="19638" xr:uid="{00000000-0005-0000-0000-0000B2030000}"/>
    <cellStyle name="Обычный 4 7 4 2 2" xfId="43593" xr:uid="{00000000-0005-0000-0000-0000B3030000}"/>
    <cellStyle name="Обычный 4 7 4 3" xfId="31615" xr:uid="{00000000-0005-0000-0000-0000B4030000}"/>
    <cellStyle name="Обычный 4 7 5" xfId="9443" xr:uid="{00000000-0005-0000-0000-0000B5030000}"/>
    <cellStyle name="Обычный 4 7 5 2" xfId="21421" xr:uid="{00000000-0005-0000-0000-0000B6030000}"/>
    <cellStyle name="Обычный 4 7 5 2 2" xfId="45376" xr:uid="{00000000-0005-0000-0000-0000B7030000}"/>
    <cellStyle name="Обычный 4 7 5 3" xfId="33398" xr:uid="{00000000-0005-0000-0000-0000B8030000}"/>
    <cellStyle name="Обычный 4 7 6" xfId="13601" xr:uid="{00000000-0005-0000-0000-0000B9030000}"/>
    <cellStyle name="Обычный 4 7 6 2" xfId="37556" xr:uid="{00000000-0005-0000-0000-0000BA030000}"/>
    <cellStyle name="Обычный 4 7 7" xfId="25579" xr:uid="{00000000-0005-0000-0000-0000BB030000}"/>
    <cellStyle name="Обычный 4 7 8" xfId="48712" xr:uid="{00000000-0005-0000-0000-0000BC030000}"/>
    <cellStyle name="Обычный 4 8" xfId="487" xr:uid="{00000000-0005-0000-0000-0000BD030000}"/>
    <cellStyle name="Обычный 4 8 2" xfId="6527" xr:uid="{00000000-0005-0000-0000-0000BE030000}"/>
    <cellStyle name="Обычный 4 8 2 2" xfId="18505" xr:uid="{00000000-0005-0000-0000-0000BF030000}"/>
    <cellStyle name="Обычный 4 8 2 2 2" xfId="42460" xr:uid="{00000000-0005-0000-0000-0000C0030000}"/>
    <cellStyle name="Обычный 4 8 2 3" xfId="30482" xr:uid="{00000000-0005-0000-0000-0000C1030000}"/>
    <cellStyle name="Обычный 4 8 3" xfId="12468" xr:uid="{00000000-0005-0000-0000-0000C2030000}"/>
    <cellStyle name="Обычный 4 8 3 2" xfId="36423" xr:uid="{00000000-0005-0000-0000-0000C3030000}"/>
    <cellStyle name="Обычный 4 8 4" xfId="24446" xr:uid="{00000000-0005-0000-0000-0000C4030000}"/>
    <cellStyle name="Обычный 4 8 5" xfId="49764" xr:uid="{00000000-0005-0000-0000-0000C5030000}"/>
    <cellStyle name="Обычный 4 9" xfId="2676" xr:uid="{00000000-0005-0000-0000-0000C6030000}"/>
    <cellStyle name="Обычный 4 9 2" xfId="14655" xr:uid="{00000000-0005-0000-0000-0000C7030000}"/>
    <cellStyle name="Обычный 4 9 2 2" xfId="38610" xr:uid="{00000000-0005-0000-0000-0000C8030000}"/>
    <cellStyle name="Обычный 4 9 3" xfId="26633" xr:uid="{00000000-0005-0000-0000-0000C9030000}"/>
    <cellStyle name="Обычный 4 9 4" xfId="51487" xr:uid="{00000000-0005-0000-0000-0000CA030000}"/>
    <cellStyle name="Обычный 5" xfId="67" xr:uid="{00000000-0005-0000-0000-0000CB030000}"/>
    <cellStyle name="Обычный 5 10" xfId="4321" xr:uid="{00000000-0005-0000-0000-0000CC030000}"/>
    <cellStyle name="Обычный 5 10 2" xfId="16300" xr:uid="{00000000-0005-0000-0000-0000CD030000}"/>
    <cellStyle name="Обычный 5 10 2 2" xfId="40255" xr:uid="{00000000-0005-0000-0000-0000CE030000}"/>
    <cellStyle name="Обычный 5 10 3" xfId="28278" xr:uid="{00000000-0005-0000-0000-0000CF030000}"/>
    <cellStyle name="Обычный 5 11" xfId="6108" xr:uid="{00000000-0005-0000-0000-0000D0030000}"/>
    <cellStyle name="Обычный 5 11 2" xfId="18086" xr:uid="{00000000-0005-0000-0000-0000D1030000}"/>
    <cellStyle name="Обычный 5 11 2 2" xfId="42041" xr:uid="{00000000-0005-0000-0000-0000D2030000}"/>
    <cellStyle name="Обычный 5 11 3" xfId="30063" xr:uid="{00000000-0005-0000-0000-0000D3030000}"/>
    <cellStyle name="Обычный 5 12" xfId="8715" xr:uid="{00000000-0005-0000-0000-0000D4030000}"/>
    <cellStyle name="Обычный 5 12 2" xfId="20693" xr:uid="{00000000-0005-0000-0000-0000D5030000}"/>
    <cellStyle name="Обычный 5 12 2 2" xfId="44648" xr:uid="{00000000-0005-0000-0000-0000D6030000}"/>
    <cellStyle name="Обычный 5 12 3" xfId="32670" xr:uid="{00000000-0005-0000-0000-0000D7030000}"/>
    <cellStyle name="Обычный 5 13" xfId="12049" xr:uid="{00000000-0005-0000-0000-0000D8030000}"/>
    <cellStyle name="Обычный 5 13 2" xfId="36004" xr:uid="{00000000-0005-0000-0000-0000D9030000}"/>
    <cellStyle name="Обычный 5 14" xfId="24027" xr:uid="{00000000-0005-0000-0000-0000DA030000}"/>
    <cellStyle name="Обычный 5 15" xfId="47985" xr:uid="{00000000-0005-0000-0000-0000DB030000}"/>
    <cellStyle name="Обычный 5 2" xfId="203" xr:uid="{00000000-0005-0000-0000-0000DC030000}"/>
    <cellStyle name="Обычный 5 2 10" xfId="8851" xr:uid="{00000000-0005-0000-0000-0000DD030000}"/>
    <cellStyle name="Обычный 5 2 10 2" xfId="20829" xr:uid="{00000000-0005-0000-0000-0000DE030000}"/>
    <cellStyle name="Обычный 5 2 10 2 2" xfId="44784" xr:uid="{00000000-0005-0000-0000-0000DF030000}"/>
    <cellStyle name="Обычный 5 2 10 3" xfId="32806" xr:uid="{00000000-0005-0000-0000-0000E0030000}"/>
    <cellStyle name="Обычный 5 2 11" xfId="12185" xr:uid="{00000000-0005-0000-0000-0000E1030000}"/>
    <cellStyle name="Обычный 5 2 11 2" xfId="36140" xr:uid="{00000000-0005-0000-0000-0000E2030000}"/>
    <cellStyle name="Обычный 5 2 12" xfId="24163" xr:uid="{00000000-0005-0000-0000-0000E3030000}"/>
    <cellStyle name="Обычный 5 2 13" xfId="48121" xr:uid="{00000000-0005-0000-0000-0000E4030000}"/>
    <cellStyle name="Обычный 5 2 2" xfId="1301" xr:uid="{00000000-0005-0000-0000-0000E5030000}"/>
    <cellStyle name="Обычный 5 2 2 2" xfId="1411" xr:uid="{00000000-0005-0000-0000-0000E6030000}"/>
    <cellStyle name="Обычный 5 2 2 2 2" xfId="3195" xr:uid="{00000000-0005-0000-0000-0000E7030000}"/>
    <cellStyle name="Обычный 5 2 2 2 2 2" xfId="15174" xr:uid="{00000000-0005-0000-0000-0000E8030000}"/>
    <cellStyle name="Обычный 5 2 2 2 2 2 2" xfId="39129" xr:uid="{00000000-0005-0000-0000-0000E9030000}"/>
    <cellStyle name="Обычный 5 2 2 2 2 3" xfId="27152" xr:uid="{00000000-0005-0000-0000-0000EA030000}"/>
    <cellStyle name="Обычный 5 2 2 2 2 4" xfId="50283" xr:uid="{00000000-0005-0000-0000-0000EB030000}"/>
    <cellStyle name="Обычный 5 2 2 2 3" xfId="4839" xr:uid="{00000000-0005-0000-0000-0000EC030000}"/>
    <cellStyle name="Обычный 5 2 2 2 3 2" xfId="16818" xr:uid="{00000000-0005-0000-0000-0000ED030000}"/>
    <cellStyle name="Обычный 5 2 2 2 3 2 2" xfId="40773" xr:uid="{00000000-0005-0000-0000-0000EE030000}"/>
    <cellStyle name="Обычный 5 2 2 2 3 3" xfId="28796" xr:uid="{00000000-0005-0000-0000-0000EF030000}"/>
    <cellStyle name="Обычный 5 2 2 2 4" xfId="7451" xr:uid="{00000000-0005-0000-0000-0000F0030000}"/>
    <cellStyle name="Обычный 5 2 2 2 4 2" xfId="19429" xr:uid="{00000000-0005-0000-0000-0000F1030000}"/>
    <cellStyle name="Обычный 5 2 2 2 4 2 2" xfId="43384" xr:uid="{00000000-0005-0000-0000-0000F2030000}"/>
    <cellStyle name="Обычный 5 2 2 2 4 3" xfId="31406" xr:uid="{00000000-0005-0000-0000-0000F3030000}"/>
    <cellStyle name="Обычный 5 2 2 2 5" xfId="9233" xr:uid="{00000000-0005-0000-0000-0000F4030000}"/>
    <cellStyle name="Обычный 5 2 2 2 5 2" xfId="21211" xr:uid="{00000000-0005-0000-0000-0000F5030000}"/>
    <cellStyle name="Обычный 5 2 2 2 5 2 2" xfId="45166" xr:uid="{00000000-0005-0000-0000-0000F6030000}"/>
    <cellStyle name="Обычный 5 2 2 2 5 3" xfId="33188" xr:uid="{00000000-0005-0000-0000-0000F7030000}"/>
    <cellStyle name="Обычный 5 2 2 2 6" xfId="13392" xr:uid="{00000000-0005-0000-0000-0000F8030000}"/>
    <cellStyle name="Обычный 5 2 2 2 6 2" xfId="37347" xr:uid="{00000000-0005-0000-0000-0000F9030000}"/>
    <cellStyle name="Обычный 5 2 2 2 7" xfId="25370" xr:uid="{00000000-0005-0000-0000-0000FA030000}"/>
    <cellStyle name="Обычный 5 2 2 2 8" xfId="48503" xr:uid="{00000000-0005-0000-0000-0000FB030000}"/>
    <cellStyle name="Обычный 5 2 2 3" xfId="3085" xr:uid="{00000000-0005-0000-0000-0000FC030000}"/>
    <cellStyle name="Обычный 5 2 2 3 2" xfId="15064" xr:uid="{00000000-0005-0000-0000-0000FD030000}"/>
    <cellStyle name="Обычный 5 2 2 3 2 2" xfId="39019" xr:uid="{00000000-0005-0000-0000-0000FE030000}"/>
    <cellStyle name="Обычный 5 2 2 3 3" xfId="27042" xr:uid="{00000000-0005-0000-0000-0000FF030000}"/>
    <cellStyle name="Обычный 5 2 2 3 4" xfId="50173" xr:uid="{00000000-0005-0000-0000-000000040000}"/>
    <cellStyle name="Обычный 5 2 2 4" xfId="4729" xr:uid="{00000000-0005-0000-0000-000001040000}"/>
    <cellStyle name="Обычный 5 2 2 4 2" xfId="16708" xr:uid="{00000000-0005-0000-0000-000002040000}"/>
    <cellStyle name="Обычный 5 2 2 4 2 2" xfId="40663" xr:uid="{00000000-0005-0000-0000-000003040000}"/>
    <cellStyle name="Обычный 5 2 2 4 3" xfId="28686" xr:uid="{00000000-0005-0000-0000-000004040000}"/>
    <cellStyle name="Обычный 5 2 2 5" xfId="7341" xr:uid="{00000000-0005-0000-0000-000005040000}"/>
    <cellStyle name="Обычный 5 2 2 5 2" xfId="19319" xr:uid="{00000000-0005-0000-0000-000006040000}"/>
    <cellStyle name="Обычный 5 2 2 5 2 2" xfId="43274" xr:uid="{00000000-0005-0000-0000-000007040000}"/>
    <cellStyle name="Обычный 5 2 2 5 3" xfId="31296" xr:uid="{00000000-0005-0000-0000-000008040000}"/>
    <cellStyle name="Обычный 5 2 2 6" xfId="9123" xr:uid="{00000000-0005-0000-0000-000009040000}"/>
    <cellStyle name="Обычный 5 2 2 6 2" xfId="21101" xr:uid="{00000000-0005-0000-0000-00000A040000}"/>
    <cellStyle name="Обычный 5 2 2 6 2 2" xfId="45056" xr:uid="{00000000-0005-0000-0000-00000B040000}"/>
    <cellStyle name="Обычный 5 2 2 6 3" xfId="33078" xr:uid="{00000000-0005-0000-0000-00000C040000}"/>
    <cellStyle name="Обычный 5 2 2 7" xfId="13282" xr:uid="{00000000-0005-0000-0000-00000D040000}"/>
    <cellStyle name="Обычный 5 2 2 7 2" xfId="37237" xr:uid="{00000000-0005-0000-0000-00000E040000}"/>
    <cellStyle name="Обычный 5 2 2 8" xfId="25260" xr:uid="{00000000-0005-0000-0000-00000F040000}"/>
    <cellStyle name="Обычный 5 2 2 9" xfId="48393" xr:uid="{00000000-0005-0000-0000-000010040000}"/>
    <cellStyle name="Обычный 5 2 3" xfId="1395" xr:uid="{00000000-0005-0000-0000-000011040000}"/>
    <cellStyle name="Обычный 5 2 3 2" xfId="3179" xr:uid="{00000000-0005-0000-0000-000012040000}"/>
    <cellStyle name="Обычный 5 2 3 2 2" xfId="15158" xr:uid="{00000000-0005-0000-0000-000013040000}"/>
    <cellStyle name="Обычный 5 2 3 2 2 2" xfId="39113" xr:uid="{00000000-0005-0000-0000-000014040000}"/>
    <cellStyle name="Обычный 5 2 3 2 3" xfId="27136" xr:uid="{00000000-0005-0000-0000-000015040000}"/>
    <cellStyle name="Обычный 5 2 3 2 4" xfId="50267" xr:uid="{00000000-0005-0000-0000-000016040000}"/>
    <cellStyle name="Обычный 5 2 3 3" xfId="4823" xr:uid="{00000000-0005-0000-0000-000017040000}"/>
    <cellStyle name="Обычный 5 2 3 3 2" xfId="16802" xr:uid="{00000000-0005-0000-0000-000018040000}"/>
    <cellStyle name="Обычный 5 2 3 3 2 2" xfId="40757" xr:uid="{00000000-0005-0000-0000-000019040000}"/>
    <cellStyle name="Обычный 5 2 3 3 3" xfId="28780" xr:uid="{00000000-0005-0000-0000-00001A040000}"/>
    <cellStyle name="Обычный 5 2 3 4" xfId="7435" xr:uid="{00000000-0005-0000-0000-00001B040000}"/>
    <cellStyle name="Обычный 5 2 3 4 2" xfId="19413" xr:uid="{00000000-0005-0000-0000-00001C040000}"/>
    <cellStyle name="Обычный 5 2 3 4 2 2" xfId="43368" xr:uid="{00000000-0005-0000-0000-00001D040000}"/>
    <cellStyle name="Обычный 5 2 3 4 3" xfId="31390" xr:uid="{00000000-0005-0000-0000-00001E040000}"/>
    <cellStyle name="Обычный 5 2 3 5" xfId="9217" xr:uid="{00000000-0005-0000-0000-00001F040000}"/>
    <cellStyle name="Обычный 5 2 3 5 2" xfId="21195" xr:uid="{00000000-0005-0000-0000-000020040000}"/>
    <cellStyle name="Обычный 5 2 3 5 2 2" xfId="45150" xr:uid="{00000000-0005-0000-0000-000021040000}"/>
    <cellStyle name="Обычный 5 2 3 5 3" xfId="33172" xr:uid="{00000000-0005-0000-0000-000022040000}"/>
    <cellStyle name="Обычный 5 2 3 6" xfId="13376" xr:uid="{00000000-0005-0000-0000-000023040000}"/>
    <cellStyle name="Обычный 5 2 3 6 2" xfId="37331" xr:uid="{00000000-0005-0000-0000-000024040000}"/>
    <cellStyle name="Обычный 5 2 3 7" xfId="25354" xr:uid="{00000000-0005-0000-0000-000025040000}"/>
    <cellStyle name="Обычный 5 2 3 8" xfId="48487" xr:uid="{00000000-0005-0000-0000-000026040000}"/>
    <cellStyle name="Обычный 5 2 4" xfId="2532" xr:uid="{00000000-0005-0000-0000-000027040000}"/>
    <cellStyle name="Обычный 5 2 4 2" xfId="4177" xr:uid="{00000000-0005-0000-0000-000028040000}"/>
    <cellStyle name="Обычный 5 2 4 2 2" xfId="16156" xr:uid="{00000000-0005-0000-0000-000029040000}"/>
    <cellStyle name="Обычный 5 2 4 2 2 2" xfId="40111" xr:uid="{00000000-0005-0000-0000-00002A040000}"/>
    <cellStyle name="Обычный 5 2 4 2 3" xfId="28134" xr:uid="{00000000-0005-0000-0000-00002B040000}"/>
    <cellStyle name="Обычный 5 2 4 2 4" xfId="51403" xr:uid="{00000000-0005-0000-0000-00002C040000}"/>
    <cellStyle name="Обычный 5 2 4 3" xfId="5960" xr:uid="{00000000-0005-0000-0000-00002D040000}"/>
    <cellStyle name="Обычный 5 2 4 3 2" xfId="17938" xr:uid="{00000000-0005-0000-0000-00002E040000}"/>
    <cellStyle name="Обычный 5 2 4 3 2 2" xfId="41893" xr:uid="{00000000-0005-0000-0000-00002F040000}"/>
    <cellStyle name="Обычный 5 2 4 3 3" xfId="29915" xr:uid="{00000000-0005-0000-0000-000030040000}"/>
    <cellStyle name="Обычный 5 2 4 4" xfId="8570" xr:uid="{00000000-0005-0000-0000-000031040000}"/>
    <cellStyle name="Обычный 5 2 4 4 2" xfId="20548" xr:uid="{00000000-0005-0000-0000-000032040000}"/>
    <cellStyle name="Обычный 5 2 4 4 2 2" xfId="44503" xr:uid="{00000000-0005-0000-0000-000033040000}"/>
    <cellStyle name="Обычный 5 2 4 4 3" xfId="32525" xr:uid="{00000000-0005-0000-0000-000034040000}"/>
    <cellStyle name="Обычный 5 2 4 5" xfId="10353" xr:uid="{00000000-0005-0000-0000-000035040000}"/>
    <cellStyle name="Обычный 5 2 4 5 2" xfId="22331" xr:uid="{00000000-0005-0000-0000-000036040000}"/>
    <cellStyle name="Обычный 5 2 4 5 2 2" xfId="46286" xr:uid="{00000000-0005-0000-0000-000037040000}"/>
    <cellStyle name="Обычный 5 2 4 5 3" xfId="34308" xr:uid="{00000000-0005-0000-0000-000038040000}"/>
    <cellStyle name="Обычный 5 2 4 6" xfId="14511" xr:uid="{00000000-0005-0000-0000-000039040000}"/>
    <cellStyle name="Обычный 5 2 4 6 2" xfId="38466" xr:uid="{00000000-0005-0000-0000-00003A040000}"/>
    <cellStyle name="Обычный 5 2 4 7" xfId="26489" xr:uid="{00000000-0005-0000-0000-00003B040000}"/>
    <cellStyle name="Обычный 5 2 4 8" xfId="49622" xr:uid="{00000000-0005-0000-0000-00003C040000}"/>
    <cellStyle name="Обычный 5 2 5" xfId="1036" xr:uid="{00000000-0005-0000-0000-00003D040000}"/>
    <cellStyle name="Обычный 5 2 5 2" xfId="7076" xr:uid="{00000000-0005-0000-0000-00003E040000}"/>
    <cellStyle name="Обычный 5 2 5 2 2" xfId="19054" xr:uid="{00000000-0005-0000-0000-00003F040000}"/>
    <cellStyle name="Обычный 5 2 5 2 2 2" xfId="43009" xr:uid="{00000000-0005-0000-0000-000040040000}"/>
    <cellStyle name="Обычный 5 2 5 2 3" xfId="31031" xr:uid="{00000000-0005-0000-0000-000041040000}"/>
    <cellStyle name="Обычный 5 2 5 3" xfId="13017" xr:uid="{00000000-0005-0000-0000-000042040000}"/>
    <cellStyle name="Обычный 5 2 5 3 2" xfId="36972" xr:uid="{00000000-0005-0000-0000-000043040000}"/>
    <cellStyle name="Обычный 5 2 5 4" xfId="24995" xr:uid="{00000000-0005-0000-0000-000044040000}"/>
    <cellStyle name="Обычный 5 2 5 5" xfId="49901" xr:uid="{00000000-0005-0000-0000-000045040000}"/>
    <cellStyle name="Обычный 5 2 6" xfId="624" xr:uid="{00000000-0005-0000-0000-000046040000}"/>
    <cellStyle name="Обычный 5 2 6 2" xfId="6664" xr:uid="{00000000-0005-0000-0000-000047040000}"/>
    <cellStyle name="Обычный 5 2 6 2 2" xfId="18642" xr:uid="{00000000-0005-0000-0000-000048040000}"/>
    <cellStyle name="Обычный 5 2 6 2 2 2" xfId="42597" xr:uid="{00000000-0005-0000-0000-000049040000}"/>
    <cellStyle name="Обычный 5 2 6 2 3" xfId="30619" xr:uid="{00000000-0005-0000-0000-00004A040000}"/>
    <cellStyle name="Обычный 5 2 6 3" xfId="12605" xr:uid="{00000000-0005-0000-0000-00004B040000}"/>
    <cellStyle name="Обычный 5 2 6 3 2" xfId="36560" xr:uid="{00000000-0005-0000-0000-00004C040000}"/>
    <cellStyle name="Обычный 5 2 6 4" xfId="24583" xr:uid="{00000000-0005-0000-0000-00004D040000}"/>
    <cellStyle name="Обычный 5 2 7" xfId="2813" xr:uid="{00000000-0005-0000-0000-00004E040000}"/>
    <cellStyle name="Обычный 5 2 7 2" xfId="14792" xr:uid="{00000000-0005-0000-0000-00004F040000}"/>
    <cellStyle name="Обычный 5 2 7 2 2" xfId="38747" xr:uid="{00000000-0005-0000-0000-000050040000}"/>
    <cellStyle name="Обычный 5 2 7 3" xfId="26770" xr:uid="{00000000-0005-0000-0000-000051040000}"/>
    <cellStyle name="Обычный 5 2 8" xfId="4457" xr:uid="{00000000-0005-0000-0000-000052040000}"/>
    <cellStyle name="Обычный 5 2 8 2" xfId="16436" xr:uid="{00000000-0005-0000-0000-000053040000}"/>
    <cellStyle name="Обычный 5 2 8 2 2" xfId="40391" xr:uid="{00000000-0005-0000-0000-000054040000}"/>
    <cellStyle name="Обычный 5 2 8 3" xfId="28414" xr:uid="{00000000-0005-0000-0000-000055040000}"/>
    <cellStyle name="Обычный 5 2 9" xfId="6244" xr:uid="{00000000-0005-0000-0000-000056040000}"/>
    <cellStyle name="Обычный 5 2 9 2" xfId="18222" xr:uid="{00000000-0005-0000-0000-000057040000}"/>
    <cellStyle name="Обычный 5 2 9 2 2" xfId="42177" xr:uid="{00000000-0005-0000-0000-000058040000}"/>
    <cellStyle name="Обычный 5 2 9 3" xfId="30199" xr:uid="{00000000-0005-0000-0000-000059040000}"/>
    <cellStyle name="Обычный 5 3" xfId="352" xr:uid="{00000000-0005-0000-0000-00005A040000}"/>
    <cellStyle name="Обычный 5 3 10" xfId="48257" xr:uid="{00000000-0005-0000-0000-00005B040000}"/>
    <cellStyle name="Обычный 5 3 2" xfId="1403" xr:uid="{00000000-0005-0000-0000-00005C040000}"/>
    <cellStyle name="Обычный 5 3 2 2" xfId="3187" xr:uid="{00000000-0005-0000-0000-00005D040000}"/>
    <cellStyle name="Обычный 5 3 2 2 2" xfId="15166" xr:uid="{00000000-0005-0000-0000-00005E040000}"/>
    <cellStyle name="Обычный 5 3 2 2 2 2" xfId="39121" xr:uid="{00000000-0005-0000-0000-00005F040000}"/>
    <cellStyle name="Обычный 5 3 2 2 3" xfId="27144" xr:uid="{00000000-0005-0000-0000-000060040000}"/>
    <cellStyle name="Обычный 5 3 2 2 4" xfId="50275" xr:uid="{00000000-0005-0000-0000-000061040000}"/>
    <cellStyle name="Обычный 5 3 2 3" xfId="4831" xr:uid="{00000000-0005-0000-0000-000062040000}"/>
    <cellStyle name="Обычный 5 3 2 3 2" xfId="16810" xr:uid="{00000000-0005-0000-0000-000063040000}"/>
    <cellStyle name="Обычный 5 3 2 3 2 2" xfId="40765" xr:uid="{00000000-0005-0000-0000-000064040000}"/>
    <cellStyle name="Обычный 5 3 2 3 3" xfId="28788" xr:uid="{00000000-0005-0000-0000-000065040000}"/>
    <cellStyle name="Обычный 5 3 2 4" xfId="7443" xr:uid="{00000000-0005-0000-0000-000066040000}"/>
    <cellStyle name="Обычный 5 3 2 4 2" xfId="19421" xr:uid="{00000000-0005-0000-0000-000067040000}"/>
    <cellStyle name="Обычный 5 3 2 4 2 2" xfId="43376" xr:uid="{00000000-0005-0000-0000-000068040000}"/>
    <cellStyle name="Обычный 5 3 2 4 3" xfId="31398" xr:uid="{00000000-0005-0000-0000-000069040000}"/>
    <cellStyle name="Обычный 5 3 2 5" xfId="9225" xr:uid="{00000000-0005-0000-0000-00006A040000}"/>
    <cellStyle name="Обычный 5 3 2 5 2" xfId="21203" xr:uid="{00000000-0005-0000-0000-00006B040000}"/>
    <cellStyle name="Обычный 5 3 2 5 2 2" xfId="45158" xr:uid="{00000000-0005-0000-0000-00006C040000}"/>
    <cellStyle name="Обычный 5 3 2 5 3" xfId="33180" xr:uid="{00000000-0005-0000-0000-00006D040000}"/>
    <cellStyle name="Обычный 5 3 2 6" xfId="13384" xr:uid="{00000000-0005-0000-0000-00006E040000}"/>
    <cellStyle name="Обычный 5 3 2 6 2" xfId="37339" xr:uid="{00000000-0005-0000-0000-00006F040000}"/>
    <cellStyle name="Обычный 5 3 2 7" xfId="25362" xr:uid="{00000000-0005-0000-0000-000070040000}"/>
    <cellStyle name="Обычный 5 3 2 8" xfId="48495" xr:uid="{00000000-0005-0000-0000-000071040000}"/>
    <cellStyle name="Обычный 5 3 3" xfId="772" xr:uid="{00000000-0005-0000-0000-000072040000}"/>
    <cellStyle name="Обычный 5 3 3 2" xfId="6812" xr:uid="{00000000-0005-0000-0000-000073040000}"/>
    <cellStyle name="Обычный 5 3 3 2 2" xfId="18790" xr:uid="{00000000-0005-0000-0000-000074040000}"/>
    <cellStyle name="Обычный 5 3 3 2 2 2" xfId="42745" xr:uid="{00000000-0005-0000-0000-000075040000}"/>
    <cellStyle name="Обычный 5 3 3 2 3" xfId="30767" xr:uid="{00000000-0005-0000-0000-000076040000}"/>
    <cellStyle name="Обычный 5 3 3 3" xfId="12753" xr:uid="{00000000-0005-0000-0000-000077040000}"/>
    <cellStyle name="Обычный 5 3 3 3 2" xfId="36708" xr:uid="{00000000-0005-0000-0000-000078040000}"/>
    <cellStyle name="Обычный 5 3 3 4" xfId="24731" xr:uid="{00000000-0005-0000-0000-000079040000}"/>
    <cellStyle name="Обычный 5 3 3 5" xfId="50037" xr:uid="{00000000-0005-0000-0000-00007A040000}"/>
    <cellStyle name="Обычный 5 3 4" xfId="2949" xr:uid="{00000000-0005-0000-0000-00007B040000}"/>
    <cellStyle name="Обычный 5 3 4 2" xfId="14928" xr:uid="{00000000-0005-0000-0000-00007C040000}"/>
    <cellStyle name="Обычный 5 3 4 2 2" xfId="38883" xr:uid="{00000000-0005-0000-0000-00007D040000}"/>
    <cellStyle name="Обычный 5 3 4 3" xfId="26906" xr:uid="{00000000-0005-0000-0000-00007E040000}"/>
    <cellStyle name="Обычный 5 3 5" xfId="4593" xr:uid="{00000000-0005-0000-0000-00007F040000}"/>
    <cellStyle name="Обычный 5 3 5 2" xfId="16572" xr:uid="{00000000-0005-0000-0000-000080040000}"/>
    <cellStyle name="Обычный 5 3 5 2 2" xfId="40527" xr:uid="{00000000-0005-0000-0000-000081040000}"/>
    <cellStyle name="Обычный 5 3 5 3" xfId="28550" xr:uid="{00000000-0005-0000-0000-000082040000}"/>
    <cellStyle name="Обычный 5 3 6" xfId="6392" xr:uid="{00000000-0005-0000-0000-000083040000}"/>
    <cellStyle name="Обычный 5 3 6 2" xfId="18370" xr:uid="{00000000-0005-0000-0000-000084040000}"/>
    <cellStyle name="Обычный 5 3 6 2 2" xfId="42325" xr:uid="{00000000-0005-0000-0000-000085040000}"/>
    <cellStyle name="Обычный 5 3 6 3" xfId="30347" xr:uid="{00000000-0005-0000-0000-000086040000}"/>
    <cellStyle name="Обычный 5 3 7" xfId="8987" xr:uid="{00000000-0005-0000-0000-000087040000}"/>
    <cellStyle name="Обычный 5 3 7 2" xfId="20965" xr:uid="{00000000-0005-0000-0000-000088040000}"/>
    <cellStyle name="Обычный 5 3 7 2 2" xfId="44920" xr:uid="{00000000-0005-0000-0000-000089040000}"/>
    <cellStyle name="Обычный 5 3 7 3" xfId="32942" xr:uid="{00000000-0005-0000-0000-00008A040000}"/>
    <cellStyle name="Обычный 5 3 8" xfId="12333" xr:uid="{00000000-0005-0000-0000-00008B040000}"/>
    <cellStyle name="Обычный 5 3 8 2" xfId="36288" xr:uid="{00000000-0005-0000-0000-00008C040000}"/>
    <cellStyle name="Обычный 5 3 9" xfId="24311" xr:uid="{00000000-0005-0000-0000-00008D040000}"/>
    <cellStyle name="Обычный 5 4" xfId="1422" xr:uid="{00000000-0005-0000-0000-00008E040000}"/>
    <cellStyle name="Обычный 5 4 2" xfId="1875" xr:uid="{00000000-0005-0000-0000-00008F040000}"/>
    <cellStyle name="Обычный 5 4 2 2" xfId="3520" xr:uid="{00000000-0005-0000-0000-000090040000}"/>
    <cellStyle name="Обычный 5 4 2 2 2" xfId="15499" xr:uid="{00000000-0005-0000-0000-000091040000}"/>
    <cellStyle name="Обычный 5 4 2 2 2 2" xfId="39454" xr:uid="{00000000-0005-0000-0000-000092040000}"/>
    <cellStyle name="Обычный 5 4 2 2 3" xfId="27477" xr:uid="{00000000-0005-0000-0000-000093040000}"/>
    <cellStyle name="Обычный 5 4 2 2 4" xfId="50746" xr:uid="{00000000-0005-0000-0000-000094040000}"/>
    <cellStyle name="Обычный 5 4 2 3" xfId="5303" xr:uid="{00000000-0005-0000-0000-000095040000}"/>
    <cellStyle name="Обычный 5 4 2 3 2" xfId="17281" xr:uid="{00000000-0005-0000-0000-000096040000}"/>
    <cellStyle name="Обычный 5 4 2 3 2 2" xfId="41236" xr:uid="{00000000-0005-0000-0000-000097040000}"/>
    <cellStyle name="Обычный 5 4 2 3 3" xfId="29258" xr:uid="{00000000-0005-0000-0000-000098040000}"/>
    <cellStyle name="Обычный 5 4 2 4" xfId="7913" xr:uid="{00000000-0005-0000-0000-000099040000}"/>
    <cellStyle name="Обычный 5 4 2 4 2" xfId="19891" xr:uid="{00000000-0005-0000-0000-00009A040000}"/>
    <cellStyle name="Обычный 5 4 2 4 2 2" xfId="43846" xr:uid="{00000000-0005-0000-0000-00009B040000}"/>
    <cellStyle name="Обычный 5 4 2 4 3" xfId="31868" xr:uid="{00000000-0005-0000-0000-00009C040000}"/>
    <cellStyle name="Обычный 5 4 2 5" xfId="9696" xr:uid="{00000000-0005-0000-0000-00009D040000}"/>
    <cellStyle name="Обычный 5 4 2 5 2" xfId="21674" xr:uid="{00000000-0005-0000-0000-00009E040000}"/>
    <cellStyle name="Обычный 5 4 2 5 2 2" xfId="45629" xr:uid="{00000000-0005-0000-0000-00009F040000}"/>
    <cellStyle name="Обычный 5 4 2 5 3" xfId="33651" xr:uid="{00000000-0005-0000-0000-0000A0040000}"/>
    <cellStyle name="Обычный 5 4 2 6" xfId="13854" xr:uid="{00000000-0005-0000-0000-0000A1040000}"/>
    <cellStyle name="Обычный 5 4 2 6 2" xfId="37809" xr:uid="{00000000-0005-0000-0000-0000A2040000}"/>
    <cellStyle name="Обычный 5 4 2 7" xfId="25832" xr:uid="{00000000-0005-0000-0000-0000A3040000}"/>
    <cellStyle name="Обычный 5 4 2 8" xfId="48965" xr:uid="{00000000-0005-0000-0000-0000A4040000}"/>
    <cellStyle name="Обычный 5 4 3" xfId="4850" xr:uid="{00000000-0005-0000-0000-0000A5040000}"/>
    <cellStyle name="Обычный 5 4 3 2" xfId="16829" xr:uid="{00000000-0005-0000-0000-0000A6040000}"/>
    <cellStyle name="Обычный 5 4 3 2 2" xfId="40784" xr:uid="{00000000-0005-0000-0000-0000A7040000}"/>
    <cellStyle name="Обычный 5 4 3 3" xfId="28807" xr:uid="{00000000-0005-0000-0000-0000A8040000}"/>
    <cellStyle name="Обычный 5 4 3 4" xfId="50294" xr:uid="{00000000-0005-0000-0000-0000A9040000}"/>
    <cellStyle name="Обычный 5 4 4" xfId="7462" xr:uid="{00000000-0005-0000-0000-0000AA040000}"/>
    <cellStyle name="Обычный 5 4 4 2" xfId="19440" xr:uid="{00000000-0005-0000-0000-0000AB040000}"/>
    <cellStyle name="Обычный 5 4 4 2 2" xfId="43395" xr:uid="{00000000-0005-0000-0000-0000AC040000}"/>
    <cellStyle name="Обычный 5 4 4 3" xfId="31417" xr:uid="{00000000-0005-0000-0000-0000AD040000}"/>
    <cellStyle name="Обычный 5 4 5" xfId="9244" xr:uid="{00000000-0005-0000-0000-0000AE040000}"/>
    <cellStyle name="Обычный 5 4 5 2" xfId="21222" xr:uid="{00000000-0005-0000-0000-0000AF040000}"/>
    <cellStyle name="Обычный 5 4 5 2 2" xfId="45177" xr:uid="{00000000-0005-0000-0000-0000B0040000}"/>
    <cellStyle name="Обычный 5 4 5 3" xfId="33199" xr:uid="{00000000-0005-0000-0000-0000B1040000}"/>
    <cellStyle name="Обычный 5 4 6" xfId="13403" xr:uid="{00000000-0005-0000-0000-0000B2040000}"/>
    <cellStyle name="Обычный 5 4 6 2" xfId="37358" xr:uid="{00000000-0005-0000-0000-0000B3040000}"/>
    <cellStyle name="Обычный 5 4 7" xfId="25381" xr:uid="{00000000-0005-0000-0000-0000B4040000}"/>
    <cellStyle name="Обычный 5 4 8" xfId="48514" xr:uid="{00000000-0005-0000-0000-0000B5040000}"/>
    <cellStyle name="Обычный 5 5" xfId="1387" xr:uid="{00000000-0005-0000-0000-0000B6040000}"/>
    <cellStyle name="Обычный 5 5 2" xfId="3171" xr:uid="{00000000-0005-0000-0000-0000B7040000}"/>
    <cellStyle name="Обычный 5 5 2 2" xfId="15150" xr:uid="{00000000-0005-0000-0000-0000B8040000}"/>
    <cellStyle name="Обычный 5 5 2 2 2" xfId="39105" xr:uid="{00000000-0005-0000-0000-0000B9040000}"/>
    <cellStyle name="Обычный 5 5 2 3" xfId="27128" xr:uid="{00000000-0005-0000-0000-0000BA040000}"/>
    <cellStyle name="Обычный 5 5 2 4" xfId="50259" xr:uid="{00000000-0005-0000-0000-0000BB040000}"/>
    <cellStyle name="Обычный 5 5 3" xfId="4815" xr:uid="{00000000-0005-0000-0000-0000BC040000}"/>
    <cellStyle name="Обычный 5 5 3 2" xfId="16794" xr:uid="{00000000-0005-0000-0000-0000BD040000}"/>
    <cellStyle name="Обычный 5 5 3 2 2" xfId="40749" xr:uid="{00000000-0005-0000-0000-0000BE040000}"/>
    <cellStyle name="Обычный 5 5 3 3" xfId="28772" xr:uid="{00000000-0005-0000-0000-0000BF040000}"/>
    <cellStyle name="Обычный 5 5 4" xfId="7427" xr:uid="{00000000-0005-0000-0000-0000C0040000}"/>
    <cellStyle name="Обычный 5 5 4 2" xfId="19405" xr:uid="{00000000-0005-0000-0000-0000C1040000}"/>
    <cellStyle name="Обычный 5 5 4 2 2" xfId="43360" xr:uid="{00000000-0005-0000-0000-0000C2040000}"/>
    <cellStyle name="Обычный 5 5 4 3" xfId="31382" xr:uid="{00000000-0005-0000-0000-0000C3040000}"/>
    <cellStyle name="Обычный 5 5 5" xfId="9209" xr:uid="{00000000-0005-0000-0000-0000C4040000}"/>
    <cellStyle name="Обычный 5 5 5 2" xfId="21187" xr:uid="{00000000-0005-0000-0000-0000C5040000}"/>
    <cellStyle name="Обычный 5 5 5 2 2" xfId="45142" xr:uid="{00000000-0005-0000-0000-0000C6040000}"/>
    <cellStyle name="Обычный 5 5 5 3" xfId="33164" xr:uid="{00000000-0005-0000-0000-0000C7040000}"/>
    <cellStyle name="Обычный 5 5 6" xfId="13368" xr:uid="{00000000-0005-0000-0000-0000C8040000}"/>
    <cellStyle name="Обычный 5 5 6 2" xfId="37323" xr:uid="{00000000-0005-0000-0000-0000C9040000}"/>
    <cellStyle name="Обычный 5 5 7" xfId="25346" xr:uid="{00000000-0005-0000-0000-0000CA040000}"/>
    <cellStyle name="Обычный 5 5 8" xfId="48479" xr:uid="{00000000-0005-0000-0000-0000CB040000}"/>
    <cellStyle name="Обычный 5 6" xfId="2396" xr:uid="{00000000-0005-0000-0000-0000CC040000}"/>
    <cellStyle name="Обычный 5 6 2" xfId="4041" xr:uid="{00000000-0005-0000-0000-0000CD040000}"/>
    <cellStyle name="Обычный 5 6 2 2" xfId="16020" xr:uid="{00000000-0005-0000-0000-0000CE040000}"/>
    <cellStyle name="Обычный 5 6 2 2 2" xfId="39975" xr:uid="{00000000-0005-0000-0000-0000CF040000}"/>
    <cellStyle name="Обычный 5 6 2 3" xfId="27998" xr:uid="{00000000-0005-0000-0000-0000D0040000}"/>
    <cellStyle name="Обычный 5 6 2 4" xfId="51267" xr:uid="{00000000-0005-0000-0000-0000D1040000}"/>
    <cellStyle name="Обычный 5 6 3" xfId="5824" xr:uid="{00000000-0005-0000-0000-0000D2040000}"/>
    <cellStyle name="Обычный 5 6 3 2" xfId="17802" xr:uid="{00000000-0005-0000-0000-0000D3040000}"/>
    <cellStyle name="Обычный 5 6 3 2 2" xfId="41757" xr:uid="{00000000-0005-0000-0000-0000D4040000}"/>
    <cellStyle name="Обычный 5 6 3 3" xfId="29779" xr:uid="{00000000-0005-0000-0000-0000D5040000}"/>
    <cellStyle name="Обычный 5 6 4" xfId="8434" xr:uid="{00000000-0005-0000-0000-0000D6040000}"/>
    <cellStyle name="Обычный 5 6 4 2" xfId="20412" xr:uid="{00000000-0005-0000-0000-0000D7040000}"/>
    <cellStyle name="Обычный 5 6 4 2 2" xfId="44367" xr:uid="{00000000-0005-0000-0000-0000D8040000}"/>
    <cellStyle name="Обычный 5 6 4 3" xfId="32389" xr:uid="{00000000-0005-0000-0000-0000D9040000}"/>
    <cellStyle name="Обычный 5 6 5" xfId="10217" xr:uid="{00000000-0005-0000-0000-0000DA040000}"/>
    <cellStyle name="Обычный 5 6 5 2" xfId="22195" xr:uid="{00000000-0005-0000-0000-0000DB040000}"/>
    <cellStyle name="Обычный 5 6 5 2 2" xfId="46150" xr:uid="{00000000-0005-0000-0000-0000DC040000}"/>
    <cellStyle name="Обычный 5 6 5 3" xfId="34172" xr:uid="{00000000-0005-0000-0000-0000DD040000}"/>
    <cellStyle name="Обычный 5 6 6" xfId="14375" xr:uid="{00000000-0005-0000-0000-0000DE040000}"/>
    <cellStyle name="Обычный 5 6 6 2" xfId="38330" xr:uid="{00000000-0005-0000-0000-0000DF040000}"/>
    <cellStyle name="Обычный 5 6 7" xfId="26353" xr:uid="{00000000-0005-0000-0000-0000E0040000}"/>
    <cellStyle name="Обычный 5 6 8" xfId="49486" xr:uid="{00000000-0005-0000-0000-0000E1040000}"/>
    <cellStyle name="Обычный 5 7" xfId="1623" xr:uid="{00000000-0005-0000-0000-0000E2040000}"/>
    <cellStyle name="Обычный 5 7 2" xfId="3268" xr:uid="{00000000-0005-0000-0000-0000E3040000}"/>
    <cellStyle name="Обычный 5 7 2 2" xfId="15247" xr:uid="{00000000-0005-0000-0000-0000E4040000}"/>
    <cellStyle name="Обычный 5 7 2 2 2" xfId="39202" xr:uid="{00000000-0005-0000-0000-0000E5040000}"/>
    <cellStyle name="Обычный 5 7 2 3" xfId="27225" xr:uid="{00000000-0005-0000-0000-0000E6040000}"/>
    <cellStyle name="Обычный 5 7 2 4" xfId="50494" xr:uid="{00000000-0005-0000-0000-0000E7040000}"/>
    <cellStyle name="Обычный 5 7 3" xfId="5051" xr:uid="{00000000-0005-0000-0000-0000E8040000}"/>
    <cellStyle name="Обычный 5 7 3 2" xfId="17029" xr:uid="{00000000-0005-0000-0000-0000E9040000}"/>
    <cellStyle name="Обычный 5 7 3 2 2" xfId="40984" xr:uid="{00000000-0005-0000-0000-0000EA040000}"/>
    <cellStyle name="Обычный 5 7 3 3" xfId="29006" xr:uid="{00000000-0005-0000-0000-0000EB040000}"/>
    <cellStyle name="Обычный 5 7 4" xfId="7661" xr:uid="{00000000-0005-0000-0000-0000EC040000}"/>
    <cellStyle name="Обычный 5 7 4 2" xfId="19639" xr:uid="{00000000-0005-0000-0000-0000ED040000}"/>
    <cellStyle name="Обычный 5 7 4 2 2" xfId="43594" xr:uid="{00000000-0005-0000-0000-0000EE040000}"/>
    <cellStyle name="Обычный 5 7 4 3" xfId="31616" xr:uid="{00000000-0005-0000-0000-0000EF040000}"/>
    <cellStyle name="Обычный 5 7 5" xfId="9444" xr:uid="{00000000-0005-0000-0000-0000F0040000}"/>
    <cellStyle name="Обычный 5 7 5 2" xfId="21422" xr:uid="{00000000-0005-0000-0000-0000F1040000}"/>
    <cellStyle name="Обычный 5 7 5 2 2" xfId="45377" xr:uid="{00000000-0005-0000-0000-0000F2040000}"/>
    <cellStyle name="Обычный 5 7 5 3" xfId="33399" xr:uid="{00000000-0005-0000-0000-0000F3040000}"/>
    <cellStyle name="Обычный 5 7 6" xfId="13602" xr:uid="{00000000-0005-0000-0000-0000F4040000}"/>
    <cellStyle name="Обычный 5 7 6 2" xfId="37557" xr:uid="{00000000-0005-0000-0000-0000F5040000}"/>
    <cellStyle name="Обычный 5 7 7" xfId="25580" xr:uid="{00000000-0005-0000-0000-0000F6040000}"/>
    <cellStyle name="Обычный 5 7 8" xfId="48713" xr:uid="{00000000-0005-0000-0000-0000F7040000}"/>
    <cellStyle name="Обычный 5 8" xfId="488" xr:uid="{00000000-0005-0000-0000-0000F8040000}"/>
    <cellStyle name="Обычный 5 8 2" xfId="6528" xr:uid="{00000000-0005-0000-0000-0000F9040000}"/>
    <cellStyle name="Обычный 5 8 2 2" xfId="18506" xr:uid="{00000000-0005-0000-0000-0000FA040000}"/>
    <cellStyle name="Обычный 5 8 2 2 2" xfId="42461" xr:uid="{00000000-0005-0000-0000-0000FB040000}"/>
    <cellStyle name="Обычный 5 8 2 3" xfId="30483" xr:uid="{00000000-0005-0000-0000-0000FC040000}"/>
    <cellStyle name="Обычный 5 8 3" xfId="12469" xr:uid="{00000000-0005-0000-0000-0000FD040000}"/>
    <cellStyle name="Обычный 5 8 3 2" xfId="36424" xr:uid="{00000000-0005-0000-0000-0000FE040000}"/>
    <cellStyle name="Обычный 5 8 4" xfId="24447" xr:uid="{00000000-0005-0000-0000-0000FF040000}"/>
    <cellStyle name="Обычный 5 8 5" xfId="49765" xr:uid="{00000000-0005-0000-0000-000000050000}"/>
    <cellStyle name="Обычный 5 9" xfId="2677" xr:uid="{00000000-0005-0000-0000-000001050000}"/>
    <cellStyle name="Обычный 5 9 2" xfId="14656" xr:uid="{00000000-0005-0000-0000-000002050000}"/>
    <cellStyle name="Обычный 5 9 2 2" xfId="38611" xr:uid="{00000000-0005-0000-0000-000003050000}"/>
    <cellStyle name="Обычный 5 9 3" xfId="26634" xr:uid="{00000000-0005-0000-0000-000004050000}"/>
    <cellStyle name="Обычный 5 9 4" xfId="51489" xr:uid="{00000000-0005-0000-0000-000005050000}"/>
    <cellStyle name="Обычный 6" xfId="68" xr:uid="{00000000-0005-0000-0000-000006050000}"/>
    <cellStyle name="Обычный 6 10" xfId="4322" xr:uid="{00000000-0005-0000-0000-000007050000}"/>
    <cellStyle name="Обычный 6 10 2" xfId="16301" xr:uid="{00000000-0005-0000-0000-000008050000}"/>
    <cellStyle name="Обычный 6 10 2 2" xfId="40256" xr:uid="{00000000-0005-0000-0000-000009050000}"/>
    <cellStyle name="Обычный 6 10 3" xfId="28279" xr:uid="{00000000-0005-0000-0000-00000A050000}"/>
    <cellStyle name="Обычный 6 11" xfId="6109" xr:uid="{00000000-0005-0000-0000-00000B050000}"/>
    <cellStyle name="Обычный 6 11 2" xfId="18087" xr:uid="{00000000-0005-0000-0000-00000C050000}"/>
    <cellStyle name="Обычный 6 11 2 2" xfId="42042" xr:uid="{00000000-0005-0000-0000-00000D050000}"/>
    <cellStyle name="Обычный 6 11 3" xfId="30064" xr:uid="{00000000-0005-0000-0000-00000E050000}"/>
    <cellStyle name="Обычный 6 12" xfId="8716" xr:uid="{00000000-0005-0000-0000-00000F050000}"/>
    <cellStyle name="Обычный 6 12 2" xfId="20694" xr:uid="{00000000-0005-0000-0000-000010050000}"/>
    <cellStyle name="Обычный 6 12 2 2" xfId="44649" xr:uid="{00000000-0005-0000-0000-000011050000}"/>
    <cellStyle name="Обычный 6 12 3" xfId="32671" xr:uid="{00000000-0005-0000-0000-000012050000}"/>
    <cellStyle name="Обычный 6 13" xfId="12050" xr:uid="{00000000-0005-0000-0000-000013050000}"/>
    <cellStyle name="Обычный 6 13 2" xfId="36005" xr:uid="{00000000-0005-0000-0000-000014050000}"/>
    <cellStyle name="Обычный 6 14" xfId="24028" xr:uid="{00000000-0005-0000-0000-000015050000}"/>
    <cellStyle name="Обычный 6 15" xfId="47986" xr:uid="{00000000-0005-0000-0000-000016050000}"/>
    <cellStyle name="Обычный 6 2" xfId="204" xr:uid="{00000000-0005-0000-0000-000017050000}"/>
    <cellStyle name="Обычный 6 2 10" xfId="8852" xr:uid="{00000000-0005-0000-0000-000018050000}"/>
    <cellStyle name="Обычный 6 2 10 2" xfId="20830" xr:uid="{00000000-0005-0000-0000-000019050000}"/>
    <cellStyle name="Обычный 6 2 10 2 2" xfId="44785" xr:uid="{00000000-0005-0000-0000-00001A050000}"/>
    <cellStyle name="Обычный 6 2 10 3" xfId="32807" xr:uid="{00000000-0005-0000-0000-00001B050000}"/>
    <cellStyle name="Обычный 6 2 11" xfId="12186" xr:uid="{00000000-0005-0000-0000-00001C050000}"/>
    <cellStyle name="Обычный 6 2 11 2" xfId="36141" xr:uid="{00000000-0005-0000-0000-00001D050000}"/>
    <cellStyle name="Обычный 6 2 12" xfId="24164" xr:uid="{00000000-0005-0000-0000-00001E050000}"/>
    <cellStyle name="Обычный 6 2 13" xfId="48122" xr:uid="{00000000-0005-0000-0000-00001F050000}"/>
    <cellStyle name="Обычный 6 2 2" xfId="1302" xr:uid="{00000000-0005-0000-0000-000020050000}"/>
    <cellStyle name="Обычный 6 2 2 2" xfId="1412" xr:uid="{00000000-0005-0000-0000-000021050000}"/>
    <cellStyle name="Обычный 6 2 2 2 2" xfId="3196" xr:uid="{00000000-0005-0000-0000-000022050000}"/>
    <cellStyle name="Обычный 6 2 2 2 2 2" xfId="15175" xr:uid="{00000000-0005-0000-0000-000023050000}"/>
    <cellStyle name="Обычный 6 2 2 2 2 2 2" xfId="39130" xr:uid="{00000000-0005-0000-0000-000024050000}"/>
    <cellStyle name="Обычный 6 2 2 2 2 3" xfId="27153" xr:uid="{00000000-0005-0000-0000-000025050000}"/>
    <cellStyle name="Обычный 6 2 2 2 2 4" xfId="50284" xr:uid="{00000000-0005-0000-0000-000026050000}"/>
    <cellStyle name="Обычный 6 2 2 2 3" xfId="4840" xr:uid="{00000000-0005-0000-0000-000027050000}"/>
    <cellStyle name="Обычный 6 2 2 2 3 2" xfId="16819" xr:uid="{00000000-0005-0000-0000-000028050000}"/>
    <cellStyle name="Обычный 6 2 2 2 3 2 2" xfId="40774" xr:uid="{00000000-0005-0000-0000-000029050000}"/>
    <cellStyle name="Обычный 6 2 2 2 3 3" xfId="28797" xr:uid="{00000000-0005-0000-0000-00002A050000}"/>
    <cellStyle name="Обычный 6 2 2 2 4" xfId="7452" xr:uid="{00000000-0005-0000-0000-00002B050000}"/>
    <cellStyle name="Обычный 6 2 2 2 4 2" xfId="19430" xr:uid="{00000000-0005-0000-0000-00002C050000}"/>
    <cellStyle name="Обычный 6 2 2 2 4 2 2" xfId="43385" xr:uid="{00000000-0005-0000-0000-00002D050000}"/>
    <cellStyle name="Обычный 6 2 2 2 4 3" xfId="31407" xr:uid="{00000000-0005-0000-0000-00002E050000}"/>
    <cellStyle name="Обычный 6 2 2 2 5" xfId="9234" xr:uid="{00000000-0005-0000-0000-00002F050000}"/>
    <cellStyle name="Обычный 6 2 2 2 5 2" xfId="21212" xr:uid="{00000000-0005-0000-0000-000030050000}"/>
    <cellStyle name="Обычный 6 2 2 2 5 2 2" xfId="45167" xr:uid="{00000000-0005-0000-0000-000031050000}"/>
    <cellStyle name="Обычный 6 2 2 2 5 3" xfId="33189" xr:uid="{00000000-0005-0000-0000-000032050000}"/>
    <cellStyle name="Обычный 6 2 2 2 6" xfId="13393" xr:uid="{00000000-0005-0000-0000-000033050000}"/>
    <cellStyle name="Обычный 6 2 2 2 6 2" xfId="37348" xr:uid="{00000000-0005-0000-0000-000034050000}"/>
    <cellStyle name="Обычный 6 2 2 2 7" xfId="25371" xr:uid="{00000000-0005-0000-0000-000035050000}"/>
    <cellStyle name="Обычный 6 2 2 2 8" xfId="48504" xr:uid="{00000000-0005-0000-0000-000036050000}"/>
    <cellStyle name="Обычный 6 2 2 3" xfId="3086" xr:uid="{00000000-0005-0000-0000-000037050000}"/>
    <cellStyle name="Обычный 6 2 2 3 2" xfId="15065" xr:uid="{00000000-0005-0000-0000-000038050000}"/>
    <cellStyle name="Обычный 6 2 2 3 2 2" xfId="39020" xr:uid="{00000000-0005-0000-0000-000039050000}"/>
    <cellStyle name="Обычный 6 2 2 3 3" xfId="27043" xr:uid="{00000000-0005-0000-0000-00003A050000}"/>
    <cellStyle name="Обычный 6 2 2 3 4" xfId="50174" xr:uid="{00000000-0005-0000-0000-00003B050000}"/>
    <cellStyle name="Обычный 6 2 2 4" xfId="4730" xr:uid="{00000000-0005-0000-0000-00003C050000}"/>
    <cellStyle name="Обычный 6 2 2 4 2" xfId="16709" xr:uid="{00000000-0005-0000-0000-00003D050000}"/>
    <cellStyle name="Обычный 6 2 2 4 2 2" xfId="40664" xr:uid="{00000000-0005-0000-0000-00003E050000}"/>
    <cellStyle name="Обычный 6 2 2 4 3" xfId="28687" xr:uid="{00000000-0005-0000-0000-00003F050000}"/>
    <cellStyle name="Обычный 6 2 2 5" xfId="7342" xr:uid="{00000000-0005-0000-0000-000040050000}"/>
    <cellStyle name="Обычный 6 2 2 5 2" xfId="19320" xr:uid="{00000000-0005-0000-0000-000041050000}"/>
    <cellStyle name="Обычный 6 2 2 5 2 2" xfId="43275" xr:uid="{00000000-0005-0000-0000-000042050000}"/>
    <cellStyle name="Обычный 6 2 2 5 3" xfId="31297" xr:uid="{00000000-0005-0000-0000-000043050000}"/>
    <cellStyle name="Обычный 6 2 2 6" xfId="9124" xr:uid="{00000000-0005-0000-0000-000044050000}"/>
    <cellStyle name="Обычный 6 2 2 6 2" xfId="21102" xr:uid="{00000000-0005-0000-0000-000045050000}"/>
    <cellStyle name="Обычный 6 2 2 6 2 2" xfId="45057" xr:uid="{00000000-0005-0000-0000-000046050000}"/>
    <cellStyle name="Обычный 6 2 2 6 3" xfId="33079" xr:uid="{00000000-0005-0000-0000-000047050000}"/>
    <cellStyle name="Обычный 6 2 2 7" xfId="13283" xr:uid="{00000000-0005-0000-0000-000048050000}"/>
    <cellStyle name="Обычный 6 2 2 7 2" xfId="37238" xr:uid="{00000000-0005-0000-0000-000049050000}"/>
    <cellStyle name="Обычный 6 2 2 8" xfId="25261" xr:uid="{00000000-0005-0000-0000-00004A050000}"/>
    <cellStyle name="Обычный 6 2 2 9" xfId="48394" xr:uid="{00000000-0005-0000-0000-00004B050000}"/>
    <cellStyle name="Обычный 6 2 3" xfId="1396" xr:uid="{00000000-0005-0000-0000-00004C050000}"/>
    <cellStyle name="Обычный 6 2 3 2" xfId="3180" xr:uid="{00000000-0005-0000-0000-00004D050000}"/>
    <cellStyle name="Обычный 6 2 3 2 2" xfId="15159" xr:uid="{00000000-0005-0000-0000-00004E050000}"/>
    <cellStyle name="Обычный 6 2 3 2 2 2" xfId="39114" xr:uid="{00000000-0005-0000-0000-00004F050000}"/>
    <cellStyle name="Обычный 6 2 3 2 3" xfId="27137" xr:uid="{00000000-0005-0000-0000-000050050000}"/>
    <cellStyle name="Обычный 6 2 3 2 4" xfId="50268" xr:uid="{00000000-0005-0000-0000-000051050000}"/>
    <cellStyle name="Обычный 6 2 3 3" xfId="4824" xr:uid="{00000000-0005-0000-0000-000052050000}"/>
    <cellStyle name="Обычный 6 2 3 3 2" xfId="16803" xr:uid="{00000000-0005-0000-0000-000053050000}"/>
    <cellStyle name="Обычный 6 2 3 3 2 2" xfId="40758" xr:uid="{00000000-0005-0000-0000-000054050000}"/>
    <cellStyle name="Обычный 6 2 3 3 3" xfId="28781" xr:uid="{00000000-0005-0000-0000-000055050000}"/>
    <cellStyle name="Обычный 6 2 3 4" xfId="7436" xr:uid="{00000000-0005-0000-0000-000056050000}"/>
    <cellStyle name="Обычный 6 2 3 4 2" xfId="19414" xr:uid="{00000000-0005-0000-0000-000057050000}"/>
    <cellStyle name="Обычный 6 2 3 4 2 2" xfId="43369" xr:uid="{00000000-0005-0000-0000-000058050000}"/>
    <cellStyle name="Обычный 6 2 3 4 3" xfId="31391" xr:uid="{00000000-0005-0000-0000-000059050000}"/>
    <cellStyle name="Обычный 6 2 3 5" xfId="9218" xr:uid="{00000000-0005-0000-0000-00005A050000}"/>
    <cellStyle name="Обычный 6 2 3 5 2" xfId="21196" xr:uid="{00000000-0005-0000-0000-00005B050000}"/>
    <cellStyle name="Обычный 6 2 3 5 2 2" xfId="45151" xr:uid="{00000000-0005-0000-0000-00005C050000}"/>
    <cellStyle name="Обычный 6 2 3 5 3" xfId="33173" xr:uid="{00000000-0005-0000-0000-00005D050000}"/>
    <cellStyle name="Обычный 6 2 3 6" xfId="13377" xr:uid="{00000000-0005-0000-0000-00005E050000}"/>
    <cellStyle name="Обычный 6 2 3 6 2" xfId="37332" xr:uid="{00000000-0005-0000-0000-00005F050000}"/>
    <cellStyle name="Обычный 6 2 3 7" xfId="25355" xr:uid="{00000000-0005-0000-0000-000060050000}"/>
    <cellStyle name="Обычный 6 2 3 8" xfId="48488" xr:uid="{00000000-0005-0000-0000-000061050000}"/>
    <cellStyle name="Обычный 6 2 4" xfId="2533" xr:uid="{00000000-0005-0000-0000-000062050000}"/>
    <cellStyle name="Обычный 6 2 4 2" xfId="4178" xr:uid="{00000000-0005-0000-0000-000063050000}"/>
    <cellStyle name="Обычный 6 2 4 2 2" xfId="16157" xr:uid="{00000000-0005-0000-0000-000064050000}"/>
    <cellStyle name="Обычный 6 2 4 2 2 2" xfId="40112" xr:uid="{00000000-0005-0000-0000-000065050000}"/>
    <cellStyle name="Обычный 6 2 4 2 3" xfId="28135" xr:uid="{00000000-0005-0000-0000-000066050000}"/>
    <cellStyle name="Обычный 6 2 4 2 4" xfId="51404" xr:uid="{00000000-0005-0000-0000-000067050000}"/>
    <cellStyle name="Обычный 6 2 4 3" xfId="5961" xr:uid="{00000000-0005-0000-0000-000068050000}"/>
    <cellStyle name="Обычный 6 2 4 3 2" xfId="17939" xr:uid="{00000000-0005-0000-0000-000069050000}"/>
    <cellStyle name="Обычный 6 2 4 3 2 2" xfId="41894" xr:uid="{00000000-0005-0000-0000-00006A050000}"/>
    <cellStyle name="Обычный 6 2 4 3 3" xfId="29916" xr:uid="{00000000-0005-0000-0000-00006B050000}"/>
    <cellStyle name="Обычный 6 2 4 4" xfId="8571" xr:uid="{00000000-0005-0000-0000-00006C050000}"/>
    <cellStyle name="Обычный 6 2 4 4 2" xfId="20549" xr:uid="{00000000-0005-0000-0000-00006D050000}"/>
    <cellStyle name="Обычный 6 2 4 4 2 2" xfId="44504" xr:uid="{00000000-0005-0000-0000-00006E050000}"/>
    <cellStyle name="Обычный 6 2 4 4 3" xfId="32526" xr:uid="{00000000-0005-0000-0000-00006F050000}"/>
    <cellStyle name="Обычный 6 2 4 5" xfId="10354" xr:uid="{00000000-0005-0000-0000-000070050000}"/>
    <cellStyle name="Обычный 6 2 4 5 2" xfId="22332" xr:uid="{00000000-0005-0000-0000-000071050000}"/>
    <cellStyle name="Обычный 6 2 4 5 2 2" xfId="46287" xr:uid="{00000000-0005-0000-0000-000072050000}"/>
    <cellStyle name="Обычный 6 2 4 5 3" xfId="34309" xr:uid="{00000000-0005-0000-0000-000073050000}"/>
    <cellStyle name="Обычный 6 2 4 6" xfId="14512" xr:uid="{00000000-0005-0000-0000-000074050000}"/>
    <cellStyle name="Обычный 6 2 4 6 2" xfId="38467" xr:uid="{00000000-0005-0000-0000-000075050000}"/>
    <cellStyle name="Обычный 6 2 4 7" xfId="26490" xr:uid="{00000000-0005-0000-0000-000076050000}"/>
    <cellStyle name="Обычный 6 2 4 8" xfId="49623" xr:uid="{00000000-0005-0000-0000-000077050000}"/>
    <cellStyle name="Обычный 6 2 5" xfId="1037" xr:uid="{00000000-0005-0000-0000-000078050000}"/>
    <cellStyle name="Обычный 6 2 5 2" xfId="7077" xr:uid="{00000000-0005-0000-0000-000079050000}"/>
    <cellStyle name="Обычный 6 2 5 2 2" xfId="19055" xr:uid="{00000000-0005-0000-0000-00007A050000}"/>
    <cellStyle name="Обычный 6 2 5 2 2 2" xfId="43010" xr:uid="{00000000-0005-0000-0000-00007B050000}"/>
    <cellStyle name="Обычный 6 2 5 2 3" xfId="31032" xr:uid="{00000000-0005-0000-0000-00007C050000}"/>
    <cellStyle name="Обычный 6 2 5 3" xfId="13018" xr:uid="{00000000-0005-0000-0000-00007D050000}"/>
    <cellStyle name="Обычный 6 2 5 3 2" xfId="36973" xr:uid="{00000000-0005-0000-0000-00007E050000}"/>
    <cellStyle name="Обычный 6 2 5 4" xfId="24996" xr:uid="{00000000-0005-0000-0000-00007F050000}"/>
    <cellStyle name="Обычный 6 2 5 5" xfId="49902" xr:uid="{00000000-0005-0000-0000-000080050000}"/>
    <cellStyle name="Обычный 6 2 6" xfId="625" xr:uid="{00000000-0005-0000-0000-000081050000}"/>
    <cellStyle name="Обычный 6 2 6 2" xfId="6665" xr:uid="{00000000-0005-0000-0000-000082050000}"/>
    <cellStyle name="Обычный 6 2 6 2 2" xfId="18643" xr:uid="{00000000-0005-0000-0000-000083050000}"/>
    <cellStyle name="Обычный 6 2 6 2 2 2" xfId="42598" xr:uid="{00000000-0005-0000-0000-000084050000}"/>
    <cellStyle name="Обычный 6 2 6 2 3" xfId="30620" xr:uid="{00000000-0005-0000-0000-000085050000}"/>
    <cellStyle name="Обычный 6 2 6 3" xfId="12606" xr:uid="{00000000-0005-0000-0000-000086050000}"/>
    <cellStyle name="Обычный 6 2 6 3 2" xfId="36561" xr:uid="{00000000-0005-0000-0000-000087050000}"/>
    <cellStyle name="Обычный 6 2 6 4" xfId="24584" xr:uid="{00000000-0005-0000-0000-000088050000}"/>
    <cellStyle name="Обычный 6 2 7" xfId="2814" xr:uid="{00000000-0005-0000-0000-000089050000}"/>
    <cellStyle name="Обычный 6 2 7 2" xfId="14793" xr:uid="{00000000-0005-0000-0000-00008A050000}"/>
    <cellStyle name="Обычный 6 2 7 2 2" xfId="38748" xr:uid="{00000000-0005-0000-0000-00008B050000}"/>
    <cellStyle name="Обычный 6 2 7 3" xfId="26771" xr:uid="{00000000-0005-0000-0000-00008C050000}"/>
    <cellStyle name="Обычный 6 2 8" xfId="4458" xr:uid="{00000000-0005-0000-0000-00008D050000}"/>
    <cellStyle name="Обычный 6 2 8 2" xfId="16437" xr:uid="{00000000-0005-0000-0000-00008E050000}"/>
    <cellStyle name="Обычный 6 2 8 2 2" xfId="40392" xr:uid="{00000000-0005-0000-0000-00008F050000}"/>
    <cellStyle name="Обычный 6 2 8 3" xfId="28415" xr:uid="{00000000-0005-0000-0000-000090050000}"/>
    <cellStyle name="Обычный 6 2 9" xfId="6245" xr:uid="{00000000-0005-0000-0000-000091050000}"/>
    <cellStyle name="Обычный 6 2 9 2" xfId="18223" xr:uid="{00000000-0005-0000-0000-000092050000}"/>
    <cellStyle name="Обычный 6 2 9 2 2" xfId="42178" xr:uid="{00000000-0005-0000-0000-000093050000}"/>
    <cellStyle name="Обычный 6 2 9 3" xfId="30200" xr:uid="{00000000-0005-0000-0000-000094050000}"/>
    <cellStyle name="Обычный 6 3" xfId="353" xr:uid="{00000000-0005-0000-0000-000095050000}"/>
    <cellStyle name="Обычный 6 3 10" xfId="48258" xr:uid="{00000000-0005-0000-0000-000096050000}"/>
    <cellStyle name="Обычный 6 3 2" xfId="1404" xr:uid="{00000000-0005-0000-0000-000097050000}"/>
    <cellStyle name="Обычный 6 3 2 2" xfId="3188" xr:uid="{00000000-0005-0000-0000-000098050000}"/>
    <cellStyle name="Обычный 6 3 2 2 2" xfId="15167" xr:uid="{00000000-0005-0000-0000-000099050000}"/>
    <cellStyle name="Обычный 6 3 2 2 2 2" xfId="39122" xr:uid="{00000000-0005-0000-0000-00009A050000}"/>
    <cellStyle name="Обычный 6 3 2 2 3" xfId="27145" xr:uid="{00000000-0005-0000-0000-00009B050000}"/>
    <cellStyle name="Обычный 6 3 2 2 4" xfId="50276" xr:uid="{00000000-0005-0000-0000-00009C050000}"/>
    <cellStyle name="Обычный 6 3 2 3" xfId="4832" xr:uid="{00000000-0005-0000-0000-00009D050000}"/>
    <cellStyle name="Обычный 6 3 2 3 2" xfId="16811" xr:uid="{00000000-0005-0000-0000-00009E050000}"/>
    <cellStyle name="Обычный 6 3 2 3 2 2" xfId="40766" xr:uid="{00000000-0005-0000-0000-00009F050000}"/>
    <cellStyle name="Обычный 6 3 2 3 3" xfId="28789" xr:uid="{00000000-0005-0000-0000-0000A0050000}"/>
    <cellStyle name="Обычный 6 3 2 4" xfId="7444" xr:uid="{00000000-0005-0000-0000-0000A1050000}"/>
    <cellStyle name="Обычный 6 3 2 4 2" xfId="19422" xr:uid="{00000000-0005-0000-0000-0000A2050000}"/>
    <cellStyle name="Обычный 6 3 2 4 2 2" xfId="43377" xr:uid="{00000000-0005-0000-0000-0000A3050000}"/>
    <cellStyle name="Обычный 6 3 2 4 3" xfId="31399" xr:uid="{00000000-0005-0000-0000-0000A4050000}"/>
    <cellStyle name="Обычный 6 3 2 5" xfId="9226" xr:uid="{00000000-0005-0000-0000-0000A5050000}"/>
    <cellStyle name="Обычный 6 3 2 5 2" xfId="21204" xr:uid="{00000000-0005-0000-0000-0000A6050000}"/>
    <cellStyle name="Обычный 6 3 2 5 2 2" xfId="45159" xr:uid="{00000000-0005-0000-0000-0000A7050000}"/>
    <cellStyle name="Обычный 6 3 2 5 3" xfId="33181" xr:uid="{00000000-0005-0000-0000-0000A8050000}"/>
    <cellStyle name="Обычный 6 3 2 6" xfId="13385" xr:uid="{00000000-0005-0000-0000-0000A9050000}"/>
    <cellStyle name="Обычный 6 3 2 6 2" xfId="37340" xr:uid="{00000000-0005-0000-0000-0000AA050000}"/>
    <cellStyle name="Обычный 6 3 2 7" xfId="25363" xr:uid="{00000000-0005-0000-0000-0000AB050000}"/>
    <cellStyle name="Обычный 6 3 2 8" xfId="48496" xr:uid="{00000000-0005-0000-0000-0000AC050000}"/>
    <cellStyle name="Обычный 6 3 3" xfId="773" xr:uid="{00000000-0005-0000-0000-0000AD050000}"/>
    <cellStyle name="Обычный 6 3 3 2" xfId="6813" xr:uid="{00000000-0005-0000-0000-0000AE050000}"/>
    <cellStyle name="Обычный 6 3 3 2 2" xfId="18791" xr:uid="{00000000-0005-0000-0000-0000AF050000}"/>
    <cellStyle name="Обычный 6 3 3 2 2 2" xfId="42746" xr:uid="{00000000-0005-0000-0000-0000B0050000}"/>
    <cellStyle name="Обычный 6 3 3 2 3" xfId="30768" xr:uid="{00000000-0005-0000-0000-0000B1050000}"/>
    <cellStyle name="Обычный 6 3 3 3" xfId="12754" xr:uid="{00000000-0005-0000-0000-0000B2050000}"/>
    <cellStyle name="Обычный 6 3 3 3 2" xfId="36709" xr:uid="{00000000-0005-0000-0000-0000B3050000}"/>
    <cellStyle name="Обычный 6 3 3 4" xfId="24732" xr:uid="{00000000-0005-0000-0000-0000B4050000}"/>
    <cellStyle name="Обычный 6 3 3 5" xfId="50038" xr:uid="{00000000-0005-0000-0000-0000B5050000}"/>
    <cellStyle name="Обычный 6 3 4" xfId="2950" xr:uid="{00000000-0005-0000-0000-0000B6050000}"/>
    <cellStyle name="Обычный 6 3 4 2" xfId="14929" xr:uid="{00000000-0005-0000-0000-0000B7050000}"/>
    <cellStyle name="Обычный 6 3 4 2 2" xfId="38884" xr:uid="{00000000-0005-0000-0000-0000B8050000}"/>
    <cellStyle name="Обычный 6 3 4 3" xfId="26907" xr:uid="{00000000-0005-0000-0000-0000B9050000}"/>
    <cellStyle name="Обычный 6 3 5" xfId="4594" xr:uid="{00000000-0005-0000-0000-0000BA050000}"/>
    <cellStyle name="Обычный 6 3 5 2" xfId="16573" xr:uid="{00000000-0005-0000-0000-0000BB050000}"/>
    <cellStyle name="Обычный 6 3 5 2 2" xfId="40528" xr:uid="{00000000-0005-0000-0000-0000BC050000}"/>
    <cellStyle name="Обычный 6 3 5 3" xfId="28551" xr:uid="{00000000-0005-0000-0000-0000BD050000}"/>
    <cellStyle name="Обычный 6 3 6" xfId="6393" xr:uid="{00000000-0005-0000-0000-0000BE050000}"/>
    <cellStyle name="Обычный 6 3 6 2" xfId="18371" xr:uid="{00000000-0005-0000-0000-0000BF050000}"/>
    <cellStyle name="Обычный 6 3 6 2 2" xfId="42326" xr:uid="{00000000-0005-0000-0000-0000C0050000}"/>
    <cellStyle name="Обычный 6 3 6 3" xfId="30348" xr:uid="{00000000-0005-0000-0000-0000C1050000}"/>
    <cellStyle name="Обычный 6 3 7" xfId="8988" xr:uid="{00000000-0005-0000-0000-0000C2050000}"/>
    <cellStyle name="Обычный 6 3 7 2" xfId="20966" xr:uid="{00000000-0005-0000-0000-0000C3050000}"/>
    <cellStyle name="Обычный 6 3 7 2 2" xfId="44921" xr:uid="{00000000-0005-0000-0000-0000C4050000}"/>
    <cellStyle name="Обычный 6 3 7 3" xfId="32943" xr:uid="{00000000-0005-0000-0000-0000C5050000}"/>
    <cellStyle name="Обычный 6 3 8" xfId="12334" xr:uid="{00000000-0005-0000-0000-0000C6050000}"/>
    <cellStyle name="Обычный 6 3 8 2" xfId="36289" xr:uid="{00000000-0005-0000-0000-0000C7050000}"/>
    <cellStyle name="Обычный 6 3 9" xfId="24312" xr:uid="{00000000-0005-0000-0000-0000C8050000}"/>
    <cellStyle name="Обычный 6 4" xfId="1428" xr:uid="{00000000-0005-0000-0000-0000C9050000}"/>
    <cellStyle name="Обычный 6 4 2" xfId="1876" xr:uid="{00000000-0005-0000-0000-0000CA050000}"/>
    <cellStyle name="Обычный 6 4 2 2" xfId="3521" xr:uid="{00000000-0005-0000-0000-0000CB050000}"/>
    <cellStyle name="Обычный 6 4 2 2 2" xfId="15500" xr:uid="{00000000-0005-0000-0000-0000CC050000}"/>
    <cellStyle name="Обычный 6 4 2 2 2 2" xfId="39455" xr:uid="{00000000-0005-0000-0000-0000CD050000}"/>
    <cellStyle name="Обычный 6 4 2 2 3" xfId="27478" xr:uid="{00000000-0005-0000-0000-0000CE050000}"/>
    <cellStyle name="Обычный 6 4 2 2 4" xfId="50747" xr:uid="{00000000-0005-0000-0000-0000CF050000}"/>
    <cellStyle name="Обычный 6 4 2 3" xfId="5304" xr:uid="{00000000-0005-0000-0000-0000D0050000}"/>
    <cellStyle name="Обычный 6 4 2 3 2" xfId="17282" xr:uid="{00000000-0005-0000-0000-0000D1050000}"/>
    <cellStyle name="Обычный 6 4 2 3 2 2" xfId="41237" xr:uid="{00000000-0005-0000-0000-0000D2050000}"/>
    <cellStyle name="Обычный 6 4 2 3 3" xfId="29259" xr:uid="{00000000-0005-0000-0000-0000D3050000}"/>
    <cellStyle name="Обычный 6 4 2 4" xfId="7914" xr:uid="{00000000-0005-0000-0000-0000D4050000}"/>
    <cellStyle name="Обычный 6 4 2 4 2" xfId="19892" xr:uid="{00000000-0005-0000-0000-0000D5050000}"/>
    <cellStyle name="Обычный 6 4 2 4 2 2" xfId="43847" xr:uid="{00000000-0005-0000-0000-0000D6050000}"/>
    <cellStyle name="Обычный 6 4 2 4 3" xfId="31869" xr:uid="{00000000-0005-0000-0000-0000D7050000}"/>
    <cellStyle name="Обычный 6 4 2 5" xfId="9697" xr:uid="{00000000-0005-0000-0000-0000D8050000}"/>
    <cellStyle name="Обычный 6 4 2 5 2" xfId="21675" xr:uid="{00000000-0005-0000-0000-0000D9050000}"/>
    <cellStyle name="Обычный 6 4 2 5 2 2" xfId="45630" xr:uid="{00000000-0005-0000-0000-0000DA050000}"/>
    <cellStyle name="Обычный 6 4 2 5 3" xfId="33652" xr:uid="{00000000-0005-0000-0000-0000DB050000}"/>
    <cellStyle name="Обычный 6 4 2 6" xfId="13855" xr:uid="{00000000-0005-0000-0000-0000DC050000}"/>
    <cellStyle name="Обычный 6 4 2 6 2" xfId="37810" xr:uid="{00000000-0005-0000-0000-0000DD050000}"/>
    <cellStyle name="Обычный 6 4 2 7" xfId="25833" xr:uid="{00000000-0005-0000-0000-0000DE050000}"/>
    <cellStyle name="Обычный 6 4 2 8" xfId="48966" xr:uid="{00000000-0005-0000-0000-0000DF050000}"/>
    <cellStyle name="Обычный 6 4 3" xfId="4856" xr:uid="{00000000-0005-0000-0000-0000E0050000}"/>
    <cellStyle name="Обычный 6 4 3 2" xfId="16835" xr:uid="{00000000-0005-0000-0000-0000E1050000}"/>
    <cellStyle name="Обычный 6 4 3 2 2" xfId="40790" xr:uid="{00000000-0005-0000-0000-0000E2050000}"/>
    <cellStyle name="Обычный 6 4 3 3" xfId="28812" xr:uid="{00000000-0005-0000-0000-0000E3050000}"/>
    <cellStyle name="Обычный 6 4 3 4" xfId="50300" xr:uid="{00000000-0005-0000-0000-0000E4050000}"/>
    <cellStyle name="Обычный 6 4 4" xfId="7467" xr:uid="{00000000-0005-0000-0000-0000E5050000}"/>
    <cellStyle name="Обычный 6 4 4 2" xfId="19445" xr:uid="{00000000-0005-0000-0000-0000E6050000}"/>
    <cellStyle name="Обычный 6 4 4 2 2" xfId="43400" xr:uid="{00000000-0005-0000-0000-0000E7050000}"/>
    <cellStyle name="Обычный 6 4 4 3" xfId="31422" xr:uid="{00000000-0005-0000-0000-0000E8050000}"/>
    <cellStyle name="Обычный 6 4 5" xfId="9250" xr:uid="{00000000-0005-0000-0000-0000E9050000}"/>
    <cellStyle name="Обычный 6 4 5 2" xfId="21228" xr:uid="{00000000-0005-0000-0000-0000EA050000}"/>
    <cellStyle name="Обычный 6 4 5 2 2" xfId="45183" xr:uid="{00000000-0005-0000-0000-0000EB050000}"/>
    <cellStyle name="Обычный 6 4 5 3" xfId="33205" xr:uid="{00000000-0005-0000-0000-0000EC050000}"/>
    <cellStyle name="Обычный 6 4 6" xfId="13408" xr:uid="{00000000-0005-0000-0000-0000ED050000}"/>
    <cellStyle name="Обычный 6 4 6 2" xfId="37363" xr:uid="{00000000-0005-0000-0000-0000EE050000}"/>
    <cellStyle name="Обычный 6 4 7" xfId="25386" xr:uid="{00000000-0005-0000-0000-0000EF050000}"/>
    <cellStyle name="Обычный 6 4 8" xfId="48519" xr:uid="{00000000-0005-0000-0000-0000F0050000}"/>
    <cellStyle name="Обычный 6 5" xfId="1388" xr:uid="{00000000-0005-0000-0000-0000F1050000}"/>
    <cellStyle name="Обычный 6 5 2" xfId="3172" xr:uid="{00000000-0005-0000-0000-0000F2050000}"/>
    <cellStyle name="Обычный 6 5 2 2" xfId="15151" xr:uid="{00000000-0005-0000-0000-0000F3050000}"/>
    <cellStyle name="Обычный 6 5 2 2 2" xfId="39106" xr:uid="{00000000-0005-0000-0000-0000F4050000}"/>
    <cellStyle name="Обычный 6 5 2 3" xfId="27129" xr:uid="{00000000-0005-0000-0000-0000F5050000}"/>
    <cellStyle name="Обычный 6 5 2 4" xfId="50260" xr:uid="{00000000-0005-0000-0000-0000F6050000}"/>
    <cellStyle name="Обычный 6 5 3" xfId="4816" xr:uid="{00000000-0005-0000-0000-0000F7050000}"/>
    <cellStyle name="Обычный 6 5 3 2" xfId="16795" xr:uid="{00000000-0005-0000-0000-0000F8050000}"/>
    <cellStyle name="Обычный 6 5 3 2 2" xfId="40750" xr:uid="{00000000-0005-0000-0000-0000F9050000}"/>
    <cellStyle name="Обычный 6 5 3 3" xfId="28773" xr:uid="{00000000-0005-0000-0000-0000FA050000}"/>
    <cellStyle name="Обычный 6 5 4" xfId="7428" xr:uid="{00000000-0005-0000-0000-0000FB050000}"/>
    <cellStyle name="Обычный 6 5 4 2" xfId="19406" xr:uid="{00000000-0005-0000-0000-0000FC050000}"/>
    <cellStyle name="Обычный 6 5 4 2 2" xfId="43361" xr:uid="{00000000-0005-0000-0000-0000FD050000}"/>
    <cellStyle name="Обычный 6 5 4 3" xfId="31383" xr:uid="{00000000-0005-0000-0000-0000FE050000}"/>
    <cellStyle name="Обычный 6 5 5" xfId="9210" xr:uid="{00000000-0005-0000-0000-0000FF050000}"/>
    <cellStyle name="Обычный 6 5 5 2" xfId="21188" xr:uid="{00000000-0005-0000-0000-000000060000}"/>
    <cellStyle name="Обычный 6 5 5 2 2" xfId="45143" xr:uid="{00000000-0005-0000-0000-000001060000}"/>
    <cellStyle name="Обычный 6 5 5 3" xfId="33165" xr:uid="{00000000-0005-0000-0000-000002060000}"/>
    <cellStyle name="Обычный 6 5 6" xfId="13369" xr:uid="{00000000-0005-0000-0000-000003060000}"/>
    <cellStyle name="Обычный 6 5 6 2" xfId="37324" xr:uid="{00000000-0005-0000-0000-000004060000}"/>
    <cellStyle name="Обычный 6 5 7" xfId="25347" xr:uid="{00000000-0005-0000-0000-000005060000}"/>
    <cellStyle name="Обычный 6 5 8" xfId="48480" xr:uid="{00000000-0005-0000-0000-000006060000}"/>
    <cellStyle name="Обычный 6 6" xfId="2397" xr:uid="{00000000-0005-0000-0000-000007060000}"/>
    <cellStyle name="Обычный 6 6 2" xfId="4042" xr:uid="{00000000-0005-0000-0000-000008060000}"/>
    <cellStyle name="Обычный 6 6 2 2" xfId="16021" xr:uid="{00000000-0005-0000-0000-000009060000}"/>
    <cellStyle name="Обычный 6 6 2 2 2" xfId="39976" xr:uid="{00000000-0005-0000-0000-00000A060000}"/>
    <cellStyle name="Обычный 6 6 2 3" xfId="27999" xr:uid="{00000000-0005-0000-0000-00000B060000}"/>
    <cellStyle name="Обычный 6 6 2 4" xfId="51268" xr:uid="{00000000-0005-0000-0000-00000C060000}"/>
    <cellStyle name="Обычный 6 6 3" xfId="5825" xr:uid="{00000000-0005-0000-0000-00000D060000}"/>
    <cellStyle name="Обычный 6 6 3 2" xfId="17803" xr:uid="{00000000-0005-0000-0000-00000E060000}"/>
    <cellStyle name="Обычный 6 6 3 2 2" xfId="41758" xr:uid="{00000000-0005-0000-0000-00000F060000}"/>
    <cellStyle name="Обычный 6 6 3 3" xfId="29780" xr:uid="{00000000-0005-0000-0000-000010060000}"/>
    <cellStyle name="Обычный 6 6 4" xfId="8435" xr:uid="{00000000-0005-0000-0000-000011060000}"/>
    <cellStyle name="Обычный 6 6 4 2" xfId="20413" xr:uid="{00000000-0005-0000-0000-000012060000}"/>
    <cellStyle name="Обычный 6 6 4 2 2" xfId="44368" xr:uid="{00000000-0005-0000-0000-000013060000}"/>
    <cellStyle name="Обычный 6 6 4 3" xfId="32390" xr:uid="{00000000-0005-0000-0000-000014060000}"/>
    <cellStyle name="Обычный 6 6 5" xfId="10218" xr:uid="{00000000-0005-0000-0000-000015060000}"/>
    <cellStyle name="Обычный 6 6 5 2" xfId="22196" xr:uid="{00000000-0005-0000-0000-000016060000}"/>
    <cellStyle name="Обычный 6 6 5 2 2" xfId="46151" xr:uid="{00000000-0005-0000-0000-000017060000}"/>
    <cellStyle name="Обычный 6 6 5 3" xfId="34173" xr:uid="{00000000-0005-0000-0000-000018060000}"/>
    <cellStyle name="Обычный 6 6 6" xfId="14376" xr:uid="{00000000-0005-0000-0000-000019060000}"/>
    <cellStyle name="Обычный 6 6 6 2" xfId="38331" xr:uid="{00000000-0005-0000-0000-00001A060000}"/>
    <cellStyle name="Обычный 6 6 7" xfId="26354" xr:uid="{00000000-0005-0000-0000-00001B060000}"/>
    <cellStyle name="Обычный 6 6 8" xfId="49487" xr:uid="{00000000-0005-0000-0000-00001C060000}"/>
    <cellStyle name="Обычный 6 7" xfId="1624" xr:uid="{00000000-0005-0000-0000-00001D060000}"/>
    <cellStyle name="Обычный 6 7 2" xfId="3269" xr:uid="{00000000-0005-0000-0000-00001E060000}"/>
    <cellStyle name="Обычный 6 7 2 2" xfId="15248" xr:uid="{00000000-0005-0000-0000-00001F060000}"/>
    <cellStyle name="Обычный 6 7 2 2 2" xfId="39203" xr:uid="{00000000-0005-0000-0000-000020060000}"/>
    <cellStyle name="Обычный 6 7 2 3" xfId="27226" xr:uid="{00000000-0005-0000-0000-000021060000}"/>
    <cellStyle name="Обычный 6 7 2 4" xfId="50495" xr:uid="{00000000-0005-0000-0000-000022060000}"/>
    <cellStyle name="Обычный 6 7 3" xfId="5052" xr:uid="{00000000-0005-0000-0000-000023060000}"/>
    <cellStyle name="Обычный 6 7 3 2" xfId="17030" xr:uid="{00000000-0005-0000-0000-000024060000}"/>
    <cellStyle name="Обычный 6 7 3 2 2" xfId="40985" xr:uid="{00000000-0005-0000-0000-000025060000}"/>
    <cellStyle name="Обычный 6 7 3 3" xfId="29007" xr:uid="{00000000-0005-0000-0000-000026060000}"/>
    <cellStyle name="Обычный 6 7 4" xfId="7662" xr:uid="{00000000-0005-0000-0000-000027060000}"/>
    <cellStyle name="Обычный 6 7 4 2" xfId="19640" xr:uid="{00000000-0005-0000-0000-000028060000}"/>
    <cellStyle name="Обычный 6 7 4 2 2" xfId="43595" xr:uid="{00000000-0005-0000-0000-000029060000}"/>
    <cellStyle name="Обычный 6 7 4 3" xfId="31617" xr:uid="{00000000-0005-0000-0000-00002A060000}"/>
    <cellStyle name="Обычный 6 7 5" xfId="9445" xr:uid="{00000000-0005-0000-0000-00002B060000}"/>
    <cellStyle name="Обычный 6 7 5 2" xfId="21423" xr:uid="{00000000-0005-0000-0000-00002C060000}"/>
    <cellStyle name="Обычный 6 7 5 2 2" xfId="45378" xr:uid="{00000000-0005-0000-0000-00002D060000}"/>
    <cellStyle name="Обычный 6 7 5 3" xfId="33400" xr:uid="{00000000-0005-0000-0000-00002E060000}"/>
    <cellStyle name="Обычный 6 7 6" xfId="13603" xr:uid="{00000000-0005-0000-0000-00002F060000}"/>
    <cellStyle name="Обычный 6 7 6 2" xfId="37558" xr:uid="{00000000-0005-0000-0000-000030060000}"/>
    <cellStyle name="Обычный 6 7 7" xfId="25581" xr:uid="{00000000-0005-0000-0000-000031060000}"/>
    <cellStyle name="Обычный 6 7 8" xfId="48714" xr:uid="{00000000-0005-0000-0000-000032060000}"/>
    <cellStyle name="Обычный 6 8" xfId="489" xr:uid="{00000000-0005-0000-0000-000033060000}"/>
    <cellStyle name="Обычный 6 8 2" xfId="6529" xr:uid="{00000000-0005-0000-0000-000034060000}"/>
    <cellStyle name="Обычный 6 8 2 2" xfId="18507" xr:uid="{00000000-0005-0000-0000-000035060000}"/>
    <cellStyle name="Обычный 6 8 2 2 2" xfId="42462" xr:uid="{00000000-0005-0000-0000-000036060000}"/>
    <cellStyle name="Обычный 6 8 2 3" xfId="30484" xr:uid="{00000000-0005-0000-0000-000037060000}"/>
    <cellStyle name="Обычный 6 8 3" xfId="12470" xr:uid="{00000000-0005-0000-0000-000038060000}"/>
    <cellStyle name="Обычный 6 8 3 2" xfId="36425" xr:uid="{00000000-0005-0000-0000-000039060000}"/>
    <cellStyle name="Обычный 6 8 4" xfId="24448" xr:uid="{00000000-0005-0000-0000-00003A060000}"/>
    <cellStyle name="Обычный 6 8 5" xfId="49766" xr:uid="{00000000-0005-0000-0000-00003B060000}"/>
    <cellStyle name="Обычный 6 9" xfId="2678" xr:uid="{00000000-0005-0000-0000-00003C060000}"/>
    <cellStyle name="Обычный 6 9 2" xfId="14657" xr:uid="{00000000-0005-0000-0000-00003D060000}"/>
    <cellStyle name="Обычный 6 9 2 2" xfId="38612" xr:uid="{00000000-0005-0000-0000-00003E060000}"/>
    <cellStyle name="Обычный 6 9 3" xfId="26635" xr:uid="{00000000-0005-0000-0000-00003F060000}"/>
    <cellStyle name="Обычный 7" xfId="69" xr:uid="{00000000-0005-0000-0000-000040060000}"/>
    <cellStyle name="Обычный 7 10" xfId="4323" xr:uid="{00000000-0005-0000-0000-000041060000}"/>
    <cellStyle name="Обычный 7 10 2" xfId="16302" xr:uid="{00000000-0005-0000-0000-000042060000}"/>
    <cellStyle name="Обычный 7 10 2 2" xfId="40257" xr:uid="{00000000-0005-0000-0000-000043060000}"/>
    <cellStyle name="Обычный 7 10 3" xfId="28280" xr:uid="{00000000-0005-0000-0000-000044060000}"/>
    <cellStyle name="Обычный 7 11" xfId="6110" xr:uid="{00000000-0005-0000-0000-000045060000}"/>
    <cellStyle name="Обычный 7 11 2" xfId="18088" xr:uid="{00000000-0005-0000-0000-000046060000}"/>
    <cellStyle name="Обычный 7 11 2 2" xfId="42043" xr:uid="{00000000-0005-0000-0000-000047060000}"/>
    <cellStyle name="Обычный 7 11 3" xfId="30065" xr:uid="{00000000-0005-0000-0000-000048060000}"/>
    <cellStyle name="Обычный 7 12" xfId="8717" xr:uid="{00000000-0005-0000-0000-000049060000}"/>
    <cellStyle name="Обычный 7 12 2" xfId="20695" xr:uid="{00000000-0005-0000-0000-00004A060000}"/>
    <cellStyle name="Обычный 7 12 2 2" xfId="44650" xr:uid="{00000000-0005-0000-0000-00004B060000}"/>
    <cellStyle name="Обычный 7 12 3" xfId="32672" xr:uid="{00000000-0005-0000-0000-00004C060000}"/>
    <cellStyle name="Обычный 7 13" xfId="12051" xr:uid="{00000000-0005-0000-0000-00004D060000}"/>
    <cellStyle name="Обычный 7 13 2" xfId="36006" xr:uid="{00000000-0005-0000-0000-00004E060000}"/>
    <cellStyle name="Обычный 7 14" xfId="24029" xr:uid="{00000000-0005-0000-0000-00004F060000}"/>
    <cellStyle name="Обычный 7 15" xfId="47987" xr:uid="{00000000-0005-0000-0000-000050060000}"/>
    <cellStyle name="Обычный 7 2" xfId="205" xr:uid="{00000000-0005-0000-0000-000051060000}"/>
    <cellStyle name="Обычный 7 2 10" xfId="8853" xr:uid="{00000000-0005-0000-0000-000052060000}"/>
    <cellStyle name="Обычный 7 2 10 2" xfId="20831" xr:uid="{00000000-0005-0000-0000-000053060000}"/>
    <cellStyle name="Обычный 7 2 10 2 2" xfId="44786" xr:uid="{00000000-0005-0000-0000-000054060000}"/>
    <cellStyle name="Обычный 7 2 10 3" xfId="32808" xr:uid="{00000000-0005-0000-0000-000055060000}"/>
    <cellStyle name="Обычный 7 2 11" xfId="12187" xr:uid="{00000000-0005-0000-0000-000056060000}"/>
    <cellStyle name="Обычный 7 2 11 2" xfId="36142" xr:uid="{00000000-0005-0000-0000-000057060000}"/>
    <cellStyle name="Обычный 7 2 12" xfId="24165" xr:uid="{00000000-0005-0000-0000-000058060000}"/>
    <cellStyle name="Обычный 7 2 13" xfId="48123" xr:uid="{00000000-0005-0000-0000-000059060000}"/>
    <cellStyle name="Обычный 7 2 2" xfId="1303" xr:uid="{00000000-0005-0000-0000-00005A060000}"/>
    <cellStyle name="Обычный 7 2 2 2" xfId="1413" xr:uid="{00000000-0005-0000-0000-00005B060000}"/>
    <cellStyle name="Обычный 7 2 2 2 2" xfId="3197" xr:uid="{00000000-0005-0000-0000-00005C060000}"/>
    <cellStyle name="Обычный 7 2 2 2 2 2" xfId="15176" xr:uid="{00000000-0005-0000-0000-00005D060000}"/>
    <cellStyle name="Обычный 7 2 2 2 2 2 2" xfId="39131" xr:uid="{00000000-0005-0000-0000-00005E060000}"/>
    <cellStyle name="Обычный 7 2 2 2 2 3" xfId="27154" xr:uid="{00000000-0005-0000-0000-00005F060000}"/>
    <cellStyle name="Обычный 7 2 2 2 2 4" xfId="50285" xr:uid="{00000000-0005-0000-0000-000060060000}"/>
    <cellStyle name="Обычный 7 2 2 2 3" xfId="4841" xr:uid="{00000000-0005-0000-0000-000061060000}"/>
    <cellStyle name="Обычный 7 2 2 2 3 2" xfId="16820" xr:uid="{00000000-0005-0000-0000-000062060000}"/>
    <cellStyle name="Обычный 7 2 2 2 3 2 2" xfId="40775" xr:uid="{00000000-0005-0000-0000-000063060000}"/>
    <cellStyle name="Обычный 7 2 2 2 3 3" xfId="28798" xr:uid="{00000000-0005-0000-0000-000064060000}"/>
    <cellStyle name="Обычный 7 2 2 2 4" xfId="7453" xr:uid="{00000000-0005-0000-0000-000065060000}"/>
    <cellStyle name="Обычный 7 2 2 2 4 2" xfId="19431" xr:uid="{00000000-0005-0000-0000-000066060000}"/>
    <cellStyle name="Обычный 7 2 2 2 4 2 2" xfId="43386" xr:uid="{00000000-0005-0000-0000-000067060000}"/>
    <cellStyle name="Обычный 7 2 2 2 4 3" xfId="31408" xr:uid="{00000000-0005-0000-0000-000068060000}"/>
    <cellStyle name="Обычный 7 2 2 2 5" xfId="9235" xr:uid="{00000000-0005-0000-0000-000069060000}"/>
    <cellStyle name="Обычный 7 2 2 2 5 2" xfId="21213" xr:uid="{00000000-0005-0000-0000-00006A060000}"/>
    <cellStyle name="Обычный 7 2 2 2 5 2 2" xfId="45168" xr:uid="{00000000-0005-0000-0000-00006B060000}"/>
    <cellStyle name="Обычный 7 2 2 2 5 3" xfId="33190" xr:uid="{00000000-0005-0000-0000-00006C060000}"/>
    <cellStyle name="Обычный 7 2 2 2 6" xfId="13394" xr:uid="{00000000-0005-0000-0000-00006D060000}"/>
    <cellStyle name="Обычный 7 2 2 2 6 2" xfId="37349" xr:uid="{00000000-0005-0000-0000-00006E060000}"/>
    <cellStyle name="Обычный 7 2 2 2 7" xfId="25372" xr:uid="{00000000-0005-0000-0000-00006F060000}"/>
    <cellStyle name="Обычный 7 2 2 2 8" xfId="48505" xr:uid="{00000000-0005-0000-0000-000070060000}"/>
    <cellStyle name="Обычный 7 2 2 3" xfId="3087" xr:uid="{00000000-0005-0000-0000-000071060000}"/>
    <cellStyle name="Обычный 7 2 2 3 2" xfId="15066" xr:uid="{00000000-0005-0000-0000-000072060000}"/>
    <cellStyle name="Обычный 7 2 2 3 2 2" xfId="39021" xr:uid="{00000000-0005-0000-0000-000073060000}"/>
    <cellStyle name="Обычный 7 2 2 3 3" xfId="27044" xr:uid="{00000000-0005-0000-0000-000074060000}"/>
    <cellStyle name="Обычный 7 2 2 3 4" xfId="50175" xr:uid="{00000000-0005-0000-0000-000075060000}"/>
    <cellStyle name="Обычный 7 2 2 4" xfId="4731" xr:uid="{00000000-0005-0000-0000-000076060000}"/>
    <cellStyle name="Обычный 7 2 2 4 2" xfId="16710" xr:uid="{00000000-0005-0000-0000-000077060000}"/>
    <cellStyle name="Обычный 7 2 2 4 2 2" xfId="40665" xr:uid="{00000000-0005-0000-0000-000078060000}"/>
    <cellStyle name="Обычный 7 2 2 4 3" xfId="28688" xr:uid="{00000000-0005-0000-0000-000079060000}"/>
    <cellStyle name="Обычный 7 2 2 5" xfId="7343" xr:uid="{00000000-0005-0000-0000-00007A060000}"/>
    <cellStyle name="Обычный 7 2 2 5 2" xfId="19321" xr:uid="{00000000-0005-0000-0000-00007B060000}"/>
    <cellStyle name="Обычный 7 2 2 5 2 2" xfId="43276" xr:uid="{00000000-0005-0000-0000-00007C060000}"/>
    <cellStyle name="Обычный 7 2 2 5 3" xfId="31298" xr:uid="{00000000-0005-0000-0000-00007D060000}"/>
    <cellStyle name="Обычный 7 2 2 6" xfId="9125" xr:uid="{00000000-0005-0000-0000-00007E060000}"/>
    <cellStyle name="Обычный 7 2 2 6 2" xfId="21103" xr:uid="{00000000-0005-0000-0000-00007F060000}"/>
    <cellStyle name="Обычный 7 2 2 6 2 2" xfId="45058" xr:uid="{00000000-0005-0000-0000-000080060000}"/>
    <cellStyle name="Обычный 7 2 2 6 3" xfId="33080" xr:uid="{00000000-0005-0000-0000-000081060000}"/>
    <cellStyle name="Обычный 7 2 2 7" xfId="13284" xr:uid="{00000000-0005-0000-0000-000082060000}"/>
    <cellStyle name="Обычный 7 2 2 7 2" xfId="37239" xr:uid="{00000000-0005-0000-0000-000083060000}"/>
    <cellStyle name="Обычный 7 2 2 8" xfId="25262" xr:uid="{00000000-0005-0000-0000-000084060000}"/>
    <cellStyle name="Обычный 7 2 2 9" xfId="48395" xr:uid="{00000000-0005-0000-0000-000085060000}"/>
    <cellStyle name="Обычный 7 2 3" xfId="1397" xr:uid="{00000000-0005-0000-0000-000086060000}"/>
    <cellStyle name="Обычный 7 2 3 2" xfId="3181" xr:uid="{00000000-0005-0000-0000-000087060000}"/>
    <cellStyle name="Обычный 7 2 3 2 2" xfId="15160" xr:uid="{00000000-0005-0000-0000-000088060000}"/>
    <cellStyle name="Обычный 7 2 3 2 2 2" xfId="39115" xr:uid="{00000000-0005-0000-0000-000089060000}"/>
    <cellStyle name="Обычный 7 2 3 2 3" xfId="27138" xr:uid="{00000000-0005-0000-0000-00008A060000}"/>
    <cellStyle name="Обычный 7 2 3 2 4" xfId="50269" xr:uid="{00000000-0005-0000-0000-00008B060000}"/>
    <cellStyle name="Обычный 7 2 3 3" xfId="4825" xr:uid="{00000000-0005-0000-0000-00008C060000}"/>
    <cellStyle name="Обычный 7 2 3 3 2" xfId="16804" xr:uid="{00000000-0005-0000-0000-00008D060000}"/>
    <cellStyle name="Обычный 7 2 3 3 2 2" xfId="40759" xr:uid="{00000000-0005-0000-0000-00008E060000}"/>
    <cellStyle name="Обычный 7 2 3 3 3" xfId="28782" xr:uid="{00000000-0005-0000-0000-00008F060000}"/>
    <cellStyle name="Обычный 7 2 3 4" xfId="7437" xr:uid="{00000000-0005-0000-0000-000090060000}"/>
    <cellStyle name="Обычный 7 2 3 4 2" xfId="19415" xr:uid="{00000000-0005-0000-0000-000091060000}"/>
    <cellStyle name="Обычный 7 2 3 4 2 2" xfId="43370" xr:uid="{00000000-0005-0000-0000-000092060000}"/>
    <cellStyle name="Обычный 7 2 3 4 3" xfId="31392" xr:uid="{00000000-0005-0000-0000-000093060000}"/>
    <cellStyle name="Обычный 7 2 3 5" xfId="9219" xr:uid="{00000000-0005-0000-0000-000094060000}"/>
    <cellStyle name="Обычный 7 2 3 5 2" xfId="21197" xr:uid="{00000000-0005-0000-0000-000095060000}"/>
    <cellStyle name="Обычный 7 2 3 5 2 2" xfId="45152" xr:uid="{00000000-0005-0000-0000-000096060000}"/>
    <cellStyle name="Обычный 7 2 3 5 3" xfId="33174" xr:uid="{00000000-0005-0000-0000-000097060000}"/>
    <cellStyle name="Обычный 7 2 3 6" xfId="13378" xr:uid="{00000000-0005-0000-0000-000098060000}"/>
    <cellStyle name="Обычный 7 2 3 6 2" xfId="37333" xr:uid="{00000000-0005-0000-0000-000099060000}"/>
    <cellStyle name="Обычный 7 2 3 7" xfId="25356" xr:uid="{00000000-0005-0000-0000-00009A060000}"/>
    <cellStyle name="Обычный 7 2 3 8" xfId="48489" xr:uid="{00000000-0005-0000-0000-00009B060000}"/>
    <cellStyle name="Обычный 7 2 4" xfId="2534" xr:uid="{00000000-0005-0000-0000-00009C060000}"/>
    <cellStyle name="Обычный 7 2 4 2" xfId="4179" xr:uid="{00000000-0005-0000-0000-00009D060000}"/>
    <cellStyle name="Обычный 7 2 4 2 2" xfId="16158" xr:uid="{00000000-0005-0000-0000-00009E060000}"/>
    <cellStyle name="Обычный 7 2 4 2 2 2" xfId="40113" xr:uid="{00000000-0005-0000-0000-00009F060000}"/>
    <cellStyle name="Обычный 7 2 4 2 3" xfId="28136" xr:uid="{00000000-0005-0000-0000-0000A0060000}"/>
    <cellStyle name="Обычный 7 2 4 2 4" xfId="51405" xr:uid="{00000000-0005-0000-0000-0000A1060000}"/>
    <cellStyle name="Обычный 7 2 4 3" xfId="5962" xr:uid="{00000000-0005-0000-0000-0000A2060000}"/>
    <cellStyle name="Обычный 7 2 4 3 2" xfId="17940" xr:uid="{00000000-0005-0000-0000-0000A3060000}"/>
    <cellStyle name="Обычный 7 2 4 3 2 2" xfId="41895" xr:uid="{00000000-0005-0000-0000-0000A4060000}"/>
    <cellStyle name="Обычный 7 2 4 3 3" xfId="29917" xr:uid="{00000000-0005-0000-0000-0000A5060000}"/>
    <cellStyle name="Обычный 7 2 4 4" xfId="8572" xr:uid="{00000000-0005-0000-0000-0000A6060000}"/>
    <cellStyle name="Обычный 7 2 4 4 2" xfId="20550" xr:uid="{00000000-0005-0000-0000-0000A7060000}"/>
    <cellStyle name="Обычный 7 2 4 4 2 2" xfId="44505" xr:uid="{00000000-0005-0000-0000-0000A8060000}"/>
    <cellStyle name="Обычный 7 2 4 4 3" xfId="32527" xr:uid="{00000000-0005-0000-0000-0000A9060000}"/>
    <cellStyle name="Обычный 7 2 4 5" xfId="10355" xr:uid="{00000000-0005-0000-0000-0000AA060000}"/>
    <cellStyle name="Обычный 7 2 4 5 2" xfId="22333" xr:uid="{00000000-0005-0000-0000-0000AB060000}"/>
    <cellStyle name="Обычный 7 2 4 5 2 2" xfId="46288" xr:uid="{00000000-0005-0000-0000-0000AC060000}"/>
    <cellStyle name="Обычный 7 2 4 5 3" xfId="34310" xr:uid="{00000000-0005-0000-0000-0000AD060000}"/>
    <cellStyle name="Обычный 7 2 4 6" xfId="14513" xr:uid="{00000000-0005-0000-0000-0000AE060000}"/>
    <cellStyle name="Обычный 7 2 4 6 2" xfId="38468" xr:uid="{00000000-0005-0000-0000-0000AF060000}"/>
    <cellStyle name="Обычный 7 2 4 7" xfId="26491" xr:uid="{00000000-0005-0000-0000-0000B0060000}"/>
    <cellStyle name="Обычный 7 2 4 8" xfId="49624" xr:uid="{00000000-0005-0000-0000-0000B1060000}"/>
    <cellStyle name="Обычный 7 2 5" xfId="1038" xr:uid="{00000000-0005-0000-0000-0000B2060000}"/>
    <cellStyle name="Обычный 7 2 5 2" xfId="7078" xr:uid="{00000000-0005-0000-0000-0000B3060000}"/>
    <cellStyle name="Обычный 7 2 5 2 2" xfId="19056" xr:uid="{00000000-0005-0000-0000-0000B4060000}"/>
    <cellStyle name="Обычный 7 2 5 2 2 2" xfId="43011" xr:uid="{00000000-0005-0000-0000-0000B5060000}"/>
    <cellStyle name="Обычный 7 2 5 2 3" xfId="31033" xr:uid="{00000000-0005-0000-0000-0000B6060000}"/>
    <cellStyle name="Обычный 7 2 5 3" xfId="13019" xr:uid="{00000000-0005-0000-0000-0000B7060000}"/>
    <cellStyle name="Обычный 7 2 5 3 2" xfId="36974" xr:uid="{00000000-0005-0000-0000-0000B8060000}"/>
    <cellStyle name="Обычный 7 2 5 4" xfId="24997" xr:uid="{00000000-0005-0000-0000-0000B9060000}"/>
    <cellStyle name="Обычный 7 2 5 5" xfId="49903" xr:uid="{00000000-0005-0000-0000-0000BA060000}"/>
    <cellStyle name="Обычный 7 2 6" xfId="626" xr:uid="{00000000-0005-0000-0000-0000BB060000}"/>
    <cellStyle name="Обычный 7 2 6 2" xfId="6666" xr:uid="{00000000-0005-0000-0000-0000BC060000}"/>
    <cellStyle name="Обычный 7 2 6 2 2" xfId="18644" xr:uid="{00000000-0005-0000-0000-0000BD060000}"/>
    <cellStyle name="Обычный 7 2 6 2 2 2" xfId="42599" xr:uid="{00000000-0005-0000-0000-0000BE060000}"/>
    <cellStyle name="Обычный 7 2 6 2 3" xfId="30621" xr:uid="{00000000-0005-0000-0000-0000BF060000}"/>
    <cellStyle name="Обычный 7 2 6 3" xfId="12607" xr:uid="{00000000-0005-0000-0000-0000C0060000}"/>
    <cellStyle name="Обычный 7 2 6 3 2" xfId="36562" xr:uid="{00000000-0005-0000-0000-0000C1060000}"/>
    <cellStyle name="Обычный 7 2 6 4" xfId="24585" xr:uid="{00000000-0005-0000-0000-0000C2060000}"/>
    <cellStyle name="Обычный 7 2 7" xfId="2815" xr:uid="{00000000-0005-0000-0000-0000C3060000}"/>
    <cellStyle name="Обычный 7 2 7 2" xfId="14794" xr:uid="{00000000-0005-0000-0000-0000C4060000}"/>
    <cellStyle name="Обычный 7 2 7 2 2" xfId="38749" xr:uid="{00000000-0005-0000-0000-0000C5060000}"/>
    <cellStyle name="Обычный 7 2 7 3" xfId="26772" xr:uid="{00000000-0005-0000-0000-0000C6060000}"/>
    <cellStyle name="Обычный 7 2 8" xfId="4459" xr:uid="{00000000-0005-0000-0000-0000C7060000}"/>
    <cellStyle name="Обычный 7 2 8 2" xfId="16438" xr:uid="{00000000-0005-0000-0000-0000C8060000}"/>
    <cellStyle name="Обычный 7 2 8 2 2" xfId="40393" xr:uid="{00000000-0005-0000-0000-0000C9060000}"/>
    <cellStyle name="Обычный 7 2 8 3" xfId="28416" xr:uid="{00000000-0005-0000-0000-0000CA060000}"/>
    <cellStyle name="Обычный 7 2 9" xfId="6246" xr:uid="{00000000-0005-0000-0000-0000CB060000}"/>
    <cellStyle name="Обычный 7 2 9 2" xfId="18224" xr:uid="{00000000-0005-0000-0000-0000CC060000}"/>
    <cellStyle name="Обычный 7 2 9 2 2" xfId="42179" xr:uid="{00000000-0005-0000-0000-0000CD060000}"/>
    <cellStyle name="Обычный 7 2 9 3" xfId="30201" xr:uid="{00000000-0005-0000-0000-0000CE060000}"/>
    <cellStyle name="Обычный 7 3" xfId="354" xr:uid="{00000000-0005-0000-0000-0000CF060000}"/>
    <cellStyle name="Обычный 7 3 10" xfId="48259" xr:uid="{00000000-0005-0000-0000-0000D0060000}"/>
    <cellStyle name="Обычный 7 3 2" xfId="1405" xr:uid="{00000000-0005-0000-0000-0000D1060000}"/>
    <cellStyle name="Обычный 7 3 2 2" xfId="3189" xr:uid="{00000000-0005-0000-0000-0000D2060000}"/>
    <cellStyle name="Обычный 7 3 2 2 2" xfId="15168" xr:uid="{00000000-0005-0000-0000-0000D3060000}"/>
    <cellStyle name="Обычный 7 3 2 2 2 2" xfId="39123" xr:uid="{00000000-0005-0000-0000-0000D4060000}"/>
    <cellStyle name="Обычный 7 3 2 2 3" xfId="27146" xr:uid="{00000000-0005-0000-0000-0000D5060000}"/>
    <cellStyle name="Обычный 7 3 2 2 4" xfId="50277" xr:uid="{00000000-0005-0000-0000-0000D6060000}"/>
    <cellStyle name="Обычный 7 3 2 3" xfId="4833" xr:uid="{00000000-0005-0000-0000-0000D7060000}"/>
    <cellStyle name="Обычный 7 3 2 3 2" xfId="16812" xr:uid="{00000000-0005-0000-0000-0000D8060000}"/>
    <cellStyle name="Обычный 7 3 2 3 2 2" xfId="40767" xr:uid="{00000000-0005-0000-0000-0000D9060000}"/>
    <cellStyle name="Обычный 7 3 2 3 3" xfId="28790" xr:uid="{00000000-0005-0000-0000-0000DA060000}"/>
    <cellStyle name="Обычный 7 3 2 4" xfId="7445" xr:uid="{00000000-0005-0000-0000-0000DB060000}"/>
    <cellStyle name="Обычный 7 3 2 4 2" xfId="19423" xr:uid="{00000000-0005-0000-0000-0000DC060000}"/>
    <cellStyle name="Обычный 7 3 2 4 2 2" xfId="43378" xr:uid="{00000000-0005-0000-0000-0000DD060000}"/>
    <cellStyle name="Обычный 7 3 2 4 3" xfId="31400" xr:uid="{00000000-0005-0000-0000-0000DE060000}"/>
    <cellStyle name="Обычный 7 3 2 5" xfId="9227" xr:uid="{00000000-0005-0000-0000-0000DF060000}"/>
    <cellStyle name="Обычный 7 3 2 5 2" xfId="21205" xr:uid="{00000000-0005-0000-0000-0000E0060000}"/>
    <cellStyle name="Обычный 7 3 2 5 2 2" xfId="45160" xr:uid="{00000000-0005-0000-0000-0000E1060000}"/>
    <cellStyle name="Обычный 7 3 2 5 3" xfId="33182" xr:uid="{00000000-0005-0000-0000-0000E2060000}"/>
    <cellStyle name="Обычный 7 3 2 6" xfId="13386" xr:uid="{00000000-0005-0000-0000-0000E3060000}"/>
    <cellStyle name="Обычный 7 3 2 6 2" xfId="37341" xr:uid="{00000000-0005-0000-0000-0000E4060000}"/>
    <cellStyle name="Обычный 7 3 2 7" xfId="25364" xr:uid="{00000000-0005-0000-0000-0000E5060000}"/>
    <cellStyle name="Обычный 7 3 2 8" xfId="48497" xr:uid="{00000000-0005-0000-0000-0000E6060000}"/>
    <cellStyle name="Обычный 7 3 3" xfId="774" xr:uid="{00000000-0005-0000-0000-0000E7060000}"/>
    <cellStyle name="Обычный 7 3 3 2" xfId="6814" xr:uid="{00000000-0005-0000-0000-0000E8060000}"/>
    <cellStyle name="Обычный 7 3 3 2 2" xfId="18792" xr:uid="{00000000-0005-0000-0000-0000E9060000}"/>
    <cellStyle name="Обычный 7 3 3 2 2 2" xfId="42747" xr:uid="{00000000-0005-0000-0000-0000EA060000}"/>
    <cellStyle name="Обычный 7 3 3 2 3" xfId="30769" xr:uid="{00000000-0005-0000-0000-0000EB060000}"/>
    <cellStyle name="Обычный 7 3 3 3" xfId="12755" xr:uid="{00000000-0005-0000-0000-0000EC060000}"/>
    <cellStyle name="Обычный 7 3 3 3 2" xfId="36710" xr:uid="{00000000-0005-0000-0000-0000ED060000}"/>
    <cellStyle name="Обычный 7 3 3 4" xfId="24733" xr:uid="{00000000-0005-0000-0000-0000EE060000}"/>
    <cellStyle name="Обычный 7 3 3 5" xfId="50039" xr:uid="{00000000-0005-0000-0000-0000EF060000}"/>
    <cellStyle name="Обычный 7 3 4" xfId="2951" xr:uid="{00000000-0005-0000-0000-0000F0060000}"/>
    <cellStyle name="Обычный 7 3 4 2" xfId="14930" xr:uid="{00000000-0005-0000-0000-0000F1060000}"/>
    <cellStyle name="Обычный 7 3 4 2 2" xfId="38885" xr:uid="{00000000-0005-0000-0000-0000F2060000}"/>
    <cellStyle name="Обычный 7 3 4 3" xfId="26908" xr:uid="{00000000-0005-0000-0000-0000F3060000}"/>
    <cellStyle name="Обычный 7 3 5" xfId="4595" xr:uid="{00000000-0005-0000-0000-0000F4060000}"/>
    <cellStyle name="Обычный 7 3 5 2" xfId="16574" xr:uid="{00000000-0005-0000-0000-0000F5060000}"/>
    <cellStyle name="Обычный 7 3 5 2 2" xfId="40529" xr:uid="{00000000-0005-0000-0000-0000F6060000}"/>
    <cellStyle name="Обычный 7 3 5 3" xfId="28552" xr:uid="{00000000-0005-0000-0000-0000F7060000}"/>
    <cellStyle name="Обычный 7 3 6" xfId="6394" xr:uid="{00000000-0005-0000-0000-0000F8060000}"/>
    <cellStyle name="Обычный 7 3 6 2" xfId="18372" xr:uid="{00000000-0005-0000-0000-0000F9060000}"/>
    <cellStyle name="Обычный 7 3 6 2 2" xfId="42327" xr:uid="{00000000-0005-0000-0000-0000FA060000}"/>
    <cellStyle name="Обычный 7 3 6 3" xfId="30349" xr:uid="{00000000-0005-0000-0000-0000FB060000}"/>
    <cellStyle name="Обычный 7 3 7" xfId="8989" xr:uid="{00000000-0005-0000-0000-0000FC060000}"/>
    <cellStyle name="Обычный 7 3 7 2" xfId="20967" xr:uid="{00000000-0005-0000-0000-0000FD060000}"/>
    <cellStyle name="Обычный 7 3 7 2 2" xfId="44922" xr:uid="{00000000-0005-0000-0000-0000FE060000}"/>
    <cellStyle name="Обычный 7 3 7 3" xfId="32944" xr:uid="{00000000-0005-0000-0000-0000FF060000}"/>
    <cellStyle name="Обычный 7 3 8" xfId="12335" xr:uid="{00000000-0005-0000-0000-000000070000}"/>
    <cellStyle name="Обычный 7 3 8 2" xfId="36290" xr:uid="{00000000-0005-0000-0000-000001070000}"/>
    <cellStyle name="Обычный 7 3 9" xfId="24313" xr:uid="{00000000-0005-0000-0000-000002070000}"/>
    <cellStyle name="Обычный 7 4" xfId="1429" xr:uid="{00000000-0005-0000-0000-000003070000}"/>
    <cellStyle name="Обычный 7 4 2" xfId="1877" xr:uid="{00000000-0005-0000-0000-000004070000}"/>
    <cellStyle name="Обычный 7 4 2 2" xfId="3522" xr:uid="{00000000-0005-0000-0000-000005070000}"/>
    <cellStyle name="Обычный 7 4 2 2 2" xfId="15501" xr:uid="{00000000-0005-0000-0000-000006070000}"/>
    <cellStyle name="Обычный 7 4 2 2 2 2" xfId="39456" xr:uid="{00000000-0005-0000-0000-000007070000}"/>
    <cellStyle name="Обычный 7 4 2 2 3" xfId="27479" xr:uid="{00000000-0005-0000-0000-000008070000}"/>
    <cellStyle name="Обычный 7 4 2 2 4" xfId="50748" xr:uid="{00000000-0005-0000-0000-000009070000}"/>
    <cellStyle name="Обычный 7 4 2 3" xfId="5305" xr:uid="{00000000-0005-0000-0000-00000A070000}"/>
    <cellStyle name="Обычный 7 4 2 3 2" xfId="17283" xr:uid="{00000000-0005-0000-0000-00000B070000}"/>
    <cellStyle name="Обычный 7 4 2 3 2 2" xfId="41238" xr:uid="{00000000-0005-0000-0000-00000C070000}"/>
    <cellStyle name="Обычный 7 4 2 3 3" xfId="29260" xr:uid="{00000000-0005-0000-0000-00000D070000}"/>
    <cellStyle name="Обычный 7 4 2 4" xfId="7915" xr:uid="{00000000-0005-0000-0000-00000E070000}"/>
    <cellStyle name="Обычный 7 4 2 4 2" xfId="19893" xr:uid="{00000000-0005-0000-0000-00000F070000}"/>
    <cellStyle name="Обычный 7 4 2 4 2 2" xfId="43848" xr:uid="{00000000-0005-0000-0000-000010070000}"/>
    <cellStyle name="Обычный 7 4 2 4 3" xfId="31870" xr:uid="{00000000-0005-0000-0000-000011070000}"/>
    <cellStyle name="Обычный 7 4 2 5" xfId="9698" xr:uid="{00000000-0005-0000-0000-000012070000}"/>
    <cellStyle name="Обычный 7 4 2 5 2" xfId="21676" xr:uid="{00000000-0005-0000-0000-000013070000}"/>
    <cellStyle name="Обычный 7 4 2 5 2 2" xfId="45631" xr:uid="{00000000-0005-0000-0000-000014070000}"/>
    <cellStyle name="Обычный 7 4 2 5 3" xfId="33653" xr:uid="{00000000-0005-0000-0000-000015070000}"/>
    <cellStyle name="Обычный 7 4 2 6" xfId="13856" xr:uid="{00000000-0005-0000-0000-000016070000}"/>
    <cellStyle name="Обычный 7 4 2 6 2" xfId="37811" xr:uid="{00000000-0005-0000-0000-000017070000}"/>
    <cellStyle name="Обычный 7 4 2 7" xfId="25834" xr:uid="{00000000-0005-0000-0000-000018070000}"/>
    <cellStyle name="Обычный 7 4 2 8" xfId="48967" xr:uid="{00000000-0005-0000-0000-000019070000}"/>
    <cellStyle name="Обычный 7 4 3" xfId="4857" xr:uid="{00000000-0005-0000-0000-00001A070000}"/>
    <cellStyle name="Обычный 7 4 3 2" xfId="16836" xr:uid="{00000000-0005-0000-0000-00001B070000}"/>
    <cellStyle name="Обычный 7 4 3 2 2" xfId="40791" xr:uid="{00000000-0005-0000-0000-00001C070000}"/>
    <cellStyle name="Обычный 7 4 3 3" xfId="28813" xr:uid="{00000000-0005-0000-0000-00001D070000}"/>
    <cellStyle name="Обычный 7 4 3 4" xfId="50301" xr:uid="{00000000-0005-0000-0000-00001E070000}"/>
    <cellStyle name="Обычный 7 4 4" xfId="7468" xr:uid="{00000000-0005-0000-0000-00001F070000}"/>
    <cellStyle name="Обычный 7 4 4 2" xfId="19446" xr:uid="{00000000-0005-0000-0000-000020070000}"/>
    <cellStyle name="Обычный 7 4 4 2 2" xfId="43401" xr:uid="{00000000-0005-0000-0000-000021070000}"/>
    <cellStyle name="Обычный 7 4 4 3" xfId="31423" xr:uid="{00000000-0005-0000-0000-000022070000}"/>
    <cellStyle name="Обычный 7 4 5" xfId="9251" xr:uid="{00000000-0005-0000-0000-000023070000}"/>
    <cellStyle name="Обычный 7 4 5 2" xfId="21229" xr:uid="{00000000-0005-0000-0000-000024070000}"/>
    <cellStyle name="Обычный 7 4 5 2 2" xfId="45184" xr:uid="{00000000-0005-0000-0000-000025070000}"/>
    <cellStyle name="Обычный 7 4 5 3" xfId="33206" xr:uid="{00000000-0005-0000-0000-000026070000}"/>
    <cellStyle name="Обычный 7 4 6" xfId="13409" xr:uid="{00000000-0005-0000-0000-000027070000}"/>
    <cellStyle name="Обычный 7 4 6 2" xfId="37364" xr:uid="{00000000-0005-0000-0000-000028070000}"/>
    <cellStyle name="Обычный 7 4 7" xfId="25387" xr:uid="{00000000-0005-0000-0000-000029070000}"/>
    <cellStyle name="Обычный 7 4 8" xfId="48520" xr:uid="{00000000-0005-0000-0000-00002A070000}"/>
    <cellStyle name="Обычный 7 5" xfId="1389" xr:uid="{00000000-0005-0000-0000-00002B070000}"/>
    <cellStyle name="Обычный 7 5 2" xfId="3173" xr:uid="{00000000-0005-0000-0000-00002C070000}"/>
    <cellStyle name="Обычный 7 5 2 2" xfId="15152" xr:uid="{00000000-0005-0000-0000-00002D070000}"/>
    <cellStyle name="Обычный 7 5 2 2 2" xfId="39107" xr:uid="{00000000-0005-0000-0000-00002E070000}"/>
    <cellStyle name="Обычный 7 5 2 3" xfId="27130" xr:uid="{00000000-0005-0000-0000-00002F070000}"/>
    <cellStyle name="Обычный 7 5 2 4" xfId="50261" xr:uid="{00000000-0005-0000-0000-000030070000}"/>
    <cellStyle name="Обычный 7 5 3" xfId="4817" xr:uid="{00000000-0005-0000-0000-000031070000}"/>
    <cellStyle name="Обычный 7 5 3 2" xfId="16796" xr:uid="{00000000-0005-0000-0000-000032070000}"/>
    <cellStyle name="Обычный 7 5 3 2 2" xfId="40751" xr:uid="{00000000-0005-0000-0000-000033070000}"/>
    <cellStyle name="Обычный 7 5 3 3" xfId="28774" xr:uid="{00000000-0005-0000-0000-000034070000}"/>
    <cellStyle name="Обычный 7 5 4" xfId="7429" xr:uid="{00000000-0005-0000-0000-000035070000}"/>
    <cellStyle name="Обычный 7 5 4 2" xfId="19407" xr:uid="{00000000-0005-0000-0000-000036070000}"/>
    <cellStyle name="Обычный 7 5 4 2 2" xfId="43362" xr:uid="{00000000-0005-0000-0000-000037070000}"/>
    <cellStyle name="Обычный 7 5 4 3" xfId="31384" xr:uid="{00000000-0005-0000-0000-000038070000}"/>
    <cellStyle name="Обычный 7 5 5" xfId="9211" xr:uid="{00000000-0005-0000-0000-000039070000}"/>
    <cellStyle name="Обычный 7 5 5 2" xfId="21189" xr:uid="{00000000-0005-0000-0000-00003A070000}"/>
    <cellStyle name="Обычный 7 5 5 2 2" xfId="45144" xr:uid="{00000000-0005-0000-0000-00003B070000}"/>
    <cellStyle name="Обычный 7 5 5 3" xfId="33166" xr:uid="{00000000-0005-0000-0000-00003C070000}"/>
    <cellStyle name="Обычный 7 5 6" xfId="13370" xr:uid="{00000000-0005-0000-0000-00003D070000}"/>
    <cellStyle name="Обычный 7 5 6 2" xfId="37325" xr:uid="{00000000-0005-0000-0000-00003E070000}"/>
    <cellStyle name="Обычный 7 5 7" xfId="25348" xr:uid="{00000000-0005-0000-0000-00003F070000}"/>
    <cellStyle name="Обычный 7 5 8" xfId="48481" xr:uid="{00000000-0005-0000-0000-000040070000}"/>
    <cellStyle name="Обычный 7 6" xfId="2398" xr:uid="{00000000-0005-0000-0000-000041070000}"/>
    <cellStyle name="Обычный 7 6 2" xfId="4043" xr:uid="{00000000-0005-0000-0000-000042070000}"/>
    <cellStyle name="Обычный 7 6 2 2" xfId="16022" xr:uid="{00000000-0005-0000-0000-000043070000}"/>
    <cellStyle name="Обычный 7 6 2 2 2" xfId="39977" xr:uid="{00000000-0005-0000-0000-000044070000}"/>
    <cellStyle name="Обычный 7 6 2 3" xfId="28000" xr:uid="{00000000-0005-0000-0000-000045070000}"/>
    <cellStyle name="Обычный 7 6 2 4" xfId="51269" xr:uid="{00000000-0005-0000-0000-000046070000}"/>
    <cellStyle name="Обычный 7 6 3" xfId="5826" xr:uid="{00000000-0005-0000-0000-000047070000}"/>
    <cellStyle name="Обычный 7 6 3 2" xfId="17804" xr:uid="{00000000-0005-0000-0000-000048070000}"/>
    <cellStyle name="Обычный 7 6 3 2 2" xfId="41759" xr:uid="{00000000-0005-0000-0000-000049070000}"/>
    <cellStyle name="Обычный 7 6 3 3" xfId="29781" xr:uid="{00000000-0005-0000-0000-00004A070000}"/>
    <cellStyle name="Обычный 7 6 4" xfId="8436" xr:uid="{00000000-0005-0000-0000-00004B070000}"/>
    <cellStyle name="Обычный 7 6 4 2" xfId="20414" xr:uid="{00000000-0005-0000-0000-00004C070000}"/>
    <cellStyle name="Обычный 7 6 4 2 2" xfId="44369" xr:uid="{00000000-0005-0000-0000-00004D070000}"/>
    <cellStyle name="Обычный 7 6 4 3" xfId="32391" xr:uid="{00000000-0005-0000-0000-00004E070000}"/>
    <cellStyle name="Обычный 7 6 5" xfId="10219" xr:uid="{00000000-0005-0000-0000-00004F070000}"/>
    <cellStyle name="Обычный 7 6 5 2" xfId="22197" xr:uid="{00000000-0005-0000-0000-000050070000}"/>
    <cellStyle name="Обычный 7 6 5 2 2" xfId="46152" xr:uid="{00000000-0005-0000-0000-000051070000}"/>
    <cellStyle name="Обычный 7 6 5 3" xfId="34174" xr:uid="{00000000-0005-0000-0000-000052070000}"/>
    <cellStyle name="Обычный 7 6 6" xfId="14377" xr:uid="{00000000-0005-0000-0000-000053070000}"/>
    <cellStyle name="Обычный 7 6 6 2" xfId="38332" xr:uid="{00000000-0005-0000-0000-000054070000}"/>
    <cellStyle name="Обычный 7 6 7" xfId="26355" xr:uid="{00000000-0005-0000-0000-000055070000}"/>
    <cellStyle name="Обычный 7 6 8" xfId="49488" xr:uid="{00000000-0005-0000-0000-000056070000}"/>
    <cellStyle name="Обычный 7 7" xfId="1625" xr:uid="{00000000-0005-0000-0000-000057070000}"/>
    <cellStyle name="Обычный 7 7 2" xfId="3270" xr:uid="{00000000-0005-0000-0000-000058070000}"/>
    <cellStyle name="Обычный 7 7 2 2" xfId="15249" xr:uid="{00000000-0005-0000-0000-000059070000}"/>
    <cellStyle name="Обычный 7 7 2 2 2" xfId="39204" xr:uid="{00000000-0005-0000-0000-00005A070000}"/>
    <cellStyle name="Обычный 7 7 2 3" xfId="27227" xr:uid="{00000000-0005-0000-0000-00005B070000}"/>
    <cellStyle name="Обычный 7 7 2 4" xfId="50496" xr:uid="{00000000-0005-0000-0000-00005C070000}"/>
    <cellStyle name="Обычный 7 7 3" xfId="5053" xr:uid="{00000000-0005-0000-0000-00005D070000}"/>
    <cellStyle name="Обычный 7 7 3 2" xfId="17031" xr:uid="{00000000-0005-0000-0000-00005E070000}"/>
    <cellStyle name="Обычный 7 7 3 2 2" xfId="40986" xr:uid="{00000000-0005-0000-0000-00005F070000}"/>
    <cellStyle name="Обычный 7 7 3 3" xfId="29008" xr:uid="{00000000-0005-0000-0000-000060070000}"/>
    <cellStyle name="Обычный 7 7 4" xfId="7663" xr:uid="{00000000-0005-0000-0000-000061070000}"/>
    <cellStyle name="Обычный 7 7 4 2" xfId="19641" xr:uid="{00000000-0005-0000-0000-000062070000}"/>
    <cellStyle name="Обычный 7 7 4 2 2" xfId="43596" xr:uid="{00000000-0005-0000-0000-000063070000}"/>
    <cellStyle name="Обычный 7 7 4 3" xfId="31618" xr:uid="{00000000-0005-0000-0000-000064070000}"/>
    <cellStyle name="Обычный 7 7 5" xfId="9446" xr:uid="{00000000-0005-0000-0000-000065070000}"/>
    <cellStyle name="Обычный 7 7 5 2" xfId="21424" xr:uid="{00000000-0005-0000-0000-000066070000}"/>
    <cellStyle name="Обычный 7 7 5 2 2" xfId="45379" xr:uid="{00000000-0005-0000-0000-000067070000}"/>
    <cellStyle name="Обычный 7 7 5 3" xfId="33401" xr:uid="{00000000-0005-0000-0000-000068070000}"/>
    <cellStyle name="Обычный 7 7 6" xfId="13604" xr:uid="{00000000-0005-0000-0000-000069070000}"/>
    <cellStyle name="Обычный 7 7 6 2" xfId="37559" xr:uid="{00000000-0005-0000-0000-00006A070000}"/>
    <cellStyle name="Обычный 7 7 7" xfId="25582" xr:uid="{00000000-0005-0000-0000-00006B070000}"/>
    <cellStyle name="Обычный 7 7 8" xfId="48715" xr:uid="{00000000-0005-0000-0000-00006C070000}"/>
    <cellStyle name="Обычный 7 8" xfId="490" xr:uid="{00000000-0005-0000-0000-00006D070000}"/>
    <cellStyle name="Обычный 7 8 2" xfId="6530" xr:uid="{00000000-0005-0000-0000-00006E070000}"/>
    <cellStyle name="Обычный 7 8 2 2" xfId="18508" xr:uid="{00000000-0005-0000-0000-00006F070000}"/>
    <cellStyle name="Обычный 7 8 2 2 2" xfId="42463" xr:uid="{00000000-0005-0000-0000-000070070000}"/>
    <cellStyle name="Обычный 7 8 2 3" xfId="30485" xr:uid="{00000000-0005-0000-0000-000071070000}"/>
    <cellStyle name="Обычный 7 8 3" xfId="12471" xr:uid="{00000000-0005-0000-0000-000072070000}"/>
    <cellStyle name="Обычный 7 8 3 2" xfId="36426" xr:uid="{00000000-0005-0000-0000-000073070000}"/>
    <cellStyle name="Обычный 7 8 4" xfId="24449" xr:uid="{00000000-0005-0000-0000-000074070000}"/>
    <cellStyle name="Обычный 7 8 5" xfId="49767" xr:uid="{00000000-0005-0000-0000-000075070000}"/>
    <cellStyle name="Обычный 7 9" xfId="2679" xr:uid="{00000000-0005-0000-0000-000076070000}"/>
    <cellStyle name="Обычный 7 9 2" xfId="14658" xr:uid="{00000000-0005-0000-0000-000077070000}"/>
    <cellStyle name="Обычный 7 9 2 2" xfId="38613" xr:uid="{00000000-0005-0000-0000-000078070000}"/>
    <cellStyle name="Обычный 7 9 3" xfId="26636" xr:uid="{00000000-0005-0000-0000-000079070000}"/>
    <cellStyle name="Обычный 8" xfId="70" xr:uid="{00000000-0005-0000-0000-00007A070000}"/>
    <cellStyle name="Обычный 8 10" xfId="4324" xr:uid="{00000000-0005-0000-0000-00007B070000}"/>
    <cellStyle name="Обычный 8 10 2" xfId="16303" xr:uid="{00000000-0005-0000-0000-00007C070000}"/>
    <cellStyle name="Обычный 8 10 2 2" xfId="40258" xr:uid="{00000000-0005-0000-0000-00007D070000}"/>
    <cellStyle name="Обычный 8 10 3" xfId="28281" xr:uid="{00000000-0005-0000-0000-00007E070000}"/>
    <cellStyle name="Обычный 8 11" xfId="6111" xr:uid="{00000000-0005-0000-0000-00007F070000}"/>
    <cellStyle name="Обычный 8 11 2" xfId="18089" xr:uid="{00000000-0005-0000-0000-000080070000}"/>
    <cellStyle name="Обычный 8 11 2 2" xfId="42044" xr:uid="{00000000-0005-0000-0000-000081070000}"/>
    <cellStyle name="Обычный 8 11 3" xfId="30066" xr:uid="{00000000-0005-0000-0000-000082070000}"/>
    <cellStyle name="Обычный 8 12" xfId="8718" xr:uid="{00000000-0005-0000-0000-000083070000}"/>
    <cellStyle name="Обычный 8 12 2" xfId="20696" xr:uid="{00000000-0005-0000-0000-000084070000}"/>
    <cellStyle name="Обычный 8 12 2 2" xfId="44651" xr:uid="{00000000-0005-0000-0000-000085070000}"/>
    <cellStyle name="Обычный 8 12 3" xfId="32673" xr:uid="{00000000-0005-0000-0000-000086070000}"/>
    <cellStyle name="Обычный 8 13" xfId="12052" xr:uid="{00000000-0005-0000-0000-000087070000}"/>
    <cellStyle name="Обычный 8 13 2" xfId="36007" xr:uid="{00000000-0005-0000-0000-000088070000}"/>
    <cellStyle name="Обычный 8 14" xfId="24030" xr:uid="{00000000-0005-0000-0000-000089070000}"/>
    <cellStyle name="Обычный 8 15" xfId="47988" xr:uid="{00000000-0005-0000-0000-00008A070000}"/>
    <cellStyle name="Обычный 8 2" xfId="206" xr:uid="{00000000-0005-0000-0000-00008B070000}"/>
    <cellStyle name="Обычный 8 2 10" xfId="8854" xr:uid="{00000000-0005-0000-0000-00008C070000}"/>
    <cellStyle name="Обычный 8 2 10 2" xfId="20832" xr:uid="{00000000-0005-0000-0000-00008D070000}"/>
    <cellStyle name="Обычный 8 2 10 2 2" xfId="44787" xr:uid="{00000000-0005-0000-0000-00008E070000}"/>
    <cellStyle name="Обычный 8 2 10 3" xfId="32809" xr:uid="{00000000-0005-0000-0000-00008F070000}"/>
    <cellStyle name="Обычный 8 2 11" xfId="12188" xr:uid="{00000000-0005-0000-0000-000090070000}"/>
    <cellStyle name="Обычный 8 2 11 2" xfId="36143" xr:uid="{00000000-0005-0000-0000-000091070000}"/>
    <cellStyle name="Обычный 8 2 12" xfId="24166" xr:uid="{00000000-0005-0000-0000-000092070000}"/>
    <cellStyle name="Обычный 8 2 13" xfId="48124" xr:uid="{00000000-0005-0000-0000-000093070000}"/>
    <cellStyle name="Обычный 8 2 2" xfId="1304" xr:uid="{00000000-0005-0000-0000-000094070000}"/>
    <cellStyle name="Обычный 8 2 2 2" xfId="1414" xr:uid="{00000000-0005-0000-0000-000095070000}"/>
    <cellStyle name="Обычный 8 2 2 2 2" xfId="3198" xr:uid="{00000000-0005-0000-0000-000096070000}"/>
    <cellStyle name="Обычный 8 2 2 2 2 2" xfId="15177" xr:uid="{00000000-0005-0000-0000-000097070000}"/>
    <cellStyle name="Обычный 8 2 2 2 2 2 2" xfId="39132" xr:uid="{00000000-0005-0000-0000-000098070000}"/>
    <cellStyle name="Обычный 8 2 2 2 2 3" xfId="27155" xr:uid="{00000000-0005-0000-0000-000099070000}"/>
    <cellStyle name="Обычный 8 2 2 2 2 4" xfId="50286" xr:uid="{00000000-0005-0000-0000-00009A070000}"/>
    <cellStyle name="Обычный 8 2 2 2 3" xfId="4842" xr:uid="{00000000-0005-0000-0000-00009B070000}"/>
    <cellStyle name="Обычный 8 2 2 2 3 2" xfId="16821" xr:uid="{00000000-0005-0000-0000-00009C070000}"/>
    <cellStyle name="Обычный 8 2 2 2 3 2 2" xfId="40776" xr:uid="{00000000-0005-0000-0000-00009D070000}"/>
    <cellStyle name="Обычный 8 2 2 2 3 3" xfId="28799" xr:uid="{00000000-0005-0000-0000-00009E070000}"/>
    <cellStyle name="Обычный 8 2 2 2 4" xfId="7454" xr:uid="{00000000-0005-0000-0000-00009F070000}"/>
    <cellStyle name="Обычный 8 2 2 2 4 2" xfId="19432" xr:uid="{00000000-0005-0000-0000-0000A0070000}"/>
    <cellStyle name="Обычный 8 2 2 2 4 2 2" xfId="43387" xr:uid="{00000000-0005-0000-0000-0000A1070000}"/>
    <cellStyle name="Обычный 8 2 2 2 4 3" xfId="31409" xr:uid="{00000000-0005-0000-0000-0000A2070000}"/>
    <cellStyle name="Обычный 8 2 2 2 5" xfId="9236" xr:uid="{00000000-0005-0000-0000-0000A3070000}"/>
    <cellStyle name="Обычный 8 2 2 2 5 2" xfId="21214" xr:uid="{00000000-0005-0000-0000-0000A4070000}"/>
    <cellStyle name="Обычный 8 2 2 2 5 2 2" xfId="45169" xr:uid="{00000000-0005-0000-0000-0000A5070000}"/>
    <cellStyle name="Обычный 8 2 2 2 5 3" xfId="33191" xr:uid="{00000000-0005-0000-0000-0000A6070000}"/>
    <cellStyle name="Обычный 8 2 2 2 6" xfId="13395" xr:uid="{00000000-0005-0000-0000-0000A7070000}"/>
    <cellStyle name="Обычный 8 2 2 2 6 2" xfId="37350" xr:uid="{00000000-0005-0000-0000-0000A8070000}"/>
    <cellStyle name="Обычный 8 2 2 2 7" xfId="25373" xr:uid="{00000000-0005-0000-0000-0000A9070000}"/>
    <cellStyle name="Обычный 8 2 2 2 8" xfId="48506" xr:uid="{00000000-0005-0000-0000-0000AA070000}"/>
    <cellStyle name="Обычный 8 2 2 3" xfId="3088" xr:uid="{00000000-0005-0000-0000-0000AB070000}"/>
    <cellStyle name="Обычный 8 2 2 3 2" xfId="15067" xr:uid="{00000000-0005-0000-0000-0000AC070000}"/>
    <cellStyle name="Обычный 8 2 2 3 2 2" xfId="39022" xr:uid="{00000000-0005-0000-0000-0000AD070000}"/>
    <cellStyle name="Обычный 8 2 2 3 3" xfId="27045" xr:uid="{00000000-0005-0000-0000-0000AE070000}"/>
    <cellStyle name="Обычный 8 2 2 3 4" xfId="50176" xr:uid="{00000000-0005-0000-0000-0000AF070000}"/>
    <cellStyle name="Обычный 8 2 2 4" xfId="4732" xr:uid="{00000000-0005-0000-0000-0000B0070000}"/>
    <cellStyle name="Обычный 8 2 2 4 2" xfId="16711" xr:uid="{00000000-0005-0000-0000-0000B1070000}"/>
    <cellStyle name="Обычный 8 2 2 4 2 2" xfId="40666" xr:uid="{00000000-0005-0000-0000-0000B2070000}"/>
    <cellStyle name="Обычный 8 2 2 4 3" xfId="28689" xr:uid="{00000000-0005-0000-0000-0000B3070000}"/>
    <cellStyle name="Обычный 8 2 2 5" xfId="7344" xr:uid="{00000000-0005-0000-0000-0000B4070000}"/>
    <cellStyle name="Обычный 8 2 2 5 2" xfId="19322" xr:uid="{00000000-0005-0000-0000-0000B5070000}"/>
    <cellStyle name="Обычный 8 2 2 5 2 2" xfId="43277" xr:uid="{00000000-0005-0000-0000-0000B6070000}"/>
    <cellStyle name="Обычный 8 2 2 5 3" xfId="31299" xr:uid="{00000000-0005-0000-0000-0000B7070000}"/>
    <cellStyle name="Обычный 8 2 2 6" xfId="9126" xr:uid="{00000000-0005-0000-0000-0000B8070000}"/>
    <cellStyle name="Обычный 8 2 2 6 2" xfId="21104" xr:uid="{00000000-0005-0000-0000-0000B9070000}"/>
    <cellStyle name="Обычный 8 2 2 6 2 2" xfId="45059" xr:uid="{00000000-0005-0000-0000-0000BA070000}"/>
    <cellStyle name="Обычный 8 2 2 6 3" xfId="33081" xr:uid="{00000000-0005-0000-0000-0000BB070000}"/>
    <cellStyle name="Обычный 8 2 2 7" xfId="13285" xr:uid="{00000000-0005-0000-0000-0000BC070000}"/>
    <cellStyle name="Обычный 8 2 2 7 2" xfId="37240" xr:uid="{00000000-0005-0000-0000-0000BD070000}"/>
    <cellStyle name="Обычный 8 2 2 8" xfId="25263" xr:uid="{00000000-0005-0000-0000-0000BE070000}"/>
    <cellStyle name="Обычный 8 2 2 9" xfId="48396" xr:uid="{00000000-0005-0000-0000-0000BF070000}"/>
    <cellStyle name="Обычный 8 2 3" xfId="1398" xr:uid="{00000000-0005-0000-0000-0000C0070000}"/>
    <cellStyle name="Обычный 8 2 3 2" xfId="3182" xr:uid="{00000000-0005-0000-0000-0000C1070000}"/>
    <cellStyle name="Обычный 8 2 3 2 2" xfId="15161" xr:uid="{00000000-0005-0000-0000-0000C2070000}"/>
    <cellStyle name="Обычный 8 2 3 2 2 2" xfId="39116" xr:uid="{00000000-0005-0000-0000-0000C3070000}"/>
    <cellStyle name="Обычный 8 2 3 2 3" xfId="27139" xr:uid="{00000000-0005-0000-0000-0000C4070000}"/>
    <cellStyle name="Обычный 8 2 3 2 4" xfId="50270" xr:uid="{00000000-0005-0000-0000-0000C5070000}"/>
    <cellStyle name="Обычный 8 2 3 3" xfId="4826" xr:uid="{00000000-0005-0000-0000-0000C6070000}"/>
    <cellStyle name="Обычный 8 2 3 3 2" xfId="16805" xr:uid="{00000000-0005-0000-0000-0000C7070000}"/>
    <cellStyle name="Обычный 8 2 3 3 2 2" xfId="40760" xr:uid="{00000000-0005-0000-0000-0000C8070000}"/>
    <cellStyle name="Обычный 8 2 3 3 3" xfId="28783" xr:uid="{00000000-0005-0000-0000-0000C9070000}"/>
    <cellStyle name="Обычный 8 2 3 4" xfId="7438" xr:uid="{00000000-0005-0000-0000-0000CA070000}"/>
    <cellStyle name="Обычный 8 2 3 4 2" xfId="19416" xr:uid="{00000000-0005-0000-0000-0000CB070000}"/>
    <cellStyle name="Обычный 8 2 3 4 2 2" xfId="43371" xr:uid="{00000000-0005-0000-0000-0000CC070000}"/>
    <cellStyle name="Обычный 8 2 3 4 3" xfId="31393" xr:uid="{00000000-0005-0000-0000-0000CD070000}"/>
    <cellStyle name="Обычный 8 2 3 5" xfId="9220" xr:uid="{00000000-0005-0000-0000-0000CE070000}"/>
    <cellStyle name="Обычный 8 2 3 5 2" xfId="21198" xr:uid="{00000000-0005-0000-0000-0000CF070000}"/>
    <cellStyle name="Обычный 8 2 3 5 2 2" xfId="45153" xr:uid="{00000000-0005-0000-0000-0000D0070000}"/>
    <cellStyle name="Обычный 8 2 3 5 3" xfId="33175" xr:uid="{00000000-0005-0000-0000-0000D1070000}"/>
    <cellStyle name="Обычный 8 2 3 6" xfId="13379" xr:uid="{00000000-0005-0000-0000-0000D2070000}"/>
    <cellStyle name="Обычный 8 2 3 6 2" xfId="37334" xr:uid="{00000000-0005-0000-0000-0000D3070000}"/>
    <cellStyle name="Обычный 8 2 3 7" xfId="25357" xr:uid="{00000000-0005-0000-0000-0000D4070000}"/>
    <cellStyle name="Обычный 8 2 3 8" xfId="48490" xr:uid="{00000000-0005-0000-0000-0000D5070000}"/>
    <cellStyle name="Обычный 8 2 4" xfId="2535" xr:uid="{00000000-0005-0000-0000-0000D6070000}"/>
    <cellStyle name="Обычный 8 2 4 2" xfId="4180" xr:uid="{00000000-0005-0000-0000-0000D7070000}"/>
    <cellStyle name="Обычный 8 2 4 2 2" xfId="16159" xr:uid="{00000000-0005-0000-0000-0000D8070000}"/>
    <cellStyle name="Обычный 8 2 4 2 2 2" xfId="40114" xr:uid="{00000000-0005-0000-0000-0000D9070000}"/>
    <cellStyle name="Обычный 8 2 4 2 3" xfId="28137" xr:uid="{00000000-0005-0000-0000-0000DA070000}"/>
    <cellStyle name="Обычный 8 2 4 2 4" xfId="51406" xr:uid="{00000000-0005-0000-0000-0000DB070000}"/>
    <cellStyle name="Обычный 8 2 4 3" xfId="5963" xr:uid="{00000000-0005-0000-0000-0000DC070000}"/>
    <cellStyle name="Обычный 8 2 4 3 2" xfId="17941" xr:uid="{00000000-0005-0000-0000-0000DD070000}"/>
    <cellStyle name="Обычный 8 2 4 3 2 2" xfId="41896" xr:uid="{00000000-0005-0000-0000-0000DE070000}"/>
    <cellStyle name="Обычный 8 2 4 3 3" xfId="29918" xr:uid="{00000000-0005-0000-0000-0000DF070000}"/>
    <cellStyle name="Обычный 8 2 4 4" xfId="8573" xr:uid="{00000000-0005-0000-0000-0000E0070000}"/>
    <cellStyle name="Обычный 8 2 4 4 2" xfId="20551" xr:uid="{00000000-0005-0000-0000-0000E1070000}"/>
    <cellStyle name="Обычный 8 2 4 4 2 2" xfId="44506" xr:uid="{00000000-0005-0000-0000-0000E2070000}"/>
    <cellStyle name="Обычный 8 2 4 4 3" xfId="32528" xr:uid="{00000000-0005-0000-0000-0000E3070000}"/>
    <cellStyle name="Обычный 8 2 4 5" xfId="10356" xr:uid="{00000000-0005-0000-0000-0000E4070000}"/>
    <cellStyle name="Обычный 8 2 4 5 2" xfId="22334" xr:uid="{00000000-0005-0000-0000-0000E5070000}"/>
    <cellStyle name="Обычный 8 2 4 5 2 2" xfId="46289" xr:uid="{00000000-0005-0000-0000-0000E6070000}"/>
    <cellStyle name="Обычный 8 2 4 5 3" xfId="34311" xr:uid="{00000000-0005-0000-0000-0000E7070000}"/>
    <cellStyle name="Обычный 8 2 4 6" xfId="14514" xr:uid="{00000000-0005-0000-0000-0000E8070000}"/>
    <cellStyle name="Обычный 8 2 4 6 2" xfId="38469" xr:uid="{00000000-0005-0000-0000-0000E9070000}"/>
    <cellStyle name="Обычный 8 2 4 7" xfId="26492" xr:uid="{00000000-0005-0000-0000-0000EA070000}"/>
    <cellStyle name="Обычный 8 2 4 8" xfId="49625" xr:uid="{00000000-0005-0000-0000-0000EB070000}"/>
    <cellStyle name="Обычный 8 2 5" xfId="1039" xr:uid="{00000000-0005-0000-0000-0000EC070000}"/>
    <cellStyle name="Обычный 8 2 5 2" xfId="7079" xr:uid="{00000000-0005-0000-0000-0000ED070000}"/>
    <cellStyle name="Обычный 8 2 5 2 2" xfId="19057" xr:uid="{00000000-0005-0000-0000-0000EE070000}"/>
    <cellStyle name="Обычный 8 2 5 2 2 2" xfId="43012" xr:uid="{00000000-0005-0000-0000-0000EF070000}"/>
    <cellStyle name="Обычный 8 2 5 2 3" xfId="31034" xr:uid="{00000000-0005-0000-0000-0000F0070000}"/>
    <cellStyle name="Обычный 8 2 5 3" xfId="13020" xr:uid="{00000000-0005-0000-0000-0000F1070000}"/>
    <cellStyle name="Обычный 8 2 5 3 2" xfId="36975" xr:uid="{00000000-0005-0000-0000-0000F2070000}"/>
    <cellStyle name="Обычный 8 2 5 4" xfId="24998" xr:uid="{00000000-0005-0000-0000-0000F3070000}"/>
    <cellStyle name="Обычный 8 2 5 5" xfId="49904" xr:uid="{00000000-0005-0000-0000-0000F4070000}"/>
    <cellStyle name="Обычный 8 2 6" xfId="627" xr:uid="{00000000-0005-0000-0000-0000F5070000}"/>
    <cellStyle name="Обычный 8 2 6 2" xfId="6667" xr:uid="{00000000-0005-0000-0000-0000F6070000}"/>
    <cellStyle name="Обычный 8 2 6 2 2" xfId="18645" xr:uid="{00000000-0005-0000-0000-0000F7070000}"/>
    <cellStyle name="Обычный 8 2 6 2 2 2" xfId="42600" xr:uid="{00000000-0005-0000-0000-0000F8070000}"/>
    <cellStyle name="Обычный 8 2 6 2 3" xfId="30622" xr:uid="{00000000-0005-0000-0000-0000F9070000}"/>
    <cellStyle name="Обычный 8 2 6 3" xfId="12608" xr:uid="{00000000-0005-0000-0000-0000FA070000}"/>
    <cellStyle name="Обычный 8 2 6 3 2" xfId="36563" xr:uid="{00000000-0005-0000-0000-0000FB070000}"/>
    <cellStyle name="Обычный 8 2 6 4" xfId="24586" xr:uid="{00000000-0005-0000-0000-0000FC070000}"/>
    <cellStyle name="Обычный 8 2 7" xfId="2816" xr:uid="{00000000-0005-0000-0000-0000FD070000}"/>
    <cellStyle name="Обычный 8 2 7 2" xfId="14795" xr:uid="{00000000-0005-0000-0000-0000FE070000}"/>
    <cellStyle name="Обычный 8 2 7 2 2" xfId="38750" xr:uid="{00000000-0005-0000-0000-0000FF070000}"/>
    <cellStyle name="Обычный 8 2 7 3" xfId="26773" xr:uid="{00000000-0005-0000-0000-000000080000}"/>
    <cellStyle name="Обычный 8 2 8" xfId="4460" xr:uid="{00000000-0005-0000-0000-000001080000}"/>
    <cellStyle name="Обычный 8 2 8 2" xfId="16439" xr:uid="{00000000-0005-0000-0000-000002080000}"/>
    <cellStyle name="Обычный 8 2 8 2 2" xfId="40394" xr:uid="{00000000-0005-0000-0000-000003080000}"/>
    <cellStyle name="Обычный 8 2 8 3" xfId="28417" xr:uid="{00000000-0005-0000-0000-000004080000}"/>
    <cellStyle name="Обычный 8 2 9" xfId="6247" xr:uid="{00000000-0005-0000-0000-000005080000}"/>
    <cellStyle name="Обычный 8 2 9 2" xfId="18225" xr:uid="{00000000-0005-0000-0000-000006080000}"/>
    <cellStyle name="Обычный 8 2 9 2 2" xfId="42180" xr:uid="{00000000-0005-0000-0000-000007080000}"/>
    <cellStyle name="Обычный 8 2 9 3" xfId="30202" xr:uid="{00000000-0005-0000-0000-000008080000}"/>
    <cellStyle name="Обычный 8 3" xfId="355" xr:uid="{00000000-0005-0000-0000-000009080000}"/>
    <cellStyle name="Обычный 8 3 10" xfId="48260" xr:uid="{00000000-0005-0000-0000-00000A080000}"/>
    <cellStyle name="Обычный 8 3 2" xfId="1406" xr:uid="{00000000-0005-0000-0000-00000B080000}"/>
    <cellStyle name="Обычный 8 3 2 2" xfId="3190" xr:uid="{00000000-0005-0000-0000-00000C080000}"/>
    <cellStyle name="Обычный 8 3 2 2 2" xfId="15169" xr:uid="{00000000-0005-0000-0000-00000D080000}"/>
    <cellStyle name="Обычный 8 3 2 2 2 2" xfId="39124" xr:uid="{00000000-0005-0000-0000-00000E080000}"/>
    <cellStyle name="Обычный 8 3 2 2 3" xfId="27147" xr:uid="{00000000-0005-0000-0000-00000F080000}"/>
    <cellStyle name="Обычный 8 3 2 2 4" xfId="50278" xr:uid="{00000000-0005-0000-0000-000010080000}"/>
    <cellStyle name="Обычный 8 3 2 3" xfId="4834" xr:uid="{00000000-0005-0000-0000-000011080000}"/>
    <cellStyle name="Обычный 8 3 2 3 2" xfId="16813" xr:uid="{00000000-0005-0000-0000-000012080000}"/>
    <cellStyle name="Обычный 8 3 2 3 2 2" xfId="40768" xr:uid="{00000000-0005-0000-0000-000013080000}"/>
    <cellStyle name="Обычный 8 3 2 3 3" xfId="28791" xr:uid="{00000000-0005-0000-0000-000014080000}"/>
    <cellStyle name="Обычный 8 3 2 4" xfId="7446" xr:uid="{00000000-0005-0000-0000-000015080000}"/>
    <cellStyle name="Обычный 8 3 2 4 2" xfId="19424" xr:uid="{00000000-0005-0000-0000-000016080000}"/>
    <cellStyle name="Обычный 8 3 2 4 2 2" xfId="43379" xr:uid="{00000000-0005-0000-0000-000017080000}"/>
    <cellStyle name="Обычный 8 3 2 4 3" xfId="31401" xr:uid="{00000000-0005-0000-0000-000018080000}"/>
    <cellStyle name="Обычный 8 3 2 5" xfId="9228" xr:uid="{00000000-0005-0000-0000-000019080000}"/>
    <cellStyle name="Обычный 8 3 2 5 2" xfId="21206" xr:uid="{00000000-0005-0000-0000-00001A080000}"/>
    <cellStyle name="Обычный 8 3 2 5 2 2" xfId="45161" xr:uid="{00000000-0005-0000-0000-00001B080000}"/>
    <cellStyle name="Обычный 8 3 2 5 3" xfId="33183" xr:uid="{00000000-0005-0000-0000-00001C080000}"/>
    <cellStyle name="Обычный 8 3 2 6" xfId="13387" xr:uid="{00000000-0005-0000-0000-00001D080000}"/>
    <cellStyle name="Обычный 8 3 2 6 2" xfId="37342" xr:uid="{00000000-0005-0000-0000-00001E080000}"/>
    <cellStyle name="Обычный 8 3 2 7" xfId="25365" xr:uid="{00000000-0005-0000-0000-00001F080000}"/>
    <cellStyle name="Обычный 8 3 2 8" xfId="48498" xr:uid="{00000000-0005-0000-0000-000020080000}"/>
    <cellStyle name="Обычный 8 3 3" xfId="775" xr:uid="{00000000-0005-0000-0000-000021080000}"/>
    <cellStyle name="Обычный 8 3 3 2" xfId="6815" xr:uid="{00000000-0005-0000-0000-000022080000}"/>
    <cellStyle name="Обычный 8 3 3 2 2" xfId="18793" xr:uid="{00000000-0005-0000-0000-000023080000}"/>
    <cellStyle name="Обычный 8 3 3 2 2 2" xfId="42748" xr:uid="{00000000-0005-0000-0000-000024080000}"/>
    <cellStyle name="Обычный 8 3 3 2 3" xfId="30770" xr:uid="{00000000-0005-0000-0000-000025080000}"/>
    <cellStyle name="Обычный 8 3 3 3" xfId="12756" xr:uid="{00000000-0005-0000-0000-000026080000}"/>
    <cellStyle name="Обычный 8 3 3 3 2" xfId="36711" xr:uid="{00000000-0005-0000-0000-000027080000}"/>
    <cellStyle name="Обычный 8 3 3 4" xfId="24734" xr:uid="{00000000-0005-0000-0000-000028080000}"/>
    <cellStyle name="Обычный 8 3 3 5" xfId="50040" xr:uid="{00000000-0005-0000-0000-000029080000}"/>
    <cellStyle name="Обычный 8 3 4" xfId="2952" xr:uid="{00000000-0005-0000-0000-00002A080000}"/>
    <cellStyle name="Обычный 8 3 4 2" xfId="14931" xr:uid="{00000000-0005-0000-0000-00002B080000}"/>
    <cellStyle name="Обычный 8 3 4 2 2" xfId="38886" xr:uid="{00000000-0005-0000-0000-00002C080000}"/>
    <cellStyle name="Обычный 8 3 4 3" xfId="26909" xr:uid="{00000000-0005-0000-0000-00002D080000}"/>
    <cellStyle name="Обычный 8 3 5" xfId="4596" xr:uid="{00000000-0005-0000-0000-00002E080000}"/>
    <cellStyle name="Обычный 8 3 5 2" xfId="16575" xr:uid="{00000000-0005-0000-0000-00002F080000}"/>
    <cellStyle name="Обычный 8 3 5 2 2" xfId="40530" xr:uid="{00000000-0005-0000-0000-000030080000}"/>
    <cellStyle name="Обычный 8 3 5 3" xfId="28553" xr:uid="{00000000-0005-0000-0000-000031080000}"/>
    <cellStyle name="Обычный 8 3 6" xfId="6395" xr:uid="{00000000-0005-0000-0000-000032080000}"/>
    <cellStyle name="Обычный 8 3 6 2" xfId="18373" xr:uid="{00000000-0005-0000-0000-000033080000}"/>
    <cellStyle name="Обычный 8 3 6 2 2" xfId="42328" xr:uid="{00000000-0005-0000-0000-000034080000}"/>
    <cellStyle name="Обычный 8 3 6 3" xfId="30350" xr:uid="{00000000-0005-0000-0000-000035080000}"/>
    <cellStyle name="Обычный 8 3 7" xfId="8990" xr:uid="{00000000-0005-0000-0000-000036080000}"/>
    <cellStyle name="Обычный 8 3 7 2" xfId="20968" xr:uid="{00000000-0005-0000-0000-000037080000}"/>
    <cellStyle name="Обычный 8 3 7 2 2" xfId="44923" xr:uid="{00000000-0005-0000-0000-000038080000}"/>
    <cellStyle name="Обычный 8 3 7 3" xfId="32945" xr:uid="{00000000-0005-0000-0000-000039080000}"/>
    <cellStyle name="Обычный 8 3 8" xfId="12336" xr:uid="{00000000-0005-0000-0000-00003A080000}"/>
    <cellStyle name="Обычный 8 3 8 2" xfId="36291" xr:uid="{00000000-0005-0000-0000-00003B080000}"/>
    <cellStyle name="Обычный 8 3 9" xfId="24314" xr:uid="{00000000-0005-0000-0000-00003C080000}"/>
    <cellStyle name="Обычный 8 4" xfId="1430" xr:uid="{00000000-0005-0000-0000-00003D080000}"/>
    <cellStyle name="Обычный 8 4 2" xfId="1878" xr:uid="{00000000-0005-0000-0000-00003E080000}"/>
    <cellStyle name="Обычный 8 4 2 2" xfId="3523" xr:uid="{00000000-0005-0000-0000-00003F080000}"/>
    <cellStyle name="Обычный 8 4 2 2 2" xfId="15502" xr:uid="{00000000-0005-0000-0000-000040080000}"/>
    <cellStyle name="Обычный 8 4 2 2 2 2" xfId="39457" xr:uid="{00000000-0005-0000-0000-000041080000}"/>
    <cellStyle name="Обычный 8 4 2 2 3" xfId="27480" xr:uid="{00000000-0005-0000-0000-000042080000}"/>
    <cellStyle name="Обычный 8 4 2 2 4" xfId="50749" xr:uid="{00000000-0005-0000-0000-000043080000}"/>
    <cellStyle name="Обычный 8 4 2 3" xfId="5306" xr:uid="{00000000-0005-0000-0000-000044080000}"/>
    <cellStyle name="Обычный 8 4 2 3 2" xfId="17284" xr:uid="{00000000-0005-0000-0000-000045080000}"/>
    <cellStyle name="Обычный 8 4 2 3 2 2" xfId="41239" xr:uid="{00000000-0005-0000-0000-000046080000}"/>
    <cellStyle name="Обычный 8 4 2 3 3" xfId="29261" xr:uid="{00000000-0005-0000-0000-000047080000}"/>
    <cellStyle name="Обычный 8 4 2 4" xfId="7916" xr:uid="{00000000-0005-0000-0000-000048080000}"/>
    <cellStyle name="Обычный 8 4 2 4 2" xfId="19894" xr:uid="{00000000-0005-0000-0000-000049080000}"/>
    <cellStyle name="Обычный 8 4 2 4 2 2" xfId="43849" xr:uid="{00000000-0005-0000-0000-00004A080000}"/>
    <cellStyle name="Обычный 8 4 2 4 3" xfId="31871" xr:uid="{00000000-0005-0000-0000-00004B080000}"/>
    <cellStyle name="Обычный 8 4 2 5" xfId="9699" xr:uid="{00000000-0005-0000-0000-00004C080000}"/>
    <cellStyle name="Обычный 8 4 2 5 2" xfId="21677" xr:uid="{00000000-0005-0000-0000-00004D080000}"/>
    <cellStyle name="Обычный 8 4 2 5 2 2" xfId="45632" xr:uid="{00000000-0005-0000-0000-00004E080000}"/>
    <cellStyle name="Обычный 8 4 2 5 3" xfId="33654" xr:uid="{00000000-0005-0000-0000-00004F080000}"/>
    <cellStyle name="Обычный 8 4 2 6" xfId="13857" xr:uid="{00000000-0005-0000-0000-000050080000}"/>
    <cellStyle name="Обычный 8 4 2 6 2" xfId="37812" xr:uid="{00000000-0005-0000-0000-000051080000}"/>
    <cellStyle name="Обычный 8 4 2 7" xfId="25835" xr:uid="{00000000-0005-0000-0000-000052080000}"/>
    <cellStyle name="Обычный 8 4 2 8" xfId="48968" xr:uid="{00000000-0005-0000-0000-000053080000}"/>
    <cellStyle name="Обычный 8 4 3" xfId="4858" xr:uid="{00000000-0005-0000-0000-000054080000}"/>
    <cellStyle name="Обычный 8 4 3 2" xfId="16837" xr:uid="{00000000-0005-0000-0000-000055080000}"/>
    <cellStyle name="Обычный 8 4 3 2 2" xfId="40792" xr:uid="{00000000-0005-0000-0000-000056080000}"/>
    <cellStyle name="Обычный 8 4 3 3" xfId="28814" xr:uid="{00000000-0005-0000-0000-000057080000}"/>
    <cellStyle name="Обычный 8 4 3 4" xfId="50302" xr:uid="{00000000-0005-0000-0000-000058080000}"/>
    <cellStyle name="Обычный 8 4 4" xfId="7469" xr:uid="{00000000-0005-0000-0000-000059080000}"/>
    <cellStyle name="Обычный 8 4 4 2" xfId="19447" xr:uid="{00000000-0005-0000-0000-00005A080000}"/>
    <cellStyle name="Обычный 8 4 4 2 2" xfId="43402" xr:uid="{00000000-0005-0000-0000-00005B080000}"/>
    <cellStyle name="Обычный 8 4 4 3" xfId="31424" xr:uid="{00000000-0005-0000-0000-00005C080000}"/>
    <cellStyle name="Обычный 8 4 5" xfId="9252" xr:uid="{00000000-0005-0000-0000-00005D080000}"/>
    <cellStyle name="Обычный 8 4 5 2" xfId="21230" xr:uid="{00000000-0005-0000-0000-00005E080000}"/>
    <cellStyle name="Обычный 8 4 5 2 2" xfId="45185" xr:uid="{00000000-0005-0000-0000-00005F080000}"/>
    <cellStyle name="Обычный 8 4 5 3" xfId="33207" xr:uid="{00000000-0005-0000-0000-000060080000}"/>
    <cellStyle name="Обычный 8 4 6" xfId="13410" xr:uid="{00000000-0005-0000-0000-000061080000}"/>
    <cellStyle name="Обычный 8 4 6 2" xfId="37365" xr:uid="{00000000-0005-0000-0000-000062080000}"/>
    <cellStyle name="Обычный 8 4 7" xfId="25388" xr:uid="{00000000-0005-0000-0000-000063080000}"/>
    <cellStyle name="Обычный 8 4 8" xfId="48521" xr:uid="{00000000-0005-0000-0000-000064080000}"/>
    <cellStyle name="Обычный 8 5" xfId="1390" xr:uid="{00000000-0005-0000-0000-000065080000}"/>
    <cellStyle name="Обычный 8 5 2" xfId="3174" xr:uid="{00000000-0005-0000-0000-000066080000}"/>
    <cellStyle name="Обычный 8 5 2 2" xfId="15153" xr:uid="{00000000-0005-0000-0000-000067080000}"/>
    <cellStyle name="Обычный 8 5 2 2 2" xfId="39108" xr:uid="{00000000-0005-0000-0000-000068080000}"/>
    <cellStyle name="Обычный 8 5 2 3" xfId="27131" xr:uid="{00000000-0005-0000-0000-000069080000}"/>
    <cellStyle name="Обычный 8 5 2 4" xfId="50262" xr:uid="{00000000-0005-0000-0000-00006A080000}"/>
    <cellStyle name="Обычный 8 5 3" xfId="4818" xr:uid="{00000000-0005-0000-0000-00006B080000}"/>
    <cellStyle name="Обычный 8 5 3 2" xfId="16797" xr:uid="{00000000-0005-0000-0000-00006C080000}"/>
    <cellStyle name="Обычный 8 5 3 2 2" xfId="40752" xr:uid="{00000000-0005-0000-0000-00006D080000}"/>
    <cellStyle name="Обычный 8 5 3 3" xfId="28775" xr:uid="{00000000-0005-0000-0000-00006E080000}"/>
    <cellStyle name="Обычный 8 5 4" xfId="7430" xr:uid="{00000000-0005-0000-0000-00006F080000}"/>
    <cellStyle name="Обычный 8 5 4 2" xfId="19408" xr:uid="{00000000-0005-0000-0000-000070080000}"/>
    <cellStyle name="Обычный 8 5 4 2 2" xfId="43363" xr:uid="{00000000-0005-0000-0000-000071080000}"/>
    <cellStyle name="Обычный 8 5 4 3" xfId="31385" xr:uid="{00000000-0005-0000-0000-000072080000}"/>
    <cellStyle name="Обычный 8 5 5" xfId="9212" xr:uid="{00000000-0005-0000-0000-000073080000}"/>
    <cellStyle name="Обычный 8 5 5 2" xfId="21190" xr:uid="{00000000-0005-0000-0000-000074080000}"/>
    <cellStyle name="Обычный 8 5 5 2 2" xfId="45145" xr:uid="{00000000-0005-0000-0000-000075080000}"/>
    <cellStyle name="Обычный 8 5 5 3" xfId="33167" xr:uid="{00000000-0005-0000-0000-000076080000}"/>
    <cellStyle name="Обычный 8 5 6" xfId="13371" xr:uid="{00000000-0005-0000-0000-000077080000}"/>
    <cellStyle name="Обычный 8 5 6 2" xfId="37326" xr:uid="{00000000-0005-0000-0000-000078080000}"/>
    <cellStyle name="Обычный 8 5 7" xfId="25349" xr:uid="{00000000-0005-0000-0000-000079080000}"/>
    <cellStyle name="Обычный 8 5 8" xfId="48482" xr:uid="{00000000-0005-0000-0000-00007A080000}"/>
    <cellStyle name="Обычный 8 6" xfId="2399" xr:uid="{00000000-0005-0000-0000-00007B080000}"/>
    <cellStyle name="Обычный 8 6 2" xfId="4044" xr:uid="{00000000-0005-0000-0000-00007C080000}"/>
    <cellStyle name="Обычный 8 6 2 2" xfId="16023" xr:uid="{00000000-0005-0000-0000-00007D080000}"/>
    <cellStyle name="Обычный 8 6 2 2 2" xfId="39978" xr:uid="{00000000-0005-0000-0000-00007E080000}"/>
    <cellStyle name="Обычный 8 6 2 3" xfId="28001" xr:uid="{00000000-0005-0000-0000-00007F080000}"/>
    <cellStyle name="Обычный 8 6 2 4" xfId="51270" xr:uid="{00000000-0005-0000-0000-000080080000}"/>
    <cellStyle name="Обычный 8 6 3" xfId="5827" xr:uid="{00000000-0005-0000-0000-000081080000}"/>
    <cellStyle name="Обычный 8 6 3 2" xfId="17805" xr:uid="{00000000-0005-0000-0000-000082080000}"/>
    <cellStyle name="Обычный 8 6 3 2 2" xfId="41760" xr:uid="{00000000-0005-0000-0000-000083080000}"/>
    <cellStyle name="Обычный 8 6 3 3" xfId="29782" xr:uid="{00000000-0005-0000-0000-000084080000}"/>
    <cellStyle name="Обычный 8 6 4" xfId="8437" xr:uid="{00000000-0005-0000-0000-000085080000}"/>
    <cellStyle name="Обычный 8 6 4 2" xfId="20415" xr:uid="{00000000-0005-0000-0000-000086080000}"/>
    <cellStyle name="Обычный 8 6 4 2 2" xfId="44370" xr:uid="{00000000-0005-0000-0000-000087080000}"/>
    <cellStyle name="Обычный 8 6 4 3" xfId="32392" xr:uid="{00000000-0005-0000-0000-000088080000}"/>
    <cellStyle name="Обычный 8 6 5" xfId="10220" xr:uid="{00000000-0005-0000-0000-000089080000}"/>
    <cellStyle name="Обычный 8 6 5 2" xfId="22198" xr:uid="{00000000-0005-0000-0000-00008A080000}"/>
    <cellStyle name="Обычный 8 6 5 2 2" xfId="46153" xr:uid="{00000000-0005-0000-0000-00008B080000}"/>
    <cellStyle name="Обычный 8 6 5 3" xfId="34175" xr:uid="{00000000-0005-0000-0000-00008C080000}"/>
    <cellStyle name="Обычный 8 6 6" xfId="14378" xr:uid="{00000000-0005-0000-0000-00008D080000}"/>
    <cellStyle name="Обычный 8 6 6 2" xfId="38333" xr:uid="{00000000-0005-0000-0000-00008E080000}"/>
    <cellStyle name="Обычный 8 6 7" xfId="26356" xr:uid="{00000000-0005-0000-0000-00008F080000}"/>
    <cellStyle name="Обычный 8 6 8" xfId="49489" xr:uid="{00000000-0005-0000-0000-000090080000}"/>
    <cellStyle name="Обычный 8 7" xfId="1626" xr:uid="{00000000-0005-0000-0000-000091080000}"/>
    <cellStyle name="Обычный 8 7 2" xfId="3271" xr:uid="{00000000-0005-0000-0000-000092080000}"/>
    <cellStyle name="Обычный 8 7 2 2" xfId="15250" xr:uid="{00000000-0005-0000-0000-000093080000}"/>
    <cellStyle name="Обычный 8 7 2 2 2" xfId="39205" xr:uid="{00000000-0005-0000-0000-000094080000}"/>
    <cellStyle name="Обычный 8 7 2 3" xfId="27228" xr:uid="{00000000-0005-0000-0000-000095080000}"/>
    <cellStyle name="Обычный 8 7 2 4" xfId="50497" xr:uid="{00000000-0005-0000-0000-000096080000}"/>
    <cellStyle name="Обычный 8 7 3" xfId="5054" xr:uid="{00000000-0005-0000-0000-000097080000}"/>
    <cellStyle name="Обычный 8 7 3 2" xfId="17032" xr:uid="{00000000-0005-0000-0000-000098080000}"/>
    <cellStyle name="Обычный 8 7 3 2 2" xfId="40987" xr:uid="{00000000-0005-0000-0000-000099080000}"/>
    <cellStyle name="Обычный 8 7 3 3" xfId="29009" xr:uid="{00000000-0005-0000-0000-00009A080000}"/>
    <cellStyle name="Обычный 8 7 4" xfId="7664" xr:uid="{00000000-0005-0000-0000-00009B080000}"/>
    <cellStyle name="Обычный 8 7 4 2" xfId="19642" xr:uid="{00000000-0005-0000-0000-00009C080000}"/>
    <cellStyle name="Обычный 8 7 4 2 2" xfId="43597" xr:uid="{00000000-0005-0000-0000-00009D080000}"/>
    <cellStyle name="Обычный 8 7 4 3" xfId="31619" xr:uid="{00000000-0005-0000-0000-00009E080000}"/>
    <cellStyle name="Обычный 8 7 5" xfId="9447" xr:uid="{00000000-0005-0000-0000-00009F080000}"/>
    <cellStyle name="Обычный 8 7 5 2" xfId="21425" xr:uid="{00000000-0005-0000-0000-0000A0080000}"/>
    <cellStyle name="Обычный 8 7 5 2 2" xfId="45380" xr:uid="{00000000-0005-0000-0000-0000A1080000}"/>
    <cellStyle name="Обычный 8 7 5 3" xfId="33402" xr:uid="{00000000-0005-0000-0000-0000A2080000}"/>
    <cellStyle name="Обычный 8 7 6" xfId="13605" xr:uid="{00000000-0005-0000-0000-0000A3080000}"/>
    <cellStyle name="Обычный 8 7 6 2" xfId="37560" xr:uid="{00000000-0005-0000-0000-0000A4080000}"/>
    <cellStyle name="Обычный 8 7 7" xfId="25583" xr:uid="{00000000-0005-0000-0000-0000A5080000}"/>
    <cellStyle name="Обычный 8 7 8" xfId="48716" xr:uid="{00000000-0005-0000-0000-0000A6080000}"/>
    <cellStyle name="Обычный 8 8" xfId="491" xr:uid="{00000000-0005-0000-0000-0000A7080000}"/>
    <cellStyle name="Обычный 8 8 2" xfId="6531" xr:uid="{00000000-0005-0000-0000-0000A8080000}"/>
    <cellStyle name="Обычный 8 8 2 2" xfId="18509" xr:uid="{00000000-0005-0000-0000-0000A9080000}"/>
    <cellStyle name="Обычный 8 8 2 2 2" xfId="42464" xr:uid="{00000000-0005-0000-0000-0000AA080000}"/>
    <cellStyle name="Обычный 8 8 2 3" xfId="30486" xr:uid="{00000000-0005-0000-0000-0000AB080000}"/>
    <cellStyle name="Обычный 8 8 3" xfId="12472" xr:uid="{00000000-0005-0000-0000-0000AC080000}"/>
    <cellStyle name="Обычный 8 8 3 2" xfId="36427" xr:uid="{00000000-0005-0000-0000-0000AD080000}"/>
    <cellStyle name="Обычный 8 8 4" xfId="24450" xr:uid="{00000000-0005-0000-0000-0000AE080000}"/>
    <cellStyle name="Обычный 8 8 5" xfId="49768" xr:uid="{00000000-0005-0000-0000-0000AF080000}"/>
    <cellStyle name="Обычный 8 9" xfId="2680" xr:uid="{00000000-0005-0000-0000-0000B0080000}"/>
    <cellStyle name="Обычный 8 9 2" xfId="14659" xr:uid="{00000000-0005-0000-0000-0000B1080000}"/>
    <cellStyle name="Обычный 8 9 2 2" xfId="38614" xr:uid="{00000000-0005-0000-0000-0000B2080000}"/>
    <cellStyle name="Обычный 8 9 3" xfId="26637" xr:uid="{00000000-0005-0000-0000-0000B3080000}"/>
    <cellStyle name="Обычный 9" xfId="71" xr:uid="{00000000-0005-0000-0000-0000B4080000}"/>
    <cellStyle name="Обычный 9 10" xfId="4325" xr:uid="{00000000-0005-0000-0000-0000B5080000}"/>
    <cellStyle name="Обычный 9 10 2" xfId="16304" xr:uid="{00000000-0005-0000-0000-0000B6080000}"/>
    <cellStyle name="Обычный 9 10 2 2" xfId="40259" xr:uid="{00000000-0005-0000-0000-0000B7080000}"/>
    <cellStyle name="Обычный 9 10 3" xfId="28282" xr:uid="{00000000-0005-0000-0000-0000B8080000}"/>
    <cellStyle name="Обычный 9 11" xfId="6112" xr:uid="{00000000-0005-0000-0000-0000B9080000}"/>
    <cellStyle name="Обычный 9 11 2" xfId="18090" xr:uid="{00000000-0005-0000-0000-0000BA080000}"/>
    <cellStyle name="Обычный 9 11 2 2" xfId="42045" xr:uid="{00000000-0005-0000-0000-0000BB080000}"/>
    <cellStyle name="Обычный 9 11 3" xfId="30067" xr:uid="{00000000-0005-0000-0000-0000BC080000}"/>
    <cellStyle name="Обычный 9 12" xfId="8719" xr:uid="{00000000-0005-0000-0000-0000BD080000}"/>
    <cellStyle name="Обычный 9 12 2" xfId="20697" xr:uid="{00000000-0005-0000-0000-0000BE080000}"/>
    <cellStyle name="Обычный 9 12 2 2" xfId="44652" xr:uid="{00000000-0005-0000-0000-0000BF080000}"/>
    <cellStyle name="Обычный 9 12 3" xfId="32674" xr:uid="{00000000-0005-0000-0000-0000C0080000}"/>
    <cellStyle name="Обычный 9 13" xfId="12053" xr:uid="{00000000-0005-0000-0000-0000C1080000}"/>
    <cellStyle name="Обычный 9 13 2" xfId="36008" xr:uid="{00000000-0005-0000-0000-0000C2080000}"/>
    <cellStyle name="Обычный 9 14" xfId="24031" xr:uid="{00000000-0005-0000-0000-0000C3080000}"/>
    <cellStyle name="Обычный 9 15" xfId="47989" xr:uid="{00000000-0005-0000-0000-0000C4080000}"/>
    <cellStyle name="Обычный 9 2" xfId="207" xr:uid="{00000000-0005-0000-0000-0000C5080000}"/>
    <cellStyle name="Обычный 9 2 10" xfId="8855" xr:uid="{00000000-0005-0000-0000-0000C6080000}"/>
    <cellStyle name="Обычный 9 2 10 2" xfId="20833" xr:uid="{00000000-0005-0000-0000-0000C7080000}"/>
    <cellStyle name="Обычный 9 2 10 2 2" xfId="44788" xr:uid="{00000000-0005-0000-0000-0000C8080000}"/>
    <cellStyle name="Обычный 9 2 10 3" xfId="32810" xr:uid="{00000000-0005-0000-0000-0000C9080000}"/>
    <cellStyle name="Обычный 9 2 11" xfId="12189" xr:uid="{00000000-0005-0000-0000-0000CA080000}"/>
    <cellStyle name="Обычный 9 2 11 2" xfId="36144" xr:uid="{00000000-0005-0000-0000-0000CB080000}"/>
    <cellStyle name="Обычный 9 2 12" xfId="24167" xr:uid="{00000000-0005-0000-0000-0000CC080000}"/>
    <cellStyle name="Обычный 9 2 13" xfId="48125" xr:uid="{00000000-0005-0000-0000-0000CD080000}"/>
    <cellStyle name="Обычный 9 2 2" xfId="1305" xr:uid="{00000000-0005-0000-0000-0000CE080000}"/>
    <cellStyle name="Обычный 9 2 2 2" xfId="1415" xr:uid="{00000000-0005-0000-0000-0000CF080000}"/>
    <cellStyle name="Обычный 9 2 2 2 2" xfId="3199" xr:uid="{00000000-0005-0000-0000-0000D0080000}"/>
    <cellStyle name="Обычный 9 2 2 2 2 2" xfId="15178" xr:uid="{00000000-0005-0000-0000-0000D1080000}"/>
    <cellStyle name="Обычный 9 2 2 2 2 2 2" xfId="39133" xr:uid="{00000000-0005-0000-0000-0000D2080000}"/>
    <cellStyle name="Обычный 9 2 2 2 2 3" xfId="27156" xr:uid="{00000000-0005-0000-0000-0000D3080000}"/>
    <cellStyle name="Обычный 9 2 2 2 2 4" xfId="50287" xr:uid="{00000000-0005-0000-0000-0000D4080000}"/>
    <cellStyle name="Обычный 9 2 2 2 3" xfId="4843" xr:uid="{00000000-0005-0000-0000-0000D5080000}"/>
    <cellStyle name="Обычный 9 2 2 2 3 2" xfId="16822" xr:uid="{00000000-0005-0000-0000-0000D6080000}"/>
    <cellStyle name="Обычный 9 2 2 2 3 2 2" xfId="40777" xr:uid="{00000000-0005-0000-0000-0000D7080000}"/>
    <cellStyle name="Обычный 9 2 2 2 3 3" xfId="28800" xr:uid="{00000000-0005-0000-0000-0000D8080000}"/>
    <cellStyle name="Обычный 9 2 2 2 4" xfId="7455" xr:uid="{00000000-0005-0000-0000-0000D9080000}"/>
    <cellStyle name="Обычный 9 2 2 2 4 2" xfId="19433" xr:uid="{00000000-0005-0000-0000-0000DA080000}"/>
    <cellStyle name="Обычный 9 2 2 2 4 2 2" xfId="43388" xr:uid="{00000000-0005-0000-0000-0000DB080000}"/>
    <cellStyle name="Обычный 9 2 2 2 4 3" xfId="31410" xr:uid="{00000000-0005-0000-0000-0000DC080000}"/>
    <cellStyle name="Обычный 9 2 2 2 5" xfId="9237" xr:uid="{00000000-0005-0000-0000-0000DD080000}"/>
    <cellStyle name="Обычный 9 2 2 2 5 2" xfId="21215" xr:uid="{00000000-0005-0000-0000-0000DE080000}"/>
    <cellStyle name="Обычный 9 2 2 2 5 2 2" xfId="45170" xr:uid="{00000000-0005-0000-0000-0000DF080000}"/>
    <cellStyle name="Обычный 9 2 2 2 5 3" xfId="33192" xr:uid="{00000000-0005-0000-0000-0000E0080000}"/>
    <cellStyle name="Обычный 9 2 2 2 6" xfId="13396" xr:uid="{00000000-0005-0000-0000-0000E1080000}"/>
    <cellStyle name="Обычный 9 2 2 2 6 2" xfId="37351" xr:uid="{00000000-0005-0000-0000-0000E2080000}"/>
    <cellStyle name="Обычный 9 2 2 2 7" xfId="25374" xr:uid="{00000000-0005-0000-0000-0000E3080000}"/>
    <cellStyle name="Обычный 9 2 2 2 8" xfId="48507" xr:uid="{00000000-0005-0000-0000-0000E4080000}"/>
    <cellStyle name="Обычный 9 2 2 3" xfId="3089" xr:uid="{00000000-0005-0000-0000-0000E5080000}"/>
    <cellStyle name="Обычный 9 2 2 3 2" xfId="15068" xr:uid="{00000000-0005-0000-0000-0000E6080000}"/>
    <cellStyle name="Обычный 9 2 2 3 2 2" xfId="39023" xr:uid="{00000000-0005-0000-0000-0000E7080000}"/>
    <cellStyle name="Обычный 9 2 2 3 3" xfId="27046" xr:uid="{00000000-0005-0000-0000-0000E8080000}"/>
    <cellStyle name="Обычный 9 2 2 3 4" xfId="50177" xr:uid="{00000000-0005-0000-0000-0000E9080000}"/>
    <cellStyle name="Обычный 9 2 2 4" xfId="4733" xr:uid="{00000000-0005-0000-0000-0000EA080000}"/>
    <cellStyle name="Обычный 9 2 2 4 2" xfId="16712" xr:uid="{00000000-0005-0000-0000-0000EB080000}"/>
    <cellStyle name="Обычный 9 2 2 4 2 2" xfId="40667" xr:uid="{00000000-0005-0000-0000-0000EC080000}"/>
    <cellStyle name="Обычный 9 2 2 4 3" xfId="28690" xr:uid="{00000000-0005-0000-0000-0000ED080000}"/>
    <cellStyle name="Обычный 9 2 2 5" xfId="7345" xr:uid="{00000000-0005-0000-0000-0000EE080000}"/>
    <cellStyle name="Обычный 9 2 2 5 2" xfId="19323" xr:uid="{00000000-0005-0000-0000-0000EF080000}"/>
    <cellStyle name="Обычный 9 2 2 5 2 2" xfId="43278" xr:uid="{00000000-0005-0000-0000-0000F0080000}"/>
    <cellStyle name="Обычный 9 2 2 5 3" xfId="31300" xr:uid="{00000000-0005-0000-0000-0000F1080000}"/>
    <cellStyle name="Обычный 9 2 2 6" xfId="9127" xr:uid="{00000000-0005-0000-0000-0000F2080000}"/>
    <cellStyle name="Обычный 9 2 2 6 2" xfId="21105" xr:uid="{00000000-0005-0000-0000-0000F3080000}"/>
    <cellStyle name="Обычный 9 2 2 6 2 2" xfId="45060" xr:uid="{00000000-0005-0000-0000-0000F4080000}"/>
    <cellStyle name="Обычный 9 2 2 6 3" xfId="33082" xr:uid="{00000000-0005-0000-0000-0000F5080000}"/>
    <cellStyle name="Обычный 9 2 2 7" xfId="13286" xr:uid="{00000000-0005-0000-0000-0000F6080000}"/>
    <cellStyle name="Обычный 9 2 2 7 2" xfId="37241" xr:uid="{00000000-0005-0000-0000-0000F7080000}"/>
    <cellStyle name="Обычный 9 2 2 8" xfId="25264" xr:uid="{00000000-0005-0000-0000-0000F8080000}"/>
    <cellStyle name="Обычный 9 2 2 9" xfId="48397" xr:uid="{00000000-0005-0000-0000-0000F9080000}"/>
    <cellStyle name="Обычный 9 2 3" xfId="1399" xr:uid="{00000000-0005-0000-0000-0000FA080000}"/>
    <cellStyle name="Обычный 9 2 3 2" xfId="3183" xr:uid="{00000000-0005-0000-0000-0000FB080000}"/>
    <cellStyle name="Обычный 9 2 3 2 2" xfId="15162" xr:uid="{00000000-0005-0000-0000-0000FC080000}"/>
    <cellStyle name="Обычный 9 2 3 2 2 2" xfId="39117" xr:uid="{00000000-0005-0000-0000-0000FD080000}"/>
    <cellStyle name="Обычный 9 2 3 2 3" xfId="27140" xr:uid="{00000000-0005-0000-0000-0000FE080000}"/>
    <cellStyle name="Обычный 9 2 3 2 4" xfId="50271" xr:uid="{00000000-0005-0000-0000-0000FF080000}"/>
    <cellStyle name="Обычный 9 2 3 3" xfId="4827" xr:uid="{00000000-0005-0000-0000-000000090000}"/>
    <cellStyle name="Обычный 9 2 3 3 2" xfId="16806" xr:uid="{00000000-0005-0000-0000-000001090000}"/>
    <cellStyle name="Обычный 9 2 3 3 2 2" xfId="40761" xr:uid="{00000000-0005-0000-0000-000002090000}"/>
    <cellStyle name="Обычный 9 2 3 3 3" xfId="28784" xr:uid="{00000000-0005-0000-0000-000003090000}"/>
    <cellStyle name="Обычный 9 2 3 4" xfId="7439" xr:uid="{00000000-0005-0000-0000-000004090000}"/>
    <cellStyle name="Обычный 9 2 3 4 2" xfId="19417" xr:uid="{00000000-0005-0000-0000-000005090000}"/>
    <cellStyle name="Обычный 9 2 3 4 2 2" xfId="43372" xr:uid="{00000000-0005-0000-0000-000006090000}"/>
    <cellStyle name="Обычный 9 2 3 4 3" xfId="31394" xr:uid="{00000000-0005-0000-0000-000007090000}"/>
    <cellStyle name="Обычный 9 2 3 5" xfId="9221" xr:uid="{00000000-0005-0000-0000-000008090000}"/>
    <cellStyle name="Обычный 9 2 3 5 2" xfId="21199" xr:uid="{00000000-0005-0000-0000-000009090000}"/>
    <cellStyle name="Обычный 9 2 3 5 2 2" xfId="45154" xr:uid="{00000000-0005-0000-0000-00000A090000}"/>
    <cellStyle name="Обычный 9 2 3 5 3" xfId="33176" xr:uid="{00000000-0005-0000-0000-00000B090000}"/>
    <cellStyle name="Обычный 9 2 3 6" xfId="13380" xr:uid="{00000000-0005-0000-0000-00000C090000}"/>
    <cellStyle name="Обычный 9 2 3 6 2" xfId="37335" xr:uid="{00000000-0005-0000-0000-00000D090000}"/>
    <cellStyle name="Обычный 9 2 3 7" xfId="25358" xr:uid="{00000000-0005-0000-0000-00000E090000}"/>
    <cellStyle name="Обычный 9 2 3 8" xfId="48491" xr:uid="{00000000-0005-0000-0000-00000F090000}"/>
    <cellStyle name="Обычный 9 2 4" xfId="2536" xr:uid="{00000000-0005-0000-0000-000010090000}"/>
    <cellStyle name="Обычный 9 2 4 2" xfId="4181" xr:uid="{00000000-0005-0000-0000-000011090000}"/>
    <cellStyle name="Обычный 9 2 4 2 2" xfId="16160" xr:uid="{00000000-0005-0000-0000-000012090000}"/>
    <cellStyle name="Обычный 9 2 4 2 2 2" xfId="40115" xr:uid="{00000000-0005-0000-0000-000013090000}"/>
    <cellStyle name="Обычный 9 2 4 2 3" xfId="28138" xr:uid="{00000000-0005-0000-0000-000014090000}"/>
    <cellStyle name="Обычный 9 2 4 2 4" xfId="51407" xr:uid="{00000000-0005-0000-0000-000015090000}"/>
    <cellStyle name="Обычный 9 2 4 3" xfId="5964" xr:uid="{00000000-0005-0000-0000-000016090000}"/>
    <cellStyle name="Обычный 9 2 4 3 2" xfId="17942" xr:uid="{00000000-0005-0000-0000-000017090000}"/>
    <cellStyle name="Обычный 9 2 4 3 2 2" xfId="41897" xr:uid="{00000000-0005-0000-0000-000018090000}"/>
    <cellStyle name="Обычный 9 2 4 3 3" xfId="29919" xr:uid="{00000000-0005-0000-0000-000019090000}"/>
    <cellStyle name="Обычный 9 2 4 4" xfId="8574" xr:uid="{00000000-0005-0000-0000-00001A090000}"/>
    <cellStyle name="Обычный 9 2 4 4 2" xfId="20552" xr:uid="{00000000-0005-0000-0000-00001B090000}"/>
    <cellStyle name="Обычный 9 2 4 4 2 2" xfId="44507" xr:uid="{00000000-0005-0000-0000-00001C090000}"/>
    <cellStyle name="Обычный 9 2 4 4 3" xfId="32529" xr:uid="{00000000-0005-0000-0000-00001D090000}"/>
    <cellStyle name="Обычный 9 2 4 5" xfId="10357" xr:uid="{00000000-0005-0000-0000-00001E090000}"/>
    <cellStyle name="Обычный 9 2 4 5 2" xfId="22335" xr:uid="{00000000-0005-0000-0000-00001F090000}"/>
    <cellStyle name="Обычный 9 2 4 5 2 2" xfId="46290" xr:uid="{00000000-0005-0000-0000-000020090000}"/>
    <cellStyle name="Обычный 9 2 4 5 3" xfId="34312" xr:uid="{00000000-0005-0000-0000-000021090000}"/>
    <cellStyle name="Обычный 9 2 4 6" xfId="14515" xr:uid="{00000000-0005-0000-0000-000022090000}"/>
    <cellStyle name="Обычный 9 2 4 6 2" xfId="38470" xr:uid="{00000000-0005-0000-0000-000023090000}"/>
    <cellStyle name="Обычный 9 2 4 7" xfId="26493" xr:uid="{00000000-0005-0000-0000-000024090000}"/>
    <cellStyle name="Обычный 9 2 4 8" xfId="49626" xr:uid="{00000000-0005-0000-0000-000025090000}"/>
    <cellStyle name="Обычный 9 2 5" xfId="1040" xr:uid="{00000000-0005-0000-0000-000026090000}"/>
    <cellStyle name="Обычный 9 2 5 2" xfId="7080" xr:uid="{00000000-0005-0000-0000-000027090000}"/>
    <cellStyle name="Обычный 9 2 5 2 2" xfId="19058" xr:uid="{00000000-0005-0000-0000-000028090000}"/>
    <cellStyle name="Обычный 9 2 5 2 2 2" xfId="43013" xr:uid="{00000000-0005-0000-0000-000029090000}"/>
    <cellStyle name="Обычный 9 2 5 2 3" xfId="31035" xr:uid="{00000000-0005-0000-0000-00002A090000}"/>
    <cellStyle name="Обычный 9 2 5 3" xfId="13021" xr:uid="{00000000-0005-0000-0000-00002B090000}"/>
    <cellStyle name="Обычный 9 2 5 3 2" xfId="36976" xr:uid="{00000000-0005-0000-0000-00002C090000}"/>
    <cellStyle name="Обычный 9 2 5 4" xfId="24999" xr:uid="{00000000-0005-0000-0000-00002D090000}"/>
    <cellStyle name="Обычный 9 2 5 5" xfId="49905" xr:uid="{00000000-0005-0000-0000-00002E090000}"/>
    <cellStyle name="Обычный 9 2 6" xfId="628" xr:uid="{00000000-0005-0000-0000-00002F090000}"/>
    <cellStyle name="Обычный 9 2 6 2" xfId="6668" xr:uid="{00000000-0005-0000-0000-000030090000}"/>
    <cellStyle name="Обычный 9 2 6 2 2" xfId="18646" xr:uid="{00000000-0005-0000-0000-000031090000}"/>
    <cellStyle name="Обычный 9 2 6 2 2 2" xfId="42601" xr:uid="{00000000-0005-0000-0000-000032090000}"/>
    <cellStyle name="Обычный 9 2 6 2 3" xfId="30623" xr:uid="{00000000-0005-0000-0000-000033090000}"/>
    <cellStyle name="Обычный 9 2 6 3" xfId="12609" xr:uid="{00000000-0005-0000-0000-000034090000}"/>
    <cellStyle name="Обычный 9 2 6 3 2" xfId="36564" xr:uid="{00000000-0005-0000-0000-000035090000}"/>
    <cellStyle name="Обычный 9 2 6 4" xfId="24587" xr:uid="{00000000-0005-0000-0000-000036090000}"/>
    <cellStyle name="Обычный 9 2 7" xfId="2817" xr:uid="{00000000-0005-0000-0000-000037090000}"/>
    <cellStyle name="Обычный 9 2 7 2" xfId="14796" xr:uid="{00000000-0005-0000-0000-000038090000}"/>
    <cellStyle name="Обычный 9 2 7 2 2" xfId="38751" xr:uid="{00000000-0005-0000-0000-000039090000}"/>
    <cellStyle name="Обычный 9 2 7 3" xfId="26774" xr:uid="{00000000-0005-0000-0000-00003A090000}"/>
    <cellStyle name="Обычный 9 2 8" xfId="4461" xr:uid="{00000000-0005-0000-0000-00003B090000}"/>
    <cellStyle name="Обычный 9 2 8 2" xfId="16440" xr:uid="{00000000-0005-0000-0000-00003C090000}"/>
    <cellStyle name="Обычный 9 2 8 2 2" xfId="40395" xr:uid="{00000000-0005-0000-0000-00003D090000}"/>
    <cellStyle name="Обычный 9 2 8 3" xfId="28418" xr:uid="{00000000-0005-0000-0000-00003E090000}"/>
    <cellStyle name="Обычный 9 2 9" xfId="6248" xr:uid="{00000000-0005-0000-0000-00003F090000}"/>
    <cellStyle name="Обычный 9 2 9 2" xfId="18226" xr:uid="{00000000-0005-0000-0000-000040090000}"/>
    <cellStyle name="Обычный 9 2 9 2 2" xfId="42181" xr:uid="{00000000-0005-0000-0000-000041090000}"/>
    <cellStyle name="Обычный 9 2 9 3" xfId="30203" xr:uid="{00000000-0005-0000-0000-000042090000}"/>
    <cellStyle name="Обычный 9 3" xfId="356" xr:uid="{00000000-0005-0000-0000-000043090000}"/>
    <cellStyle name="Обычный 9 3 10" xfId="48261" xr:uid="{00000000-0005-0000-0000-000044090000}"/>
    <cellStyle name="Обычный 9 3 2" xfId="1407" xr:uid="{00000000-0005-0000-0000-000045090000}"/>
    <cellStyle name="Обычный 9 3 2 2" xfId="3191" xr:uid="{00000000-0005-0000-0000-000046090000}"/>
    <cellStyle name="Обычный 9 3 2 2 2" xfId="15170" xr:uid="{00000000-0005-0000-0000-000047090000}"/>
    <cellStyle name="Обычный 9 3 2 2 2 2" xfId="39125" xr:uid="{00000000-0005-0000-0000-000048090000}"/>
    <cellStyle name="Обычный 9 3 2 2 3" xfId="27148" xr:uid="{00000000-0005-0000-0000-000049090000}"/>
    <cellStyle name="Обычный 9 3 2 2 4" xfId="50279" xr:uid="{00000000-0005-0000-0000-00004A090000}"/>
    <cellStyle name="Обычный 9 3 2 3" xfId="4835" xr:uid="{00000000-0005-0000-0000-00004B090000}"/>
    <cellStyle name="Обычный 9 3 2 3 2" xfId="16814" xr:uid="{00000000-0005-0000-0000-00004C090000}"/>
    <cellStyle name="Обычный 9 3 2 3 2 2" xfId="40769" xr:uid="{00000000-0005-0000-0000-00004D090000}"/>
    <cellStyle name="Обычный 9 3 2 3 3" xfId="28792" xr:uid="{00000000-0005-0000-0000-00004E090000}"/>
    <cellStyle name="Обычный 9 3 2 4" xfId="7447" xr:uid="{00000000-0005-0000-0000-00004F090000}"/>
    <cellStyle name="Обычный 9 3 2 4 2" xfId="19425" xr:uid="{00000000-0005-0000-0000-000050090000}"/>
    <cellStyle name="Обычный 9 3 2 4 2 2" xfId="43380" xr:uid="{00000000-0005-0000-0000-000051090000}"/>
    <cellStyle name="Обычный 9 3 2 4 3" xfId="31402" xr:uid="{00000000-0005-0000-0000-000052090000}"/>
    <cellStyle name="Обычный 9 3 2 5" xfId="9229" xr:uid="{00000000-0005-0000-0000-000053090000}"/>
    <cellStyle name="Обычный 9 3 2 5 2" xfId="21207" xr:uid="{00000000-0005-0000-0000-000054090000}"/>
    <cellStyle name="Обычный 9 3 2 5 2 2" xfId="45162" xr:uid="{00000000-0005-0000-0000-000055090000}"/>
    <cellStyle name="Обычный 9 3 2 5 3" xfId="33184" xr:uid="{00000000-0005-0000-0000-000056090000}"/>
    <cellStyle name="Обычный 9 3 2 6" xfId="13388" xr:uid="{00000000-0005-0000-0000-000057090000}"/>
    <cellStyle name="Обычный 9 3 2 6 2" xfId="37343" xr:uid="{00000000-0005-0000-0000-000058090000}"/>
    <cellStyle name="Обычный 9 3 2 7" xfId="25366" xr:uid="{00000000-0005-0000-0000-000059090000}"/>
    <cellStyle name="Обычный 9 3 2 8" xfId="48499" xr:uid="{00000000-0005-0000-0000-00005A090000}"/>
    <cellStyle name="Обычный 9 3 3" xfId="776" xr:uid="{00000000-0005-0000-0000-00005B090000}"/>
    <cellStyle name="Обычный 9 3 3 2" xfId="6816" xr:uid="{00000000-0005-0000-0000-00005C090000}"/>
    <cellStyle name="Обычный 9 3 3 2 2" xfId="18794" xr:uid="{00000000-0005-0000-0000-00005D090000}"/>
    <cellStyle name="Обычный 9 3 3 2 2 2" xfId="42749" xr:uid="{00000000-0005-0000-0000-00005E090000}"/>
    <cellStyle name="Обычный 9 3 3 2 3" xfId="30771" xr:uid="{00000000-0005-0000-0000-00005F090000}"/>
    <cellStyle name="Обычный 9 3 3 3" xfId="12757" xr:uid="{00000000-0005-0000-0000-000060090000}"/>
    <cellStyle name="Обычный 9 3 3 3 2" xfId="36712" xr:uid="{00000000-0005-0000-0000-000061090000}"/>
    <cellStyle name="Обычный 9 3 3 4" xfId="24735" xr:uid="{00000000-0005-0000-0000-000062090000}"/>
    <cellStyle name="Обычный 9 3 3 5" xfId="50041" xr:uid="{00000000-0005-0000-0000-000063090000}"/>
    <cellStyle name="Обычный 9 3 4" xfId="2953" xr:uid="{00000000-0005-0000-0000-000064090000}"/>
    <cellStyle name="Обычный 9 3 4 2" xfId="14932" xr:uid="{00000000-0005-0000-0000-000065090000}"/>
    <cellStyle name="Обычный 9 3 4 2 2" xfId="38887" xr:uid="{00000000-0005-0000-0000-000066090000}"/>
    <cellStyle name="Обычный 9 3 4 3" xfId="26910" xr:uid="{00000000-0005-0000-0000-000067090000}"/>
    <cellStyle name="Обычный 9 3 5" xfId="4597" xr:uid="{00000000-0005-0000-0000-000068090000}"/>
    <cellStyle name="Обычный 9 3 5 2" xfId="16576" xr:uid="{00000000-0005-0000-0000-000069090000}"/>
    <cellStyle name="Обычный 9 3 5 2 2" xfId="40531" xr:uid="{00000000-0005-0000-0000-00006A090000}"/>
    <cellStyle name="Обычный 9 3 5 3" xfId="28554" xr:uid="{00000000-0005-0000-0000-00006B090000}"/>
    <cellStyle name="Обычный 9 3 6" xfId="6396" xr:uid="{00000000-0005-0000-0000-00006C090000}"/>
    <cellStyle name="Обычный 9 3 6 2" xfId="18374" xr:uid="{00000000-0005-0000-0000-00006D090000}"/>
    <cellStyle name="Обычный 9 3 6 2 2" xfId="42329" xr:uid="{00000000-0005-0000-0000-00006E090000}"/>
    <cellStyle name="Обычный 9 3 6 3" xfId="30351" xr:uid="{00000000-0005-0000-0000-00006F090000}"/>
    <cellStyle name="Обычный 9 3 7" xfId="8991" xr:uid="{00000000-0005-0000-0000-000070090000}"/>
    <cellStyle name="Обычный 9 3 7 2" xfId="20969" xr:uid="{00000000-0005-0000-0000-000071090000}"/>
    <cellStyle name="Обычный 9 3 7 2 2" xfId="44924" xr:uid="{00000000-0005-0000-0000-000072090000}"/>
    <cellStyle name="Обычный 9 3 7 3" xfId="32946" xr:uid="{00000000-0005-0000-0000-000073090000}"/>
    <cellStyle name="Обычный 9 3 8" xfId="12337" xr:uid="{00000000-0005-0000-0000-000074090000}"/>
    <cellStyle name="Обычный 9 3 8 2" xfId="36292" xr:uid="{00000000-0005-0000-0000-000075090000}"/>
    <cellStyle name="Обычный 9 3 9" xfId="24315" xr:uid="{00000000-0005-0000-0000-000076090000}"/>
    <cellStyle name="Обычный 9 4" xfId="1431" xr:uid="{00000000-0005-0000-0000-000077090000}"/>
    <cellStyle name="Обычный 9 4 2" xfId="1879" xr:uid="{00000000-0005-0000-0000-000078090000}"/>
    <cellStyle name="Обычный 9 4 2 2" xfId="3524" xr:uid="{00000000-0005-0000-0000-000079090000}"/>
    <cellStyle name="Обычный 9 4 2 2 2" xfId="15503" xr:uid="{00000000-0005-0000-0000-00007A090000}"/>
    <cellStyle name="Обычный 9 4 2 2 2 2" xfId="39458" xr:uid="{00000000-0005-0000-0000-00007B090000}"/>
    <cellStyle name="Обычный 9 4 2 2 3" xfId="27481" xr:uid="{00000000-0005-0000-0000-00007C090000}"/>
    <cellStyle name="Обычный 9 4 2 2 4" xfId="50750" xr:uid="{00000000-0005-0000-0000-00007D090000}"/>
    <cellStyle name="Обычный 9 4 2 3" xfId="5307" xr:uid="{00000000-0005-0000-0000-00007E090000}"/>
    <cellStyle name="Обычный 9 4 2 3 2" xfId="17285" xr:uid="{00000000-0005-0000-0000-00007F090000}"/>
    <cellStyle name="Обычный 9 4 2 3 2 2" xfId="41240" xr:uid="{00000000-0005-0000-0000-000080090000}"/>
    <cellStyle name="Обычный 9 4 2 3 3" xfId="29262" xr:uid="{00000000-0005-0000-0000-000081090000}"/>
    <cellStyle name="Обычный 9 4 2 4" xfId="7917" xr:uid="{00000000-0005-0000-0000-000082090000}"/>
    <cellStyle name="Обычный 9 4 2 4 2" xfId="19895" xr:uid="{00000000-0005-0000-0000-000083090000}"/>
    <cellStyle name="Обычный 9 4 2 4 2 2" xfId="43850" xr:uid="{00000000-0005-0000-0000-000084090000}"/>
    <cellStyle name="Обычный 9 4 2 4 3" xfId="31872" xr:uid="{00000000-0005-0000-0000-000085090000}"/>
    <cellStyle name="Обычный 9 4 2 5" xfId="9700" xr:uid="{00000000-0005-0000-0000-000086090000}"/>
    <cellStyle name="Обычный 9 4 2 5 2" xfId="21678" xr:uid="{00000000-0005-0000-0000-000087090000}"/>
    <cellStyle name="Обычный 9 4 2 5 2 2" xfId="45633" xr:uid="{00000000-0005-0000-0000-000088090000}"/>
    <cellStyle name="Обычный 9 4 2 5 3" xfId="33655" xr:uid="{00000000-0005-0000-0000-000089090000}"/>
    <cellStyle name="Обычный 9 4 2 6" xfId="13858" xr:uid="{00000000-0005-0000-0000-00008A090000}"/>
    <cellStyle name="Обычный 9 4 2 6 2" xfId="37813" xr:uid="{00000000-0005-0000-0000-00008B090000}"/>
    <cellStyle name="Обычный 9 4 2 7" xfId="25836" xr:uid="{00000000-0005-0000-0000-00008C090000}"/>
    <cellStyle name="Обычный 9 4 2 8" xfId="48969" xr:uid="{00000000-0005-0000-0000-00008D090000}"/>
    <cellStyle name="Обычный 9 4 3" xfId="4859" xr:uid="{00000000-0005-0000-0000-00008E090000}"/>
    <cellStyle name="Обычный 9 4 3 2" xfId="16838" xr:uid="{00000000-0005-0000-0000-00008F090000}"/>
    <cellStyle name="Обычный 9 4 3 2 2" xfId="40793" xr:uid="{00000000-0005-0000-0000-000090090000}"/>
    <cellStyle name="Обычный 9 4 3 3" xfId="28815" xr:uid="{00000000-0005-0000-0000-000091090000}"/>
    <cellStyle name="Обычный 9 4 3 4" xfId="50303" xr:uid="{00000000-0005-0000-0000-000092090000}"/>
    <cellStyle name="Обычный 9 4 4" xfId="7470" xr:uid="{00000000-0005-0000-0000-000093090000}"/>
    <cellStyle name="Обычный 9 4 4 2" xfId="19448" xr:uid="{00000000-0005-0000-0000-000094090000}"/>
    <cellStyle name="Обычный 9 4 4 2 2" xfId="43403" xr:uid="{00000000-0005-0000-0000-000095090000}"/>
    <cellStyle name="Обычный 9 4 4 3" xfId="31425" xr:uid="{00000000-0005-0000-0000-000096090000}"/>
    <cellStyle name="Обычный 9 4 5" xfId="9253" xr:uid="{00000000-0005-0000-0000-000097090000}"/>
    <cellStyle name="Обычный 9 4 5 2" xfId="21231" xr:uid="{00000000-0005-0000-0000-000098090000}"/>
    <cellStyle name="Обычный 9 4 5 2 2" xfId="45186" xr:uid="{00000000-0005-0000-0000-000099090000}"/>
    <cellStyle name="Обычный 9 4 5 3" xfId="33208" xr:uid="{00000000-0005-0000-0000-00009A090000}"/>
    <cellStyle name="Обычный 9 4 6" xfId="13411" xr:uid="{00000000-0005-0000-0000-00009B090000}"/>
    <cellStyle name="Обычный 9 4 6 2" xfId="37366" xr:uid="{00000000-0005-0000-0000-00009C090000}"/>
    <cellStyle name="Обычный 9 4 7" xfId="25389" xr:uid="{00000000-0005-0000-0000-00009D090000}"/>
    <cellStyle name="Обычный 9 4 8" xfId="48522" xr:uid="{00000000-0005-0000-0000-00009E090000}"/>
    <cellStyle name="Обычный 9 5" xfId="1391" xr:uid="{00000000-0005-0000-0000-00009F090000}"/>
    <cellStyle name="Обычный 9 5 2" xfId="3175" xr:uid="{00000000-0005-0000-0000-0000A0090000}"/>
    <cellStyle name="Обычный 9 5 2 2" xfId="15154" xr:uid="{00000000-0005-0000-0000-0000A1090000}"/>
    <cellStyle name="Обычный 9 5 2 2 2" xfId="39109" xr:uid="{00000000-0005-0000-0000-0000A2090000}"/>
    <cellStyle name="Обычный 9 5 2 3" xfId="27132" xr:uid="{00000000-0005-0000-0000-0000A3090000}"/>
    <cellStyle name="Обычный 9 5 2 4" xfId="50263" xr:uid="{00000000-0005-0000-0000-0000A4090000}"/>
    <cellStyle name="Обычный 9 5 3" xfId="4819" xr:uid="{00000000-0005-0000-0000-0000A5090000}"/>
    <cellStyle name="Обычный 9 5 3 2" xfId="16798" xr:uid="{00000000-0005-0000-0000-0000A6090000}"/>
    <cellStyle name="Обычный 9 5 3 2 2" xfId="40753" xr:uid="{00000000-0005-0000-0000-0000A7090000}"/>
    <cellStyle name="Обычный 9 5 3 3" xfId="28776" xr:uid="{00000000-0005-0000-0000-0000A8090000}"/>
    <cellStyle name="Обычный 9 5 4" xfId="7431" xr:uid="{00000000-0005-0000-0000-0000A9090000}"/>
    <cellStyle name="Обычный 9 5 4 2" xfId="19409" xr:uid="{00000000-0005-0000-0000-0000AA090000}"/>
    <cellStyle name="Обычный 9 5 4 2 2" xfId="43364" xr:uid="{00000000-0005-0000-0000-0000AB090000}"/>
    <cellStyle name="Обычный 9 5 4 3" xfId="31386" xr:uid="{00000000-0005-0000-0000-0000AC090000}"/>
    <cellStyle name="Обычный 9 5 5" xfId="9213" xr:uid="{00000000-0005-0000-0000-0000AD090000}"/>
    <cellStyle name="Обычный 9 5 5 2" xfId="21191" xr:uid="{00000000-0005-0000-0000-0000AE090000}"/>
    <cellStyle name="Обычный 9 5 5 2 2" xfId="45146" xr:uid="{00000000-0005-0000-0000-0000AF090000}"/>
    <cellStyle name="Обычный 9 5 5 3" xfId="33168" xr:uid="{00000000-0005-0000-0000-0000B0090000}"/>
    <cellStyle name="Обычный 9 5 6" xfId="13372" xr:uid="{00000000-0005-0000-0000-0000B1090000}"/>
    <cellStyle name="Обычный 9 5 6 2" xfId="37327" xr:uid="{00000000-0005-0000-0000-0000B2090000}"/>
    <cellStyle name="Обычный 9 5 7" xfId="25350" xr:uid="{00000000-0005-0000-0000-0000B3090000}"/>
    <cellStyle name="Обычный 9 5 8" xfId="48483" xr:uid="{00000000-0005-0000-0000-0000B4090000}"/>
    <cellStyle name="Обычный 9 6" xfId="2400" xr:uid="{00000000-0005-0000-0000-0000B5090000}"/>
    <cellStyle name="Обычный 9 6 2" xfId="4045" xr:uid="{00000000-0005-0000-0000-0000B6090000}"/>
    <cellStyle name="Обычный 9 6 2 2" xfId="16024" xr:uid="{00000000-0005-0000-0000-0000B7090000}"/>
    <cellStyle name="Обычный 9 6 2 2 2" xfId="39979" xr:uid="{00000000-0005-0000-0000-0000B8090000}"/>
    <cellStyle name="Обычный 9 6 2 3" xfId="28002" xr:uid="{00000000-0005-0000-0000-0000B9090000}"/>
    <cellStyle name="Обычный 9 6 2 4" xfId="51271" xr:uid="{00000000-0005-0000-0000-0000BA090000}"/>
    <cellStyle name="Обычный 9 6 3" xfId="5828" xr:uid="{00000000-0005-0000-0000-0000BB090000}"/>
    <cellStyle name="Обычный 9 6 3 2" xfId="17806" xr:uid="{00000000-0005-0000-0000-0000BC090000}"/>
    <cellStyle name="Обычный 9 6 3 2 2" xfId="41761" xr:uid="{00000000-0005-0000-0000-0000BD090000}"/>
    <cellStyle name="Обычный 9 6 3 3" xfId="29783" xr:uid="{00000000-0005-0000-0000-0000BE090000}"/>
    <cellStyle name="Обычный 9 6 4" xfId="8438" xr:uid="{00000000-0005-0000-0000-0000BF090000}"/>
    <cellStyle name="Обычный 9 6 4 2" xfId="20416" xr:uid="{00000000-0005-0000-0000-0000C0090000}"/>
    <cellStyle name="Обычный 9 6 4 2 2" xfId="44371" xr:uid="{00000000-0005-0000-0000-0000C1090000}"/>
    <cellStyle name="Обычный 9 6 4 3" xfId="32393" xr:uid="{00000000-0005-0000-0000-0000C2090000}"/>
    <cellStyle name="Обычный 9 6 5" xfId="10221" xr:uid="{00000000-0005-0000-0000-0000C3090000}"/>
    <cellStyle name="Обычный 9 6 5 2" xfId="22199" xr:uid="{00000000-0005-0000-0000-0000C4090000}"/>
    <cellStyle name="Обычный 9 6 5 2 2" xfId="46154" xr:uid="{00000000-0005-0000-0000-0000C5090000}"/>
    <cellStyle name="Обычный 9 6 5 3" xfId="34176" xr:uid="{00000000-0005-0000-0000-0000C6090000}"/>
    <cellStyle name="Обычный 9 6 6" xfId="14379" xr:uid="{00000000-0005-0000-0000-0000C7090000}"/>
    <cellStyle name="Обычный 9 6 6 2" xfId="38334" xr:uid="{00000000-0005-0000-0000-0000C8090000}"/>
    <cellStyle name="Обычный 9 6 7" xfId="26357" xr:uid="{00000000-0005-0000-0000-0000C9090000}"/>
    <cellStyle name="Обычный 9 6 8" xfId="49490" xr:uid="{00000000-0005-0000-0000-0000CA090000}"/>
    <cellStyle name="Обычный 9 7" xfId="1627" xr:uid="{00000000-0005-0000-0000-0000CB090000}"/>
    <cellStyle name="Обычный 9 7 2" xfId="3272" xr:uid="{00000000-0005-0000-0000-0000CC090000}"/>
    <cellStyle name="Обычный 9 7 2 2" xfId="15251" xr:uid="{00000000-0005-0000-0000-0000CD090000}"/>
    <cellStyle name="Обычный 9 7 2 2 2" xfId="39206" xr:uid="{00000000-0005-0000-0000-0000CE090000}"/>
    <cellStyle name="Обычный 9 7 2 3" xfId="27229" xr:uid="{00000000-0005-0000-0000-0000CF090000}"/>
    <cellStyle name="Обычный 9 7 2 4" xfId="50498" xr:uid="{00000000-0005-0000-0000-0000D0090000}"/>
    <cellStyle name="Обычный 9 7 3" xfId="5055" xr:uid="{00000000-0005-0000-0000-0000D1090000}"/>
    <cellStyle name="Обычный 9 7 3 2" xfId="17033" xr:uid="{00000000-0005-0000-0000-0000D2090000}"/>
    <cellStyle name="Обычный 9 7 3 2 2" xfId="40988" xr:uid="{00000000-0005-0000-0000-0000D3090000}"/>
    <cellStyle name="Обычный 9 7 3 3" xfId="29010" xr:uid="{00000000-0005-0000-0000-0000D4090000}"/>
    <cellStyle name="Обычный 9 7 4" xfId="7665" xr:uid="{00000000-0005-0000-0000-0000D5090000}"/>
    <cellStyle name="Обычный 9 7 4 2" xfId="19643" xr:uid="{00000000-0005-0000-0000-0000D6090000}"/>
    <cellStyle name="Обычный 9 7 4 2 2" xfId="43598" xr:uid="{00000000-0005-0000-0000-0000D7090000}"/>
    <cellStyle name="Обычный 9 7 4 3" xfId="31620" xr:uid="{00000000-0005-0000-0000-0000D8090000}"/>
    <cellStyle name="Обычный 9 7 5" xfId="9448" xr:uid="{00000000-0005-0000-0000-0000D9090000}"/>
    <cellStyle name="Обычный 9 7 5 2" xfId="21426" xr:uid="{00000000-0005-0000-0000-0000DA090000}"/>
    <cellStyle name="Обычный 9 7 5 2 2" xfId="45381" xr:uid="{00000000-0005-0000-0000-0000DB090000}"/>
    <cellStyle name="Обычный 9 7 5 3" xfId="33403" xr:uid="{00000000-0005-0000-0000-0000DC090000}"/>
    <cellStyle name="Обычный 9 7 6" xfId="13606" xr:uid="{00000000-0005-0000-0000-0000DD090000}"/>
    <cellStyle name="Обычный 9 7 6 2" xfId="37561" xr:uid="{00000000-0005-0000-0000-0000DE090000}"/>
    <cellStyle name="Обычный 9 7 7" xfId="25584" xr:uid="{00000000-0005-0000-0000-0000DF090000}"/>
    <cellStyle name="Обычный 9 7 8" xfId="48717" xr:uid="{00000000-0005-0000-0000-0000E0090000}"/>
    <cellStyle name="Обычный 9 8" xfId="492" xr:uid="{00000000-0005-0000-0000-0000E1090000}"/>
    <cellStyle name="Обычный 9 8 2" xfId="6532" xr:uid="{00000000-0005-0000-0000-0000E2090000}"/>
    <cellStyle name="Обычный 9 8 2 2" xfId="18510" xr:uid="{00000000-0005-0000-0000-0000E3090000}"/>
    <cellStyle name="Обычный 9 8 2 2 2" xfId="42465" xr:uid="{00000000-0005-0000-0000-0000E4090000}"/>
    <cellStyle name="Обычный 9 8 2 3" xfId="30487" xr:uid="{00000000-0005-0000-0000-0000E5090000}"/>
    <cellStyle name="Обычный 9 8 3" xfId="12473" xr:uid="{00000000-0005-0000-0000-0000E6090000}"/>
    <cellStyle name="Обычный 9 8 3 2" xfId="36428" xr:uid="{00000000-0005-0000-0000-0000E7090000}"/>
    <cellStyle name="Обычный 9 8 4" xfId="24451" xr:uid="{00000000-0005-0000-0000-0000E8090000}"/>
    <cellStyle name="Обычный 9 8 5" xfId="49769" xr:uid="{00000000-0005-0000-0000-0000E9090000}"/>
    <cellStyle name="Обычный 9 9" xfId="2681" xr:uid="{00000000-0005-0000-0000-0000EA090000}"/>
    <cellStyle name="Обычный 9 9 2" xfId="14660" xr:uid="{00000000-0005-0000-0000-0000EB090000}"/>
    <cellStyle name="Обычный 9 9 2 2" xfId="38615" xr:uid="{00000000-0005-0000-0000-0000EC090000}"/>
    <cellStyle name="Обычный 9 9 3" xfId="26638" xr:uid="{00000000-0005-0000-0000-0000ED090000}"/>
    <cellStyle name="Процентный" xfId="287" builtinId="5"/>
    <cellStyle name="Процентный 2" xfId="1557" xr:uid="{00000000-0005-0000-0000-0000EF090000}"/>
    <cellStyle name="Процентный 2 2" xfId="4985" xr:uid="{00000000-0005-0000-0000-0000F0090000}"/>
    <cellStyle name="Процентный 2 2 2" xfId="16963" xr:uid="{00000000-0005-0000-0000-0000F1090000}"/>
    <cellStyle name="Процентный 2 2 2 2" xfId="40918" xr:uid="{00000000-0005-0000-0000-0000F2090000}"/>
    <cellStyle name="Процентный 2 2 3" xfId="28940" xr:uid="{00000000-0005-0000-0000-0000F3090000}"/>
    <cellStyle name="Процентный 2 2 4" xfId="50428" xr:uid="{00000000-0005-0000-0000-0000F4090000}"/>
    <cellStyle name="Процентный 2 3" xfId="7595" xr:uid="{00000000-0005-0000-0000-0000F5090000}"/>
    <cellStyle name="Процентный 2 3 2" xfId="19573" xr:uid="{00000000-0005-0000-0000-0000F6090000}"/>
    <cellStyle name="Процентный 2 3 2 2" xfId="43528" xr:uid="{00000000-0005-0000-0000-0000F7090000}"/>
    <cellStyle name="Процентный 2 3 3" xfId="31550" xr:uid="{00000000-0005-0000-0000-0000F8090000}"/>
    <cellStyle name="Процентный 2 3 4" xfId="51488" xr:uid="{00000000-0005-0000-0000-0000F9090000}"/>
    <cellStyle name="Процентный 2 4" xfId="9378" xr:uid="{00000000-0005-0000-0000-0000FA090000}"/>
    <cellStyle name="Процентный 2 4 2" xfId="21356" xr:uid="{00000000-0005-0000-0000-0000FB090000}"/>
    <cellStyle name="Процентный 2 4 2 2" xfId="45311" xr:uid="{00000000-0005-0000-0000-0000FC090000}"/>
    <cellStyle name="Процентный 2 4 3" xfId="33333" xr:uid="{00000000-0005-0000-0000-0000FD090000}"/>
    <cellStyle name="Процентный 2 5" xfId="13536" xr:uid="{00000000-0005-0000-0000-0000FE090000}"/>
    <cellStyle name="Процентный 2 5 2" xfId="37491" xr:uid="{00000000-0005-0000-0000-0000FF090000}"/>
    <cellStyle name="Процентный 2 6" xfId="25514" xr:uid="{00000000-0005-0000-0000-0000000A0000}"/>
    <cellStyle name="Процентный 2 7" xfId="48647" xr:uid="{00000000-0005-0000-0000-0000010A0000}"/>
    <cellStyle name="Финансовый" xfId="1" builtinId="3"/>
    <cellStyle name="Финансовый [0] 2" xfId="1385" xr:uid="{00000000-0005-0000-0000-0000030A0000}"/>
    <cellStyle name="Финансовый [0] 2 2" xfId="3169" xr:uid="{00000000-0005-0000-0000-0000040A0000}"/>
    <cellStyle name="Финансовый [0] 2 2 2" xfId="10956" xr:uid="{00000000-0005-0000-0000-0000050A0000}"/>
    <cellStyle name="Финансовый [0] 2 2 2 2" xfId="22934" xr:uid="{00000000-0005-0000-0000-0000060A0000}"/>
    <cellStyle name="Финансовый [0] 2 2 2 2 2" xfId="46889" xr:uid="{00000000-0005-0000-0000-0000070A0000}"/>
    <cellStyle name="Финансовый [0] 2 2 2 3" xfId="34911" xr:uid="{00000000-0005-0000-0000-0000080A0000}"/>
    <cellStyle name="Финансовый [0] 2 2 3" xfId="15148" xr:uid="{00000000-0005-0000-0000-0000090A0000}"/>
    <cellStyle name="Финансовый [0] 2 2 3 2" xfId="39103" xr:uid="{00000000-0005-0000-0000-00000A0A0000}"/>
    <cellStyle name="Финансовый [0] 2 2 4" xfId="27126" xr:uid="{00000000-0005-0000-0000-00000B0A0000}"/>
    <cellStyle name="Финансовый [0] 2 2 5" xfId="50257" xr:uid="{00000000-0005-0000-0000-00000C0A0000}"/>
    <cellStyle name="Финансовый [0] 2 3" xfId="4813" xr:uid="{00000000-0005-0000-0000-00000D0A0000}"/>
    <cellStyle name="Финансовый [0] 2 3 2" xfId="16792" xr:uid="{00000000-0005-0000-0000-00000E0A0000}"/>
    <cellStyle name="Финансовый [0] 2 3 2 2" xfId="40747" xr:uid="{00000000-0005-0000-0000-00000F0A0000}"/>
    <cellStyle name="Финансовый [0] 2 3 3" xfId="28770" xr:uid="{00000000-0005-0000-0000-0000100A0000}"/>
    <cellStyle name="Финансовый [0] 2 4" xfId="7425" xr:uid="{00000000-0005-0000-0000-0000110A0000}"/>
    <cellStyle name="Финансовый [0] 2 4 2" xfId="19403" xr:uid="{00000000-0005-0000-0000-0000120A0000}"/>
    <cellStyle name="Финансовый [0] 2 4 2 2" xfId="43358" xr:uid="{00000000-0005-0000-0000-0000130A0000}"/>
    <cellStyle name="Финансовый [0] 2 4 3" xfId="31380" xr:uid="{00000000-0005-0000-0000-0000140A0000}"/>
    <cellStyle name="Финансовый [0] 2 5" xfId="9207" xr:uid="{00000000-0005-0000-0000-0000150A0000}"/>
    <cellStyle name="Финансовый [0] 2 5 2" xfId="21185" xr:uid="{00000000-0005-0000-0000-0000160A0000}"/>
    <cellStyle name="Финансовый [0] 2 5 2 2" xfId="45140" xr:uid="{00000000-0005-0000-0000-0000170A0000}"/>
    <cellStyle name="Финансовый [0] 2 5 3" xfId="33162" xr:uid="{00000000-0005-0000-0000-0000180A0000}"/>
    <cellStyle name="Финансовый [0] 2 6" xfId="13366" xr:uid="{00000000-0005-0000-0000-0000190A0000}"/>
    <cellStyle name="Финансовый [0] 2 6 2" xfId="37321" xr:uid="{00000000-0005-0000-0000-00001A0A0000}"/>
    <cellStyle name="Финансовый [0] 2 7" xfId="25344" xr:uid="{00000000-0005-0000-0000-00001B0A0000}"/>
    <cellStyle name="Финансовый [0] 2 8" xfId="48477" xr:uid="{00000000-0005-0000-0000-00001C0A0000}"/>
    <cellStyle name="Финансовый 10" xfId="125" xr:uid="{00000000-0005-0000-0000-00001D0A0000}"/>
    <cellStyle name="Финансовый 10 10" xfId="2735" xr:uid="{00000000-0005-0000-0000-00001E0A0000}"/>
    <cellStyle name="Финансовый 10 10 2" xfId="14714" xr:uid="{00000000-0005-0000-0000-00001F0A0000}"/>
    <cellStyle name="Финансовый 10 10 2 2" xfId="38669" xr:uid="{00000000-0005-0000-0000-0000200A0000}"/>
    <cellStyle name="Финансовый 10 10 3" xfId="26692" xr:uid="{00000000-0005-0000-0000-0000210A0000}"/>
    <cellStyle name="Финансовый 10 11" xfId="4379" xr:uid="{00000000-0005-0000-0000-0000220A0000}"/>
    <cellStyle name="Финансовый 10 11 2" xfId="16358" xr:uid="{00000000-0005-0000-0000-0000230A0000}"/>
    <cellStyle name="Финансовый 10 11 2 2" xfId="40313" xr:uid="{00000000-0005-0000-0000-0000240A0000}"/>
    <cellStyle name="Финансовый 10 11 3" xfId="28336" xr:uid="{00000000-0005-0000-0000-0000250A0000}"/>
    <cellStyle name="Финансовый 10 12" xfId="6166" xr:uid="{00000000-0005-0000-0000-0000260A0000}"/>
    <cellStyle name="Финансовый 10 12 2" xfId="18144" xr:uid="{00000000-0005-0000-0000-0000270A0000}"/>
    <cellStyle name="Финансовый 10 12 2 2" xfId="42099" xr:uid="{00000000-0005-0000-0000-0000280A0000}"/>
    <cellStyle name="Финансовый 10 12 3" xfId="30121" xr:uid="{00000000-0005-0000-0000-0000290A0000}"/>
    <cellStyle name="Финансовый 10 13" xfId="8773" xr:uid="{00000000-0005-0000-0000-00002A0A0000}"/>
    <cellStyle name="Финансовый 10 13 2" xfId="20751" xr:uid="{00000000-0005-0000-0000-00002B0A0000}"/>
    <cellStyle name="Финансовый 10 13 2 2" xfId="44706" xr:uid="{00000000-0005-0000-0000-00002C0A0000}"/>
    <cellStyle name="Финансовый 10 13 3" xfId="32728" xr:uid="{00000000-0005-0000-0000-00002D0A0000}"/>
    <cellStyle name="Финансовый 10 14" xfId="12107" xr:uid="{00000000-0005-0000-0000-00002E0A0000}"/>
    <cellStyle name="Финансовый 10 14 2" xfId="36062" xr:uid="{00000000-0005-0000-0000-00002F0A0000}"/>
    <cellStyle name="Финансовый 10 15" xfId="24085" xr:uid="{00000000-0005-0000-0000-0000300A0000}"/>
    <cellStyle name="Финансовый 10 16" xfId="48043" xr:uid="{00000000-0005-0000-0000-0000310A0000}"/>
    <cellStyle name="Финансовый 10 2" xfId="261" xr:uid="{00000000-0005-0000-0000-0000320A0000}"/>
    <cellStyle name="Финансовый 10 2 10" xfId="8909" xr:uid="{00000000-0005-0000-0000-0000330A0000}"/>
    <cellStyle name="Финансовый 10 2 10 2" xfId="20887" xr:uid="{00000000-0005-0000-0000-0000340A0000}"/>
    <cellStyle name="Финансовый 10 2 10 2 2" xfId="44842" xr:uid="{00000000-0005-0000-0000-0000350A0000}"/>
    <cellStyle name="Финансовый 10 2 10 3" xfId="32864" xr:uid="{00000000-0005-0000-0000-0000360A0000}"/>
    <cellStyle name="Финансовый 10 2 11" xfId="12243" xr:uid="{00000000-0005-0000-0000-0000370A0000}"/>
    <cellStyle name="Финансовый 10 2 11 2" xfId="36198" xr:uid="{00000000-0005-0000-0000-0000380A0000}"/>
    <cellStyle name="Финансовый 10 2 12" xfId="24221" xr:uid="{00000000-0005-0000-0000-0000390A0000}"/>
    <cellStyle name="Финансовый 10 2 13" xfId="48179" xr:uid="{00000000-0005-0000-0000-00003A0A0000}"/>
    <cellStyle name="Финансовый 10 2 2" xfId="1359" xr:uid="{00000000-0005-0000-0000-00003B0A0000}"/>
    <cellStyle name="Финансовый 10 2 2 2" xfId="2317" xr:uid="{00000000-0005-0000-0000-00003C0A0000}"/>
    <cellStyle name="Финансовый 10 2 2 2 2" xfId="3962" xr:uid="{00000000-0005-0000-0000-00003D0A0000}"/>
    <cellStyle name="Финансовый 10 2 2 2 2 2" xfId="11702" xr:uid="{00000000-0005-0000-0000-00003E0A0000}"/>
    <cellStyle name="Финансовый 10 2 2 2 2 2 2" xfId="23680" xr:uid="{00000000-0005-0000-0000-00003F0A0000}"/>
    <cellStyle name="Финансовый 10 2 2 2 2 2 2 2" xfId="47635" xr:uid="{00000000-0005-0000-0000-0000400A0000}"/>
    <cellStyle name="Финансовый 10 2 2 2 2 2 3" xfId="35657" xr:uid="{00000000-0005-0000-0000-0000410A0000}"/>
    <cellStyle name="Финансовый 10 2 2 2 2 3" xfId="15941" xr:uid="{00000000-0005-0000-0000-0000420A0000}"/>
    <cellStyle name="Финансовый 10 2 2 2 2 3 2" xfId="39896" xr:uid="{00000000-0005-0000-0000-0000430A0000}"/>
    <cellStyle name="Финансовый 10 2 2 2 2 4" xfId="27919" xr:uid="{00000000-0005-0000-0000-0000440A0000}"/>
    <cellStyle name="Финансовый 10 2 2 2 2 5" xfId="51188" xr:uid="{00000000-0005-0000-0000-0000450A0000}"/>
    <cellStyle name="Финансовый 10 2 2 2 3" xfId="5745" xr:uid="{00000000-0005-0000-0000-0000460A0000}"/>
    <cellStyle name="Финансовый 10 2 2 2 3 2" xfId="17723" xr:uid="{00000000-0005-0000-0000-0000470A0000}"/>
    <cellStyle name="Финансовый 10 2 2 2 3 2 2" xfId="41678" xr:uid="{00000000-0005-0000-0000-0000480A0000}"/>
    <cellStyle name="Финансовый 10 2 2 2 3 3" xfId="29700" xr:uid="{00000000-0005-0000-0000-0000490A0000}"/>
    <cellStyle name="Финансовый 10 2 2 2 4" xfId="8355" xr:uid="{00000000-0005-0000-0000-00004A0A0000}"/>
    <cellStyle name="Финансовый 10 2 2 2 4 2" xfId="20333" xr:uid="{00000000-0005-0000-0000-00004B0A0000}"/>
    <cellStyle name="Финансовый 10 2 2 2 4 2 2" xfId="44288" xr:uid="{00000000-0005-0000-0000-00004C0A0000}"/>
    <cellStyle name="Финансовый 10 2 2 2 4 3" xfId="32310" xr:uid="{00000000-0005-0000-0000-00004D0A0000}"/>
    <cellStyle name="Финансовый 10 2 2 2 5" xfId="10138" xr:uid="{00000000-0005-0000-0000-00004E0A0000}"/>
    <cellStyle name="Финансовый 10 2 2 2 5 2" xfId="22116" xr:uid="{00000000-0005-0000-0000-00004F0A0000}"/>
    <cellStyle name="Финансовый 10 2 2 2 5 2 2" xfId="46071" xr:uid="{00000000-0005-0000-0000-0000500A0000}"/>
    <cellStyle name="Финансовый 10 2 2 2 5 3" xfId="34093" xr:uid="{00000000-0005-0000-0000-0000510A0000}"/>
    <cellStyle name="Финансовый 10 2 2 2 6" xfId="14296" xr:uid="{00000000-0005-0000-0000-0000520A0000}"/>
    <cellStyle name="Финансовый 10 2 2 2 6 2" xfId="38251" xr:uid="{00000000-0005-0000-0000-0000530A0000}"/>
    <cellStyle name="Финансовый 10 2 2 2 7" xfId="26274" xr:uid="{00000000-0005-0000-0000-0000540A0000}"/>
    <cellStyle name="Финансовый 10 2 2 2 8" xfId="49407" xr:uid="{00000000-0005-0000-0000-0000550A0000}"/>
    <cellStyle name="Финансовый 10 2 2 3" xfId="3143" xr:uid="{00000000-0005-0000-0000-0000560A0000}"/>
    <cellStyle name="Финансовый 10 2 2 3 2" xfId="10930" xr:uid="{00000000-0005-0000-0000-0000570A0000}"/>
    <cellStyle name="Финансовый 10 2 2 3 2 2" xfId="22908" xr:uid="{00000000-0005-0000-0000-0000580A0000}"/>
    <cellStyle name="Финансовый 10 2 2 3 2 2 2" xfId="46863" xr:uid="{00000000-0005-0000-0000-0000590A0000}"/>
    <cellStyle name="Финансовый 10 2 2 3 2 3" xfId="34885" xr:uid="{00000000-0005-0000-0000-00005A0A0000}"/>
    <cellStyle name="Финансовый 10 2 2 3 3" xfId="15122" xr:uid="{00000000-0005-0000-0000-00005B0A0000}"/>
    <cellStyle name="Финансовый 10 2 2 3 3 2" xfId="39077" xr:uid="{00000000-0005-0000-0000-00005C0A0000}"/>
    <cellStyle name="Финансовый 10 2 2 3 4" xfId="27100" xr:uid="{00000000-0005-0000-0000-00005D0A0000}"/>
    <cellStyle name="Финансовый 10 2 2 3 5" xfId="50231" xr:uid="{00000000-0005-0000-0000-00005E0A0000}"/>
    <cellStyle name="Финансовый 10 2 2 4" xfId="4787" xr:uid="{00000000-0005-0000-0000-00005F0A0000}"/>
    <cellStyle name="Финансовый 10 2 2 4 2" xfId="16766" xr:uid="{00000000-0005-0000-0000-0000600A0000}"/>
    <cellStyle name="Финансовый 10 2 2 4 2 2" xfId="40721" xr:uid="{00000000-0005-0000-0000-0000610A0000}"/>
    <cellStyle name="Финансовый 10 2 2 4 3" xfId="28744" xr:uid="{00000000-0005-0000-0000-0000620A0000}"/>
    <cellStyle name="Финансовый 10 2 2 5" xfId="7399" xr:uid="{00000000-0005-0000-0000-0000630A0000}"/>
    <cellStyle name="Финансовый 10 2 2 5 2" xfId="19377" xr:uid="{00000000-0005-0000-0000-0000640A0000}"/>
    <cellStyle name="Финансовый 10 2 2 5 2 2" xfId="43332" xr:uid="{00000000-0005-0000-0000-0000650A0000}"/>
    <cellStyle name="Финансовый 10 2 2 5 3" xfId="31354" xr:uid="{00000000-0005-0000-0000-0000660A0000}"/>
    <cellStyle name="Финансовый 10 2 2 6" xfId="9181" xr:uid="{00000000-0005-0000-0000-0000670A0000}"/>
    <cellStyle name="Финансовый 10 2 2 6 2" xfId="21159" xr:uid="{00000000-0005-0000-0000-0000680A0000}"/>
    <cellStyle name="Финансовый 10 2 2 6 2 2" xfId="45114" xr:uid="{00000000-0005-0000-0000-0000690A0000}"/>
    <cellStyle name="Финансовый 10 2 2 6 3" xfId="33136" xr:uid="{00000000-0005-0000-0000-00006A0A0000}"/>
    <cellStyle name="Финансовый 10 2 2 7" xfId="13340" xr:uid="{00000000-0005-0000-0000-00006B0A0000}"/>
    <cellStyle name="Финансовый 10 2 2 7 2" xfId="37295" xr:uid="{00000000-0005-0000-0000-00006C0A0000}"/>
    <cellStyle name="Финансовый 10 2 2 8" xfId="25318" xr:uid="{00000000-0005-0000-0000-00006D0A0000}"/>
    <cellStyle name="Финансовый 10 2 2 9" xfId="48451" xr:uid="{00000000-0005-0000-0000-00006E0A0000}"/>
    <cellStyle name="Финансовый 10 2 3" xfId="2061" xr:uid="{00000000-0005-0000-0000-00006F0A0000}"/>
    <cellStyle name="Финансовый 10 2 3 2" xfId="3706" xr:uid="{00000000-0005-0000-0000-0000700A0000}"/>
    <cellStyle name="Финансовый 10 2 3 2 2" xfId="11446" xr:uid="{00000000-0005-0000-0000-0000710A0000}"/>
    <cellStyle name="Финансовый 10 2 3 2 2 2" xfId="23424" xr:uid="{00000000-0005-0000-0000-0000720A0000}"/>
    <cellStyle name="Финансовый 10 2 3 2 2 2 2" xfId="47379" xr:uid="{00000000-0005-0000-0000-0000730A0000}"/>
    <cellStyle name="Финансовый 10 2 3 2 2 3" xfId="35401" xr:uid="{00000000-0005-0000-0000-0000740A0000}"/>
    <cellStyle name="Финансовый 10 2 3 2 3" xfId="15685" xr:uid="{00000000-0005-0000-0000-0000750A0000}"/>
    <cellStyle name="Финансовый 10 2 3 2 3 2" xfId="39640" xr:uid="{00000000-0005-0000-0000-0000760A0000}"/>
    <cellStyle name="Финансовый 10 2 3 2 4" xfId="27663" xr:uid="{00000000-0005-0000-0000-0000770A0000}"/>
    <cellStyle name="Финансовый 10 2 3 2 5" xfId="50932" xr:uid="{00000000-0005-0000-0000-0000780A0000}"/>
    <cellStyle name="Финансовый 10 2 3 3" xfId="5489" xr:uid="{00000000-0005-0000-0000-0000790A0000}"/>
    <cellStyle name="Финансовый 10 2 3 3 2" xfId="17467" xr:uid="{00000000-0005-0000-0000-00007A0A0000}"/>
    <cellStyle name="Финансовый 10 2 3 3 2 2" xfId="41422" xr:uid="{00000000-0005-0000-0000-00007B0A0000}"/>
    <cellStyle name="Финансовый 10 2 3 3 3" xfId="29444" xr:uid="{00000000-0005-0000-0000-00007C0A0000}"/>
    <cellStyle name="Финансовый 10 2 3 4" xfId="8099" xr:uid="{00000000-0005-0000-0000-00007D0A0000}"/>
    <cellStyle name="Финансовый 10 2 3 4 2" xfId="20077" xr:uid="{00000000-0005-0000-0000-00007E0A0000}"/>
    <cellStyle name="Финансовый 10 2 3 4 2 2" xfId="44032" xr:uid="{00000000-0005-0000-0000-00007F0A0000}"/>
    <cellStyle name="Финансовый 10 2 3 4 3" xfId="32054" xr:uid="{00000000-0005-0000-0000-0000800A0000}"/>
    <cellStyle name="Финансовый 10 2 3 5" xfId="9882" xr:uid="{00000000-0005-0000-0000-0000810A0000}"/>
    <cellStyle name="Финансовый 10 2 3 5 2" xfId="21860" xr:uid="{00000000-0005-0000-0000-0000820A0000}"/>
    <cellStyle name="Финансовый 10 2 3 5 2 2" xfId="45815" xr:uid="{00000000-0005-0000-0000-0000830A0000}"/>
    <cellStyle name="Финансовый 10 2 3 5 3" xfId="33837" xr:uid="{00000000-0005-0000-0000-0000840A0000}"/>
    <cellStyle name="Финансовый 10 2 3 6" xfId="14040" xr:uid="{00000000-0005-0000-0000-0000850A0000}"/>
    <cellStyle name="Финансовый 10 2 3 6 2" xfId="37995" xr:uid="{00000000-0005-0000-0000-0000860A0000}"/>
    <cellStyle name="Финансовый 10 2 3 7" xfId="26018" xr:uid="{00000000-0005-0000-0000-0000870A0000}"/>
    <cellStyle name="Финансовый 10 2 3 8" xfId="49151" xr:uid="{00000000-0005-0000-0000-0000880A0000}"/>
    <cellStyle name="Финансовый 10 2 4" xfId="2590" xr:uid="{00000000-0005-0000-0000-0000890A0000}"/>
    <cellStyle name="Финансовый 10 2 4 2" xfId="4235" xr:uid="{00000000-0005-0000-0000-00008A0A0000}"/>
    <cellStyle name="Финансовый 10 2 4 2 2" xfId="11959" xr:uid="{00000000-0005-0000-0000-00008B0A0000}"/>
    <cellStyle name="Финансовый 10 2 4 2 2 2" xfId="23937" xr:uid="{00000000-0005-0000-0000-00008C0A0000}"/>
    <cellStyle name="Финансовый 10 2 4 2 2 2 2" xfId="47892" xr:uid="{00000000-0005-0000-0000-00008D0A0000}"/>
    <cellStyle name="Финансовый 10 2 4 2 2 3" xfId="35914" xr:uid="{00000000-0005-0000-0000-00008E0A0000}"/>
    <cellStyle name="Финансовый 10 2 4 2 3" xfId="16214" xr:uid="{00000000-0005-0000-0000-00008F0A0000}"/>
    <cellStyle name="Финансовый 10 2 4 2 3 2" xfId="40169" xr:uid="{00000000-0005-0000-0000-0000900A0000}"/>
    <cellStyle name="Финансовый 10 2 4 2 4" xfId="28192" xr:uid="{00000000-0005-0000-0000-0000910A0000}"/>
    <cellStyle name="Финансовый 10 2 4 2 5" xfId="51461" xr:uid="{00000000-0005-0000-0000-0000920A0000}"/>
    <cellStyle name="Финансовый 10 2 4 3" xfId="6018" xr:uid="{00000000-0005-0000-0000-0000930A0000}"/>
    <cellStyle name="Финансовый 10 2 4 3 2" xfId="17996" xr:uid="{00000000-0005-0000-0000-0000940A0000}"/>
    <cellStyle name="Финансовый 10 2 4 3 2 2" xfId="41951" xr:uid="{00000000-0005-0000-0000-0000950A0000}"/>
    <cellStyle name="Финансовый 10 2 4 3 3" xfId="29973" xr:uid="{00000000-0005-0000-0000-0000960A0000}"/>
    <cellStyle name="Финансовый 10 2 4 4" xfId="8628" xr:uid="{00000000-0005-0000-0000-0000970A0000}"/>
    <cellStyle name="Финансовый 10 2 4 4 2" xfId="20606" xr:uid="{00000000-0005-0000-0000-0000980A0000}"/>
    <cellStyle name="Финансовый 10 2 4 4 2 2" xfId="44561" xr:uid="{00000000-0005-0000-0000-0000990A0000}"/>
    <cellStyle name="Финансовый 10 2 4 4 3" xfId="32583" xr:uid="{00000000-0005-0000-0000-00009A0A0000}"/>
    <cellStyle name="Финансовый 10 2 4 5" xfId="10411" xr:uid="{00000000-0005-0000-0000-00009B0A0000}"/>
    <cellStyle name="Финансовый 10 2 4 5 2" xfId="22389" xr:uid="{00000000-0005-0000-0000-00009C0A0000}"/>
    <cellStyle name="Финансовый 10 2 4 5 2 2" xfId="46344" xr:uid="{00000000-0005-0000-0000-00009D0A0000}"/>
    <cellStyle name="Финансовый 10 2 4 5 3" xfId="34366" xr:uid="{00000000-0005-0000-0000-00009E0A0000}"/>
    <cellStyle name="Финансовый 10 2 4 6" xfId="14569" xr:uid="{00000000-0005-0000-0000-00009F0A0000}"/>
    <cellStyle name="Финансовый 10 2 4 6 2" xfId="38524" xr:uid="{00000000-0005-0000-0000-0000A00A0000}"/>
    <cellStyle name="Финансовый 10 2 4 7" xfId="26547" xr:uid="{00000000-0005-0000-0000-0000A10A0000}"/>
    <cellStyle name="Финансовый 10 2 4 8" xfId="49680" xr:uid="{00000000-0005-0000-0000-0000A20A0000}"/>
    <cellStyle name="Финансовый 10 2 5" xfId="1094" xr:uid="{00000000-0005-0000-0000-0000A30A0000}"/>
    <cellStyle name="Финансовый 10 2 5 2" xfId="7134" xr:uid="{00000000-0005-0000-0000-0000A40A0000}"/>
    <cellStyle name="Финансовый 10 2 5 2 2" xfId="19112" xr:uid="{00000000-0005-0000-0000-0000A50A0000}"/>
    <cellStyle name="Финансовый 10 2 5 2 2 2" xfId="43067" xr:uid="{00000000-0005-0000-0000-0000A60A0000}"/>
    <cellStyle name="Финансовый 10 2 5 2 3" xfId="31089" xr:uid="{00000000-0005-0000-0000-0000A70A0000}"/>
    <cellStyle name="Финансовый 10 2 5 3" xfId="10674" xr:uid="{00000000-0005-0000-0000-0000A80A0000}"/>
    <cellStyle name="Финансовый 10 2 5 3 2" xfId="22652" xr:uid="{00000000-0005-0000-0000-0000A90A0000}"/>
    <cellStyle name="Финансовый 10 2 5 3 2 2" xfId="46607" xr:uid="{00000000-0005-0000-0000-0000AA0A0000}"/>
    <cellStyle name="Финансовый 10 2 5 3 3" xfId="34629" xr:uid="{00000000-0005-0000-0000-0000AB0A0000}"/>
    <cellStyle name="Финансовый 10 2 5 4" xfId="13075" xr:uid="{00000000-0005-0000-0000-0000AC0A0000}"/>
    <cellStyle name="Финансовый 10 2 5 4 2" xfId="37030" xr:uid="{00000000-0005-0000-0000-0000AD0A0000}"/>
    <cellStyle name="Финансовый 10 2 5 5" xfId="25053" xr:uid="{00000000-0005-0000-0000-0000AE0A0000}"/>
    <cellStyle name="Финансовый 10 2 5 6" xfId="49959" xr:uid="{00000000-0005-0000-0000-0000AF0A0000}"/>
    <cellStyle name="Финансовый 10 2 6" xfId="682" xr:uid="{00000000-0005-0000-0000-0000B00A0000}"/>
    <cellStyle name="Финансовый 10 2 6 2" xfId="6722" xr:uid="{00000000-0005-0000-0000-0000B10A0000}"/>
    <cellStyle name="Финансовый 10 2 6 2 2" xfId="18700" xr:uid="{00000000-0005-0000-0000-0000B20A0000}"/>
    <cellStyle name="Финансовый 10 2 6 2 2 2" xfId="42655" xr:uid="{00000000-0005-0000-0000-0000B30A0000}"/>
    <cellStyle name="Финансовый 10 2 6 2 3" xfId="30677" xr:uid="{00000000-0005-0000-0000-0000B40A0000}"/>
    <cellStyle name="Финансовый 10 2 6 3" xfId="12663" xr:uid="{00000000-0005-0000-0000-0000B50A0000}"/>
    <cellStyle name="Финансовый 10 2 6 3 2" xfId="36618" xr:uid="{00000000-0005-0000-0000-0000B60A0000}"/>
    <cellStyle name="Финансовый 10 2 6 4" xfId="24641" xr:uid="{00000000-0005-0000-0000-0000B70A0000}"/>
    <cellStyle name="Финансовый 10 2 7" xfId="2871" xr:uid="{00000000-0005-0000-0000-0000B80A0000}"/>
    <cellStyle name="Финансовый 10 2 7 2" xfId="14850" xr:uid="{00000000-0005-0000-0000-0000B90A0000}"/>
    <cellStyle name="Финансовый 10 2 7 2 2" xfId="38805" xr:uid="{00000000-0005-0000-0000-0000BA0A0000}"/>
    <cellStyle name="Финансовый 10 2 7 3" xfId="26828" xr:uid="{00000000-0005-0000-0000-0000BB0A0000}"/>
    <cellStyle name="Финансовый 10 2 8" xfId="4515" xr:uid="{00000000-0005-0000-0000-0000BC0A0000}"/>
    <cellStyle name="Финансовый 10 2 8 2" xfId="16494" xr:uid="{00000000-0005-0000-0000-0000BD0A0000}"/>
    <cellStyle name="Финансовый 10 2 8 2 2" xfId="40449" xr:uid="{00000000-0005-0000-0000-0000BE0A0000}"/>
    <cellStyle name="Финансовый 10 2 8 3" xfId="28472" xr:uid="{00000000-0005-0000-0000-0000BF0A0000}"/>
    <cellStyle name="Финансовый 10 2 9" xfId="6302" xr:uid="{00000000-0005-0000-0000-0000C00A0000}"/>
    <cellStyle name="Финансовый 10 2 9 2" xfId="18280" xr:uid="{00000000-0005-0000-0000-0000C10A0000}"/>
    <cellStyle name="Финансовый 10 2 9 2 2" xfId="42235" xr:uid="{00000000-0005-0000-0000-0000C20A0000}"/>
    <cellStyle name="Финансовый 10 2 9 3" xfId="30257" xr:uid="{00000000-0005-0000-0000-0000C30A0000}"/>
    <cellStyle name="Финансовый 10 3" xfId="410" xr:uid="{00000000-0005-0000-0000-0000C40A0000}"/>
    <cellStyle name="Финансовый 10 3 10" xfId="24369" xr:uid="{00000000-0005-0000-0000-0000C50A0000}"/>
    <cellStyle name="Финансовый 10 3 11" xfId="48315" xr:uid="{00000000-0005-0000-0000-0000C60A0000}"/>
    <cellStyle name="Финансовый 10 3 2" xfId="2189" xr:uid="{00000000-0005-0000-0000-0000C70A0000}"/>
    <cellStyle name="Финансовый 10 3 2 2" xfId="3834" xr:uid="{00000000-0005-0000-0000-0000C80A0000}"/>
    <cellStyle name="Финансовый 10 3 2 2 2" xfId="11574" xr:uid="{00000000-0005-0000-0000-0000C90A0000}"/>
    <cellStyle name="Финансовый 10 3 2 2 2 2" xfId="23552" xr:uid="{00000000-0005-0000-0000-0000CA0A0000}"/>
    <cellStyle name="Финансовый 10 3 2 2 2 2 2" xfId="47507" xr:uid="{00000000-0005-0000-0000-0000CB0A0000}"/>
    <cellStyle name="Финансовый 10 3 2 2 2 3" xfId="35529" xr:uid="{00000000-0005-0000-0000-0000CC0A0000}"/>
    <cellStyle name="Финансовый 10 3 2 2 3" xfId="15813" xr:uid="{00000000-0005-0000-0000-0000CD0A0000}"/>
    <cellStyle name="Финансовый 10 3 2 2 3 2" xfId="39768" xr:uid="{00000000-0005-0000-0000-0000CE0A0000}"/>
    <cellStyle name="Финансовый 10 3 2 2 4" xfId="27791" xr:uid="{00000000-0005-0000-0000-0000CF0A0000}"/>
    <cellStyle name="Финансовый 10 3 2 2 5" xfId="51060" xr:uid="{00000000-0005-0000-0000-0000D00A0000}"/>
    <cellStyle name="Финансовый 10 3 2 3" xfId="5617" xr:uid="{00000000-0005-0000-0000-0000D10A0000}"/>
    <cellStyle name="Финансовый 10 3 2 3 2" xfId="17595" xr:uid="{00000000-0005-0000-0000-0000D20A0000}"/>
    <cellStyle name="Финансовый 10 3 2 3 2 2" xfId="41550" xr:uid="{00000000-0005-0000-0000-0000D30A0000}"/>
    <cellStyle name="Финансовый 10 3 2 3 3" xfId="29572" xr:uid="{00000000-0005-0000-0000-0000D40A0000}"/>
    <cellStyle name="Финансовый 10 3 2 4" xfId="8227" xr:uid="{00000000-0005-0000-0000-0000D50A0000}"/>
    <cellStyle name="Финансовый 10 3 2 4 2" xfId="20205" xr:uid="{00000000-0005-0000-0000-0000D60A0000}"/>
    <cellStyle name="Финансовый 10 3 2 4 2 2" xfId="44160" xr:uid="{00000000-0005-0000-0000-0000D70A0000}"/>
    <cellStyle name="Финансовый 10 3 2 4 3" xfId="32182" xr:uid="{00000000-0005-0000-0000-0000D80A0000}"/>
    <cellStyle name="Финансовый 10 3 2 5" xfId="10010" xr:uid="{00000000-0005-0000-0000-0000D90A0000}"/>
    <cellStyle name="Финансовый 10 3 2 5 2" xfId="21988" xr:uid="{00000000-0005-0000-0000-0000DA0A0000}"/>
    <cellStyle name="Финансовый 10 3 2 5 2 2" xfId="45943" xr:uid="{00000000-0005-0000-0000-0000DB0A0000}"/>
    <cellStyle name="Финансовый 10 3 2 5 3" xfId="33965" xr:uid="{00000000-0005-0000-0000-0000DC0A0000}"/>
    <cellStyle name="Финансовый 10 3 2 6" xfId="14168" xr:uid="{00000000-0005-0000-0000-0000DD0A0000}"/>
    <cellStyle name="Финансовый 10 3 2 6 2" xfId="38123" xr:uid="{00000000-0005-0000-0000-0000DE0A0000}"/>
    <cellStyle name="Финансовый 10 3 2 7" xfId="26146" xr:uid="{00000000-0005-0000-0000-0000DF0A0000}"/>
    <cellStyle name="Финансовый 10 3 2 8" xfId="49279" xr:uid="{00000000-0005-0000-0000-0000E00A0000}"/>
    <cellStyle name="Финансовый 10 3 3" xfId="1223" xr:uid="{00000000-0005-0000-0000-0000E10A0000}"/>
    <cellStyle name="Финансовый 10 3 3 2" xfId="7263" xr:uid="{00000000-0005-0000-0000-0000E20A0000}"/>
    <cellStyle name="Финансовый 10 3 3 2 2" xfId="19241" xr:uid="{00000000-0005-0000-0000-0000E30A0000}"/>
    <cellStyle name="Финансовый 10 3 3 2 2 2" xfId="43196" xr:uid="{00000000-0005-0000-0000-0000E40A0000}"/>
    <cellStyle name="Финансовый 10 3 3 2 3" xfId="31218" xr:uid="{00000000-0005-0000-0000-0000E50A0000}"/>
    <cellStyle name="Финансовый 10 3 3 3" xfId="10802" xr:uid="{00000000-0005-0000-0000-0000E60A0000}"/>
    <cellStyle name="Финансовый 10 3 3 3 2" xfId="22780" xr:uid="{00000000-0005-0000-0000-0000E70A0000}"/>
    <cellStyle name="Финансовый 10 3 3 3 2 2" xfId="46735" xr:uid="{00000000-0005-0000-0000-0000E80A0000}"/>
    <cellStyle name="Финансовый 10 3 3 3 3" xfId="34757" xr:uid="{00000000-0005-0000-0000-0000E90A0000}"/>
    <cellStyle name="Финансовый 10 3 3 4" xfId="13204" xr:uid="{00000000-0005-0000-0000-0000EA0A0000}"/>
    <cellStyle name="Финансовый 10 3 3 4 2" xfId="37159" xr:uid="{00000000-0005-0000-0000-0000EB0A0000}"/>
    <cellStyle name="Финансовый 10 3 3 5" xfId="25182" xr:uid="{00000000-0005-0000-0000-0000EC0A0000}"/>
    <cellStyle name="Финансовый 10 3 3 6" xfId="50095" xr:uid="{00000000-0005-0000-0000-0000ED0A0000}"/>
    <cellStyle name="Финансовый 10 3 4" xfId="830" xr:uid="{00000000-0005-0000-0000-0000EE0A0000}"/>
    <cellStyle name="Финансовый 10 3 4 2" xfId="6870" xr:uid="{00000000-0005-0000-0000-0000EF0A0000}"/>
    <cellStyle name="Финансовый 10 3 4 2 2" xfId="18848" xr:uid="{00000000-0005-0000-0000-0000F00A0000}"/>
    <cellStyle name="Финансовый 10 3 4 2 2 2" xfId="42803" xr:uid="{00000000-0005-0000-0000-0000F10A0000}"/>
    <cellStyle name="Финансовый 10 3 4 2 3" xfId="30825" xr:uid="{00000000-0005-0000-0000-0000F20A0000}"/>
    <cellStyle name="Финансовый 10 3 4 3" xfId="12811" xr:uid="{00000000-0005-0000-0000-0000F30A0000}"/>
    <cellStyle name="Финансовый 10 3 4 3 2" xfId="36766" xr:uid="{00000000-0005-0000-0000-0000F40A0000}"/>
    <cellStyle name="Финансовый 10 3 4 4" xfId="24789" xr:uid="{00000000-0005-0000-0000-0000F50A0000}"/>
    <cellStyle name="Финансовый 10 3 5" xfId="3007" xr:uid="{00000000-0005-0000-0000-0000F60A0000}"/>
    <cellStyle name="Финансовый 10 3 5 2" xfId="14986" xr:uid="{00000000-0005-0000-0000-0000F70A0000}"/>
    <cellStyle name="Финансовый 10 3 5 2 2" xfId="38941" xr:uid="{00000000-0005-0000-0000-0000F80A0000}"/>
    <cellStyle name="Финансовый 10 3 5 3" xfId="26964" xr:uid="{00000000-0005-0000-0000-0000F90A0000}"/>
    <cellStyle name="Финансовый 10 3 6" xfId="4651" xr:uid="{00000000-0005-0000-0000-0000FA0A0000}"/>
    <cellStyle name="Финансовый 10 3 6 2" xfId="16630" xr:uid="{00000000-0005-0000-0000-0000FB0A0000}"/>
    <cellStyle name="Финансовый 10 3 6 2 2" xfId="40585" xr:uid="{00000000-0005-0000-0000-0000FC0A0000}"/>
    <cellStyle name="Финансовый 10 3 6 3" xfId="28608" xr:uid="{00000000-0005-0000-0000-0000FD0A0000}"/>
    <cellStyle name="Финансовый 10 3 7" xfId="6450" xr:uid="{00000000-0005-0000-0000-0000FE0A0000}"/>
    <cellStyle name="Финансовый 10 3 7 2" xfId="18428" xr:uid="{00000000-0005-0000-0000-0000FF0A0000}"/>
    <cellStyle name="Финансовый 10 3 7 2 2" xfId="42383" xr:uid="{00000000-0005-0000-0000-0000000B0000}"/>
    <cellStyle name="Финансовый 10 3 7 3" xfId="30405" xr:uid="{00000000-0005-0000-0000-0000010B0000}"/>
    <cellStyle name="Финансовый 10 3 8" xfId="9045" xr:uid="{00000000-0005-0000-0000-0000020B0000}"/>
    <cellStyle name="Финансовый 10 3 8 2" xfId="21023" xr:uid="{00000000-0005-0000-0000-0000030B0000}"/>
    <cellStyle name="Финансовый 10 3 8 2 2" xfId="44978" xr:uid="{00000000-0005-0000-0000-0000040B0000}"/>
    <cellStyle name="Финансовый 10 3 8 3" xfId="33000" xr:uid="{00000000-0005-0000-0000-0000050B0000}"/>
    <cellStyle name="Финансовый 10 3 9" xfId="12391" xr:uid="{00000000-0005-0000-0000-0000060B0000}"/>
    <cellStyle name="Финансовый 10 3 9 2" xfId="36346" xr:uid="{00000000-0005-0000-0000-0000070B0000}"/>
    <cellStyle name="Финансовый 10 4" xfId="1444" xr:uid="{00000000-0005-0000-0000-0000080B0000}"/>
    <cellStyle name="Финансовый 10 4 2" xfId="1933" xr:uid="{00000000-0005-0000-0000-0000090B0000}"/>
    <cellStyle name="Финансовый 10 4 2 2" xfId="3578" xr:uid="{00000000-0005-0000-0000-00000A0B0000}"/>
    <cellStyle name="Финансовый 10 4 2 2 2" xfId="11318" xr:uid="{00000000-0005-0000-0000-00000B0B0000}"/>
    <cellStyle name="Финансовый 10 4 2 2 2 2" xfId="23296" xr:uid="{00000000-0005-0000-0000-00000C0B0000}"/>
    <cellStyle name="Финансовый 10 4 2 2 2 2 2" xfId="47251" xr:uid="{00000000-0005-0000-0000-00000D0B0000}"/>
    <cellStyle name="Финансовый 10 4 2 2 2 3" xfId="35273" xr:uid="{00000000-0005-0000-0000-00000E0B0000}"/>
    <cellStyle name="Финансовый 10 4 2 2 3" xfId="15557" xr:uid="{00000000-0005-0000-0000-00000F0B0000}"/>
    <cellStyle name="Финансовый 10 4 2 2 3 2" xfId="39512" xr:uid="{00000000-0005-0000-0000-0000100B0000}"/>
    <cellStyle name="Финансовый 10 4 2 2 4" xfId="27535" xr:uid="{00000000-0005-0000-0000-0000110B0000}"/>
    <cellStyle name="Финансовый 10 4 2 2 5" xfId="50804" xr:uid="{00000000-0005-0000-0000-0000120B0000}"/>
    <cellStyle name="Финансовый 10 4 2 3" xfId="5361" xr:uid="{00000000-0005-0000-0000-0000130B0000}"/>
    <cellStyle name="Финансовый 10 4 2 3 2" xfId="17339" xr:uid="{00000000-0005-0000-0000-0000140B0000}"/>
    <cellStyle name="Финансовый 10 4 2 3 2 2" xfId="41294" xr:uid="{00000000-0005-0000-0000-0000150B0000}"/>
    <cellStyle name="Финансовый 10 4 2 3 3" xfId="29316" xr:uid="{00000000-0005-0000-0000-0000160B0000}"/>
    <cellStyle name="Финансовый 10 4 2 4" xfId="7971" xr:uid="{00000000-0005-0000-0000-0000170B0000}"/>
    <cellStyle name="Финансовый 10 4 2 4 2" xfId="19949" xr:uid="{00000000-0005-0000-0000-0000180B0000}"/>
    <cellStyle name="Финансовый 10 4 2 4 2 2" xfId="43904" xr:uid="{00000000-0005-0000-0000-0000190B0000}"/>
    <cellStyle name="Финансовый 10 4 2 4 3" xfId="31926" xr:uid="{00000000-0005-0000-0000-00001A0B0000}"/>
    <cellStyle name="Финансовый 10 4 2 5" xfId="9754" xr:uid="{00000000-0005-0000-0000-00001B0B0000}"/>
    <cellStyle name="Финансовый 10 4 2 5 2" xfId="21732" xr:uid="{00000000-0005-0000-0000-00001C0B0000}"/>
    <cellStyle name="Финансовый 10 4 2 5 2 2" xfId="45687" xr:uid="{00000000-0005-0000-0000-00001D0B0000}"/>
    <cellStyle name="Финансовый 10 4 2 5 3" xfId="33709" xr:uid="{00000000-0005-0000-0000-00001E0B0000}"/>
    <cellStyle name="Финансовый 10 4 2 6" xfId="13912" xr:uid="{00000000-0005-0000-0000-00001F0B0000}"/>
    <cellStyle name="Финансовый 10 4 2 6 2" xfId="37867" xr:uid="{00000000-0005-0000-0000-0000200B0000}"/>
    <cellStyle name="Финансовый 10 4 2 7" xfId="25890" xr:uid="{00000000-0005-0000-0000-0000210B0000}"/>
    <cellStyle name="Финансовый 10 4 2 8" xfId="49023" xr:uid="{00000000-0005-0000-0000-0000220B0000}"/>
    <cellStyle name="Финансовый 10 4 3" xfId="4872" xr:uid="{00000000-0005-0000-0000-0000230B0000}"/>
    <cellStyle name="Финансовый 10 4 3 2" xfId="16850" xr:uid="{00000000-0005-0000-0000-0000240B0000}"/>
    <cellStyle name="Финансовый 10 4 3 2 2" xfId="40805" xr:uid="{00000000-0005-0000-0000-0000250B0000}"/>
    <cellStyle name="Финансовый 10 4 3 3" xfId="28827" xr:uid="{00000000-0005-0000-0000-0000260B0000}"/>
    <cellStyle name="Финансовый 10 4 3 4" xfId="50315" xr:uid="{00000000-0005-0000-0000-0000270B0000}"/>
    <cellStyle name="Финансовый 10 4 4" xfId="7482" xr:uid="{00000000-0005-0000-0000-0000280B0000}"/>
    <cellStyle name="Финансовый 10 4 4 2" xfId="19460" xr:uid="{00000000-0005-0000-0000-0000290B0000}"/>
    <cellStyle name="Финансовый 10 4 4 2 2" xfId="43415" xr:uid="{00000000-0005-0000-0000-00002A0B0000}"/>
    <cellStyle name="Финансовый 10 4 4 3" xfId="31437" xr:uid="{00000000-0005-0000-0000-00002B0B0000}"/>
    <cellStyle name="Финансовый 10 4 5" xfId="9265" xr:uid="{00000000-0005-0000-0000-00002C0B0000}"/>
    <cellStyle name="Финансовый 10 4 5 2" xfId="21243" xr:uid="{00000000-0005-0000-0000-00002D0B0000}"/>
    <cellStyle name="Финансовый 10 4 5 2 2" xfId="45198" xr:uid="{00000000-0005-0000-0000-00002E0B0000}"/>
    <cellStyle name="Финансовый 10 4 5 3" xfId="33220" xr:uid="{00000000-0005-0000-0000-00002F0B0000}"/>
    <cellStyle name="Финансовый 10 4 6" xfId="13423" xr:uid="{00000000-0005-0000-0000-0000300B0000}"/>
    <cellStyle name="Финансовый 10 4 6 2" xfId="37378" xr:uid="{00000000-0005-0000-0000-0000310B0000}"/>
    <cellStyle name="Финансовый 10 4 7" xfId="25401" xr:uid="{00000000-0005-0000-0000-0000320B0000}"/>
    <cellStyle name="Финансовый 10 4 8" xfId="48534" xr:uid="{00000000-0005-0000-0000-0000330B0000}"/>
    <cellStyle name="Финансовый 10 5" xfId="1809" xr:uid="{00000000-0005-0000-0000-0000340B0000}"/>
    <cellStyle name="Финансовый 10 5 2" xfId="3454" xr:uid="{00000000-0005-0000-0000-0000350B0000}"/>
    <cellStyle name="Финансовый 10 5 2 2" xfId="11202" xr:uid="{00000000-0005-0000-0000-0000360B0000}"/>
    <cellStyle name="Финансовый 10 5 2 2 2" xfId="23180" xr:uid="{00000000-0005-0000-0000-0000370B0000}"/>
    <cellStyle name="Финансовый 10 5 2 2 2 2" xfId="47135" xr:uid="{00000000-0005-0000-0000-0000380B0000}"/>
    <cellStyle name="Финансовый 10 5 2 2 3" xfId="35157" xr:uid="{00000000-0005-0000-0000-0000390B0000}"/>
    <cellStyle name="Финансовый 10 5 2 3" xfId="15433" xr:uid="{00000000-0005-0000-0000-00003A0B0000}"/>
    <cellStyle name="Финансовый 10 5 2 3 2" xfId="39388" xr:uid="{00000000-0005-0000-0000-00003B0B0000}"/>
    <cellStyle name="Финансовый 10 5 2 4" xfId="27411" xr:uid="{00000000-0005-0000-0000-00003C0B0000}"/>
    <cellStyle name="Финансовый 10 5 2 5" xfId="50680" xr:uid="{00000000-0005-0000-0000-00003D0B0000}"/>
    <cellStyle name="Финансовый 10 5 3" xfId="5237" xr:uid="{00000000-0005-0000-0000-00003E0B0000}"/>
    <cellStyle name="Финансовый 10 5 3 2" xfId="17215" xr:uid="{00000000-0005-0000-0000-00003F0B0000}"/>
    <cellStyle name="Финансовый 10 5 3 2 2" xfId="41170" xr:uid="{00000000-0005-0000-0000-0000400B0000}"/>
    <cellStyle name="Финансовый 10 5 3 3" xfId="29192" xr:uid="{00000000-0005-0000-0000-0000410B0000}"/>
    <cellStyle name="Финансовый 10 5 4" xfId="7847" xr:uid="{00000000-0005-0000-0000-0000420B0000}"/>
    <cellStyle name="Финансовый 10 5 4 2" xfId="19825" xr:uid="{00000000-0005-0000-0000-0000430B0000}"/>
    <cellStyle name="Финансовый 10 5 4 2 2" xfId="43780" xr:uid="{00000000-0005-0000-0000-0000440B0000}"/>
    <cellStyle name="Финансовый 10 5 4 3" xfId="31802" xr:uid="{00000000-0005-0000-0000-0000450B0000}"/>
    <cellStyle name="Финансовый 10 5 5" xfId="9630" xr:uid="{00000000-0005-0000-0000-0000460B0000}"/>
    <cellStyle name="Финансовый 10 5 5 2" xfId="21608" xr:uid="{00000000-0005-0000-0000-0000470B0000}"/>
    <cellStyle name="Финансовый 10 5 5 2 2" xfId="45563" xr:uid="{00000000-0005-0000-0000-0000480B0000}"/>
    <cellStyle name="Финансовый 10 5 5 3" xfId="33585" xr:uid="{00000000-0005-0000-0000-0000490B0000}"/>
    <cellStyle name="Финансовый 10 5 6" xfId="13788" xr:uid="{00000000-0005-0000-0000-00004A0B0000}"/>
    <cellStyle name="Финансовый 10 5 6 2" xfId="37743" xr:uid="{00000000-0005-0000-0000-00004B0B0000}"/>
    <cellStyle name="Финансовый 10 5 7" xfId="25766" xr:uid="{00000000-0005-0000-0000-00004C0B0000}"/>
    <cellStyle name="Финансовый 10 5 8" xfId="48899" xr:uid="{00000000-0005-0000-0000-00004D0B0000}"/>
    <cellStyle name="Финансовый 10 6" xfId="2454" xr:uid="{00000000-0005-0000-0000-00004E0B0000}"/>
    <cellStyle name="Финансовый 10 6 2" xfId="4099" xr:uid="{00000000-0005-0000-0000-00004F0B0000}"/>
    <cellStyle name="Финансовый 10 6 2 2" xfId="11831" xr:uid="{00000000-0005-0000-0000-0000500B0000}"/>
    <cellStyle name="Финансовый 10 6 2 2 2" xfId="23809" xr:uid="{00000000-0005-0000-0000-0000510B0000}"/>
    <cellStyle name="Финансовый 10 6 2 2 2 2" xfId="47764" xr:uid="{00000000-0005-0000-0000-0000520B0000}"/>
    <cellStyle name="Финансовый 10 6 2 2 3" xfId="35786" xr:uid="{00000000-0005-0000-0000-0000530B0000}"/>
    <cellStyle name="Финансовый 10 6 2 3" xfId="16078" xr:uid="{00000000-0005-0000-0000-0000540B0000}"/>
    <cellStyle name="Финансовый 10 6 2 3 2" xfId="40033" xr:uid="{00000000-0005-0000-0000-0000550B0000}"/>
    <cellStyle name="Финансовый 10 6 2 4" xfId="28056" xr:uid="{00000000-0005-0000-0000-0000560B0000}"/>
    <cellStyle name="Финансовый 10 6 2 5" xfId="51325" xr:uid="{00000000-0005-0000-0000-0000570B0000}"/>
    <cellStyle name="Финансовый 10 6 3" xfId="5882" xr:uid="{00000000-0005-0000-0000-0000580B0000}"/>
    <cellStyle name="Финансовый 10 6 3 2" xfId="17860" xr:uid="{00000000-0005-0000-0000-0000590B0000}"/>
    <cellStyle name="Финансовый 10 6 3 2 2" xfId="41815" xr:uid="{00000000-0005-0000-0000-00005A0B0000}"/>
    <cellStyle name="Финансовый 10 6 3 3" xfId="29837" xr:uid="{00000000-0005-0000-0000-00005B0B0000}"/>
    <cellStyle name="Финансовый 10 6 4" xfId="8492" xr:uid="{00000000-0005-0000-0000-00005C0B0000}"/>
    <cellStyle name="Финансовый 10 6 4 2" xfId="20470" xr:uid="{00000000-0005-0000-0000-00005D0B0000}"/>
    <cellStyle name="Финансовый 10 6 4 2 2" xfId="44425" xr:uid="{00000000-0005-0000-0000-00005E0B0000}"/>
    <cellStyle name="Финансовый 10 6 4 3" xfId="32447" xr:uid="{00000000-0005-0000-0000-00005F0B0000}"/>
    <cellStyle name="Финансовый 10 6 5" xfId="10275" xr:uid="{00000000-0005-0000-0000-0000600B0000}"/>
    <cellStyle name="Финансовый 10 6 5 2" xfId="22253" xr:uid="{00000000-0005-0000-0000-0000610B0000}"/>
    <cellStyle name="Финансовый 10 6 5 2 2" xfId="46208" xr:uid="{00000000-0005-0000-0000-0000620B0000}"/>
    <cellStyle name="Финансовый 10 6 5 3" xfId="34230" xr:uid="{00000000-0005-0000-0000-0000630B0000}"/>
    <cellStyle name="Финансовый 10 6 6" xfId="14433" xr:uid="{00000000-0005-0000-0000-0000640B0000}"/>
    <cellStyle name="Финансовый 10 6 6 2" xfId="38388" xr:uid="{00000000-0005-0000-0000-0000650B0000}"/>
    <cellStyle name="Финансовый 10 6 7" xfId="26411" xr:uid="{00000000-0005-0000-0000-0000660B0000}"/>
    <cellStyle name="Финансовый 10 6 8" xfId="49544" xr:uid="{00000000-0005-0000-0000-0000670B0000}"/>
    <cellStyle name="Финансовый 10 7" xfId="1681" xr:uid="{00000000-0005-0000-0000-0000680B0000}"/>
    <cellStyle name="Финансовый 10 7 2" xfId="3326" xr:uid="{00000000-0005-0000-0000-0000690B0000}"/>
    <cellStyle name="Финансовый 10 7 2 2" xfId="11074" xr:uid="{00000000-0005-0000-0000-00006A0B0000}"/>
    <cellStyle name="Финансовый 10 7 2 2 2" xfId="23052" xr:uid="{00000000-0005-0000-0000-00006B0B0000}"/>
    <cellStyle name="Финансовый 10 7 2 2 2 2" xfId="47007" xr:uid="{00000000-0005-0000-0000-00006C0B0000}"/>
    <cellStyle name="Финансовый 10 7 2 2 3" xfId="35029" xr:uid="{00000000-0005-0000-0000-00006D0B0000}"/>
    <cellStyle name="Финансовый 10 7 2 3" xfId="15305" xr:uid="{00000000-0005-0000-0000-00006E0B0000}"/>
    <cellStyle name="Финансовый 10 7 2 3 2" xfId="39260" xr:uid="{00000000-0005-0000-0000-00006F0B0000}"/>
    <cellStyle name="Финансовый 10 7 2 4" xfId="27283" xr:uid="{00000000-0005-0000-0000-0000700B0000}"/>
    <cellStyle name="Финансовый 10 7 2 5" xfId="50552" xr:uid="{00000000-0005-0000-0000-0000710B0000}"/>
    <cellStyle name="Финансовый 10 7 3" xfId="5109" xr:uid="{00000000-0005-0000-0000-0000720B0000}"/>
    <cellStyle name="Финансовый 10 7 3 2" xfId="17087" xr:uid="{00000000-0005-0000-0000-0000730B0000}"/>
    <cellStyle name="Финансовый 10 7 3 2 2" xfId="41042" xr:uid="{00000000-0005-0000-0000-0000740B0000}"/>
    <cellStyle name="Финансовый 10 7 3 3" xfId="29064" xr:uid="{00000000-0005-0000-0000-0000750B0000}"/>
    <cellStyle name="Финансовый 10 7 4" xfId="7719" xr:uid="{00000000-0005-0000-0000-0000760B0000}"/>
    <cellStyle name="Финансовый 10 7 4 2" xfId="19697" xr:uid="{00000000-0005-0000-0000-0000770B0000}"/>
    <cellStyle name="Финансовый 10 7 4 2 2" xfId="43652" xr:uid="{00000000-0005-0000-0000-0000780B0000}"/>
    <cellStyle name="Финансовый 10 7 4 3" xfId="31674" xr:uid="{00000000-0005-0000-0000-0000790B0000}"/>
    <cellStyle name="Финансовый 10 7 5" xfId="9502" xr:uid="{00000000-0005-0000-0000-00007A0B0000}"/>
    <cellStyle name="Финансовый 10 7 5 2" xfId="21480" xr:uid="{00000000-0005-0000-0000-00007B0B0000}"/>
    <cellStyle name="Финансовый 10 7 5 2 2" xfId="45435" xr:uid="{00000000-0005-0000-0000-00007C0B0000}"/>
    <cellStyle name="Финансовый 10 7 5 3" xfId="33457" xr:uid="{00000000-0005-0000-0000-00007D0B0000}"/>
    <cellStyle name="Финансовый 10 7 6" xfId="13660" xr:uid="{00000000-0005-0000-0000-00007E0B0000}"/>
    <cellStyle name="Финансовый 10 7 6 2" xfId="37615" xr:uid="{00000000-0005-0000-0000-00007F0B0000}"/>
    <cellStyle name="Финансовый 10 7 7" xfId="25638" xr:uid="{00000000-0005-0000-0000-0000800B0000}"/>
    <cellStyle name="Финансовый 10 7 8" xfId="48771" xr:uid="{00000000-0005-0000-0000-0000810B0000}"/>
    <cellStyle name="Финансовый 10 8" xfId="958" xr:uid="{00000000-0005-0000-0000-0000820B0000}"/>
    <cellStyle name="Финансовый 10 8 2" xfId="6998" xr:uid="{00000000-0005-0000-0000-0000830B0000}"/>
    <cellStyle name="Финансовый 10 8 2 2" xfId="18976" xr:uid="{00000000-0005-0000-0000-0000840B0000}"/>
    <cellStyle name="Финансовый 10 8 2 2 2" xfId="42931" xr:uid="{00000000-0005-0000-0000-0000850B0000}"/>
    <cellStyle name="Финансовый 10 8 2 3" xfId="30953" xr:uid="{00000000-0005-0000-0000-0000860B0000}"/>
    <cellStyle name="Финансовый 10 8 3" xfId="10546" xr:uid="{00000000-0005-0000-0000-0000870B0000}"/>
    <cellStyle name="Финансовый 10 8 3 2" xfId="22524" xr:uid="{00000000-0005-0000-0000-0000880B0000}"/>
    <cellStyle name="Финансовый 10 8 3 2 2" xfId="46479" xr:uid="{00000000-0005-0000-0000-0000890B0000}"/>
    <cellStyle name="Финансовый 10 8 3 3" xfId="34501" xr:uid="{00000000-0005-0000-0000-00008A0B0000}"/>
    <cellStyle name="Финансовый 10 8 4" xfId="12939" xr:uid="{00000000-0005-0000-0000-00008B0B0000}"/>
    <cellStyle name="Финансовый 10 8 4 2" xfId="36894" xr:uid="{00000000-0005-0000-0000-00008C0B0000}"/>
    <cellStyle name="Финансовый 10 8 5" xfId="24917" xr:uid="{00000000-0005-0000-0000-00008D0B0000}"/>
    <cellStyle name="Финансовый 10 8 6" xfId="49823" xr:uid="{00000000-0005-0000-0000-00008E0B0000}"/>
    <cellStyle name="Финансовый 10 9" xfId="546" xr:uid="{00000000-0005-0000-0000-00008F0B0000}"/>
    <cellStyle name="Финансовый 10 9 2" xfId="6586" xr:uid="{00000000-0005-0000-0000-0000900B0000}"/>
    <cellStyle name="Финансовый 10 9 2 2" xfId="18564" xr:uid="{00000000-0005-0000-0000-0000910B0000}"/>
    <cellStyle name="Финансовый 10 9 2 2 2" xfId="42519" xr:uid="{00000000-0005-0000-0000-0000920B0000}"/>
    <cellStyle name="Финансовый 10 9 2 3" xfId="30541" xr:uid="{00000000-0005-0000-0000-0000930B0000}"/>
    <cellStyle name="Финансовый 10 9 3" xfId="12527" xr:uid="{00000000-0005-0000-0000-0000940B0000}"/>
    <cellStyle name="Финансовый 10 9 3 2" xfId="36482" xr:uid="{00000000-0005-0000-0000-0000950B0000}"/>
    <cellStyle name="Финансовый 10 9 4" xfId="24505" xr:uid="{00000000-0005-0000-0000-0000960B0000}"/>
    <cellStyle name="Финансовый 11" xfId="61" xr:uid="{00000000-0005-0000-0000-0000970B0000}"/>
    <cellStyle name="Финансовый 11 10" xfId="2673" xr:uid="{00000000-0005-0000-0000-0000980B0000}"/>
    <cellStyle name="Финансовый 11 10 2" xfId="14652" xr:uid="{00000000-0005-0000-0000-0000990B0000}"/>
    <cellStyle name="Финансовый 11 10 2 2" xfId="38607" xr:uid="{00000000-0005-0000-0000-00009A0B0000}"/>
    <cellStyle name="Финансовый 11 10 3" xfId="26630" xr:uid="{00000000-0005-0000-0000-00009B0B0000}"/>
    <cellStyle name="Финансовый 11 11" xfId="4316" xr:uid="{00000000-0005-0000-0000-00009C0B0000}"/>
    <cellStyle name="Финансовый 11 11 2" xfId="16295" xr:uid="{00000000-0005-0000-0000-00009D0B0000}"/>
    <cellStyle name="Финансовый 11 11 2 2" xfId="40250" xr:uid="{00000000-0005-0000-0000-00009E0B0000}"/>
    <cellStyle name="Финансовый 11 11 3" xfId="28273" xr:uid="{00000000-0005-0000-0000-00009F0B0000}"/>
    <cellStyle name="Финансовый 11 12" xfId="6104" xr:uid="{00000000-0005-0000-0000-0000A00B0000}"/>
    <cellStyle name="Финансовый 11 12 2" xfId="18082" xr:uid="{00000000-0005-0000-0000-0000A10B0000}"/>
    <cellStyle name="Финансовый 11 12 2 2" xfId="42037" xr:uid="{00000000-0005-0000-0000-0000A20B0000}"/>
    <cellStyle name="Финансовый 11 12 3" xfId="30059" xr:uid="{00000000-0005-0000-0000-0000A30B0000}"/>
    <cellStyle name="Финансовый 11 13" xfId="8711" xr:uid="{00000000-0005-0000-0000-0000A40B0000}"/>
    <cellStyle name="Финансовый 11 13 2" xfId="20689" xr:uid="{00000000-0005-0000-0000-0000A50B0000}"/>
    <cellStyle name="Финансовый 11 13 2 2" xfId="44644" xr:uid="{00000000-0005-0000-0000-0000A60B0000}"/>
    <cellStyle name="Финансовый 11 13 3" xfId="32666" xr:uid="{00000000-0005-0000-0000-0000A70B0000}"/>
    <cellStyle name="Финансовый 11 14" xfId="12045" xr:uid="{00000000-0005-0000-0000-0000A80B0000}"/>
    <cellStyle name="Финансовый 11 14 2" xfId="36000" xr:uid="{00000000-0005-0000-0000-0000A90B0000}"/>
    <cellStyle name="Финансовый 11 15" xfId="24023" xr:uid="{00000000-0005-0000-0000-0000AA0B0000}"/>
    <cellStyle name="Финансовый 11 16" xfId="47981" xr:uid="{00000000-0005-0000-0000-0000AB0B0000}"/>
    <cellStyle name="Финансовый 11 2" xfId="199" xr:uid="{00000000-0005-0000-0000-0000AC0B0000}"/>
    <cellStyle name="Финансовый 11 2 10" xfId="8847" xr:uid="{00000000-0005-0000-0000-0000AD0B0000}"/>
    <cellStyle name="Финансовый 11 2 10 2" xfId="20825" xr:uid="{00000000-0005-0000-0000-0000AE0B0000}"/>
    <cellStyle name="Финансовый 11 2 10 2 2" xfId="44780" xr:uid="{00000000-0005-0000-0000-0000AF0B0000}"/>
    <cellStyle name="Финансовый 11 2 10 3" xfId="32802" xr:uid="{00000000-0005-0000-0000-0000B00B0000}"/>
    <cellStyle name="Финансовый 11 2 11" xfId="12181" xr:uid="{00000000-0005-0000-0000-0000B10B0000}"/>
    <cellStyle name="Финансовый 11 2 11 2" xfId="36136" xr:uid="{00000000-0005-0000-0000-0000B20B0000}"/>
    <cellStyle name="Финансовый 11 2 12" xfId="24159" xr:uid="{00000000-0005-0000-0000-0000B30B0000}"/>
    <cellStyle name="Финансовый 11 2 13" xfId="48117" xr:uid="{00000000-0005-0000-0000-0000B40B0000}"/>
    <cellStyle name="Финансовый 11 2 2" xfId="1297" xr:uid="{00000000-0005-0000-0000-0000B50B0000}"/>
    <cellStyle name="Финансовый 11 2 2 2" xfId="2263" xr:uid="{00000000-0005-0000-0000-0000B60B0000}"/>
    <cellStyle name="Финансовый 11 2 2 2 2" xfId="3908" xr:uid="{00000000-0005-0000-0000-0000B70B0000}"/>
    <cellStyle name="Финансовый 11 2 2 2 2 2" xfId="11648" xr:uid="{00000000-0005-0000-0000-0000B80B0000}"/>
    <cellStyle name="Финансовый 11 2 2 2 2 2 2" xfId="23626" xr:uid="{00000000-0005-0000-0000-0000B90B0000}"/>
    <cellStyle name="Финансовый 11 2 2 2 2 2 2 2" xfId="47581" xr:uid="{00000000-0005-0000-0000-0000BA0B0000}"/>
    <cellStyle name="Финансовый 11 2 2 2 2 2 3" xfId="35603" xr:uid="{00000000-0005-0000-0000-0000BB0B0000}"/>
    <cellStyle name="Финансовый 11 2 2 2 2 3" xfId="15887" xr:uid="{00000000-0005-0000-0000-0000BC0B0000}"/>
    <cellStyle name="Финансовый 11 2 2 2 2 3 2" xfId="39842" xr:uid="{00000000-0005-0000-0000-0000BD0B0000}"/>
    <cellStyle name="Финансовый 11 2 2 2 2 4" xfId="27865" xr:uid="{00000000-0005-0000-0000-0000BE0B0000}"/>
    <cellStyle name="Финансовый 11 2 2 2 2 5" xfId="51134" xr:uid="{00000000-0005-0000-0000-0000BF0B0000}"/>
    <cellStyle name="Финансовый 11 2 2 2 3" xfId="5691" xr:uid="{00000000-0005-0000-0000-0000C00B0000}"/>
    <cellStyle name="Финансовый 11 2 2 2 3 2" xfId="17669" xr:uid="{00000000-0005-0000-0000-0000C10B0000}"/>
    <cellStyle name="Финансовый 11 2 2 2 3 2 2" xfId="41624" xr:uid="{00000000-0005-0000-0000-0000C20B0000}"/>
    <cellStyle name="Финансовый 11 2 2 2 3 3" xfId="29646" xr:uid="{00000000-0005-0000-0000-0000C30B0000}"/>
    <cellStyle name="Финансовый 11 2 2 2 4" xfId="8301" xr:uid="{00000000-0005-0000-0000-0000C40B0000}"/>
    <cellStyle name="Финансовый 11 2 2 2 4 2" xfId="20279" xr:uid="{00000000-0005-0000-0000-0000C50B0000}"/>
    <cellStyle name="Финансовый 11 2 2 2 4 2 2" xfId="44234" xr:uid="{00000000-0005-0000-0000-0000C60B0000}"/>
    <cellStyle name="Финансовый 11 2 2 2 4 3" xfId="32256" xr:uid="{00000000-0005-0000-0000-0000C70B0000}"/>
    <cellStyle name="Финансовый 11 2 2 2 5" xfId="10084" xr:uid="{00000000-0005-0000-0000-0000C80B0000}"/>
    <cellStyle name="Финансовый 11 2 2 2 5 2" xfId="22062" xr:uid="{00000000-0005-0000-0000-0000C90B0000}"/>
    <cellStyle name="Финансовый 11 2 2 2 5 2 2" xfId="46017" xr:uid="{00000000-0005-0000-0000-0000CA0B0000}"/>
    <cellStyle name="Финансовый 11 2 2 2 5 3" xfId="34039" xr:uid="{00000000-0005-0000-0000-0000CB0B0000}"/>
    <cellStyle name="Финансовый 11 2 2 2 6" xfId="14242" xr:uid="{00000000-0005-0000-0000-0000CC0B0000}"/>
    <cellStyle name="Финансовый 11 2 2 2 6 2" xfId="38197" xr:uid="{00000000-0005-0000-0000-0000CD0B0000}"/>
    <cellStyle name="Финансовый 11 2 2 2 7" xfId="26220" xr:uid="{00000000-0005-0000-0000-0000CE0B0000}"/>
    <cellStyle name="Финансовый 11 2 2 2 8" xfId="49353" xr:uid="{00000000-0005-0000-0000-0000CF0B0000}"/>
    <cellStyle name="Финансовый 11 2 2 3" xfId="3081" xr:uid="{00000000-0005-0000-0000-0000D00B0000}"/>
    <cellStyle name="Финансовый 11 2 2 3 2" xfId="10876" xr:uid="{00000000-0005-0000-0000-0000D10B0000}"/>
    <cellStyle name="Финансовый 11 2 2 3 2 2" xfId="22854" xr:uid="{00000000-0005-0000-0000-0000D20B0000}"/>
    <cellStyle name="Финансовый 11 2 2 3 2 2 2" xfId="46809" xr:uid="{00000000-0005-0000-0000-0000D30B0000}"/>
    <cellStyle name="Финансовый 11 2 2 3 2 3" xfId="34831" xr:uid="{00000000-0005-0000-0000-0000D40B0000}"/>
    <cellStyle name="Финансовый 11 2 2 3 3" xfId="15060" xr:uid="{00000000-0005-0000-0000-0000D50B0000}"/>
    <cellStyle name="Финансовый 11 2 2 3 3 2" xfId="39015" xr:uid="{00000000-0005-0000-0000-0000D60B0000}"/>
    <cellStyle name="Финансовый 11 2 2 3 4" xfId="27038" xr:uid="{00000000-0005-0000-0000-0000D70B0000}"/>
    <cellStyle name="Финансовый 11 2 2 3 5" xfId="50169" xr:uid="{00000000-0005-0000-0000-0000D80B0000}"/>
    <cellStyle name="Финансовый 11 2 2 4" xfId="4725" xr:uid="{00000000-0005-0000-0000-0000D90B0000}"/>
    <cellStyle name="Финансовый 11 2 2 4 2" xfId="16704" xr:uid="{00000000-0005-0000-0000-0000DA0B0000}"/>
    <cellStyle name="Финансовый 11 2 2 4 2 2" xfId="40659" xr:uid="{00000000-0005-0000-0000-0000DB0B0000}"/>
    <cellStyle name="Финансовый 11 2 2 4 3" xfId="28682" xr:uid="{00000000-0005-0000-0000-0000DC0B0000}"/>
    <cellStyle name="Финансовый 11 2 2 5" xfId="7337" xr:uid="{00000000-0005-0000-0000-0000DD0B0000}"/>
    <cellStyle name="Финансовый 11 2 2 5 2" xfId="19315" xr:uid="{00000000-0005-0000-0000-0000DE0B0000}"/>
    <cellStyle name="Финансовый 11 2 2 5 2 2" xfId="43270" xr:uid="{00000000-0005-0000-0000-0000DF0B0000}"/>
    <cellStyle name="Финансовый 11 2 2 5 3" xfId="31292" xr:uid="{00000000-0005-0000-0000-0000E00B0000}"/>
    <cellStyle name="Финансовый 11 2 2 6" xfId="9119" xr:uid="{00000000-0005-0000-0000-0000E10B0000}"/>
    <cellStyle name="Финансовый 11 2 2 6 2" xfId="21097" xr:uid="{00000000-0005-0000-0000-0000E20B0000}"/>
    <cellStyle name="Финансовый 11 2 2 6 2 2" xfId="45052" xr:uid="{00000000-0005-0000-0000-0000E30B0000}"/>
    <cellStyle name="Финансовый 11 2 2 6 3" xfId="33074" xr:uid="{00000000-0005-0000-0000-0000E40B0000}"/>
    <cellStyle name="Финансовый 11 2 2 7" xfId="13278" xr:uid="{00000000-0005-0000-0000-0000E50B0000}"/>
    <cellStyle name="Финансовый 11 2 2 7 2" xfId="37233" xr:uid="{00000000-0005-0000-0000-0000E60B0000}"/>
    <cellStyle name="Финансовый 11 2 2 8" xfId="25256" xr:uid="{00000000-0005-0000-0000-0000E70B0000}"/>
    <cellStyle name="Финансовый 11 2 2 9" xfId="48389" xr:uid="{00000000-0005-0000-0000-0000E80B0000}"/>
    <cellStyle name="Финансовый 11 2 3" xfId="2007" xr:uid="{00000000-0005-0000-0000-0000E90B0000}"/>
    <cellStyle name="Финансовый 11 2 3 2" xfId="3652" xr:uid="{00000000-0005-0000-0000-0000EA0B0000}"/>
    <cellStyle name="Финансовый 11 2 3 2 2" xfId="11392" xr:uid="{00000000-0005-0000-0000-0000EB0B0000}"/>
    <cellStyle name="Финансовый 11 2 3 2 2 2" xfId="23370" xr:uid="{00000000-0005-0000-0000-0000EC0B0000}"/>
    <cellStyle name="Финансовый 11 2 3 2 2 2 2" xfId="47325" xr:uid="{00000000-0005-0000-0000-0000ED0B0000}"/>
    <cellStyle name="Финансовый 11 2 3 2 2 3" xfId="35347" xr:uid="{00000000-0005-0000-0000-0000EE0B0000}"/>
    <cellStyle name="Финансовый 11 2 3 2 3" xfId="15631" xr:uid="{00000000-0005-0000-0000-0000EF0B0000}"/>
    <cellStyle name="Финансовый 11 2 3 2 3 2" xfId="39586" xr:uid="{00000000-0005-0000-0000-0000F00B0000}"/>
    <cellStyle name="Финансовый 11 2 3 2 4" xfId="27609" xr:uid="{00000000-0005-0000-0000-0000F10B0000}"/>
    <cellStyle name="Финансовый 11 2 3 2 5" xfId="50878" xr:uid="{00000000-0005-0000-0000-0000F20B0000}"/>
    <cellStyle name="Финансовый 11 2 3 3" xfId="5435" xr:uid="{00000000-0005-0000-0000-0000F30B0000}"/>
    <cellStyle name="Финансовый 11 2 3 3 2" xfId="17413" xr:uid="{00000000-0005-0000-0000-0000F40B0000}"/>
    <cellStyle name="Финансовый 11 2 3 3 2 2" xfId="41368" xr:uid="{00000000-0005-0000-0000-0000F50B0000}"/>
    <cellStyle name="Финансовый 11 2 3 3 3" xfId="29390" xr:uid="{00000000-0005-0000-0000-0000F60B0000}"/>
    <cellStyle name="Финансовый 11 2 3 4" xfId="8045" xr:uid="{00000000-0005-0000-0000-0000F70B0000}"/>
    <cellStyle name="Финансовый 11 2 3 4 2" xfId="20023" xr:uid="{00000000-0005-0000-0000-0000F80B0000}"/>
    <cellStyle name="Финансовый 11 2 3 4 2 2" xfId="43978" xr:uid="{00000000-0005-0000-0000-0000F90B0000}"/>
    <cellStyle name="Финансовый 11 2 3 4 3" xfId="32000" xr:uid="{00000000-0005-0000-0000-0000FA0B0000}"/>
    <cellStyle name="Финансовый 11 2 3 5" xfId="9828" xr:uid="{00000000-0005-0000-0000-0000FB0B0000}"/>
    <cellStyle name="Финансовый 11 2 3 5 2" xfId="21806" xr:uid="{00000000-0005-0000-0000-0000FC0B0000}"/>
    <cellStyle name="Финансовый 11 2 3 5 2 2" xfId="45761" xr:uid="{00000000-0005-0000-0000-0000FD0B0000}"/>
    <cellStyle name="Финансовый 11 2 3 5 3" xfId="33783" xr:uid="{00000000-0005-0000-0000-0000FE0B0000}"/>
    <cellStyle name="Финансовый 11 2 3 6" xfId="13986" xr:uid="{00000000-0005-0000-0000-0000FF0B0000}"/>
    <cellStyle name="Финансовый 11 2 3 6 2" xfId="37941" xr:uid="{00000000-0005-0000-0000-0000000C0000}"/>
    <cellStyle name="Финансовый 11 2 3 7" xfId="25964" xr:uid="{00000000-0005-0000-0000-0000010C0000}"/>
    <cellStyle name="Финансовый 11 2 3 8" xfId="49097" xr:uid="{00000000-0005-0000-0000-0000020C0000}"/>
    <cellStyle name="Финансовый 11 2 4" xfId="2528" xr:uid="{00000000-0005-0000-0000-0000030C0000}"/>
    <cellStyle name="Финансовый 11 2 4 2" xfId="4173" xr:uid="{00000000-0005-0000-0000-0000040C0000}"/>
    <cellStyle name="Финансовый 11 2 4 2 2" xfId="11905" xr:uid="{00000000-0005-0000-0000-0000050C0000}"/>
    <cellStyle name="Финансовый 11 2 4 2 2 2" xfId="23883" xr:uid="{00000000-0005-0000-0000-0000060C0000}"/>
    <cellStyle name="Финансовый 11 2 4 2 2 2 2" xfId="47838" xr:uid="{00000000-0005-0000-0000-0000070C0000}"/>
    <cellStyle name="Финансовый 11 2 4 2 2 3" xfId="35860" xr:uid="{00000000-0005-0000-0000-0000080C0000}"/>
    <cellStyle name="Финансовый 11 2 4 2 3" xfId="16152" xr:uid="{00000000-0005-0000-0000-0000090C0000}"/>
    <cellStyle name="Финансовый 11 2 4 2 3 2" xfId="40107" xr:uid="{00000000-0005-0000-0000-00000A0C0000}"/>
    <cellStyle name="Финансовый 11 2 4 2 4" xfId="28130" xr:uid="{00000000-0005-0000-0000-00000B0C0000}"/>
    <cellStyle name="Финансовый 11 2 4 2 5" xfId="51399" xr:uid="{00000000-0005-0000-0000-00000C0C0000}"/>
    <cellStyle name="Финансовый 11 2 4 3" xfId="5956" xr:uid="{00000000-0005-0000-0000-00000D0C0000}"/>
    <cellStyle name="Финансовый 11 2 4 3 2" xfId="17934" xr:uid="{00000000-0005-0000-0000-00000E0C0000}"/>
    <cellStyle name="Финансовый 11 2 4 3 2 2" xfId="41889" xr:uid="{00000000-0005-0000-0000-00000F0C0000}"/>
    <cellStyle name="Финансовый 11 2 4 3 3" xfId="29911" xr:uid="{00000000-0005-0000-0000-0000100C0000}"/>
    <cellStyle name="Финансовый 11 2 4 4" xfId="8566" xr:uid="{00000000-0005-0000-0000-0000110C0000}"/>
    <cellStyle name="Финансовый 11 2 4 4 2" xfId="20544" xr:uid="{00000000-0005-0000-0000-0000120C0000}"/>
    <cellStyle name="Финансовый 11 2 4 4 2 2" xfId="44499" xr:uid="{00000000-0005-0000-0000-0000130C0000}"/>
    <cellStyle name="Финансовый 11 2 4 4 3" xfId="32521" xr:uid="{00000000-0005-0000-0000-0000140C0000}"/>
    <cellStyle name="Финансовый 11 2 4 5" xfId="10349" xr:uid="{00000000-0005-0000-0000-0000150C0000}"/>
    <cellStyle name="Финансовый 11 2 4 5 2" xfId="22327" xr:uid="{00000000-0005-0000-0000-0000160C0000}"/>
    <cellStyle name="Финансовый 11 2 4 5 2 2" xfId="46282" xr:uid="{00000000-0005-0000-0000-0000170C0000}"/>
    <cellStyle name="Финансовый 11 2 4 5 3" xfId="34304" xr:uid="{00000000-0005-0000-0000-0000180C0000}"/>
    <cellStyle name="Финансовый 11 2 4 6" xfId="14507" xr:uid="{00000000-0005-0000-0000-0000190C0000}"/>
    <cellStyle name="Финансовый 11 2 4 6 2" xfId="38462" xr:uid="{00000000-0005-0000-0000-00001A0C0000}"/>
    <cellStyle name="Финансовый 11 2 4 7" xfId="26485" xr:uid="{00000000-0005-0000-0000-00001B0C0000}"/>
    <cellStyle name="Финансовый 11 2 4 8" xfId="49618" xr:uid="{00000000-0005-0000-0000-00001C0C0000}"/>
    <cellStyle name="Финансовый 11 2 5" xfId="1032" xr:uid="{00000000-0005-0000-0000-00001D0C0000}"/>
    <cellStyle name="Финансовый 11 2 5 2" xfId="7072" xr:uid="{00000000-0005-0000-0000-00001E0C0000}"/>
    <cellStyle name="Финансовый 11 2 5 2 2" xfId="19050" xr:uid="{00000000-0005-0000-0000-00001F0C0000}"/>
    <cellStyle name="Финансовый 11 2 5 2 2 2" xfId="43005" xr:uid="{00000000-0005-0000-0000-0000200C0000}"/>
    <cellStyle name="Финансовый 11 2 5 2 3" xfId="31027" xr:uid="{00000000-0005-0000-0000-0000210C0000}"/>
    <cellStyle name="Финансовый 11 2 5 3" xfId="10620" xr:uid="{00000000-0005-0000-0000-0000220C0000}"/>
    <cellStyle name="Финансовый 11 2 5 3 2" xfId="22598" xr:uid="{00000000-0005-0000-0000-0000230C0000}"/>
    <cellStyle name="Финансовый 11 2 5 3 2 2" xfId="46553" xr:uid="{00000000-0005-0000-0000-0000240C0000}"/>
    <cellStyle name="Финансовый 11 2 5 3 3" xfId="34575" xr:uid="{00000000-0005-0000-0000-0000250C0000}"/>
    <cellStyle name="Финансовый 11 2 5 4" xfId="13013" xr:uid="{00000000-0005-0000-0000-0000260C0000}"/>
    <cellStyle name="Финансовый 11 2 5 4 2" xfId="36968" xr:uid="{00000000-0005-0000-0000-0000270C0000}"/>
    <cellStyle name="Финансовый 11 2 5 5" xfId="24991" xr:uid="{00000000-0005-0000-0000-0000280C0000}"/>
    <cellStyle name="Финансовый 11 2 5 6" xfId="49897" xr:uid="{00000000-0005-0000-0000-0000290C0000}"/>
    <cellStyle name="Финансовый 11 2 6" xfId="620" xr:uid="{00000000-0005-0000-0000-00002A0C0000}"/>
    <cellStyle name="Финансовый 11 2 6 2" xfId="6660" xr:uid="{00000000-0005-0000-0000-00002B0C0000}"/>
    <cellStyle name="Финансовый 11 2 6 2 2" xfId="18638" xr:uid="{00000000-0005-0000-0000-00002C0C0000}"/>
    <cellStyle name="Финансовый 11 2 6 2 2 2" xfId="42593" xr:uid="{00000000-0005-0000-0000-00002D0C0000}"/>
    <cellStyle name="Финансовый 11 2 6 2 3" xfId="30615" xr:uid="{00000000-0005-0000-0000-00002E0C0000}"/>
    <cellStyle name="Финансовый 11 2 6 3" xfId="12601" xr:uid="{00000000-0005-0000-0000-00002F0C0000}"/>
    <cellStyle name="Финансовый 11 2 6 3 2" xfId="36556" xr:uid="{00000000-0005-0000-0000-0000300C0000}"/>
    <cellStyle name="Финансовый 11 2 6 4" xfId="24579" xr:uid="{00000000-0005-0000-0000-0000310C0000}"/>
    <cellStyle name="Финансовый 11 2 7" xfId="2809" xr:uid="{00000000-0005-0000-0000-0000320C0000}"/>
    <cellStyle name="Финансовый 11 2 7 2" xfId="14788" xr:uid="{00000000-0005-0000-0000-0000330C0000}"/>
    <cellStyle name="Финансовый 11 2 7 2 2" xfId="38743" xr:uid="{00000000-0005-0000-0000-0000340C0000}"/>
    <cellStyle name="Финансовый 11 2 7 3" xfId="26766" xr:uid="{00000000-0005-0000-0000-0000350C0000}"/>
    <cellStyle name="Финансовый 11 2 8" xfId="4453" xr:uid="{00000000-0005-0000-0000-0000360C0000}"/>
    <cellStyle name="Финансовый 11 2 8 2" xfId="16432" xr:uid="{00000000-0005-0000-0000-0000370C0000}"/>
    <cellStyle name="Финансовый 11 2 8 2 2" xfId="40387" xr:uid="{00000000-0005-0000-0000-0000380C0000}"/>
    <cellStyle name="Финансовый 11 2 8 3" xfId="28410" xr:uid="{00000000-0005-0000-0000-0000390C0000}"/>
    <cellStyle name="Финансовый 11 2 9" xfId="6240" xr:uid="{00000000-0005-0000-0000-00003A0C0000}"/>
    <cellStyle name="Финансовый 11 2 9 2" xfId="18218" xr:uid="{00000000-0005-0000-0000-00003B0C0000}"/>
    <cellStyle name="Финансовый 11 2 9 2 2" xfId="42173" xr:uid="{00000000-0005-0000-0000-00003C0C0000}"/>
    <cellStyle name="Финансовый 11 2 9 3" xfId="30195" xr:uid="{00000000-0005-0000-0000-00003D0C0000}"/>
    <cellStyle name="Финансовый 11 3" xfId="348" xr:uid="{00000000-0005-0000-0000-00003E0C0000}"/>
    <cellStyle name="Финансовый 11 3 10" xfId="24307" xr:uid="{00000000-0005-0000-0000-00003F0C0000}"/>
    <cellStyle name="Финансовый 11 3 11" xfId="48253" xr:uid="{00000000-0005-0000-0000-0000400C0000}"/>
    <cellStyle name="Финансовый 11 3 2" xfId="2135" xr:uid="{00000000-0005-0000-0000-0000410C0000}"/>
    <cellStyle name="Финансовый 11 3 2 2" xfId="3780" xr:uid="{00000000-0005-0000-0000-0000420C0000}"/>
    <cellStyle name="Финансовый 11 3 2 2 2" xfId="11520" xr:uid="{00000000-0005-0000-0000-0000430C0000}"/>
    <cellStyle name="Финансовый 11 3 2 2 2 2" xfId="23498" xr:uid="{00000000-0005-0000-0000-0000440C0000}"/>
    <cellStyle name="Финансовый 11 3 2 2 2 2 2" xfId="47453" xr:uid="{00000000-0005-0000-0000-0000450C0000}"/>
    <cellStyle name="Финансовый 11 3 2 2 2 3" xfId="35475" xr:uid="{00000000-0005-0000-0000-0000460C0000}"/>
    <cellStyle name="Финансовый 11 3 2 2 3" xfId="15759" xr:uid="{00000000-0005-0000-0000-0000470C0000}"/>
    <cellStyle name="Финансовый 11 3 2 2 3 2" xfId="39714" xr:uid="{00000000-0005-0000-0000-0000480C0000}"/>
    <cellStyle name="Финансовый 11 3 2 2 4" xfId="27737" xr:uid="{00000000-0005-0000-0000-0000490C0000}"/>
    <cellStyle name="Финансовый 11 3 2 2 5" xfId="51006" xr:uid="{00000000-0005-0000-0000-00004A0C0000}"/>
    <cellStyle name="Финансовый 11 3 2 3" xfId="5563" xr:uid="{00000000-0005-0000-0000-00004B0C0000}"/>
    <cellStyle name="Финансовый 11 3 2 3 2" xfId="17541" xr:uid="{00000000-0005-0000-0000-00004C0C0000}"/>
    <cellStyle name="Финансовый 11 3 2 3 2 2" xfId="41496" xr:uid="{00000000-0005-0000-0000-00004D0C0000}"/>
    <cellStyle name="Финансовый 11 3 2 3 3" xfId="29518" xr:uid="{00000000-0005-0000-0000-00004E0C0000}"/>
    <cellStyle name="Финансовый 11 3 2 4" xfId="8173" xr:uid="{00000000-0005-0000-0000-00004F0C0000}"/>
    <cellStyle name="Финансовый 11 3 2 4 2" xfId="20151" xr:uid="{00000000-0005-0000-0000-0000500C0000}"/>
    <cellStyle name="Финансовый 11 3 2 4 2 2" xfId="44106" xr:uid="{00000000-0005-0000-0000-0000510C0000}"/>
    <cellStyle name="Финансовый 11 3 2 4 3" xfId="32128" xr:uid="{00000000-0005-0000-0000-0000520C0000}"/>
    <cellStyle name="Финансовый 11 3 2 5" xfId="9956" xr:uid="{00000000-0005-0000-0000-0000530C0000}"/>
    <cellStyle name="Финансовый 11 3 2 5 2" xfId="21934" xr:uid="{00000000-0005-0000-0000-0000540C0000}"/>
    <cellStyle name="Финансовый 11 3 2 5 2 2" xfId="45889" xr:uid="{00000000-0005-0000-0000-0000550C0000}"/>
    <cellStyle name="Финансовый 11 3 2 5 3" xfId="33911" xr:uid="{00000000-0005-0000-0000-0000560C0000}"/>
    <cellStyle name="Финансовый 11 3 2 6" xfId="14114" xr:uid="{00000000-0005-0000-0000-0000570C0000}"/>
    <cellStyle name="Финансовый 11 3 2 6 2" xfId="38069" xr:uid="{00000000-0005-0000-0000-0000580C0000}"/>
    <cellStyle name="Финансовый 11 3 2 7" xfId="26092" xr:uid="{00000000-0005-0000-0000-0000590C0000}"/>
    <cellStyle name="Финансовый 11 3 2 8" xfId="49225" xr:uid="{00000000-0005-0000-0000-00005A0C0000}"/>
    <cellStyle name="Финансовый 11 3 3" xfId="1168" xr:uid="{00000000-0005-0000-0000-00005B0C0000}"/>
    <cellStyle name="Финансовый 11 3 3 2" xfId="7208" xr:uid="{00000000-0005-0000-0000-00005C0C0000}"/>
    <cellStyle name="Финансовый 11 3 3 2 2" xfId="19186" xr:uid="{00000000-0005-0000-0000-00005D0C0000}"/>
    <cellStyle name="Финансовый 11 3 3 2 2 2" xfId="43141" xr:uid="{00000000-0005-0000-0000-00005E0C0000}"/>
    <cellStyle name="Финансовый 11 3 3 2 3" xfId="31163" xr:uid="{00000000-0005-0000-0000-00005F0C0000}"/>
    <cellStyle name="Финансовый 11 3 3 3" xfId="10748" xr:uid="{00000000-0005-0000-0000-0000600C0000}"/>
    <cellStyle name="Финансовый 11 3 3 3 2" xfId="22726" xr:uid="{00000000-0005-0000-0000-0000610C0000}"/>
    <cellStyle name="Финансовый 11 3 3 3 2 2" xfId="46681" xr:uid="{00000000-0005-0000-0000-0000620C0000}"/>
    <cellStyle name="Финансовый 11 3 3 3 3" xfId="34703" xr:uid="{00000000-0005-0000-0000-0000630C0000}"/>
    <cellStyle name="Финансовый 11 3 3 4" xfId="13149" xr:uid="{00000000-0005-0000-0000-0000640C0000}"/>
    <cellStyle name="Финансовый 11 3 3 4 2" xfId="37104" xr:uid="{00000000-0005-0000-0000-0000650C0000}"/>
    <cellStyle name="Финансовый 11 3 3 5" xfId="25127" xr:uid="{00000000-0005-0000-0000-0000660C0000}"/>
    <cellStyle name="Финансовый 11 3 3 6" xfId="50033" xr:uid="{00000000-0005-0000-0000-0000670C0000}"/>
    <cellStyle name="Финансовый 11 3 4" xfId="768" xr:uid="{00000000-0005-0000-0000-0000680C0000}"/>
    <cellStyle name="Финансовый 11 3 4 2" xfId="6808" xr:uid="{00000000-0005-0000-0000-0000690C0000}"/>
    <cellStyle name="Финансовый 11 3 4 2 2" xfId="18786" xr:uid="{00000000-0005-0000-0000-00006A0C0000}"/>
    <cellStyle name="Финансовый 11 3 4 2 2 2" xfId="42741" xr:uid="{00000000-0005-0000-0000-00006B0C0000}"/>
    <cellStyle name="Финансовый 11 3 4 2 3" xfId="30763" xr:uid="{00000000-0005-0000-0000-00006C0C0000}"/>
    <cellStyle name="Финансовый 11 3 4 3" xfId="12749" xr:uid="{00000000-0005-0000-0000-00006D0C0000}"/>
    <cellStyle name="Финансовый 11 3 4 3 2" xfId="36704" xr:uid="{00000000-0005-0000-0000-00006E0C0000}"/>
    <cellStyle name="Финансовый 11 3 4 4" xfId="24727" xr:uid="{00000000-0005-0000-0000-00006F0C0000}"/>
    <cellStyle name="Финансовый 11 3 5" xfId="2945" xr:uid="{00000000-0005-0000-0000-0000700C0000}"/>
    <cellStyle name="Финансовый 11 3 5 2" xfId="14924" xr:uid="{00000000-0005-0000-0000-0000710C0000}"/>
    <cellStyle name="Финансовый 11 3 5 2 2" xfId="38879" xr:uid="{00000000-0005-0000-0000-0000720C0000}"/>
    <cellStyle name="Финансовый 11 3 5 3" xfId="26902" xr:uid="{00000000-0005-0000-0000-0000730C0000}"/>
    <cellStyle name="Финансовый 11 3 6" xfId="4589" xr:uid="{00000000-0005-0000-0000-0000740C0000}"/>
    <cellStyle name="Финансовый 11 3 6 2" xfId="16568" xr:uid="{00000000-0005-0000-0000-0000750C0000}"/>
    <cellStyle name="Финансовый 11 3 6 2 2" xfId="40523" xr:uid="{00000000-0005-0000-0000-0000760C0000}"/>
    <cellStyle name="Финансовый 11 3 6 3" xfId="28546" xr:uid="{00000000-0005-0000-0000-0000770C0000}"/>
    <cellStyle name="Финансовый 11 3 7" xfId="6388" xr:uid="{00000000-0005-0000-0000-0000780C0000}"/>
    <cellStyle name="Финансовый 11 3 7 2" xfId="18366" xr:uid="{00000000-0005-0000-0000-0000790C0000}"/>
    <cellStyle name="Финансовый 11 3 7 2 2" xfId="42321" xr:uid="{00000000-0005-0000-0000-00007A0C0000}"/>
    <cellStyle name="Финансовый 11 3 7 3" xfId="30343" xr:uid="{00000000-0005-0000-0000-00007B0C0000}"/>
    <cellStyle name="Финансовый 11 3 8" xfId="8983" xr:uid="{00000000-0005-0000-0000-00007C0C0000}"/>
    <cellStyle name="Финансовый 11 3 8 2" xfId="20961" xr:uid="{00000000-0005-0000-0000-00007D0C0000}"/>
    <cellStyle name="Финансовый 11 3 8 2 2" xfId="44916" xr:uid="{00000000-0005-0000-0000-00007E0C0000}"/>
    <cellStyle name="Финансовый 11 3 8 3" xfId="32938" xr:uid="{00000000-0005-0000-0000-00007F0C0000}"/>
    <cellStyle name="Финансовый 11 3 9" xfId="12329" xr:uid="{00000000-0005-0000-0000-0000800C0000}"/>
    <cellStyle name="Финансовый 11 3 9 2" xfId="36284" xr:uid="{00000000-0005-0000-0000-0000810C0000}"/>
    <cellStyle name="Финансовый 11 4" xfId="1436" xr:uid="{00000000-0005-0000-0000-0000820C0000}"/>
    <cellStyle name="Финансовый 11 4 2" xfId="1871" xr:uid="{00000000-0005-0000-0000-0000830C0000}"/>
    <cellStyle name="Финансовый 11 4 2 2" xfId="3516" xr:uid="{00000000-0005-0000-0000-0000840C0000}"/>
    <cellStyle name="Финансовый 11 4 2 2 2" xfId="11264" xr:uid="{00000000-0005-0000-0000-0000850C0000}"/>
    <cellStyle name="Финансовый 11 4 2 2 2 2" xfId="23242" xr:uid="{00000000-0005-0000-0000-0000860C0000}"/>
    <cellStyle name="Финансовый 11 4 2 2 2 2 2" xfId="47197" xr:uid="{00000000-0005-0000-0000-0000870C0000}"/>
    <cellStyle name="Финансовый 11 4 2 2 2 3" xfId="35219" xr:uid="{00000000-0005-0000-0000-0000880C0000}"/>
    <cellStyle name="Финансовый 11 4 2 2 3" xfId="15495" xr:uid="{00000000-0005-0000-0000-0000890C0000}"/>
    <cellStyle name="Финансовый 11 4 2 2 3 2" xfId="39450" xr:uid="{00000000-0005-0000-0000-00008A0C0000}"/>
    <cellStyle name="Финансовый 11 4 2 2 4" xfId="27473" xr:uid="{00000000-0005-0000-0000-00008B0C0000}"/>
    <cellStyle name="Финансовый 11 4 2 2 5" xfId="50742" xr:uid="{00000000-0005-0000-0000-00008C0C0000}"/>
    <cellStyle name="Финансовый 11 4 2 3" xfId="5299" xr:uid="{00000000-0005-0000-0000-00008D0C0000}"/>
    <cellStyle name="Финансовый 11 4 2 3 2" xfId="17277" xr:uid="{00000000-0005-0000-0000-00008E0C0000}"/>
    <cellStyle name="Финансовый 11 4 2 3 2 2" xfId="41232" xr:uid="{00000000-0005-0000-0000-00008F0C0000}"/>
    <cellStyle name="Финансовый 11 4 2 3 3" xfId="29254" xr:uid="{00000000-0005-0000-0000-0000900C0000}"/>
    <cellStyle name="Финансовый 11 4 2 4" xfId="7909" xr:uid="{00000000-0005-0000-0000-0000910C0000}"/>
    <cellStyle name="Финансовый 11 4 2 4 2" xfId="19887" xr:uid="{00000000-0005-0000-0000-0000920C0000}"/>
    <cellStyle name="Финансовый 11 4 2 4 2 2" xfId="43842" xr:uid="{00000000-0005-0000-0000-0000930C0000}"/>
    <cellStyle name="Финансовый 11 4 2 4 3" xfId="31864" xr:uid="{00000000-0005-0000-0000-0000940C0000}"/>
    <cellStyle name="Финансовый 11 4 2 5" xfId="9692" xr:uid="{00000000-0005-0000-0000-0000950C0000}"/>
    <cellStyle name="Финансовый 11 4 2 5 2" xfId="21670" xr:uid="{00000000-0005-0000-0000-0000960C0000}"/>
    <cellStyle name="Финансовый 11 4 2 5 2 2" xfId="45625" xr:uid="{00000000-0005-0000-0000-0000970C0000}"/>
    <cellStyle name="Финансовый 11 4 2 5 3" xfId="33647" xr:uid="{00000000-0005-0000-0000-0000980C0000}"/>
    <cellStyle name="Финансовый 11 4 2 6" xfId="13850" xr:uid="{00000000-0005-0000-0000-0000990C0000}"/>
    <cellStyle name="Финансовый 11 4 2 6 2" xfId="37805" xr:uid="{00000000-0005-0000-0000-00009A0C0000}"/>
    <cellStyle name="Финансовый 11 4 2 7" xfId="25828" xr:uid="{00000000-0005-0000-0000-00009B0C0000}"/>
    <cellStyle name="Финансовый 11 4 2 8" xfId="48961" xr:uid="{00000000-0005-0000-0000-00009C0C0000}"/>
    <cellStyle name="Финансовый 11 4 3" xfId="4864" xr:uid="{00000000-0005-0000-0000-00009D0C0000}"/>
    <cellStyle name="Финансовый 11 4 3 2" xfId="16843" xr:uid="{00000000-0005-0000-0000-00009E0C0000}"/>
    <cellStyle name="Финансовый 11 4 3 2 2" xfId="40798" xr:uid="{00000000-0005-0000-0000-00009F0C0000}"/>
    <cellStyle name="Финансовый 11 4 3 3" xfId="28820" xr:uid="{00000000-0005-0000-0000-0000A00C0000}"/>
    <cellStyle name="Финансовый 11 4 3 4" xfId="50308" xr:uid="{00000000-0005-0000-0000-0000A10C0000}"/>
    <cellStyle name="Финансовый 11 4 4" xfId="7475" xr:uid="{00000000-0005-0000-0000-0000A20C0000}"/>
    <cellStyle name="Финансовый 11 4 4 2" xfId="19453" xr:uid="{00000000-0005-0000-0000-0000A30C0000}"/>
    <cellStyle name="Финансовый 11 4 4 2 2" xfId="43408" xr:uid="{00000000-0005-0000-0000-0000A40C0000}"/>
    <cellStyle name="Финансовый 11 4 4 3" xfId="31430" xr:uid="{00000000-0005-0000-0000-0000A50C0000}"/>
    <cellStyle name="Финансовый 11 4 5" xfId="9258" xr:uid="{00000000-0005-0000-0000-0000A60C0000}"/>
    <cellStyle name="Финансовый 11 4 5 2" xfId="21236" xr:uid="{00000000-0005-0000-0000-0000A70C0000}"/>
    <cellStyle name="Финансовый 11 4 5 2 2" xfId="45191" xr:uid="{00000000-0005-0000-0000-0000A80C0000}"/>
    <cellStyle name="Финансовый 11 4 5 3" xfId="33213" xr:uid="{00000000-0005-0000-0000-0000A90C0000}"/>
    <cellStyle name="Финансовый 11 4 6" xfId="13416" xr:uid="{00000000-0005-0000-0000-0000AA0C0000}"/>
    <cellStyle name="Финансовый 11 4 6 2" xfId="37371" xr:uid="{00000000-0005-0000-0000-0000AB0C0000}"/>
    <cellStyle name="Финансовый 11 4 7" xfId="25394" xr:uid="{00000000-0005-0000-0000-0000AC0C0000}"/>
    <cellStyle name="Финансовый 11 4 8" xfId="48527" xr:uid="{00000000-0005-0000-0000-0000AD0C0000}"/>
    <cellStyle name="Финансовый 11 5" xfId="1755" xr:uid="{00000000-0005-0000-0000-0000AE0C0000}"/>
    <cellStyle name="Финансовый 11 5 2" xfId="3400" xr:uid="{00000000-0005-0000-0000-0000AF0C0000}"/>
    <cellStyle name="Финансовый 11 5 2 2" xfId="11148" xr:uid="{00000000-0005-0000-0000-0000B00C0000}"/>
    <cellStyle name="Финансовый 11 5 2 2 2" xfId="23126" xr:uid="{00000000-0005-0000-0000-0000B10C0000}"/>
    <cellStyle name="Финансовый 11 5 2 2 2 2" xfId="47081" xr:uid="{00000000-0005-0000-0000-0000B20C0000}"/>
    <cellStyle name="Финансовый 11 5 2 2 3" xfId="35103" xr:uid="{00000000-0005-0000-0000-0000B30C0000}"/>
    <cellStyle name="Финансовый 11 5 2 3" xfId="15379" xr:uid="{00000000-0005-0000-0000-0000B40C0000}"/>
    <cellStyle name="Финансовый 11 5 2 3 2" xfId="39334" xr:uid="{00000000-0005-0000-0000-0000B50C0000}"/>
    <cellStyle name="Финансовый 11 5 2 4" xfId="27357" xr:uid="{00000000-0005-0000-0000-0000B60C0000}"/>
    <cellStyle name="Финансовый 11 5 2 5" xfId="50626" xr:uid="{00000000-0005-0000-0000-0000B70C0000}"/>
    <cellStyle name="Финансовый 11 5 3" xfId="5183" xr:uid="{00000000-0005-0000-0000-0000B80C0000}"/>
    <cellStyle name="Финансовый 11 5 3 2" xfId="17161" xr:uid="{00000000-0005-0000-0000-0000B90C0000}"/>
    <cellStyle name="Финансовый 11 5 3 2 2" xfId="41116" xr:uid="{00000000-0005-0000-0000-0000BA0C0000}"/>
    <cellStyle name="Финансовый 11 5 3 3" xfId="29138" xr:uid="{00000000-0005-0000-0000-0000BB0C0000}"/>
    <cellStyle name="Финансовый 11 5 4" xfId="7793" xr:uid="{00000000-0005-0000-0000-0000BC0C0000}"/>
    <cellStyle name="Финансовый 11 5 4 2" xfId="19771" xr:uid="{00000000-0005-0000-0000-0000BD0C0000}"/>
    <cellStyle name="Финансовый 11 5 4 2 2" xfId="43726" xr:uid="{00000000-0005-0000-0000-0000BE0C0000}"/>
    <cellStyle name="Финансовый 11 5 4 3" xfId="31748" xr:uid="{00000000-0005-0000-0000-0000BF0C0000}"/>
    <cellStyle name="Финансовый 11 5 5" xfId="9576" xr:uid="{00000000-0005-0000-0000-0000C00C0000}"/>
    <cellStyle name="Финансовый 11 5 5 2" xfId="21554" xr:uid="{00000000-0005-0000-0000-0000C10C0000}"/>
    <cellStyle name="Финансовый 11 5 5 2 2" xfId="45509" xr:uid="{00000000-0005-0000-0000-0000C20C0000}"/>
    <cellStyle name="Финансовый 11 5 5 3" xfId="33531" xr:uid="{00000000-0005-0000-0000-0000C30C0000}"/>
    <cellStyle name="Финансовый 11 5 6" xfId="13734" xr:uid="{00000000-0005-0000-0000-0000C40C0000}"/>
    <cellStyle name="Финансовый 11 5 6 2" xfId="37689" xr:uid="{00000000-0005-0000-0000-0000C50C0000}"/>
    <cellStyle name="Финансовый 11 5 7" xfId="25712" xr:uid="{00000000-0005-0000-0000-0000C60C0000}"/>
    <cellStyle name="Финансовый 11 5 8" xfId="48845" xr:uid="{00000000-0005-0000-0000-0000C70C0000}"/>
    <cellStyle name="Финансовый 11 6" xfId="2391" xr:uid="{00000000-0005-0000-0000-0000C80C0000}"/>
    <cellStyle name="Финансовый 11 6 2" xfId="4036" xr:uid="{00000000-0005-0000-0000-0000C90C0000}"/>
    <cellStyle name="Финансовый 11 6 2 2" xfId="11776" xr:uid="{00000000-0005-0000-0000-0000CA0C0000}"/>
    <cellStyle name="Финансовый 11 6 2 2 2" xfId="23754" xr:uid="{00000000-0005-0000-0000-0000CB0C0000}"/>
    <cellStyle name="Финансовый 11 6 2 2 2 2" xfId="47709" xr:uid="{00000000-0005-0000-0000-0000CC0C0000}"/>
    <cellStyle name="Финансовый 11 6 2 2 3" xfId="35731" xr:uid="{00000000-0005-0000-0000-0000CD0C0000}"/>
    <cellStyle name="Финансовый 11 6 2 3" xfId="16015" xr:uid="{00000000-0005-0000-0000-0000CE0C0000}"/>
    <cellStyle name="Финансовый 11 6 2 3 2" xfId="39970" xr:uid="{00000000-0005-0000-0000-0000CF0C0000}"/>
    <cellStyle name="Финансовый 11 6 2 4" xfId="27993" xr:uid="{00000000-0005-0000-0000-0000D00C0000}"/>
    <cellStyle name="Финансовый 11 6 2 5" xfId="51262" xr:uid="{00000000-0005-0000-0000-0000D10C0000}"/>
    <cellStyle name="Финансовый 11 6 3" xfId="5819" xr:uid="{00000000-0005-0000-0000-0000D20C0000}"/>
    <cellStyle name="Финансовый 11 6 3 2" xfId="17797" xr:uid="{00000000-0005-0000-0000-0000D30C0000}"/>
    <cellStyle name="Финансовый 11 6 3 2 2" xfId="41752" xr:uid="{00000000-0005-0000-0000-0000D40C0000}"/>
    <cellStyle name="Финансовый 11 6 3 3" xfId="29774" xr:uid="{00000000-0005-0000-0000-0000D50C0000}"/>
    <cellStyle name="Финансовый 11 6 4" xfId="8429" xr:uid="{00000000-0005-0000-0000-0000D60C0000}"/>
    <cellStyle name="Финансовый 11 6 4 2" xfId="20407" xr:uid="{00000000-0005-0000-0000-0000D70C0000}"/>
    <cellStyle name="Финансовый 11 6 4 2 2" xfId="44362" xr:uid="{00000000-0005-0000-0000-0000D80C0000}"/>
    <cellStyle name="Финансовый 11 6 4 3" xfId="32384" xr:uid="{00000000-0005-0000-0000-0000D90C0000}"/>
    <cellStyle name="Финансовый 11 6 5" xfId="10212" xr:uid="{00000000-0005-0000-0000-0000DA0C0000}"/>
    <cellStyle name="Финансовый 11 6 5 2" xfId="22190" xr:uid="{00000000-0005-0000-0000-0000DB0C0000}"/>
    <cellStyle name="Финансовый 11 6 5 2 2" xfId="46145" xr:uid="{00000000-0005-0000-0000-0000DC0C0000}"/>
    <cellStyle name="Финансовый 11 6 5 3" xfId="34167" xr:uid="{00000000-0005-0000-0000-0000DD0C0000}"/>
    <cellStyle name="Финансовый 11 6 6" xfId="14370" xr:uid="{00000000-0005-0000-0000-0000DE0C0000}"/>
    <cellStyle name="Финансовый 11 6 6 2" xfId="38325" xr:uid="{00000000-0005-0000-0000-0000DF0C0000}"/>
    <cellStyle name="Финансовый 11 6 7" xfId="26348" xr:uid="{00000000-0005-0000-0000-0000E00C0000}"/>
    <cellStyle name="Финансовый 11 6 8" xfId="49481" xr:uid="{00000000-0005-0000-0000-0000E10C0000}"/>
    <cellStyle name="Финансовый 11 7" xfId="1618" xr:uid="{00000000-0005-0000-0000-0000E20C0000}"/>
    <cellStyle name="Финансовый 11 7 2" xfId="3263" xr:uid="{00000000-0005-0000-0000-0000E30C0000}"/>
    <cellStyle name="Финансовый 11 7 2 2" xfId="11019" xr:uid="{00000000-0005-0000-0000-0000E40C0000}"/>
    <cellStyle name="Финансовый 11 7 2 2 2" xfId="22997" xr:uid="{00000000-0005-0000-0000-0000E50C0000}"/>
    <cellStyle name="Финансовый 11 7 2 2 2 2" xfId="46952" xr:uid="{00000000-0005-0000-0000-0000E60C0000}"/>
    <cellStyle name="Финансовый 11 7 2 2 3" xfId="34974" xr:uid="{00000000-0005-0000-0000-0000E70C0000}"/>
    <cellStyle name="Финансовый 11 7 2 3" xfId="15242" xr:uid="{00000000-0005-0000-0000-0000E80C0000}"/>
    <cellStyle name="Финансовый 11 7 2 3 2" xfId="39197" xr:uid="{00000000-0005-0000-0000-0000E90C0000}"/>
    <cellStyle name="Финансовый 11 7 2 4" xfId="27220" xr:uid="{00000000-0005-0000-0000-0000EA0C0000}"/>
    <cellStyle name="Финансовый 11 7 2 5" xfId="50489" xr:uid="{00000000-0005-0000-0000-0000EB0C0000}"/>
    <cellStyle name="Финансовый 11 7 3" xfId="5046" xr:uid="{00000000-0005-0000-0000-0000EC0C0000}"/>
    <cellStyle name="Финансовый 11 7 3 2" xfId="17024" xr:uid="{00000000-0005-0000-0000-0000ED0C0000}"/>
    <cellStyle name="Финансовый 11 7 3 2 2" xfId="40979" xr:uid="{00000000-0005-0000-0000-0000EE0C0000}"/>
    <cellStyle name="Финансовый 11 7 3 3" xfId="29001" xr:uid="{00000000-0005-0000-0000-0000EF0C0000}"/>
    <cellStyle name="Финансовый 11 7 4" xfId="7656" xr:uid="{00000000-0005-0000-0000-0000F00C0000}"/>
    <cellStyle name="Финансовый 11 7 4 2" xfId="19634" xr:uid="{00000000-0005-0000-0000-0000F10C0000}"/>
    <cellStyle name="Финансовый 11 7 4 2 2" xfId="43589" xr:uid="{00000000-0005-0000-0000-0000F20C0000}"/>
    <cellStyle name="Финансовый 11 7 4 3" xfId="31611" xr:uid="{00000000-0005-0000-0000-0000F30C0000}"/>
    <cellStyle name="Финансовый 11 7 5" xfId="9439" xr:uid="{00000000-0005-0000-0000-0000F40C0000}"/>
    <cellStyle name="Финансовый 11 7 5 2" xfId="21417" xr:uid="{00000000-0005-0000-0000-0000F50C0000}"/>
    <cellStyle name="Финансовый 11 7 5 2 2" xfId="45372" xr:uid="{00000000-0005-0000-0000-0000F60C0000}"/>
    <cellStyle name="Финансовый 11 7 5 3" xfId="33394" xr:uid="{00000000-0005-0000-0000-0000F70C0000}"/>
    <cellStyle name="Финансовый 11 7 6" xfId="13597" xr:uid="{00000000-0005-0000-0000-0000F80C0000}"/>
    <cellStyle name="Финансовый 11 7 6 2" xfId="37552" xr:uid="{00000000-0005-0000-0000-0000F90C0000}"/>
    <cellStyle name="Финансовый 11 7 7" xfId="25575" xr:uid="{00000000-0005-0000-0000-0000FA0C0000}"/>
    <cellStyle name="Финансовый 11 7 8" xfId="48708" xr:uid="{00000000-0005-0000-0000-0000FB0C0000}"/>
    <cellStyle name="Финансовый 11 8" xfId="904" xr:uid="{00000000-0005-0000-0000-0000FC0C0000}"/>
    <cellStyle name="Финансовый 11 8 2" xfId="6944" xr:uid="{00000000-0005-0000-0000-0000FD0C0000}"/>
    <cellStyle name="Финансовый 11 8 2 2" xfId="18922" xr:uid="{00000000-0005-0000-0000-0000FE0C0000}"/>
    <cellStyle name="Финансовый 11 8 2 2 2" xfId="42877" xr:uid="{00000000-0005-0000-0000-0000FF0C0000}"/>
    <cellStyle name="Финансовый 11 8 2 3" xfId="30899" xr:uid="{00000000-0005-0000-0000-0000000D0000}"/>
    <cellStyle name="Финансовый 11 8 3" xfId="10492" xr:uid="{00000000-0005-0000-0000-0000010D0000}"/>
    <cellStyle name="Финансовый 11 8 3 2" xfId="22470" xr:uid="{00000000-0005-0000-0000-0000020D0000}"/>
    <cellStyle name="Финансовый 11 8 3 2 2" xfId="46425" xr:uid="{00000000-0005-0000-0000-0000030D0000}"/>
    <cellStyle name="Финансовый 11 8 3 3" xfId="34447" xr:uid="{00000000-0005-0000-0000-0000040D0000}"/>
    <cellStyle name="Финансовый 11 8 4" xfId="12885" xr:uid="{00000000-0005-0000-0000-0000050D0000}"/>
    <cellStyle name="Финансовый 11 8 4 2" xfId="36840" xr:uid="{00000000-0005-0000-0000-0000060D0000}"/>
    <cellStyle name="Финансовый 11 8 5" xfId="24863" xr:uid="{00000000-0005-0000-0000-0000070D0000}"/>
    <cellStyle name="Финансовый 11 8 6" xfId="49761" xr:uid="{00000000-0005-0000-0000-0000080D0000}"/>
    <cellStyle name="Финансовый 11 9" xfId="484" xr:uid="{00000000-0005-0000-0000-0000090D0000}"/>
    <cellStyle name="Финансовый 11 9 2" xfId="6524" xr:uid="{00000000-0005-0000-0000-00000A0D0000}"/>
    <cellStyle name="Финансовый 11 9 2 2" xfId="18502" xr:uid="{00000000-0005-0000-0000-00000B0D0000}"/>
    <cellStyle name="Финансовый 11 9 2 2 2" xfId="42457" xr:uid="{00000000-0005-0000-0000-00000C0D0000}"/>
    <cellStyle name="Финансовый 11 9 2 3" xfId="30479" xr:uid="{00000000-0005-0000-0000-00000D0D0000}"/>
    <cellStyle name="Финансовый 11 9 3" xfId="12465" xr:uid="{00000000-0005-0000-0000-00000E0D0000}"/>
    <cellStyle name="Финансовый 11 9 3 2" xfId="36420" xr:uid="{00000000-0005-0000-0000-00000F0D0000}"/>
    <cellStyle name="Финансовый 11 9 4" xfId="24443" xr:uid="{00000000-0005-0000-0000-0000100D0000}"/>
    <cellStyle name="Финансовый 12" xfId="49" xr:uid="{00000000-0005-0000-0000-0000110D0000}"/>
    <cellStyle name="Финансовый 12 10" xfId="2661" xr:uid="{00000000-0005-0000-0000-0000120D0000}"/>
    <cellStyle name="Финансовый 12 10 2" xfId="14640" xr:uid="{00000000-0005-0000-0000-0000130D0000}"/>
    <cellStyle name="Финансовый 12 10 2 2" xfId="38595" xr:uid="{00000000-0005-0000-0000-0000140D0000}"/>
    <cellStyle name="Финансовый 12 10 3" xfId="26618" xr:uid="{00000000-0005-0000-0000-0000150D0000}"/>
    <cellStyle name="Финансовый 12 11" xfId="4304" xr:uid="{00000000-0005-0000-0000-0000160D0000}"/>
    <cellStyle name="Финансовый 12 11 2" xfId="16283" xr:uid="{00000000-0005-0000-0000-0000170D0000}"/>
    <cellStyle name="Финансовый 12 11 2 2" xfId="40238" xr:uid="{00000000-0005-0000-0000-0000180D0000}"/>
    <cellStyle name="Финансовый 12 11 3" xfId="28261" xr:uid="{00000000-0005-0000-0000-0000190D0000}"/>
    <cellStyle name="Финансовый 12 12" xfId="6092" xr:uid="{00000000-0005-0000-0000-00001A0D0000}"/>
    <cellStyle name="Финансовый 12 12 2" xfId="18070" xr:uid="{00000000-0005-0000-0000-00001B0D0000}"/>
    <cellStyle name="Финансовый 12 12 2 2" xfId="42025" xr:uid="{00000000-0005-0000-0000-00001C0D0000}"/>
    <cellStyle name="Финансовый 12 12 3" xfId="30047" xr:uid="{00000000-0005-0000-0000-00001D0D0000}"/>
    <cellStyle name="Финансовый 12 13" xfId="8699" xr:uid="{00000000-0005-0000-0000-00001E0D0000}"/>
    <cellStyle name="Финансовый 12 13 2" xfId="20677" xr:uid="{00000000-0005-0000-0000-00001F0D0000}"/>
    <cellStyle name="Финансовый 12 13 2 2" xfId="44632" xr:uid="{00000000-0005-0000-0000-0000200D0000}"/>
    <cellStyle name="Финансовый 12 13 3" xfId="32654" xr:uid="{00000000-0005-0000-0000-0000210D0000}"/>
    <cellStyle name="Финансовый 12 14" xfId="12033" xr:uid="{00000000-0005-0000-0000-0000220D0000}"/>
    <cellStyle name="Финансовый 12 14 2" xfId="35988" xr:uid="{00000000-0005-0000-0000-0000230D0000}"/>
    <cellStyle name="Финансовый 12 15" xfId="24011" xr:uid="{00000000-0005-0000-0000-0000240D0000}"/>
    <cellStyle name="Финансовый 12 16" xfId="47969" xr:uid="{00000000-0005-0000-0000-0000250D0000}"/>
    <cellStyle name="Финансовый 12 2" xfId="187" xr:uid="{00000000-0005-0000-0000-0000260D0000}"/>
    <cellStyle name="Финансовый 12 2 10" xfId="8835" xr:uid="{00000000-0005-0000-0000-0000270D0000}"/>
    <cellStyle name="Финансовый 12 2 10 2" xfId="20813" xr:uid="{00000000-0005-0000-0000-0000280D0000}"/>
    <cellStyle name="Финансовый 12 2 10 2 2" xfId="44768" xr:uid="{00000000-0005-0000-0000-0000290D0000}"/>
    <cellStyle name="Финансовый 12 2 10 3" xfId="32790" xr:uid="{00000000-0005-0000-0000-00002A0D0000}"/>
    <cellStyle name="Финансовый 12 2 11" xfId="12169" xr:uid="{00000000-0005-0000-0000-00002B0D0000}"/>
    <cellStyle name="Финансовый 12 2 11 2" xfId="36124" xr:uid="{00000000-0005-0000-0000-00002C0D0000}"/>
    <cellStyle name="Финансовый 12 2 12" xfId="24147" xr:uid="{00000000-0005-0000-0000-00002D0D0000}"/>
    <cellStyle name="Финансовый 12 2 13" xfId="48105" xr:uid="{00000000-0005-0000-0000-00002E0D0000}"/>
    <cellStyle name="Финансовый 12 2 2" xfId="1285" xr:uid="{00000000-0005-0000-0000-00002F0D0000}"/>
    <cellStyle name="Финансовый 12 2 2 2" xfId="2251" xr:uid="{00000000-0005-0000-0000-0000300D0000}"/>
    <cellStyle name="Финансовый 12 2 2 2 2" xfId="3896" xr:uid="{00000000-0005-0000-0000-0000310D0000}"/>
    <cellStyle name="Финансовый 12 2 2 2 2 2" xfId="11636" xr:uid="{00000000-0005-0000-0000-0000320D0000}"/>
    <cellStyle name="Финансовый 12 2 2 2 2 2 2" xfId="23614" xr:uid="{00000000-0005-0000-0000-0000330D0000}"/>
    <cellStyle name="Финансовый 12 2 2 2 2 2 2 2" xfId="47569" xr:uid="{00000000-0005-0000-0000-0000340D0000}"/>
    <cellStyle name="Финансовый 12 2 2 2 2 2 3" xfId="35591" xr:uid="{00000000-0005-0000-0000-0000350D0000}"/>
    <cellStyle name="Финансовый 12 2 2 2 2 3" xfId="15875" xr:uid="{00000000-0005-0000-0000-0000360D0000}"/>
    <cellStyle name="Финансовый 12 2 2 2 2 3 2" xfId="39830" xr:uid="{00000000-0005-0000-0000-0000370D0000}"/>
    <cellStyle name="Финансовый 12 2 2 2 2 4" xfId="27853" xr:uid="{00000000-0005-0000-0000-0000380D0000}"/>
    <cellStyle name="Финансовый 12 2 2 2 2 5" xfId="51122" xr:uid="{00000000-0005-0000-0000-0000390D0000}"/>
    <cellStyle name="Финансовый 12 2 2 2 3" xfId="5679" xr:uid="{00000000-0005-0000-0000-00003A0D0000}"/>
    <cellStyle name="Финансовый 12 2 2 2 3 2" xfId="17657" xr:uid="{00000000-0005-0000-0000-00003B0D0000}"/>
    <cellStyle name="Финансовый 12 2 2 2 3 2 2" xfId="41612" xr:uid="{00000000-0005-0000-0000-00003C0D0000}"/>
    <cellStyle name="Финансовый 12 2 2 2 3 3" xfId="29634" xr:uid="{00000000-0005-0000-0000-00003D0D0000}"/>
    <cellStyle name="Финансовый 12 2 2 2 4" xfId="8289" xr:uid="{00000000-0005-0000-0000-00003E0D0000}"/>
    <cellStyle name="Финансовый 12 2 2 2 4 2" xfId="20267" xr:uid="{00000000-0005-0000-0000-00003F0D0000}"/>
    <cellStyle name="Финансовый 12 2 2 2 4 2 2" xfId="44222" xr:uid="{00000000-0005-0000-0000-0000400D0000}"/>
    <cellStyle name="Финансовый 12 2 2 2 4 3" xfId="32244" xr:uid="{00000000-0005-0000-0000-0000410D0000}"/>
    <cellStyle name="Финансовый 12 2 2 2 5" xfId="10072" xr:uid="{00000000-0005-0000-0000-0000420D0000}"/>
    <cellStyle name="Финансовый 12 2 2 2 5 2" xfId="22050" xr:uid="{00000000-0005-0000-0000-0000430D0000}"/>
    <cellStyle name="Финансовый 12 2 2 2 5 2 2" xfId="46005" xr:uid="{00000000-0005-0000-0000-0000440D0000}"/>
    <cellStyle name="Финансовый 12 2 2 2 5 3" xfId="34027" xr:uid="{00000000-0005-0000-0000-0000450D0000}"/>
    <cellStyle name="Финансовый 12 2 2 2 6" xfId="14230" xr:uid="{00000000-0005-0000-0000-0000460D0000}"/>
    <cellStyle name="Финансовый 12 2 2 2 6 2" xfId="38185" xr:uid="{00000000-0005-0000-0000-0000470D0000}"/>
    <cellStyle name="Финансовый 12 2 2 2 7" xfId="26208" xr:uid="{00000000-0005-0000-0000-0000480D0000}"/>
    <cellStyle name="Финансовый 12 2 2 2 8" xfId="49341" xr:uid="{00000000-0005-0000-0000-0000490D0000}"/>
    <cellStyle name="Финансовый 12 2 2 3" xfId="3069" xr:uid="{00000000-0005-0000-0000-00004A0D0000}"/>
    <cellStyle name="Финансовый 12 2 2 3 2" xfId="10864" xr:uid="{00000000-0005-0000-0000-00004B0D0000}"/>
    <cellStyle name="Финансовый 12 2 2 3 2 2" xfId="22842" xr:uid="{00000000-0005-0000-0000-00004C0D0000}"/>
    <cellStyle name="Финансовый 12 2 2 3 2 2 2" xfId="46797" xr:uid="{00000000-0005-0000-0000-00004D0D0000}"/>
    <cellStyle name="Финансовый 12 2 2 3 2 3" xfId="34819" xr:uid="{00000000-0005-0000-0000-00004E0D0000}"/>
    <cellStyle name="Финансовый 12 2 2 3 3" xfId="15048" xr:uid="{00000000-0005-0000-0000-00004F0D0000}"/>
    <cellStyle name="Финансовый 12 2 2 3 3 2" xfId="39003" xr:uid="{00000000-0005-0000-0000-0000500D0000}"/>
    <cellStyle name="Финансовый 12 2 2 3 4" xfId="27026" xr:uid="{00000000-0005-0000-0000-0000510D0000}"/>
    <cellStyle name="Финансовый 12 2 2 3 5" xfId="50157" xr:uid="{00000000-0005-0000-0000-0000520D0000}"/>
    <cellStyle name="Финансовый 12 2 2 4" xfId="4713" xr:uid="{00000000-0005-0000-0000-0000530D0000}"/>
    <cellStyle name="Финансовый 12 2 2 4 2" xfId="16692" xr:uid="{00000000-0005-0000-0000-0000540D0000}"/>
    <cellStyle name="Финансовый 12 2 2 4 2 2" xfId="40647" xr:uid="{00000000-0005-0000-0000-0000550D0000}"/>
    <cellStyle name="Финансовый 12 2 2 4 3" xfId="28670" xr:uid="{00000000-0005-0000-0000-0000560D0000}"/>
    <cellStyle name="Финансовый 12 2 2 5" xfId="7325" xr:uid="{00000000-0005-0000-0000-0000570D0000}"/>
    <cellStyle name="Финансовый 12 2 2 5 2" xfId="19303" xr:uid="{00000000-0005-0000-0000-0000580D0000}"/>
    <cellStyle name="Финансовый 12 2 2 5 2 2" xfId="43258" xr:uid="{00000000-0005-0000-0000-0000590D0000}"/>
    <cellStyle name="Финансовый 12 2 2 5 3" xfId="31280" xr:uid="{00000000-0005-0000-0000-00005A0D0000}"/>
    <cellStyle name="Финансовый 12 2 2 6" xfId="9107" xr:uid="{00000000-0005-0000-0000-00005B0D0000}"/>
    <cellStyle name="Финансовый 12 2 2 6 2" xfId="21085" xr:uid="{00000000-0005-0000-0000-00005C0D0000}"/>
    <cellStyle name="Финансовый 12 2 2 6 2 2" xfId="45040" xr:uid="{00000000-0005-0000-0000-00005D0D0000}"/>
    <cellStyle name="Финансовый 12 2 2 6 3" xfId="33062" xr:uid="{00000000-0005-0000-0000-00005E0D0000}"/>
    <cellStyle name="Финансовый 12 2 2 7" xfId="13266" xr:uid="{00000000-0005-0000-0000-00005F0D0000}"/>
    <cellStyle name="Финансовый 12 2 2 7 2" xfId="37221" xr:uid="{00000000-0005-0000-0000-0000600D0000}"/>
    <cellStyle name="Финансовый 12 2 2 8" xfId="25244" xr:uid="{00000000-0005-0000-0000-0000610D0000}"/>
    <cellStyle name="Финансовый 12 2 2 9" xfId="48377" xr:uid="{00000000-0005-0000-0000-0000620D0000}"/>
    <cellStyle name="Финансовый 12 2 3" xfId="1995" xr:uid="{00000000-0005-0000-0000-0000630D0000}"/>
    <cellStyle name="Финансовый 12 2 3 2" xfId="3640" xr:uid="{00000000-0005-0000-0000-0000640D0000}"/>
    <cellStyle name="Финансовый 12 2 3 2 2" xfId="11380" xr:uid="{00000000-0005-0000-0000-0000650D0000}"/>
    <cellStyle name="Финансовый 12 2 3 2 2 2" xfId="23358" xr:uid="{00000000-0005-0000-0000-0000660D0000}"/>
    <cellStyle name="Финансовый 12 2 3 2 2 2 2" xfId="47313" xr:uid="{00000000-0005-0000-0000-0000670D0000}"/>
    <cellStyle name="Финансовый 12 2 3 2 2 3" xfId="35335" xr:uid="{00000000-0005-0000-0000-0000680D0000}"/>
    <cellStyle name="Финансовый 12 2 3 2 3" xfId="15619" xr:uid="{00000000-0005-0000-0000-0000690D0000}"/>
    <cellStyle name="Финансовый 12 2 3 2 3 2" xfId="39574" xr:uid="{00000000-0005-0000-0000-00006A0D0000}"/>
    <cellStyle name="Финансовый 12 2 3 2 4" xfId="27597" xr:uid="{00000000-0005-0000-0000-00006B0D0000}"/>
    <cellStyle name="Финансовый 12 2 3 2 5" xfId="50866" xr:uid="{00000000-0005-0000-0000-00006C0D0000}"/>
    <cellStyle name="Финансовый 12 2 3 3" xfId="5423" xr:uid="{00000000-0005-0000-0000-00006D0D0000}"/>
    <cellStyle name="Финансовый 12 2 3 3 2" xfId="17401" xr:uid="{00000000-0005-0000-0000-00006E0D0000}"/>
    <cellStyle name="Финансовый 12 2 3 3 2 2" xfId="41356" xr:uid="{00000000-0005-0000-0000-00006F0D0000}"/>
    <cellStyle name="Финансовый 12 2 3 3 3" xfId="29378" xr:uid="{00000000-0005-0000-0000-0000700D0000}"/>
    <cellStyle name="Финансовый 12 2 3 4" xfId="8033" xr:uid="{00000000-0005-0000-0000-0000710D0000}"/>
    <cellStyle name="Финансовый 12 2 3 4 2" xfId="20011" xr:uid="{00000000-0005-0000-0000-0000720D0000}"/>
    <cellStyle name="Финансовый 12 2 3 4 2 2" xfId="43966" xr:uid="{00000000-0005-0000-0000-0000730D0000}"/>
    <cellStyle name="Финансовый 12 2 3 4 3" xfId="31988" xr:uid="{00000000-0005-0000-0000-0000740D0000}"/>
    <cellStyle name="Финансовый 12 2 3 5" xfId="9816" xr:uid="{00000000-0005-0000-0000-0000750D0000}"/>
    <cellStyle name="Финансовый 12 2 3 5 2" xfId="21794" xr:uid="{00000000-0005-0000-0000-0000760D0000}"/>
    <cellStyle name="Финансовый 12 2 3 5 2 2" xfId="45749" xr:uid="{00000000-0005-0000-0000-0000770D0000}"/>
    <cellStyle name="Финансовый 12 2 3 5 3" xfId="33771" xr:uid="{00000000-0005-0000-0000-0000780D0000}"/>
    <cellStyle name="Финансовый 12 2 3 6" xfId="13974" xr:uid="{00000000-0005-0000-0000-0000790D0000}"/>
    <cellStyle name="Финансовый 12 2 3 6 2" xfId="37929" xr:uid="{00000000-0005-0000-0000-00007A0D0000}"/>
    <cellStyle name="Финансовый 12 2 3 7" xfId="25952" xr:uid="{00000000-0005-0000-0000-00007B0D0000}"/>
    <cellStyle name="Финансовый 12 2 3 8" xfId="49085" xr:uid="{00000000-0005-0000-0000-00007C0D0000}"/>
    <cellStyle name="Финансовый 12 2 4" xfId="2516" xr:uid="{00000000-0005-0000-0000-00007D0D0000}"/>
    <cellStyle name="Финансовый 12 2 4 2" xfId="4161" xr:uid="{00000000-0005-0000-0000-00007E0D0000}"/>
    <cellStyle name="Финансовый 12 2 4 2 2" xfId="11893" xr:uid="{00000000-0005-0000-0000-00007F0D0000}"/>
    <cellStyle name="Финансовый 12 2 4 2 2 2" xfId="23871" xr:uid="{00000000-0005-0000-0000-0000800D0000}"/>
    <cellStyle name="Финансовый 12 2 4 2 2 2 2" xfId="47826" xr:uid="{00000000-0005-0000-0000-0000810D0000}"/>
    <cellStyle name="Финансовый 12 2 4 2 2 3" xfId="35848" xr:uid="{00000000-0005-0000-0000-0000820D0000}"/>
    <cellStyle name="Финансовый 12 2 4 2 3" xfId="16140" xr:uid="{00000000-0005-0000-0000-0000830D0000}"/>
    <cellStyle name="Финансовый 12 2 4 2 3 2" xfId="40095" xr:uid="{00000000-0005-0000-0000-0000840D0000}"/>
    <cellStyle name="Финансовый 12 2 4 2 4" xfId="28118" xr:uid="{00000000-0005-0000-0000-0000850D0000}"/>
    <cellStyle name="Финансовый 12 2 4 2 5" xfId="51387" xr:uid="{00000000-0005-0000-0000-0000860D0000}"/>
    <cellStyle name="Финансовый 12 2 4 3" xfId="5944" xr:uid="{00000000-0005-0000-0000-0000870D0000}"/>
    <cellStyle name="Финансовый 12 2 4 3 2" xfId="17922" xr:uid="{00000000-0005-0000-0000-0000880D0000}"/>
    <cellStyle name="Финансовый 12 2 4 3 2 2" xfId="41877" xr:uid="{00000000-0005-0000-0000-0000890D0000}"/>
    <cellStyle name="Финансовый 12 2 4 3 3" xfId="29899" xr:uid="{00000000-0005-0000-0000-00008A0D0000}"/>
    <cellStyle name="Финансовый 12 2 4 4" xfId="8554" xr:uid="{00000000-0005-0000-0000-00008B0D0000}"/>
    <cellStyle name="Финансовый 12 2 4 4 2" xfId="20532" xr:uid="{00000000-0005-0000-0000-00008C0D0000}"/>
    <cellStyle name="Финансовый 12 2 4 4 2 2" xfId="44487" xr:uid="{00000000-0005-0000-0000-00008D0D0000}"/>
    <cellStyle name="Финансовый 12 2 4 4 3" xfId="32509" xr:uid="{00000000-0005-0000-0000-00008E0D0000}"/>
    <cellStyle name="Финансовый 12 2 4 5" xfId="10337" xr:uid="{00000000-0005-0000-0000-00008F0D0000}"/>
    <cellStyle name="Финансовый 12 2 4 5 2" xfId="22315" xr:uid="{00000000-0005-0000-0000-0000900D0000}"/>
    <cellStyle name="Финансовый 12 2 4 5 2 2" xfId="46270" xr:uid="{00000000-0005-0000-0000-0000910D0000}"/>
    <cellStyle name="Финансовый 12 2 4 5 3" xfId="34292" xr:uid="{00000000-0005-0000-0000-0000920D0000}"/>
    <cellStyle name="Финансовый 12 2 4 6" xfId="14495" xr:uid="{00000000-0005-0000-0000-0000930D0000}"/>
    <cellStyle name="Финансовый 12 2 4 6 2" xfId="38450" xr:uid="{00000000-0005-0000-0000-0000940D0000}"/>
    <cellStyle name="Финансовый 12 2 4 7" xfId="26473" xr:uid="{00000000-0005-0000-0000-0000950D0000}"/>
    <cellStyle name="Финансовый 12 2 4 8" xfId="49606" xr:uid="{00000000-0005-0000-0000-0000960D0000}"/>
    <cellStyle name="Финансовый 12 2 5" xfId="1020" xr:uid="{00000000-0005-0000-0000-0000970D0000}"/>
    <cellStyle name="Финансовый 12 2 5 2" xfId="7060" xr:uid="{00000000-0005-0000-0000-0000980D0000}"/>
    <cellStyle name="Финансовый 12 2 5 2 2" xfId="19038" xr:uid="{00000000-0005-0000-0000-0000990D0000}"/>
    <cellStyle name="Финансовый 12 2 5 2 2 2" xfId="42993" xr:uid="{00000000-0005-0000-0000-00009A0D0000}"/>
    <cellStyle name="Финансовый 12 2 5 2 3" xfId="31015" xr:uid="{00000000-0005-0000-0000-00009B0D0000}"/>
    <cellStyle name="Финансовый 12 2 5 3" xfId="10608" xr:uid="{00000000-0005-0000-0000-00009C0D0000}"/>
    <cellStyle name="Финансовый 12 2 5 3 2" xfId="22586" xr:uid="{00000000-0005-0000-0000-00009D0D0000}"/>
    <cellStyle name="Финансовый 12 2 5 3 2 2" xfId="46541" xr:uid="{00000000-0005-0000-0000-00009E0D0000}"/>
    <cellStyle name="Финансовый 12 2 5 3 3" xfId="34563" xr:uid="{00000000-0005-0000-0000-00009F0D0000}"/>
    <cellStyle name="Финансовый 12 2 5 4" xfId="13001" xr:uid="{00000000-0005-0000-0000-0000A00D0000}"/>
    <cellStyle name="Финансовый 12 2 5 4 2" xfId="36956" xr:uid="{00000000-0005-0000-0000-0000A10D0000}"/>
    <cellStyle name="Финансовый 12 2 5 5" xfId="24979" xr:uid="{00000000-0005-0000-0000-0000A20D0000}"/>
    <cellStyle name="Финансовый 12 2 5 6" xfId="49885" xr:uid="{00000000-0005-0000-0000-0000A30D0000}"/>
    <cellStyle name="Финансовый 12 2 6" xfId="608" xr:uid="{00000000-0005-0000-0000-0000A40D0000}"/>
    <cellStyle name="Финансовый 12 2 6 2" xfId="6648" xr:uid="{00000000-0005-0000-0000-0000A50D0000}"/>
    <cellStyle name="Финансовый 12 2 6 2 2" xfId="18626" xr:uid="{00000000-0005-0000-0000-0000A60D0000}"/>
    <cellStyle name="Финансовый 12 2 6 2 2 2" xfId="42581" xr:uid="{00000000-0005-0000-0000-0000A70D0000}"/>
    <cellStyle name="Финансовый 12 2 6 2 3" xfId="30603" xr:uid="{00000000-0005-0000-0000-0000A80D0000}"/>
    <cellStyle name="Финансовый 12 2 6 3" xfId="12589" xr:uid="{00000000-0005-0000-0000-0000A90D0000}"/>
    <cellStyle name="Финансовый 12 2 6 3 2" xfId="36544" xr:uid="{00000000-0005-0000-0000-0000AA0D0000}"/>
    <cellStyle name="Финансовый 12 2 6 4" xfId="24567" xr:uid="{00000000-0005-0000-0000-0000AB0D0000}"/>
    <cellStyle name="Финансовый 12 2 7" xfId="2797" xr:uid="{00000000-0005-0000-0000-0000AC0D0000}"/>
    <cellStyle name="Финансовый 12 2 7 2" xfId="14776" xr:uid="{00000000-0005-0000-0000-0000AD0D0000}"/>
    <cellStyle name="Финансовый 12 2 7 2 2" xfId="38731" xr:uid="{00000000-0005-0000-0000-0000AE0D0000}"/>
    <cellStyle name="Финансовый 12 2 7 3" xfId="26754" xr:uid="{00000000-0005-0000-0000-0000AF0D0000}"/>
    <cellStyle name="Финансовый 12 2 8" xfId="4441" xr:uid="{00000000-0005-0000-0000-0000B00D0000}"/>
    <cellStyle name="Финансовый 12 2 8 2" xfId="16420" xr:uid="{00000000-0005-0000-0000-0000B10D0000}"/>
    <cellStyle name="Финансовый 12 2 8 2 2" xfId="40375" xr:uid="{00000000-0005-0000-0000-0000B20D0000}"/>
    <cellStyle name="Финансовый 12 2 8 3" xfId="28398" xr:uid="{00000000-0005-0000-0000-0000B30D0000}"/>
    <cellStyle name="Финансовый 12 2 9" xfId="6228" xr:uid="{00000000-0005-0000-0000-0000B40D0000}"/>
    <cellStyle name="Финансовый 12 2 9 2" xfId="18206" xr:uid="{00000000-0005-0000-0000-0000B50D0000}"/>
    <cellStyle name="Финансовый 12 2 9 2 2" xfId="42161" xr:uid="{00000000-0005-0000-0000-0000B60D0000}"/>
    <cellStyle name="Финансовый 12 2 9 3" xfId="30183" xr:uid="{00000000-0005-0000-0000-0000B70D0000}"/>
    <cellStyle name="Финансовый 12 3" xfId="336" xr:uid="{00000000-0005-0000-0000-0000B80D0000}"/>
    <cellStyle name="Финансовый 12 3 10" xfId="24295" xr:uid="{00000000-0005-0000-0000-0000B90D0000}"/>
    <cellStyle name="Финансовый 12 3 11" xfId="48241" xr:uid="{00000000-0005-0000-0000-0000BA0D0000}"/>
    <cellStyle name="Финансовый 12 3 2" xfId="2123" xr:uid="{00000000-0005-0000-0000-0000BB0D0000}"/>
    <cellStyle name="Финансовый 12 3 2 2" xfId="3768" xr:uid="{00000000-0005-0000-0000-0000BC0D0000}"/>
    <cellStyle name="Финансовый 12 3 2 2 2" xfId="11508" xr:uid="{00000000-0005-0000-0000-0000BD0D0000}"/>
    <cellStyle name="Финансовый 12 3 2 2 2 2" xfId="23486" xr:uid="{00000000-0005-0000-0000-0000BE0D0000}"/>
    <cellStyle name="Финансовый 12 3 2 2 2 2 2" xfId="47441" xr:uid="{00000000-0005-0000-0000-0000BF0D0000}"/>
    <cellStyle name="Финансовый 12 3 2 2 2 3" xfId="35463" xr:uid="{00000000-0005-0000-0000-0000C00D0000}"/>
    <cellStyle name="Финансовый 12 3 2 2 3" xfId="15747" xr:uid="{00000000-0005-0000-0000-0000C10D0000}"/>
    <cellStyle name="Финансовый 12 3 2 2 3 2" xfId="39702" xr:uid="{00000000-0005-0000-0000-0000C20D0000}"/>
    <cellStyle name="Финансовый 12 3 2 2 4" xfId="27725" xr:uid="{00000000-0005-0000-0000-0000C30D0000}"/>
    <cellStyle name="Финансовый 12 3 2 2 5" xfId="50994" xr:uid="{00000000-0005-0000-0000-0000C40D0000}"/>
    <cellStyle name="Финансовый 12 3 2 3" xfId="5551" xr:uid="{00000000-0005-0000-0000-0000C50D0000}"/>
    <cellStyle name="Финансовый 12 3 2 3 2" xfId="17529" xr:uid="{00000000-0005-0000-0000-0000C60D0000}"/>
    <cellStyle name="Финансовый 12 3 2 3 2 2" xfId="41484" xr:uid="{00000000-0005-0000-0000-0000C70D0000}"/>
    <cellStyle name="Финансовый 12 3 2 3 3" xfId="29506" xr:uid="{00000000-0005-0000-0000-0000C80D0000}"/>
    <cellStyle name="Финансовый 12 3 2 4" xfId="8161" xr:uid="{00000000-0005-0000-0000-0000C90D0000}"/>
    <cellStyle name="Финансовый 12 3 2 4 2" xfId="20139" xr:uid="{00000000-0005-0000-0000-0000CA0D0000}"/>
    <cellStyle name="Финансовый 12 3 2 4 2 2" xfId="44094" xr:uid="{00000000-0005-0000-0000-0000CB0D0000}"/>
    <cellStyle name="Финансовый 12 3 2 4 3" xfId="32116" xr:uid="{00000000-0005-0000-0000-0000CC0D0000}"/>
    <cellStyle name="Финансовый 12 3 2 5" xfId="9944" xr:uid="{00000000-0005-0000-0000-0000CD0D0000}"/>
    <cellStyle name="Финансовый 12 3 2 5 2" xfId="21922" xr:uid="{00000000-0005-0000-0000-0000CE0D0000}"/>
    <cellStyle name="Финансовый 12 3 2 5 2 2" xfId="45877" xr:uid="{00000000-0005-0000-0000-0000CF0D0000}"/>
    <cellStyle name="Финансовый 12 3 2 5 3" xfId="33899" xr:uid="{00000000-0005-0000-0000-0000D00D0000}"/>
    <cellStyle name="Финансовый 12 3 2 6" xfId="14102" xr:uid="{00000000-0005-0000-0000-0000D10D0000}"/>
    <cellStyle name="Финансовый 12 3 2 6 2" xfId="38057" xr:uid="{00000000-0005-0000-0000-0000D20D0000}"/>
    <cellStyle name="Финансовый 12 3 2 7" xfId="26080" xr:uid="{00000000-0005-0000-0000-0000D30D0000}"/>
    <cellStyle name="Финансовый 12 3 2 8" xfId="49213" xr:uid="{00000000-0005-0000-0000-0000D40D0000}"/>
    <cellStyle name="Финансовый 12 3 3" xfId="1156" xr:uid="{00000000-0005-0000-0000-0000D50D0000}"/>
    <cellStyle name="Финансовый 12 3 3 2" xfId="7196" xr:uid="{00000000-0005-0000-0000-0000D60D0000}"/>
    <cellStyle name="Финансовый 12 3 3 2 2" xfId="19174" xr:uid="{00000000-0005-0000-0000-0000D70D0000}"/>
    <cellStyle name="Финансовый 12 3 3 2 2 2" xfId="43129" xr:uid="{00000000-0005-0000-0000-0000D80D0000}"/>
    <cellStyle name="Финансовый 12 3 3 2 3" xfId="31151" xr:uid="{00000000-0005-0000-0000-0000D90D0000}"/>
    <cellStyle name="Финансовый 12 3 3 3" xfId="10736" xr:uid="{00000000-0005-0000-0000-0000DA0D0000}"/>
    <cellStyle name="Финансовый 12 3 3 3 2" xfId="22714" xr:uid="{00000000-0005-0000-0000-0000DB0D0000}"/>
    <cellStyle name="Финансовый 12 3 3 3 2 2" xfId="46669" xr:uid="{00000000-0005-0000-0000-0000DC0D0000}"/>
    <cellStyle name="Финансовый 12 3 3 3 3" xfId="34691" xr:uid="{00000000-0005-0000-0000-0000DD0D0000}"/>
    <cellStyle name="Финансовый 12 3 3 4" xfId="13137" xr:uid="{00000000-0005-0000-0000-0000DE0D0000}"/>
    <cellStyle name="Финансовый 12 3 3 4 2" xfId="37092" xr:uid="{00000000-0005-0000-0000-0000DF0D0000}"/>
    <cellStyle name="Финансовый 12 3 3 5" xfId="25115" xr:uid="{00000000-0005-0000-0000-0000E00D0000}"/>
    <cellStyle name="Финансовый 12 3 3 6" xfId="50021" xr:uid="{00000000-0005-0000-0000-0000E10D0000}"/>
    <cellStyle name="Финансовый 12 3 4" xfId="756" xr:uid="{00000000-0005-0000-0000-0000E20D0000}"/>
    <cellStyle name="Финансовый 12 3 4 2" xfId="6796" xr:uid="{00000000-0005-0000-0000-0000E30D0000}"/>
    <cellStyle name="Финансовый 12 3 4 2 2" xfId="18774" xr:uid="{00000000-0005-0000-0000-0000E40D0000}"/>
    <cellStyle name="Финансовый 12 3 4 2 2 2" xfId="42729" xr:uid="{00000000-0005-0000-0000-0000E50D0000}"/>
    <cellStyle name="Финансовый 12 3 4 2 3" xfId="30751" xr:uid="{00000000-0005-0000-0000-0000E60D0000}"/>
    <cellStyle name="Финансовый 12 3 4 3" xfId="12737" xr:uid="{00000000-0005-0000-0000-0000E70D0000}"/>
    <cellStyle name="Финансовый 12 3 4 3 2" xfId="36692" xr:uid="{00000000-0005-0000-0000-0000E80D0000}"/>
    <cellStyle name="Финансовый 12 3 4 4" xfId="24715" xr:uid="{00000000-0005-0000-0000-0000E90D0000}"/>
    <cellStyle name="Финансовый 12 3 5" xfId="2933" xr:uid="{00000000-0005-0000-0000-0000EA0D0000}"/>
    <cellStyle name="Финансовый 12 3 5 2" xfId="14912" xr:uid="{00000000-0005-0000-0000-0000EB0D0000}"/>
    <cellStyle name="Финансовый 12 3 5 2 2" xfId="38867" xr:uid="{00000000-0005-0000-0000-0000EC0D0000}"/>
    <cellStyle name="Финансовый 12 3 5 3" xfId="26890" xr:uid="{00000000-0005-0000-0000-0000ED0D0000}"/>
    <cellStyle name="Финансовый 12 3 6" xfId="4577" xr:uid="{00000000-0005-0000-0000-0000EE0D0000}"/>
    <cellStyle name="Финансовый 12 3 6 2" xfId="16556" xr:uid="{00000000-0005-0000-0000-0000EF0D0000}"/>
    <cellStyle name="Финансовый 12 3 6 2 2" xfId="40511" xr:uid="{00000000-0005-0000-0000-0000F00D0000}"/>
    <cellStyle name="Финансовый 12 3 6 3" xfId="28534" xr:uid="{00000000-0005-0000-0000-0000F10D0000}"/>
    <cellStyle name="Финансовый 12 3 7" xfId="6376" xr:uid="{00000000-0005-0000-0000-0000F20D0000}"/>
    <cellStyle name="Финансовый 12 3 7 2" xfId="18354" xr:uid="{00000000-0005-0000-0000-0000F30D0000}"/>
    <cellStyle name="Финансовый 12 3 7 2 2" xfId="42309" xr:uid="{00000000-0005-0000-0000-0000F40D0000}"/>
    <cellStyle name="Финансовый 12 3 7 3" xfId="30331" xr:uid="{00000000-0005-0000-0000-0000F50D0000}"/>
    <cellStyle name="Финансовый 12 3 8" xfId="8971" xr:uid="{00000000-0005-0000-0000-0000F60D0000}"/>
    <cellStyle name="Финансовый 12 3 8 2" xfId="20949" xr:uid="{00000000-0005-0000-0000-0000F70D0000}"/>
    <cellStyle name="Финансовый 12 3 8 2 2" xfId="44904" xr:uid="{00000000-0005-0000-0000-0000F80D0000}"/>
    <cellStyle name="Финансовый 12 3 8 3" xfId="32926" xr:uid="{00000000-0005-0000-0000-0000F90D0000}"/>
    <cellStyle name="Финансовый 12 3 9" xfId="12317" xr:uid="{00000000-0005-0000-0000-0000FA0D0000}"/>
    <cellStyle name="Финансовый 12 3 9 2" xfId="36272" xr:uid="{00000000-0005-0000-0000-0000FB0D0000}"/>
    <cellStyle name="Финансовый 12 4" xfId="1438" xr:uid="{00000000-0005-0000-0000-0000FC0D0000}"/>
    <cellStyle name="Финансовый 12 4 2" xfId="1859" xr:uid="{00000000-0005-0000-0000-0000FD0D0000}"/>
    <cellStyle name="Финансовый 12 4 2 2" xfId="3504" xr:uid="{00000000-0005-0000-0000-0000FE0D0000}"/>
    <cellStyle name="Финансовый 12 4 2 2 2" xfId="11252" xr:uid="{00000000-0005-0000-0000-0000FF0D0000}"/>
    <cellStyle name="Финансовый 12 4 2 2 2 2" xfId="23230" xr:uid="{00000000-0005-0000-0000-0000000E0000}"/>
    <cellStyle name="Финансовый 12 4 2 2 2 2 2" xfId="47185" xr:uid="{00000000-0005-0000-0000-0000010E0000}"/>
    <cellStyle name="Финансовый 12 4 2 2 2 3" xfId="35207" xr:uid="{00000000-0005-0000-0000-0000020E0000}"/>
    <cellStyle name="Финансовый 12 4 2 2 3" xfId="15483" xr:uid="{00000000-0005-0000-0000-0000030E0000}"/>
    <cellStyle name="Финансовый 12 4 2 2 3 2" xfId="39438" xr:uid="{00000000-0005-0000-0000-0000040E0000}"/>
    <cellStyle name="Финансовый 12 4 2 2 4" xfId="27461" xr:uid="{00000000-0005-0000-0000-0000050E0000}"/>
    <cellStyle name="Финансовый 12 4 2 2 5" xfId="50730" xr:uid="{00000000-0005-0000-0000-0000060E0000}"/>
    <cellStyle name="Финансовый 12 4 2 3" xfId="5287" xr:uid="{00000000-0005-0000-0000-0000070E0000}"/>
    <cellStyle name="Финансовый 12 4 2 3 2" xfId="17265" xr:uid="{00000000-0005-0000-0000-0000080E0000}"/>
    <cellStyle name="Финансовый 12 4 2 3 2 2" xfId="41220" xr:uid="{00000000-0005-0000-0000-0000090E0000}"/>
    <cellStyle name="Финансовый 12 4 2 3 3" xfId="29242" xr:uid="{00000000-0005-0000-0000-00000A0E0000}"/>
    <cellStyle name="Финансовый 12 4 2 4" xfId="7897" xr:uid="{00000000-0005-0000-0000-00000B0E0000}"/>
    <cellStyle name="Финансовый 12 4 2 4 2" xfId="19875" xr:uid="{00000000-0005-0000-0000-00000C0E0000}"/>
    <cellStyle name="Финансовый 12 4 2 4 2 2" xfId="43830" xr:uid="{00000000-0005-0000-0000-00000D0E0000}"/>
    <cellStyle name="Финансовый 12 4 2 4 3" xfId="31852" xr:uid="{00000000-0005-0000-0000-00000E0E0000}"/>
    <cellStyle name="Финансовый 12 4 2 5" xfId="9680" xr:uid="{00000000-0005-0000-0000-00000F0E0000}"/>
    <cellStyle name="Финансовый 12 4 2 5 2" xfId="21658" xr:uid="{00000000-0005-0000-0000-0000100E0000}"/>
    <cellStyle name="Финансовый 12 4 2 5 2 2" xfId="45613" xr:uid="{00000000-0005-0000-0000-0000110E0000}"/>
    <cellStyle name="Финансовый 12 4 2 5 3" xfId="33635" xr:uid="{00000000-0005-0000-0000-0000120E0000}"/>
    <cellStyle name="Финансовый 12 4 2 6" xfId="13838" xr:uid="{00000000-0005-0000-0000-0000130E0000}"/>
    <cellStyle name="Финансовый 12 4 2 6 2" xfId="37793" xr:uid="{00000000-0005-0000-0000-0000140E0000}"/>
    <cellStyle name="Финансовый 12 4 2 7" xfId="25816" xr:uid="{00000000-0005-0000-0000-0000150E0000}"/>
    <cellStyle name="Финансовый 12 4 2 8" xfId="48949" xr:uid="{00000000-0005-0000-0000-0000160E0000}"/>
    <cellStyle name="Финансовый 12 4 3" xfId="4866" xr:uid="{00000000-0005-0000-0000-0000170E0000}"/>
    <cellStyle name="Финансовый 12 4 3 2" xfId="16845" xr:uid="{00000000-0005-0000-0000-0000180E0000}"/>
    <cellStyle name="Финансовый 12 4 3 2 2" xfId="40800" xr:uid="{00000000-0005-0000-0000-0000190E0000}"/>
    <cellStyle name="Финансовый 12 4 3 3" xfId="28822" xr:uid="{00000000-0005-0000-0000-00001A0E0000}"/>
    <cellStyle name="Финансовый 12 4 3 4" xfId="50310" xr:uid="{00000000-0005-0000-0000-00001B0E0000}"/>
    <cellStyle name="Финансовый 12 4 4" xfId="7477" xr:uid="{00000000-0005-0000-0000-00001C0E0000}"/>
    <cellStyle name="Финансовый 12 4 4 2" xfId="19455" xr:uid="{00000000-0005-0000-0000-00001D0E0000}"/>
    <cellStyle name="Финансовый 12 4 4 2 2" xfId="43410" xr:uid="{00000000-0005-0000-0000-00001E0E0000}"/>
    <cellStyle name="Финансовый 12 4 4 3" xfId="31432" xr:uid="{00000000-0005-0000-0000-00001F0E0000}"/>
    <cellStyle name="Финансовый 12 4 5" xfId="9260" xr:uid="{00000000-0005-0000-0000-0000200E0000}"/>
    <cellStyle name="Финансовый 12 4 5 2" xfId="21238" xr:uid="{00000000-0005-0000-0000-0000210E0000}"/>
    <cellStyle name="Финансовый 12 4 5 2 2" xfId="45193" xr:uid="{00000000-0005-0000-0000-0000220E0000}"/>
    <cellStyle name="Финансовый 12 4 5 3" xfId="33215" xr:uid="{00000000-0005-0000-0000-0000230E0000}"/>
    <cellStyle name="Финансовый 12 4 6" xfId="13418" xr:uid="{00000000-0005-0000-0000-0000240E0000}"/>
    <cellStyle name="Финансовый 12 4 6 2" xfId="37373" xr:uid="{00000000-0005-0000-0000-0000250E0000}"/>
    <cellStyle name="Финансовый 12 4 7" xfId="25396" xr:uid="{00000000-0005-0000-0000-0000260E0000}"/>
    <cellStyle name="Финансовый 12 4 8" xfId="48529" xr:uid="{00000000-0005-0000-0000-0000270E0000}"/>
    <cellStyle name="Финансовый 12 5" xfId="1743" xr:uid="{00000000-0005-0000-0000-0000280E0000}"/>
    <cellStyle name="Финансовый 12 5 2" xfId="3388" xr:uid="{00000000-0005-0000-0000-0000290E0000}"/>
    <cellStyle name="Финансовый 12 5 2 2" xfId="11136" xr:uid="{00000000-0005-0000-0000-00002A0E0000}"/>
    <cellStyle name="Финансовый 12 5 2 2 2" xfId="23114" xr:uid="{00000000-0005-0000-0000-00002B0E0000}"/>
    <cellStyle name="Финансовый 12 5 2 2 2 2" xfId="47069" xr:uid="{00000000-0005-0000-0000-00002C0E0000}"/>
    <cellStyle name="Финансовый 12 5 2 2 3" xfId="35091" xr:uid="{00000000-0005-0000-0000-00002D0E0000}"/>
    <cellStyle name="Финансовый 12 5 2 3" xfId="15367" xr:uid="{00000000-0005-0000-0000-00002E0E0000}"/>
    <cellStyle name="Финансовый 12 5 2 3 2" xfId="39322" xr:uid="{00000000-0005-0000-0000-00002F0E0000}"/>
    <cellStyle name="Финансовый 12 5 2 4" xfId="27345" xr:uid="{00000000-0005-0000-0000-0000300E0000}"/>
    <cellStyle name="Финансовый 12 5 2 5" xfId="50614" xr:uid="{00000000-0005-0000-0000-0000310E0000}"/>
    <cellStyle name="Финансовый 12 5 3" xfId="5171" xr:uid="{00000000-0005-0000-0000-0000320E0000}"/>
    <cellStyle name="Финансовый 12 5 3 2" xfId="17149" xr:uid="{00000000-0005-0000-0000-0000330E0000}"/>
    <cellStyle name="Финансовый 12 5 3 2 2" xfId="41104" xr:uid="{00000000-0005-0000-0000-0000340E0000}"/>
    <cellStyle name="Финансовый 12 5 3 3" xfId="29126" xr:uid="{00000000-0005-0000-0000-0000350E0000}"/>
    <cellStyle name="Финансовый 12 5 4" xfId="7781" xr:uid="{00000000-0005-0000-0000-0000360E0000}"/>
    <cellStyle name="Финансовый 12 5 4 2" xfId="19759" xr:uid="{00000000-0005-0000-0000-0000370E0000}"/>
    <cellStyle name="Финансовый 12 5 4 2 2" xfId="43714" xr:uid="{00000000-0005-0000-0000-0000380E0000}"/>
    <cellStyle name="Финансовый 12 5 4 3" xfId="31736" xr:uid="{00000000-0005-0000-0000-0000390E0000}"/>
    <cellStyle name="Финансовый 12 5 5" xfId="9564" xr:uid="{00000000-0005-0000-0000-00003A0E0000}"/>
    <cellStyle name="Финансовый 12 5 5 2" xfId="21542" xr:uid="{00000000-0005-0000-0000-00003B0E0000}"/>
    <cellStyle name="Финансовый 12 5 5 2 2" xfId="45497" xr:uid="{00000000-0005-0000-0000-00003C0E0000}"/>
    <cellStyle name="Финансовый 12 5 5 3" xfId="33519" xr:uid="{00000000-0005-0000-0000-00003D0E0000}"/>
    <cellStyle name="Финансовый 12 5 6" xfId="13722" xr:uid="{00000000-0005-0000-0000-00003E0E0000}"/>
    <cellStyle name="Финансовый 12 5 6 2" xfId="37677" xr:uid="{00000000-0005-0000-0000-00003F0E0000}"/>
    <cellStyle name="Финансовый 12 5 7" xfId="25700" xr:uid="{00000000-0005-0000-0000-0000400E0000}"/>
    <cellStyle name="Финансовый 12 5 8" xfId="48833" xr:uid="{00000000-0005-0000-0000-0000410E0000}"/>
    <cellStyle name="Финансовый 12 6" xfId="2379" xr:uid="{00000000-0005-0000-0000-0000420E0000}"/>
    <cellStyle name="Финансовый 12 6 2" xfId="4024" xr:uid="{00000000-0005-0000-0000-0000430E0000}"/>
    <cellStyle name="Финансовый 12 6 2 2" xfId="11764" xr:uid="{00000000-0005-0000-0000-0000440E0000}"/>
    <cellStyle name="Финансовый 12 6 2 2 2" xfId="23742" xr:uid="{00000000-0005-0000-0000-0000450E0000}"/>
    <cellStyle name="Финансовый 12 6 2 2 2 2" xfId="47697" xr:uid="{00000000-0005-0000-0000-0000460E0000}"/>
    <cellStyle name="Финансовый 12 6 2 2 3" xfId="35719" xr:uid="{00000000-0005-0000-0000-0000470E0000}"/>
    <cellStyle name="Финансовый 12 6 2 3" xfId="16003" xr:uid="{00000000-0005-0000-0000-0000480E0000}"/>
    <cellStyle name="Финансовый 12 6 2 3 2" xfId="39958" xr:uid="{00000000-0005-0000-0000-0000490E0000}"/>
    <cellStyle name="Финансовый 12 6 2 4" xfId="27981" xr:uid="{00000000-0005-0000-0000-00004A0E0000}"/>
    <cellStyle name="Финансовый 12 6 2 5" xfId="51250" xr:uid="{00000000-0005-0000-0000-00004B0E0000}"/>
    <cellStyle name="Финансовый 12 6 3" xfId="5807" xr:uid="{00000000-0005-0000-0000-00004C0E0000}"/>
    <cellStyle name="Финансовый 12 6 3 2" xfId="17785" xr:uid="{00000000-0005-0000-0000-00004D0E0000}"/>
    <cellStyle name="Финансовый 12 6 3 2 2" xfId="41740" xr:uid="{00000000-0005-0000-0000-00004E0E0000}"/>
    <cellStyle name="Финансовый 12 6 3 3" xfId="29762" xr:uid="{00000000-0005-0000-0000-00004F0E0000}"/>
    <cellStyle name="Финансовый 12 6 4" xfId="8417" xr:uid="{00000000-0005-0000-0000-0000500E0000}"/>
    <cellStyle name="Финансовый 12 6 4 2" xfId="20395" xr:uid="{00000000-0005-0000-0000-0000510E0000}"/>
    <cellStyle name="Финансовый 12 6 4 2 2" xfId="44350" xr:uid="{00000000-0005-0000-0000-0000520E0000}"/>
    <cellStyle name="Финансовый 12 6 4 3" xfId="32372" xr:uid="{00000000-0005-0000-0000-0000530E0000}"/>
    <cellStyle name="Финансовый 12 6 5" xfId="10200" xr:uid="{00000000-0005-0000-0000-0000540E0000}"/>
    <cellStyle name="Финансовый 12 6 5 2" xfId="22178" xr:uid="{00000000-0005-0000-0000-0000550E0000}"/>
    <cellStyle name="Финансовый 12 6 5 2 2" xfId="46133" xr:uid="{00000000-0005-0000-0000-0000560E0000}"/>
    <cellStyle name="Финансовый 12 6 5 3" xfId="34155" xr:uid="{00000000-0005-0000-0000-0000570E0000}"/>
    <cellStyle name="Финансовый 12 6 6" xfId="14358" xr:uid="{00000000-0005-0000-0000-0000580E0000}"/>
    <cellStyle name="Финансовый 12 6 6 2" xfId="38313" xr:uid="{00000000-0005-0000-0000-0000590E0000}"/>
    <cellStyle name="Финансовый 12 6 7" xfId="26336" xr:uid="{00000000-0005-0000-0000-00005A0E0000}"/>
    <cellStyle name="Финансовый 12 6 8" xfId="49469" xr:uid="{00000000-0005-0000-0000-00005B0E0000}"/>
    <cellStyle name="Финансовый 12 7" xfId="1606" xr:uid="{00000000-0005-0000-0000-00005C0E0000}"/>
    <cellStyle name="Финансовый 12 7 2" xfId="3251" xr:uid="{00000000-0005-0000-0000-00005D0E0000}"/>
    <cellStyle name="Финансовый 12 7 2 2" xfId="11007" xr:uid="{00000000-0005-0000-0000-00005E0E0000}"/>
    <cellStyle name="Финансовый 12 7 2 2 2" xfId="22985" xr:uid="{00000000-0005-0000-0000-00005F0E0000}"/>
    <cellStyle name="Финансовый 12 7 2 2 2 2" xfId="46940" xr:uid="{00000000-0005-0000-0000-0000600E0000}"/>
    <cellStyle name="Финансовый 12 7 2 2 3" xfId="34962" xr:uid="{00000000-0005-0000-0000-0000610E0000}"/>
    <cellStyle name="Финансовый 12 7 2 3" xfId="15230" xr:uid="{00000000-0005-0000-0000-0000620E0000}"/>
    <cellStyle name="Финансовый 12 7 2 3 2" xfId="39185" xr:uid="{00000000-0005-0000-0000-0000630E0000}"/>
    <cellStyle name="Финансовый 12 7 2 4" xfId="27208" xr:uid="{00000000-0005-0000-0000-0000640E0000}"/>
    <cellStyle name="Финансовый 12 7 2 5" xfId="50477" xr:uid="{00000000-0005-0000-0000-0000650E0000}"/>
    <cellStyle name="Финансовый 12 7 3" xfId="5034" xr:uid="{00000000-0005-0000-0000-0000660E0000}"/>
    <cellStyle name="Финансовый 12 7 3 2" xfId="17012" xr:uid="{00000000-0005-0000-0000-0000670E0000}"/>
    <cellStyle name="Финансовый 12 7 3 2 2" xfId="40967" xr:uid="{00000000-0005-0000-0000-0000680E0000}"/>
    <cellStyle name="Финансовый 12 7 3 3" xfId="28989" xr:uid="{00000000-0005-0000-0000-0000690E0000}"/>
    <cellStyle name="Финансовый 12 7 4" xfId="7644" xr:uid="{00000000-0005-0000-0000-00006A0E0000}"/>
    <cellStyle name="Финансовый 12 7 4 2" xfId="19622" xr:uid="{00000000-0005-0000-0000-00006B0E0000}"/>
    <cellStyle name="Финансовый 12 7 4 2 2" xfId="43577" xr:uid="{00000000-0005-0000-0000-00006C0E0000}"/>
    <cellStyle name="Финансовый 12 7 4 3" xfId="31599" xr:uid="{00000000-0005-0000-0000-00006D0E0000}"/>
    <cellStyle name="Финансовый 12 7 5" xfId="9427" xr:uid="{00000000-0005-0000-0000-00006E0E0000}"/>
    <cellStyle name="Финансовый 12 7 5 2" xfId="21405" xr:uid="{00000000-0005-0000-0000-00006F0E0000}"/>
    <cellStyle name="Финансовый 12 7 5 2 2" xfId="45360" xr:uid="{00000000-0005-0000-0000-0000700E0000}"/>
    <cellStyle name="Финансовый 12 7 5 3" xfId="33382" xr:uid="{00000000-0005-0000-0000-0000710E0000}"/>
    <cellStyle name="Финансовый 12 7 6" xfId="13585" xr:uid="{00000000-0005-0000-0000-0000720E0000}"/>
    <cellStyle name="Финансовый 12 7 6 2" xfId="37540" xr:uid="{00000000-0005-0000-0000-0000730E0000}"/>
    <cellStyle name="Финансовый 12 7 7" xfId="25563" xr:uid="{00000000-0005-0000-0000-0000740E0000}"/>
    <cellStyle name="Финансовый 12 7 8" xfId="48696" xr:uid="{00000000-0005-0000-0000-0000750E0000}"/>
    <cellStyle name="Финансовый 12 8" xfId="892" xr:uid="{00000000-0005-0000-0000-0000760E0000}"/>
    <cellStyle name="Финансовый 12 8 2" xfId="6932" xr:uid="{00000000-0005-0000-0000-0000770E0000}"/>
    <cellStyle name="Финансовый 12 8 2 2" xfId="18910" xr:uid="{00000000-0005-0000-0000-0000780E0000}"/>
    <cellStyle name="Финансовый 12 8 2 2 2" xfId="42865" xr:uid="{00000000-0005-0000-0000-0000790E0000}"/>
    <cellStyle name="Финансовый 12 8 2 3" xfId="30887" xr:uid="{00000000-0005-0000-0000-00007A0E0000}"/>
    <cellStyle name="Финансовый 12 8 3" xfId="10480" xr:uid="{00000000-0005-0000-0000-00007B0E0000}"/>
    <cellStyle name="Финансовый 12 8 3 2" xfId="22458" xr:uid="{00000000-0005-0000-0000-00007C0E0000}"/>
    <cellStyle name="Финансовый 12 8 3 2 2" xfId="46413" xr:uid="{00000000-0005-0000-0000-00007D0E0000}"/>
    <cellStyle name="Финансовый 12 8 3 3" xfId="34435" xr:uid="{00000000-0005-0000-0000-00007E0E0000}"/>
    <cellStyle name="Финансовый 12 8 4" xfId="12873" xr:uid="{00000000-0005-0000-0000-00007F0E0000}"/>
    <cellStyle name="Финансовый 12 8 4 2" xfId="36828" xr:uid="{00000000-0005-0000-0000-0000800E0000}"/>
    <cellStyle name="Финансовый 12 8 5" xfId="24851" xr:uid="{00000000-0005-0000-0000-0000810E0000}"/>
    <cellStyle name="Финансовый 12 8 6" xfId="49749" xr:uid="{00000000-0005-0000-0000-0000820E0000}"/>
    <cellStyle name="Финансовый 12 9" xfId="472" xr:uid="{00000000-0005-0000-0000-0000830E0000}"/>
    <cellStyle name="Финансовый 12 9 2" xfId="6512" xr:uid="{00000000-0005-0000-0000-0000840E0000}"/>
    <cellStyle name="Финансовый 12 9 2 2" xfId="18490" xr:uid="{00000000-0005-0000-0000-0000850E0000}"/>
    <cellStyle name="Финансовый 12 9 2 2 2" xfId="42445" xr:uid="{00000000-0005-0000-0000-0000860E0000}"/>
    <cellStyle name="Финансовый 12 9 2 3" xfId="30467" xr:uid="{00000000-0005-0000-0000-0000870E0000}"/>
    <cellStyle name="Финансовый 12 9 3" xfId="12453" xr:uid="{00000000-0005-0000-0000-0000880E0000}"/>
    <cellStyle name="Финансовый 12 9 3 2" xfId="36408" xr:uid="{00000000-0005-0000-0000-0000890E0000}"/>
    <cellStyle name="Финансовый 12 9 4" xfId="24431" xr:uid="{00000000-0005-0000-0000-00008A0E0000}"/>
    <cellStyle name="Финансовый 13" xfId="127" xr:uid="{00000000-0005-0000-0000-00008B0E0000}"/>
    <cellStyle name="Финансовый 13 10" xfId="2737" xr:uid="{00000000-0005-0000-0000-00008C0E0000}"/>
    <cellStyle name="Финансовый 13 10 2" xfId="14716" xr:uid="{00000000-0005-0000-0000-00008D0E0000}"/>
    <cellStyle name="Финансовый 13 10 2 2" xfId="38671" xr:uid="{00000000-0005-0000-0000-00008E0E0000}"/>
    <cellStyle name="Финансовый 13 10 3" xfId="26694" xr:uid="{00000000-0005-0000-0000-00008F0E0000}"/>
    <cellStyle name="Финансовый 13 11" xfId="4381" xr:uid="{00000000-0005-0000-0000-0000900E0000}"/>
    <cellStyle name="Финансовый 13 11 2" xfId="16360" xr:uid="{00000000-0005-0000-0000-0000910E0000}"/>
    <cellStyle name="Финансовый 13 11 2 2" xfId="40315" xr:uid="{00000000-0005-0000-0000-0000920E0000}"/>
    <cellStyle name="Финансовый 13 11 3" xfId="28338" xr:uid="{00000000-0005-0000-0000-0000930E0000}"/>
    <cellStyle name="Финансовый 13 12" xfId="6168" xr:uid="{00000000-0005-0000-0000-0000940E0000}"/>
    <cellStyle name="Финансовый 13 12 2" xfId="18146" xr:uid="{00000000-0005-0000-0000-0000950E0000}"/>
    <cellStyle name="Финансовый 13 12 2 2" xfId="42101" xr:uid="{00000000-0005-0000-0000-0000960E0000}"/>
    <cellStyle name="Финансовый 13 12 3" xfId="30123" xr:uid="{00000000-0005-0000-0000-0000970E0000}"/>
    <cellStyle name="Финансовый 13 13" xfId="8775" xr:uid="{00000000-0005-0000-0000-0000980E0000}"/>
    <cellStyle name="Финансовый 13 13 2" xfId="20753" xr:uid="{00000000-0005-0000-0000-0000990E0000}"/>
    <cellStyle name="Финансовый 13 13 2 2" xfId="44708" xr:uid="{00000000-0005-0000-0000-00009A0E0000}"/>
    <cellStyle name="Финансовый 13 13 3" xfId="32730" xr:uid="{00000000-0005-0000-0000-00009B0E0000}"/>
    <cellStyle name="Финансовый 13 14" xfId="12109" xr:uid="{00000000-0005-0000-0000-00009C0E0000}"/>
    <cellStyle name="Финансовый 13 14 2" xfId="36064" xr:uid="{00000000-0005-0000-0000-00009D0E0000}"/>
    <cellStyle name="Финансовый 13 15" xfId="24087" xr:uid="{00000000-0005-0000-0000-00009E0E0000}"/>
    <cellStyle name="Финансовый 13 16" xfId="48045" xr:uid="{00000000-0005-0000-0000-00009F0E0000}"/>
    <cellStyle name="Финансовый 13 2" xfId="263" xr:uid="{00000000-0005-0000-0000-0000A00E0000}"/>
    <cellStyle name="Финансовый 13 2 10" xfId="8911" xr:uid="{00000000-0005-0000-0000-0000A10E0000}"/>
    <cellStyle name="Финансовый 13 2 10 2" xfId="20889" xr:uid="{00000000-0005-0000-0000-0000A20E0000}"/>
    <cellStyle name="Финансовый 13 2 10 2 2" xfId="44844" xr:uid="{00000000-0005-0000-0000-0000A30E0000}"/>
    <cellStyle name="Финансовый 13 2 10 3" xfId="32866" xr:uid="{00000000-0005-0000-0000-0000A40E0000}"/>
    <cellStyle name="Финансовый 13 2 11" xfId="12245" xr:uid="{00000000-0005-0000-0000-0000A50E0000}"/>
    <cellStyle name="Финансовый 13 2 11 2" xfId="36200" xr:uid="{00000000-0005-0000-0000-0000A60E0000}"/>
    <cellStyle name="Финансовый 13 2 12" xfId="24223" xr:uid="{00000000-0005-0000-0000-0000A70E0000}"/>
    <cellStyle name="Финансовый 13 2 13" xfId="48181" xr:uid="{00000000-0005-0000-0000-0000A80E0000}"/>
    <cellStyle name="Финансовый 13 2 2" xfId="1361" xr:uid="{00000000-0005-0000-0000-0000A90E0000}"/>
    <cellStyle name="Финансовый 13 2 2 2" xfId="2319" xr:uid="{00000000-0005-0000-0000-0000AA0E0000}"/>
    <cellStyle name="Финансовый 13 2 2 2 2" xfId="3964" xr:uid="{00000000-0005-0000-0000-0000AB0E0000}"/>
    <cellStyle name="Финансовый 13 2 2 2 2 2" xfId="11704" xr:uid="{00000000-0005-0000-0000-0000AC0E0000}"/>
    <cellStyle name="Финансовый 13 2 2 2 2 2 2" xfId="23682" xr:uid="{00000000-0005-0000-0000-0000AD0E0000}"/>
    <cellStyle name="Финансовый 13 2 2 2 2 2 2 2" xfId="47637" xr:uid="{00000000-0005-0000-0000-0000AE0E0000}"/>
    <cellStyle name="Финансовый 13 2 2 2 2 2 3" xfId="35659" xr:uid="{00000000-0005-0000-0000-0000AF0E0000}"/>
    <cellStyle name="Финансовый 13 2 2 2 2 3" xfId="15943" xr:uid="{00000000-0005-0000-0000-0000B00E0000}"/>
    <cellStyle name="Финансовый 13 2 2 2 2 3 2" xfId="39898" xr:uid="{00000000-0005-0000-0000-0000B10E0000}"/>
    <cellStyle name="Финансовый 13 2 2 2 2 4" xfId="27921" xr:uid="{00000000-0005-0000-0000-0000B20E0000}"/>
    <cellStyle name="Финансовый 13 2 2 2 2 5" xfId="51190" xr:uid="{00000000-0005-0000-0000-0000B30E0000}"/>
    <cellStyle name="Финансовый 13 2 2 2 3" xfId="5747" xr:uid="{00000000-0005-0000-0000-0000B40E0000}"/>
    <cellStyle name="Финансовый 13 2 2 2 3 2" xfId="17725" xr:uid="{00000000-0005-0000-0000-0000B50E0000}"/>
    <cellStyle name="Финансовый 13 2 2 2 3 2 2" xfId="41680" xr:uid="{00000000-0005-0000-0000-0000B60E0000}"/>
    <cellStyle name="Финансовый 13 2 2 2 3 3" xfId="29702" xr:uid="{00000000-0005-0000-0000-0000B70E0000}"/>
    <cellStyle name="Финансовый 13 2 2 2 4" xfId="8357" xr:uid="{00000000-0005-0000-0000-0000B80E0000}"/>
    <cellStyle name="Финансовый 13 2 2 2 4 2" xfId="20335" xr:uid="{00000000-0005-0000-0000-0000B90E0000}"/>
    <cellStyle name="Финансовый 13 2 2 2 4 2 2" xfId="44290" xr:uid="{00000000-0005-0000-0000-0000BA0E0000}"/>
    <cellStyle name="Финансовый 13 2 2 2 4 3" xfId="32312" xr:uid="{00000000-0005-0000-0000-0000BB0E0000}"/>
    <cellStyle name="Финансовый 13 2 2 2 5" xfId="10140" xr:uid="{00000000-0005-0000-0000-0000BC0E0000}"/>
    <cellStyle name="Финансовый 13 2 2 2 5 2" xfId="22118" xr:uid="{00000000-0005-0000-0000-0000BD0E0000}"/>
    <cellStyle name="Финансовый 13 2 2 2 5 2 2" xfId="46073" xr:uid="{00000000-0005-0000-0000-0000BE0E0000}"/>
    <cellStyle name="Финансовый 13 2 2 2 5 3" xfId="34095" xr:uid="{00000000-0005-0000-0000-0000BF0E0000}"/>
    <cellStyle name="Финансовый 13 2 2 2 6" xfId="14298" xr:uid="{00000000-0005-0000-0000-0000C00E0000}"/>
    <cellStyle name="Финансовый 13 2 2 2 6 2" xfId="38253" xr:uid="{00000000-0005-0000-0000-0000C10E0000}"/>
    <cellStyle name="Финансовый 13 2 2 2 7" xfId="26276" xr:uid="{00000000-0005-0000-0000-0000C20E0000}"/>
    <cellStyle name="Финансовый 13 2 2 2 8" xfId="49409" xr:uid="{00000000-0005-0000-0000-0000C30E0000}"/>
    <cellStyle name="Финансовый 13 2 2 3" xfId="3145" xr:uid="{00000000-0005-0000-0000-0000C40E0000}"/>
    <cellStyle name="Финансовый 13 2 2 3 2" xfId="10932" xr:uid="{00000000-0005-0000-0000-0000C50E0000}"/>
    <cellStyle name="Финансовый 13 2 2 3 2 2" xfId="22910" xr:uid="{00000000-0005-0000-0000-0000C60E0000}"/>
    <cellStyle name="Финансовый 13 2 2 3 2 2 2" xfId="46865" xr:uid="{00000000-0005-0000-0000-0000C70E0000}"/>
    <cellStyle name="Финансовый 13 2 2 3 2 3" xfId="34887" xr:uid="{00000000-0005-0000-0000-0000C80E0000}"/>
    <cellStyle name="Финансовый 13 2 2 3 3" xfId="15124" xr:uid="{00000000-0005-0000-0000-0000C90E0000}"/>
    <cellStyle name="Финансовый 13 2 2 3 3 2" xfId="39079" xr:uid="{00000000-0005-0000-0000-0000CA0E0000}"/>
    <cellStyle name="Финансовый 13 2 2 3 4" xfId="27102" xr:uid="{00000000-0005-0000-0000-0000CB0E0000}"/>
    <cellStyle name="Финансовый 13 2 2 3 5" xfId="50233" xr:uid="{00000000-0005-0000-0000-0000CC0E0000}"/>
    <cellStyle name="Финансовый 13 2 2 4" xfId="4789" xr:uid="{00000000-0005-0000-0000-0000CD0E0000}"/>
    <cellStyle name="Финансовый 13 2 2 4 2" xfId="16768" xr:uid="{00000000-0005-0000-0000-0000CE0E0000}"/>
    <cellStyle name="Финансовый 13 2 2 4 2 2" xfId="40723" xr:uid="{00000000-0005-0000-0000-0000CF0E0000}"/>
    <cellStyle name="Финансовый 13 2 2 4 3" xfId="28746" xr:uid="{00000000-0005-0000-0000-0000D00E0000}"/>
    <cellStyle name="Финансовый 13 2 2 5" xfId="7401" xr:uid="{00000000-0005-0000-0000-0000D10E0000}"/>
    <cellStyle name="Финансовый 13 2 2 5 2" xfId="19379" xr:uid="{00000000-0005-0000-0000-0000D20E0000}"/>
    <cellStyle name="Финансовый 13 2 2 5 2 2" xfId="43334" xr:uid="{00000000-0005-0000-0000-0000D30E0000}"/>
    <cellStyle name="Финансовый 13 2 2 5 3" xfId="31356" xr:uid="{00000000-0005-0000-0000-0000D40E0000}"/>
    <cellStyle name="Финансовый 13 2 2 6" xfId="9183" xr:uid="{00000000-0005-0000-0000-0000D50E0000}"/>
    <cellStyle name="Финансовый 13 2 2 6 2" xfId="21161" xr:uid="{00000000-0005-0000-0000-0000D60E0000}"/>
    <cellStyle name="Финансовый 13 2 2 6 2 2" xfId="45116" xr:uid="{00000000-0005-0000-0000-0000D70E0000}"/>
    <cellStyle name="Финансовый 13 2 2 6 3" xfId="33138" xr:uid="{00000000-0005-0000-0000-0000D80E0000}"/>
    <cellStyle name="Финансовый 13 2 2 7" xfId="13342" xr:uid="{00000000-0005-0000-0000-0000D90E0000}"/>
    <cellStyle name="Финансовый 13 2 2 7 2" xfId="37297" xr:uid="{00000000-0005-0000-0000-0000DA0E0000}"/>
    <cellStyle name="Финансовый 13 2 2 8" xfId="25320" xr:uid="{00000000-0005-0000-0000-0000DB0E0000}"/>
    <cellStyle name="Финансовый 13 2 2 9" xfId="48453" xr:uid="{00000000-0005-0000-0000-0000DC0E0000}"/>
    <cellStyle name="Финансовый 13 2 3" xfId="2063" xr:uid="{00000000-0005-0000-0000-0000DD0E0000}"/>
    <cellStyle name="Финансовый 13 2 3 2" xfId="3708" xr:uid="{00000000-0005-0000-0000-0000DE0E0000}"/>
    <cellStyle name="Финансовый 13 2 3 2 2" xfId="11448" xr:uid="{00000000-0005-0000-0000-0000DF0E0000}"/>
    <cellStyle name="Финансовый 13 2 3 2 2 2" xfId="23426" xr:uid="{00000000-0005-0000-0000-0000E00E0000}"/>
    <cellStyle name="Финансовый 13 2 3 2 2 2 2" xfId="47381" xr:uid="{00000000-0005-0000-0000-0000E10E0000}"/>
    <cellStyle name="Финансовый 13 2 3 2 2 3" xfId="35403" xr:uid="{00000000-0005-0000-0000-0000E20E0000}"/>
    <cellStyle name="Финансовый 13 2 3 2 3" xfId="15687" xr:uid="{00000000-0005-0000-0000-0000E30E0000}"/>
    <cellStyle name="Финансовый 13 2 3 2 3 2" xfId="39642" xr:uid="{00000000-0005-0000-0000-0000E40E0000}"/>
    <cellStyle name="Финансовый 13 2 3 2 4" xfId="27665" xr:uid="{00000000-0005-0000-0000-0000E50E0000}"/>
    <cellStyle name="Финансовый 13 2 3 2 5" xfId="50934" xr:uid="{00000000-0005-0000-0000-0000E60E0000}"/>
    <cellStyle name="Финансовый 13 2 3 3" xfId="5491" xr:uid="{00000000-0005-0000-0000-0000E70E0000}"/>
    <cellStyle name="Финансовый 13 2 3 3 2" xfId="17469" xr:uid="{00000000-0005-0000-0000-0000E80E0000}"/>
    <cellStyle name="Финансовый 13 2 3 3 2 2" xfId="41424" xr:uid="{00000000-0005-0000-0000-0000E90E0000}"/>
    <cellStyle name="Финансовый 13 2 3 3 3" xfId="29446" xr:uid="{00000000-0005-0000-0000-0000EA0E0000}"/>
    <cellStyle name="Финансовый 13 2 3 4" xfId="8101" xr:uid="{00000000-0005-0000-0000-0000EB0E0000}"/>
    <cellStyle name="Финансовый 13 2 3 4 2" xfId="20079" xr:uid="{00000000-0005-0000-0000-0000EC0E0000}"/>
    <cellStyle name="Финансовый 13 2 3 4 2 2" xfId="44034" xr:uid="{00000000-0005-0000-0000-0000ED0E0000}"/>
    <cellStyle name="Финансовый 13 2 3 4 3" xfId="32056" xr:uid="{00000000-0005-0000-0000-0000EE0E0000}"/>
    <cellStyle name="Финансовый 13 2 3 5" xfId="9884" xr:uid="{00000000-0005-0000-0000-0000EF0E0000}"/>
    <cellStyle name="Финансовый 13 2 3 5 2" xfId="21862" xr:uid="{00000000-0005-0000-0000-0000F00E0000}"/>
    <cellStyle name="Финансовый 13 2 3 5 2 2" xfId="45817" xr:uid="{00000000-0005-0000-0000-0000F10E0000}"/>
    <cellStyle name="Финансовый 13 2 3 5 3" xfId="33839" xr:uid="{00000000-0005-0000-0000-0000F20E0000}"/>
    <cellStyle name="Финансовый 13 2 3 6" xfId="14042" xr:uid="{00000000-0005-0000-0000-0000F30E0000}"/>
    <cellStyle name="Финансовый 13 2 3 6 2" xfId="37997" xr:uid="{00000000-0005-0000-0000-0000F40E0000}"/>
    <cellStyle name="Финансовый 13 2 3 7" xfId="26020" xr:uid="{00000000-0005-0000-0000-0000F50E0000}"/>
    <cellStyle name="Финансовый 13 2 3 8" xfId="49153" xr:uid="{00000000-0005-0000-0000-0000F60E0000}"/>
    <cellStyle name="Финансовый 13 2 4" xfId="2592" xr:uid="{00000000-0005-0000-0000-0000F70E0000}"/>
    <cellStyle name="Финансовый 13 2 4 2" xfId="4237" xr:uid="{00000000-0005-0000-0000-0000F80E0000}"/>
    <cellStyle name="Финансовый 13 2 4 2 2" xfId="11961" xr:uid="{00000000-0005-0000-0000-0000F90E0000}"/>
    <cellStyle name="Финансовый 13 2 4 2 2 2" xfId="23939" xr:uid="{00000000-0005-0000-0000-0000FA0E0000}"/>
    <cellStyle name="Финансовый 13 2 4 2 2 2 2" xfId="47894" xr:uid="{00000000-0005-0000-0000-0000FB0E0000}"/>
    <cellStyle name="Финансовый 13 2 4 2 2 3" xfId="35916" xr:uid="{00000000-0005-0000-0000-0000FC0E0000}"/>
    <cellStyle name="Финансовый 13 2 4 2 3" xfId="16216" xr:uid="{00000000-0005-0000-0000-0000FD0E0000}"/>
    <cellStyle name="Финансовый 13 2 4 2 3 2" xfId="40171" xr:uid="{00000000-0005-0000-0000-0000FE0E0000}"/>
    <cellStyle name="Финансовый 13 2 4 2 4" xfId="28194" xr:uid="{00000000-0005-0000-0000-0000FF0E0000}"/>
    <cellStyle name="Финансовый 13 2 4 2 5" xfId="51463" xr:uid="{00000000-0005-0000-0000-0000000F0000}"/>
    <cellStyle name="Финансовый 13 2 4 3" xfId="6020" xr:uid="{00000000-0005-0000-0000-0000010F0000}"/>
    <cellStyle name="Финансовый 13 2 4 3 2" xfId="17998" xr:uid="{00000000-0005-0000-0000-0000020F0000}"/>
    <cellStyle name="Финансовый 13 2 4 3 2 2" xfId="41953" xr:uid="{00000000-0005-0000-0000-0000030F0000}"/>
    <cellStyle name="Финансовый 13 2 4 3 3" xfId="29975" xr:uid="{00000000-0005-0000-0000-0000040F0000}"/>
    <cellStyle name="Финансовый 13 2 4 4" xfId="8630" xr:uid="{00000000-0005-0000-0000-0000050F0000}"/>
    <cellStyle name="Финансовый 13 2 4 4 2" xfId="20608" xr:uid="{00000000-0005-0000-0000-0000060F0000}"/>
    <cellStyle name="Финансовый 13 2 4 4 2 2" xfId="44563" xr:uid="{00000000-0005-0000-0000-0000070F0000}"/>
    <cellStyle name="Финансовый 13 2 4 4 3" xfId="32585" xr:uid="{00000000-0005-0000-0000-0000080F0000}"/>
    <cellStyle name="Финансовый 13 2 4 5" xfId="10413" xr:uid="{00000000-0005-0000-0000-0000090F0000}"/>
    <cellStyle name="Финансовый 13 2 4 5 2" xfId="22391" xr:uid="{00000000-0005-0000-0000-00000A0F0000}"/>
    <cellStyle name="Финансовый 13 2 4 5 2 2" xfId="46346" xr:uid="{00000000-0005-0000-0000-00000B0F0000}"/>
    <cellStyle name="Финансовый 13 2 4 5 3" xfId="34368" xr:uid="{00000000-0005-0000-0000-00000C0F0000}"/>
    <cellStyle name="Финансовый 13 2 4 6" xfId="14571" xr:uid="{00000000-0005-0000-0000-00000D0F0000}"/>
    <cellStyle name="Финансовый 13 2 4 6 2" xfId="38526" xr:uid="{00000000-0005-0000-0000-00000E0F0000}"/>
    <cellStyle name="Финансовый 13 2 4 7" xfId="26549" xr:uid="{00000000-0005-0000-0000-00000F0F0000}"/>
    <cellStyle name="Финансовый 13 2 4 8" xfId="49682" xr:uid="{00000000-0005-0000-0000-0000100F0000}"/>
    <cellStyle name="Финансовый 13 2 5" xfId="1096" xr:uid="{00000000-0005-0000-0000-0000110F0000}"/>
    <cellStyle name="Финансовый 13 2 5 2" xfId="7136" xr:uid="{00000000-0005-0000-0000-0000120F0000}"/>
    <cellStyle name="Финансовый 13 2 5 2 2" xfId="19114" xr:uid="{00000000-0005-0000-0000-0000130F0000}"/>
    <cellStyle name="Финансовый 13 2 5 2 2 2" xfId="43069" xr:uid="{00000000-0005-0000-0000-0000140F0000}"/>
    <cellStyle name="Финансовый 13 2 5 2 3" xfId="31091" xr:uid="{00000000-0005-0000-0000-0000150F0000}"/>
    <cellStyle name="Финансовый 13 2 5 3" xfId="10676" xr:uid="{00000000-0005-0000-0000-0000160F0000}"/>
    <cellStyle name="Финансовый 13 2 5 3 2" xfId="22654" xr:uid="{00000000-0005-0000-0000-0000170F0000}"/>
    <cellStyle name="Финансовый 13 2 5 3 2 2" xfId="46609" xr:uid="{00000000-0005-0000-0000-0000180F0000}"/>
    <cellStyle name="Финансовый 13 2 5 3 3" xfId="34631" xr:uid="{00000000-0005-0000-0000-0000190F0000}"/>
    <cellStyle name="Финансовый 13 2 5 4" xfId="13077" xr:uid="{00000000-0005-0000-0000-00001A0F0000}"/>
    <cellStyle name="Финансовый 13 2 5 4 2" xfId="37032" xr:uid="{00000000-0005-0000-0000-00001B0F0000}"/>
    <cellStyle name="Финансовый 13 2 5 5" xfId="25055" xr:uid="{00000000-0005-0000-0000-00001C0F0000}"/>
    <cellStyle name="Финансовый 13 2 5 6" xfId="49961" xr:uid="{00000000-0005-0000-0000-00001D0F0000}"/>
    <cellStyle name="Финансовый 13 2 6" xfId="684" xr:uid="{00000000-0005-0000-0000-00001E0F0000}"/>
    <cellStyle name="Финансовый 13 2 6 2" xfId="6724" xr:uid="{00000000-0005-0000-0000-00001F0F0000}"/>
    <cellStyle name="Финансовый 13 2 6 2 2" xfId="18702" xr:uid="{00000000-0005-0000-0000-0000200F0000}"/>
    <cellStyle name="Финансовый 13 2 6 2 2 2" xfId="42657" xr:uid="{00000000-0005-0000-0000-0000210F0000}"/>
    <cellStyle name="Финансовый 13 2 6 2 3" xfId="30679" xr:uid="{00000000-0005-0000-0000-0000220F0000}"/>
    <cellStyle name="Финансовый 13 2 6 3" xfId="12665" xr:uid="{00000000-0005-0000-0000-0000230F0000}"/>
    <cellStyle name="Финансовый 13 2 6 3 2" xfId="36620" xr:uid="{00000000-0005-0000-0000-0000240F0000}"/>
    <cellStyle name="Финансовый 13 2 6 4" xfId="24643" xr:uid="{00000000-0005-0000-0000-0000250F0000}"/>
    <cellStyle name="Финансовый 13 2 7" xfId="2873" xr:uid="{00000000-0005-0000-0000-0000260F0000}"/>
    <cellStyle name="Финансовый 13 2 7 2" xfId="14852" xr:uid="{00000000-0005-0000-0000-0000270F0000}"/>
    <cellStyle name="Финансовый 13 2 7 2 2" xfId="38807" xr:uid="{00000000-0005-0000-0000-0000280F0000}"/>
    <cellStyle name="Финансовый 13 2 7 3" xfId="26830" xr:uid="{00000000-0005-0000-0000-0000290F0000}"/>
    <cellStyle name="Финансовый 13 2 8" xfId="4517" xr:uid="{00000000-0005-0000-0000-00002A0F0000}"/>
    <cellStyle name="Финансовый 13 2 8 2" xfId="16496" xr:uid="{00000000-0005-0000-0000-00002B0F0000}"/>
    <cellStyle name="Финансовый 13 2 8 2 2" xfId="40451" xr:uid="{00000000-0005-0000-0000-00002C0F0000}"/>
    <cellStyle name="Финансовый 13 2 8 3" xfId="28474" xr:uid="{00000000-0005-0000-0000-00002D0F0000}"/>
    <cellStyle name="Финансовый 13 2 9" xfId="6304" xr:uid="{00000000-0005-0000-0000-00002E0F0000}"/>
    <cellStyle name="Финансовый 13 2 9 2" xfId="18282" xr:uid="{00000000-0005-0000-0000-00002F0F0000}"/>
    <cellStyle name="Финансовый 13 2 9 2 2" xfId="42237" xr:uid="{00000000-0005-0000-0000-0000300F0000}"/>
    <cellStyle name="Финансовый 13 2 9 3" xfId="30259" xr:uid="{00000000-0005-0000-0000-0000310F0000}"/>
    <cellStyle name="Финансовый 13 3" xfId="412" xr:uid="{00000000-0005-0000-0000-0000320F0000}"/>
    <cellStyle name="Финансовый 13 3 10" xfId="24371" xr:uid="{00000000-0005-0000-0000-0000330F0000}"/>
    <cellStyle name="Финансовый 13 3 11" xfId="48317" xr:uid="{00000000-0005-0000-0000-0000340F0000}"/>
    <cellStyle name="Финансовый 13 3 2" xfId="2191" xr:uid="{00000000-0005-0000-0000-0000350F0000}"/>
    <cellStyle name="Финансовый 13 3 2 2" xfId="3836" xr:uid="{00000000-0005-0000-0000-0000360F0000}"/>
    <cellStyle name="Финансовый 13 3 2 2 2" xfId="11576" xr:uid="{00000000-0005-0000-0000-0000370F0000}"/>
    <cellStyle name="Финансовый 13 3 2 2 2 2" xfId="23554" xr:uid="{00000000-0005-0000-0000-0000380F0000}"/>
    <cellStyle name="Финансовый 13 3 2 2 2 2 2" xfId="47509" xr:uid="{00000000-0005-0000-0000-0000390F0000}"/>
    <cellStyle name="Финансовый 13 3 2 2 2 3" xfId="35531" xr:uid="{00000000-0005-0000-0000-00003A0F0000}"/>
    <cellStyle name="Финансовый 13 3 2 2 3" xfId="15815" xr:uid="{00000000-0005-0000-0000-00003B0F0000}"/>
    <cellStyle name="Финансовый 13 3 2 2 3 2" xfId="39770" xr:uid="{00000000-0005-0000-0000-00003C0F0000}"/>
    <cellStyle name="Финансовый 13 3 2 2 4" xfId="27793" xr:uid="{00000000-0005-0000-0000-00003D0F0000}"/>
    <cellStyle name="Финансовый 13 3 2 2 5" xfId="51062" xr:uid="{00000000-0005-0000-0000-00003E0F0000}"/>
    <cellStyle name="Финансовый 13 3 2 3" xfId="5619" xr:uid="{00000000-0005-0000-0000-00003F0F0000}"/>
    <cellStyle name="Финансовый 13 3 2 3 2" xfId="17597" xr:uid="{00000000-0005-0000-0000-0000400F0000}"/>
    <cellStyle name="Финансовый 13 3 2 3 2 2" xfId="41552" xr:uid="{00000000-0005-0000-0000-0000410F0000}"/>
    <cellStyle name="Финансовый 13 3 2 3 3" xfId="29574" xr:uid="{00000000-0005-0000-0000-0000420F0000}"/>
    <cellStyle name="Финансовый 13 3 2 4" xfId="8229" xr:uid="{00000000-0005-0000-0000-0000430F0000}"/>
    <cellStyle name="Финансовый 13 3 2 4 2" xfId="20207" xr:uid="{00000000-0005-0000-0000-0000440F0000}"/>
    <cellStyle name="Финансовый 13 3 2 4 2 2" xfId="44162" xr:uid="{00000000-0005-0000-0000-0000450F0000}"/>
    <cellStyle name="Финансовый 13 3 2 4 3" xfId="32184" xr:uid="{00000000-0005-0000-0000-0000460F0000}"/>
    <cellStyle name="Финансовый 13 3 2 5" xfId="10012" xr:uid="{00000000-0005-0000-0000-0000470F0000}"/>
    <cellStyle name="Финансовый 13 3 2 5 2" xfId="21990" xr:uid="{00000000-0005-0000-0000-0000480F0000}"/>
    <cellStyle name="Финансовый 13 3 2 5 2 2" xfId="45945" xr:uid="{00000000-0005-0000-0000-0000490F0000}"/>
    <cellStyle name="Финансовый 13 3 2 5 3" xfId="33967" xr:uid="{00000000-0005-0000-0000-00004A0F0000}"/>
    <cellStyle name="Финансовый 13 3 2 6" xfId="14170" xr:uid="{00000000-0005-0000-0000-00004B0F0000}"/>
    <cellStyle name="Финансовый 13 3 2 6 2" xfId="38125" xr:uid="{00000000-0005-0000-0000-00004C0F0000}"/>
    <cellStyle name="Финансовый 13 3 2 7" xfId="26148" xr:uid="{00000000-0005-0000-0000-00004D0F0000}"/>
    <cellStyle name="Финансовый 13 3 2 8" xfId="49281" xr:uid="{00000000-0005-0000-0000-00004E0F0000}"/>
    <cellStyle name="Финансовый 13 3 3" xfId="1225" xr:uid="{00000000-0005-0000-0000-00004F0F0000}"/>
    <cellStyle name="Финансовый 13 3 3 2" xfId="7265" xr:uid="{00000000-0005-0000-0000-0000500F0000}"/>
    <cellStyle name="Финансовый 13 3 3 2 2" xfId="19243" xr:uid="{00000000-0005-0000-0000-0000510F0000}"/>
    <cellStyle name="Финансовый 13 3 3 2 2 2" xfId="43198" xr:uid="{00000000-0005-0000-0000-0000520F0000}"/>
    <cellStyle name="Финансовый 13 3 3 2 3" xfId="31220" xr:uid="{00000000-0005-0000-0000-0000530F0000}"/>
    <cellStyle name="Финансовый 13 3 3 3" xfId="10804" xr:uid="{00000000-0005-0000-0000-0000540F0000}"/>
    <cellStyle name="Финансовый 13 3 3 3 2" xfId="22782" xr:uid="{00000000-0005-0000-0000-0000550F0000}"/>
    <cellStyle name="Финансовый 13 3 3 3 2 2" xfId="46737" xr:uid="{00000000-0005-0000-0000-0000560F0000}"/>
    <cellStyle name="Финансовый 13 3 3 3 3" xfId="34759" xr:uid="{00000000-0005-0000-0000-0000570F0000}"/>
    <cellStyle name="Финансовый 13 3 3 4" xfId="13206" xr:uid="{00000000-0005-0000-0000-0000580F0000}"/>
    <cellStyle name="Финансовый 13 3 3 4 2" xfId="37161" xr:uid="{00000000-0005-0000-0000-0000590F0000}"/>
    <cellStyle name="Финансовый 13 3 3 5" xfId="25184" xr:uid="{00000000-0005-0000-0000-00005A0F0000}"/>
    <cellStyle name="Финансовый 13 3 3 6" xfId="50097" xr:uid="{00000000-0005-0000-0000-00005B0F0000}"/>
    <cellStyle name="Финансовый 13 3 4" xfId="832" xr:uid="{00000000-0005-0000-0000-00005C0F0000}"/>
    <cellStyle name="Финансовый 13 3 4 2" xfId="6872" xr:uid="{00000000-0005-0000-0000-00005D0F0000}"/>
    <cellStyle name="Финансовый 13 3 4 2 2" xfId="18850" xr:uid="{00000000-0005-0000-0000-00005E0F0000}"/>
    <cellStyle name="Финансовый 13 3 4 2 2 2" xfId="42805" xr:uid="{00000000-0005-0000-0000-00005F0F0000}"/>
    <cellStyle name="Финансовый 13 3 4 2 3" xfId="30827" xr:uid="{00000000-0005-0000-0000-0000600F0000}"/>
    <cellStyle name="Финансовый 13 3 4 3" xfId="12813" xr:uid="{00000000-0005-0000-0000-0000610F0000}"/>
    <cellStyle name="Финансовый 13 3 4 3 2" xfId="36768" xr:uid="{00000000-0005-0000-0000-0000620F0000}"/>
    <cellStyle name="Финансовый 13 3 4 4" xfId="24791" xr:uid="{00000000-0005-0000-0000-0000630F0000}"/>
    <cellStyle name="Финансовый 13 3 5" xfId="3009" xr:uid="{00000000-0005-0000-0000-0000640F0000}"/>
    <cellStyle name="Финансовый 13 3 5 2" xfId="14988" xr:uid="{00000000-0005-0000-0000-0000650F0000}"/>
    <cellStyle name="Финансовый 13 3 5 2 2" xfId="38943" xr:uid="{00000000-0005-0000-0000-0000660F0000}"/>
    <cellStyle name="Финансовый 13 3 5 3" xfId="26966" xr:uid="{00000000-0005-0000-0000-0000670F0000}"/>
    <cellStyle name="Финансовый 13 3 6" xfId="4653" xr:uid="{00000000-0005-0000-0000-0000680F0000}"/>
    <cellStyle name="Финансовый 13 3 6 2" xfId="16632" xr:uid="{00000000-0005-0000-0000-0000690F0000}"/>
    <cellStyle name="Финансовый 13 3 6 2 2" xfId="40587" xr:uid="{00000000-0005-0000-0000-00006A0F0000}"/>
    <cellStyle name="Финансовый 13 3 6 3" xfId="28610" xr:uid="{00000000-0005-0000-0000-00006B0F0000}"/>
    <cellStyle name="Финансовый 13 3 7" xfId="6452" xr:uid="{00000000-0005-0000-0000-00006C0F0000}"/>
    <cellStyle name="Финансовый 13 3 7 2" xfId="18430" xr:uid="{00000000-0005-0000-0000-00006D0F0000}"/>
    <cellStyle name="Финансовый 13 3 7 2 2" xfId="42385" xr:uid="{00000000-0005-0000-0000-00006E0F0000}"/>
    <cellStyle name="Финансовый 13 3 7 3" xfId="30407" xr:uid="{00000000-0005-0000-0000-00006F0F0000}"/>
    <cellStyle name="Финансовый 13 3 8" xfId="9047" xr:uid="{00000000-0005-0000-0000-0000700F0000}"/>
    <cellStyle name="Финансовый 13 3 8 2" xfId="21025" xr:uid="{00000000-0005-0000-0000-0000710F0000}"/>
    <cellStyle name="Финансовый 13 3 8 2 2" xfId="44980" xr:uid="{00000000-0005-0000-0000-0000720F0000}"/>
    <cellStyle name="Финансовый 13 3 8 3" xfId="33002" xr:uid="{00000000-0005-0000-0000-0000730F0000}"/>
    <cellStyle name="Финансовый 13 3 9" xfId="12393" xr:uid="{00000000-0005-0000-0000-0000740F0000}"/>
    <cellStyle name="Финансовый 13 3 9 2" xfId="36348" xr:uid="{00000000-0005-0000-0000-0000750F0000}"/>
    <cellStyle name="Финансовый 13 4" xfId="1439" xr:uid="{00000000-0005-0000-0000-0000760F0000}"/>
    <cellStyle name="Финансовый 13 4 2" xfId="1935" xr:uid="{00000000-0005-0000-0000-0000770F0000}"/>
    <cellStyle name="Финансовый 13 4 2 2" xfId="3580" xr:uid="{00000000-0005-0000-0000-0000780F0000}"/>
    <cellStyle name="Финансовый 13 4 2 2 2" xfId="11320" xr:uid="{00000000-0005-0000-0000-0000790F0000}"/>
    <cellStyle name="Финансовый 13 4 2 2 2 2" xfId="23298" xr:uid="{00000000-0005-0000-0000-00007A0F0000}"/>
    <cellStyle name="Финансовый 13 4 2 2 2 2 2" xfId="47253" xr:uid="{00000000-0005-0000-0000-00007B0F0000}"/>
    <cellStyle name="Финансовый 13 4 2 2 2 3" xfId="35275" xr:uid="{00000000-0005-0000-0000-00007C0F0000}"/>
    <cellStyle name="Финансовый 13 4 2 2 3" xfId="15559" xr:uid="{00000000-0005-0000-0000-00007D0F0000}"/>
    <cellStyle name="Финансовый 13 4 2 2 3 2" xfId="39514" xr:uid="{00000000-0005-0000-0000-00007E0F0000}"/>
    <cellStyle name="Финансовый 13 4 2 2 4" xfId="27537" xr:uid="{00000000-0005-0000-0000-00007F0F0000}"/>
    <cellStyle name="Финансовый 13 4 2 2 5" xfId="50806" xr:uid="{00000000-0005-0000-0000-0000800F0000}"/>
    <cellStyle name="Финансовый 13 4 2 3" xfId="5363" xr:uid="{00000000-0005-0000-0000-0000810F0000}"/>
    <cellStyle name="Финансовый 13 4 2 3 2" xfId="17341" xr:uid="{00000000-0005-0000-0000-0000820F0000}"/>
    <cellStyle name="Финансовый 13 4 2 3 2 2" xfId="41296" xr:uid="{00000000-0005-0000-0000-0000830F0000}"/>
    <cellStyle name="Финансовый 13 4 2 3 3" xfId="29318" xr:uid="{00000000-0005-0000-0000-0000840F0000}"/>
    <cellStyle name="Финансовый 13 4 2 4" xfId="7973" xr:uid="{00000000-0005-0000-0000-0000850F0000}"/>
    <cellStyle name="Финансовый 13 4 2 4 2" xfId="19951" xr:uid="{00000000-0005-0000-0000-0000860F0000}"/>
    <cellStyle name="Финансовый 13 4 2 4 2 2" xfId="43906" xr:uid="{00000000-0005-0000-0000-0000870F0000}"/>
    <cellStyle name="Финансовый 13 4 2 4 3" xfId="31928" xr:uid="{00000000-0005-0000-0000-0000880F0000}"/>
    <cellStyle name="Финансовый 13 4 2 5" xfId="9756" xr:uid="{00000000-0005-0000-0000-0000890F0000}"/>
    <cellStyle name="Финансовый 13 4 2 5 2" xfId="21734" xr:uid="{00000000-0005-0000-0000-00008A0F0000}"/>
    <cellStyle name="Финансовый 13 4 2 5 2 2" xfId="45689" xr:uid="{00000000-0005-0000-0000-00008B0F0000}"/>
    <cellStyle name="Финансовый 13 4 2 5 3" xfId="33711" xr:uid="{00000000-0005-0000-0000-00008C0F0000}"/>
    <cellStyle name="Финансовый 13 4 2 6" xfId="13914" xr:uid="{00000000-0005-0000-0000-00008D0F0000}"/>
    <cellStyle name="Финансовый 13 4 2 6 2" xfId="37869" xr:uid="{00000000-0005-0000-0000-00008E0F0000}"/>
    <cellStyle name="Финансовый 13 4 2 7" xfId="25892" xr:uid="{00000000-0005-0000-0000-00008F0F0000}"/>
    <cellStyle name="Финансовый 13 4 2 8" xfId="49025" xr:uid="{00000000-0005-0000-0000-0000900F0000}"/>
    <cellStyle name="Финансовый 13 4 3" xfId="4867" xr:uid="{00000000-0005-0000-0000-0000910F0000}"/>
    <cellStyle name="Финансовый 13 4 3 2" xfId="16846" xr:uid="{00000000-0005-0000-0000-0000920F0000}"/>
    <cellStyle name="Финансовый 13 4 3 2 2" xfId="40801" xr:uid="{00000000-0005-0000-0000-0000930F0000}"/>
    <cellStyle name="Финансовый 13 4 3 3" xfId="28823" xr:uid="{00000000-0005-0000-0000-0000940F0000}"/>
    <cellStyle name="Финансовый 13 4 3 4" xfId="50311" xr:uid="{00000000-0005-0000-0000-0000950F0000}"/>
    <cellStyle name="Финансовый 13 4 4" xfId="7478" xr:uid="{00000000-0005-0000-0000-0000960F0000}"/>
    <cellStyle name="Финансовый 13 4 4 2" xfId="19456" xr:uid="{00000000-0005-0000-0000-0000970F0000}"/>
    <cellStyle name="Финансовый 13 4 4 2 2" xfId="43411" xr:uid="{00000000-0005-0000-0000-0000980F0000}"/>
    <cellStyle name="Финансовый 13 4 4 3" xfId="31433" xr:uid="{00000000-0005-0000-0000-0000990F0000}"/>
    <cellStyle name="Финансовый 13 4 5" xfId="9261" xr:uid="{00000000-0005-0000-0000-00009A0F0000}"/>
    <cellStyle name="Финансовый 13 4 5 2" xfId="21239" xr:uid="{00000000-0005-0000-0000-00009B0F0000}"/>
    <cellStyle name="Финансовый 13 4 5 2 2" xfId="45194" xr:uid="{00000000-0005-0000-0000-00009C0F0000}"/>
    <cellStyle name="Финансовый 13 4 5 3" xfId="33216" xr:uid="{00000000-0005-0000-0000-00009D0F0000}"/>
    <cellStyle name="Финансовый 13 4 6" xfId="13419" xr:uid="{00000000-0005-0000-0000-00009E0F0000}"/>
    <cellStyle name="Финансовый 13 4 6 2" xfId="37374" xr:uid="{00000000-0005-0000-0000-00009F0F0000}"/>
    <cellStyle name="Финансовый 13 4 7" xfId="25397" xr:uid="{00000000-0005-0000-0000-0000A00F0000}"/>
    <cellStyle name="Финансовый 13 4 8" xfId="48530" xr:uid="{00000000-0005-0000-0000-0000A10F0000}"/>
    <cellStyle name="Финансовый 13 5" xfId="1811" xr:uid="{00000000-0005-0000-0000-0000A20F0000}"/>
    <cellStyle name="Финансовый 13 5 2" xfId="3456" xr:uid="{00000000-0005-0000-0000-0000A30F0000}"/>
    <cellStyle name="Финансовый 13 5 2 2" xfId="11204" xr:uid="{00000000-0005-0000-0000-0000A40F0000}"/>
    <cellStyle name="Финансовый 13 5 2 2 2" xfId="23182" xr:uid="{00000000-0005-0000-0000-0000A50F0000}"/>
    <cellStyle name="Финансовый 13 5 2 2 2 2" xfId="47137" xr:uid="{00000000-0005-0000-0000-0000A60F0000}"/>
    <cellStyle name="Финансовый 13 5 2 2 3" xfId="35159" xr:uid="{00000000-0005-0000-0000-0000A70F0000}"/>
    <cellStyle name="Финансовый 13 5 2 3" xfId="15435" xr:uid="{00000000-0005-0000-0000-0000A80F0000}"/>
    <cellStyle name="Финансовый 13 5 2 3 2" xfId="39390" xr:uid="{00000000-0005-0000-0000-0000A90F0000}"/>
    <cellStyle name="Финансовый 13 5 2 4" xfId="27413" xr:uid="{00000000-0005-0000-0000-0000AA0F0000}"/>
    <cellStyle name="Финансовый 13 5 2 5" xfId="50682" xr:uid="{00000000-0005-0000-0000-0000AB0F0000}"/>
    <cellStyle name="Финансовый 13 5 3" xfId="5239" xr:uid="{00000000-0005-0000-0000-0000AC0F0000}"/>
    <cellStyle name="Финансовый 13 5 3 2" xfId="17217" xr:uid="{00000000-0005-0000-0000-0000AD0F0000}"/>
    <cellStyle name="Финансовый 13 5 3 2 2" xfId="41172" xr:uid="{00000000-0005-0000-0000-0000AE0F0000}"/>
    <cellStyle name="Финансовый 13 5 3 3" xfId="29194" xr:uid="{00000000-0005-0000-0000-0000AF0F0000}"/>
    <cellStyle name="Финансовый 13 5 4" xfId="7849" xr:uid="{00000000-0005-0000-0000-0000B00F0000}"/>
    <cellStyle name="Финансовый 13 5 4 2" xfId="19827" xr:uid="{00000000-0005-0000-0000-0000B10F0000}"/>
    <cellStyle name="Финансовый 13 5 4 2 2" xfId="43782" xr:uid="{00000000-0005-0000-0000-0000B20F0000}"/>
    <cellStyle name="Финансовый 13 5 4 3" xfId="31804" xr:uid="{00000000-0005-0000-0000-0000B30F0000}"/>
    <cellStyle name="Финансовый 13 5 5" xfId="9632" xr:uid="{00000000-0005-0000-0000-0000B40F0000}"/>
    <cellStyle name="Финансовый 13 5 5 2" xfId="21610" xr:uid="{00000000-0005-0000-0000-0000B50F0000}"/>
    <cellStyle name="Финансовый 13 5 5 2 2" xfId="45565" xr:uid="{00000000-0005-0000-0000-0000B60F0000}"/>
    <cellStyle name="Финансовый 13 5 5 3" xfId="33587" xr:uid="{00000000-0005-0000-0000-0000B70F0000}"/>
    <cellStyle name="Финансовый 13 5 6" xfId="13790" xr:uid="{00000000-0005-0000-0000-0000B80F0000}"/>
    <cellStyle name="Финансовый 13 5 6 2" xfId="37745" xr:uid="{00000000-0005-0000-0000-0000B90F0000}"/>
    <cellStyle name="Финансовый 13 5 7" xfId="25768" xr:uid="{00000000-0005-0000-0000-0000BA0F0000}"/>
    <cellStyle name="Финансовый 13 5 8" xfId="48901" xr:uid="{00000000-0005-0000-0000-0000BB0F0000}"/>
    <cellStyle name="Финансовый 13 6" xfId="2456" xr:uid="{00000000-0005-0000-0000-0000BC0F0000}"/>
    <cellStyle name="Финансовый 13 6 2" xfId="4101" xr:uid="{00000000-0005-0000-0000-0000BD0F0000}"/>
    <cellStyle name="Финансовый 13 6 2 2" xfId="11833" xr:uid="{00000000-0005-0000-0000-0000BE0F0000}"/>
    <cellStyle name="Финансовый 13 6 2 2 2" xfId="23811" xr:uid="{00000000-0005-0000-0000-0000BF0F0000}"/>
    <cellStyle name="Финансовый 13 6 2 2 2 2" xfId="47766" xr:uid="{00000000-0005-0000-0000-0000C00F0000}"/>
    <cellStyle name="Финансовый 13 6 2 2 3" xfId="35788" xr:uid="{00000000-0005-0000-0000-0000C10F0000}"/>
    <cellStyle name="Финансовый 13 6 2 3" xfId="16080" xr:uid="{00000000-0005-0000-0000-0000C20F0000}"/>
    <cellStyle name="Финансовый 13 6 2 3 2" xfId="40035" xr:uid="{00000000-0005-0000-0000-0000C30F0000}"/>
    <cellStyle name="Финансовый 13 6 2 4" xfId="28058" xr:uid="{00000000-0005-0000-0000-0000C40F0000}"/>
    <cellStyle name="Финансовый 13 6 2 5" xfId="51327" xr:uid="{00000000-0005-0000-0000-0000C50F0000}"/>
    <cellStyle name="Финансовый 13 6 3" xfId="5884" xr:uid="{00000000-0005-0000-0000-0000C60F0000}"/>
    <cellStyle name="Финансовый 13 6 3 2" xfId="17862" xr:uid="{00000000-0005-0000-0000-0000C70F0000}"/>
    <cellStyle name="Финансовый 13 6 3 2 2" xfId="41817" xr:uid="{00000000-0005-0000-0000-0000C80F0000}"/>
    <cellStyle name="Финансовый 13 6 3 3" xfId="29839" xr:uid="{00000000-0005-0000-0000-0000C90F0000}"/>
    <cellStyle name="Финансовый 13 6 4" xfId="8494" xr:uid="{00000000-0005-0000-0000-0000CA0F0000}"/>
    <cellStyle name="Финансовый 13 6 4 2" xfId="20472" xr:uid="{00000000-0005-0000-0000-0000CB0F0000}"/>
    <cellStyle name="Финансовый 13 6 4 2 2" xfId="44427" xr:uid="{00000000-0005-0000-0000-0000CC0F0000}"/>
    <cellStyle name="Финансовый 13 6 4 3" xfId="32449" xr:uid="{00000000-0005-0000-0000-0000CD0F0000}"/>
    <cellStyle name="Финансовый 13 6 5" xfId="10277" xr:uid="{00000000-0005-0000-0000-0000CE0F0000}"/>
    <cellStyle name="Финансовый 13 6 5 2" xfId="22255" xr:uid="{00000000-0005-0000-0000-0000CF0F0000}"/>
    <cellStyle name="Финансовый 13 6 5 2 2" xfId="46210" xr:uid="{00000000-0005-0000-0000-0000D00F0000}"/>
    <cellStyle name="Финансовый 13 6 5 3" xfId="34232" xr:uid="{00000000-0005-0000-0000-0000D10F0000}"/>
    <cellStyle name="Финансовый 13 6 6" xfId="14435" xr:uid="{00000000-0005-0000-0000-0000D20F0000}"/>
    <cellStyle name="Финансовый 13 6 6 2" xfId="38390" xr:uid="{00000000-0005-0000-0000-0000D30F0000}"/>
    <cellStyle name="Финансовый 13 6 7" xfId="26413" xr:uid="{00000000-0005-0000-0000-0000D40F0000}"/>
    <cellStyle name="Финансовый 13 6 8" xfId="49546" xr:uid="{00000000-0005-0000-0000-0000D50F0000}"/>
    <cellStyle name="Финансовый 13 7" xfId="1683" xr:uid="{00000000-0005-0000-0000-0000D60F0000}"/>
    <cellStyle name="Финансовый 13 7 2" xfId="3328" xr:uid="{00000000-0005-0000-0000-0000D70F0000}"/>
    <cellStyle name="Финансовый 13 7 2 2" xfId="11076" xr:uid="{00000000-0005-0000-0000-0000D80F0000}"/>
    <cellStyle name="Финансовый 13 7 2 2 2" xfId="23054" xr:uid="{00000000-0005-0000-0000-0000D90F0000}"/>
    <cellStyle name="Финансовый 13 7 2 2 2 2" xfId="47009" xr:uid="{00000000-0005-0000-0000-0000DA0F0000}"/>
    <cellStyle name="Финансовый 13 7 2 2 3" xfId="35031" xr:uid="{00000000-0005-0000-0000-0000DB0F0000}"/>
    <cellStyle name="Финансовый 13 7 2 3" xfId="15307" xr:uid="{00000000-0005-0000-0000-0000DC0F0000}"/>
    <cellStyle name="Финансовый 13 7 2 3 2" xfId="39262" xr:uid="{00000000-0005-0000-0000-0000DD0F0000}"/>
    <cellStyle name="Финансовый 13 7 2 4" xfId="27285" xr:uid="{00000000-0005-0000-0000-0000DE0F0000}"/>
    <cellStyle name="Финансовый 13 7 2 5" xfId="50554" xr:uid="{00000000-0005-0000-0000-0000DF0F0000}"/>
    <cellStyle name="Финансовый 13 7 3" xfId="5111" xr:uid="{00000000-0005-0000-0000-0000E00F0000}"/>
    <cellStyle name="Финансовый 13 7 3 2" xfId="17089" xr:uid="{00000000-0005-0000-0000-0000E10F0000}"/>
    <cellStyle name="Финансовый 13 7 3 2 2" xfId="41044" xr:uid="{00000000-0005-0000-0000-0000E20F0000}"/>
    <cellStyle name="Финансовый 13 7 3 3" xfId="29066" xr:uid="{00000000-0005-0000-0000-0000E30F0000}"/>
    <cellStyle name="Финансовый 13 7 4" xfId="7721" xr:uid="{00000000-0005-0000-0000-0000E40F0000}"/>
    <cellStyle name="Финансовый 13 7 4 2" xfId="19699" xr:uid="{00000000-0005-0000-0000-0000E50F0000}"/>
    <cellStyle name="Финансовый 13 7 4 2 2" xfId="43654" xr:uid="{00000000-0005-0000-0000-0000E60F0000}"/>
    <cellStyle name="Финансовый 13 7 4 3" xfId="31676" xr:uid="{00000000-0005-0000-0000-0000E70F0000}"/>
    <cellStyle name="Финансовый 13 7 5" xfId="9504" xr:uid="{00000000-0005-0000-0000-0000E80F0000}"/>
    <cellStyle name="Финансовый 13 7 5 2" xfId="21482" xr:uid="{00000000-0005-0000-0000-0000E90F0000}"/>
    <cellStyle name="Финансовый 13 7 5 2 2" xfId="45437" xr:uid="{00000000-0005-0000-0000-0000EA0F0000}"/>
    <cellStyle name="Финансовый 13 7 5 3" xfId="33459" xr:uid="{00000000-0005-0000-0000-0000EB0F0000}"/>
    <cellStyle name="Финансовый 13 7 6" xfId="13662" xr:uid="{00000000-0005-0000-0000-0000EC0F0000}"/>
    <cellStyle name="Финансовый 13 7 6 2" xfId="37617" xr:uid="{00000000-0005-0000-0000-0000ED0F0000}"/>
    <cellStyle name="Финансовый 13 7 7" xfId="25640" xr:uid="{00000000-0005-0000-0000-0000EE0F0000}"/>
    <cellStyle name="Финансовый 13 7 8" xfId="48773" xr:uid="{00000000-0005-0000-0000-0000EF0F0000}"/>
    <cellStyle name="Финансовый 13 8" xfId="960" xr:uid="{00000000-0005-0000-0000-0000F00F0000}"/>
    <cellStyle name="Финансовый 13 8 2" xfId="7000" xr:uid="{00000000-0005-0000-0000-0000F10F0000}"/>
    <cellStyle name="Финансовый 13 8 2 2" xfId="18978" xr:uid="{00000000-0005-0000-0000-0000F20F0000}"/>
    <cellStyle name="Финансовый 13 8 2 2 2" xfId="42933" xr:uid="{00000000-0005-0000-0000-0000F30F0000}"/>
    <cellStyle name="Финансовый 13 8 2 3" xfId="30955" xr:uid="{00000000-0005-0000-0000-0000F40F0000}"/>
    <cellStyle name="Финансовый 13 8 3" xfId="10548" xr:uid="{00000000-0005-0000-0000-0000F50F0000}"/>
    <cellStyle name="Финансовый 13 8 3 2" xfId="22526" xr:uid="{00000000-0005-0000-0000-0000F60F0000}"/>
    <cellStyle name="Финансовый 13 8 3 2 2" xfId="46481" xr:uid="{00000000-0005-0000-0000-0000F70F0000}"/>
    <cellStyle name="Финансовый 13 8 3 3" xfId="34503" xr:uid="{00000000-0005-0000-0000-0000F80F0000}"/>
    <cellStyle name="Финансовый 13 8 4" xfId="12941" xr:uid="{00000000-0005-0000-0000-0000F90F0000}"/>
    <cellStyle name="Финансовый 13 8 4 2" xfId="36896" xr:uid="{00000000-0005-0000-0000-0000FA0F0000}"/>
    <cellStyle name="Финансовый 13 8 5" xfId="24919" xr:uid="{00000000-0005-0000-0000-0000FB0F0000}"/>
    <cellStyle name="Финансовый 13 8 6" xfId="49825" xr:uid="{00000000-0005-0000-0000-0000FC0F0000}"/>
    <cellStyle name="Финансовый 13 9" xfId="548" xr:uid="{00000000-0005-0000-0000-0000FD0F0000}"/>
    <cellStyle name="Финансовый 13 9 2" xfId="6588" xr:uid="{00000000-0005-0000-0000-0000FE0F0000}"/>
    <cellStyle name="Финансовый 13 9 2 2" xfId="18566" xr:uid="{00000000-0005-0000-0000-0000FF0F0000}"/>
    <cellStyle name="Финансовый 13 9 2 2 2" xfId="42521" xr:uid="{00000000-0005-0000-0000-000000100000}"/>
    <cellStyle name="Финансовый 13 9 2 3" xfId="30543" xr:uid="{00000000-0005-0000-0000-000001100000}"/>
    <cellStyle name="Финансовый 13 9 3" xfId="12529" xr:uid="{00000000-0005-0000-0000-000002100000}"/>
    <cellStyle name="Финансовый 13 9 3 2" xfId="36484" xr:uid="{00000000-0005-0000-0000-000003100000}"/>
    <cellStyle name="Финансовый 13 9 4" xfId="24507" xr:uid="{00000000-0005-0000-0000-000004100000}"/>
    <cellStyle name="Финансовый 14" xfId="25" xr:uid="{00000000-0005-0000-0000-000005100000}"/>
    <cellStyle name="Финансовый 14 10" xfId="2637" xr:uid="{00000000-0005-0000-0000-000006100000}"/>
    <cellStyle name="Финансовый 14 10 2" xfId="14616" xr:uid="{00000000-0005-0000-0000-000007100000}"/>
    <cellStyle name="Финансовый 14 10 2 2" xfId="38571" xr:uid="{00000000-0005-0000-0000-000008100000}"/>
    <cellStyle name="Финансовый 14 10 3" xfId="26594" xr:uid="{00000000-0005-0000-0000-000009100000}"/>
    <cellStyle name="Финансовый 14 11" xfId="4280" xr:uid="{00000000-0005-0000-0000-00000A100000}"/>
    <cellStyle name="Финансовый 14 11 2" xfId="16259" xr:uid="{00000000-0005-0000-0000-00000B100000}"/>
    <cellStyle name="Финансовый 14 11 2 2" xfId="40214" xr:uid="{00000000-0005-0000-0000-00000C100000}"/>
    <cellStyle name="Финансовый 14 11 3" xfId="28237" xr:uid="{00000000-0005-0000-0000-00000D100000}"/>
    <cellStyle name="Финансовый 14 12" xfId="6068" xr:uid="{00000000-0005-0000-0000-00000E100000}"/>
    <cellStyle name="Финансовый 14 12 2" xfId="18046" xr:uid="{00000000-0005-0000-0000-00000F100000}"/>
    <cellStyle name="Финансовый 14 12 2 2" xfId="42001" xr:uid="{00000000-0005-0000-0000-000010100000}"/>
    <cellStyle name="Финансовый 14 12 3" xfId="30023" xr:uid="{00000000-0005-0000-0000-000011100000}"/>
    <cellStyle name="Финансовый 14 13" xfId="8675" xr:uid="{00000000-0005-0000-0000-000012100000}"/>
    <cellStyle name="Финансовый 14 13 2" xfId="20653" xr:uid="{00000000-0005-0000-0000-000013100000}"/>
    <cellStyle name="Финансовый 14 13 2 2" xfId="44608" xr:uid="{00000000-0005-0000-0000-000014100000}"/>
    <cellStyle name="Финансовый 14 13 3" xfId="32630" xr:uid="{00000000-0005-0000-0000-000015100000}"/>
    <cellStyle name="Финансовый 14 14" xfId="12009" xr:uid="{00000000-0005-0000-0000-000016100000}"/>
    <cellStyle name="Финансовый 14 14 2" xfId="35964" xr:uid="{00000000-0005-0000-0000-000017100000}"/>
    <cellStyle name="Финансовый 14 15" xfId="23987" xr:uid="{00000000-0005-0000-0000-000018100000}"/>
    <cellStyle name="Финансовый 14 16" xfId="47945" xr:uid="{00000000-0005-0000-0000-000019100000}"/>
    <cellStyle name="Финансовый 14 2" xfId="163" xr:uid="{00000000-0005-0000-0000-00001A100000}"/>
    <cellStyle name="Финансовый 14 2 10" xfId="8811" xr:uid="{00000000-0005-0000-0000-00001B100000}"/>
    <cellStyle name="Финансовый 14 2 10 2" xfId="20789" xr:uid="{00000000-0005-0000-0000-00001C100000}"/>
    <cellStyle name="Финансовый 14 2 10 2 2" xfId="44744" xr:uid="{00000000-0005-0000-0000-00001D100000}"/>
    <cellStyle name="Финансовый 14 2 10 3" xfId="32766" xr:uid="{00000000-0005-0000-0000-00001E100000}"/>
    <cellStyle name="Финансовый 14 2 11" xfId="12145" xr:uid="{00000000-0005-0000-0000-00001F100000}"/>
    <cellStyle name="Финансовый 14 2 11 2" xfId="36100" xr:uid="{00000000-0005-0000-0000-000020100000}"/>
    <cellStyle name="Финансовый 14 2 12" xfId="24123" xr:uid="{00000000-0005-0000-0000-000021100000}"/>
    <cellStyle name="Финансовый 14 2 13" xfId="48081" xr:uid="{00000000-0005-0000-0000-000022100000}"/>
    <cellStyle name="Финансовый 14 2 2" xfId="1261" xr:uid="{00000000-0005-0000-0000-000023100000}"/>
    <cellStyle name="Финансовый 14 2 2 2" xfId="2227" xr:uid="{00000000-0005-0000-0000-000024100000}"/>
    <cellStyle name="Финансовый 14 2 2 2 2" xfId="3872" xr:uid="{00000000-0005-0000-0000-000025100000}"/>
    <cellStyle name="Финансовый 14 2 2 2 2 2" xfId="11612" xr:uid="{00000000-0005-0000-0000-000026100000}"/>
    <cellStyle name="Финансовый 14 2 2 2 2 2 2" xfId="23590" xr:uid="{00000000-0005-0000-0000-000027100000}"/>
    <cellStyle name="Финансовый 14 2 2 2 2 2 2 2" xfId="47545" xr:uid="{00000000-0005-0000-0000-000028100000}"/>
    <cellStyle name="Финансовый 14 2 2 2 2 2 3" xfId="35567" xr:uid="{00000000-0005-0000-0000-000029100000}"/>
    <cellStyle name="Финансовый 14 2 2 2 2 3" xfId="15851" xr:uid="{00000000-0005-0000-0000-00002A100000}"/>
    <cellStyle name="Финансовый 14 2 2 2 2 3 2" xfId="39806" xr:uid="{00000000-0005-0000-0000-00002B100000}"/>
    <cellStyle name="Финансовый 14 2 2 2 2 4" xfId="27829" xr:uid="{00000000-0005-0000-0000-00002C100000}"/>
    <cellStyle name="Финансовый 14 2 2 2 2 5" xfId="51098" xr:uid="{00000000-0005-0000-0000-00002D100000}"/>
    <cellStyle name="Финансовый 14 2 2 2 3" xfId="5655" xr:uid="{00000000-0005-0000-0000-00002E100000}"/>
    <cellStyle name="Финансовый 14 2 2 2 3 2" xfId="17633" xr:uid="{00000000-0005-0000-0000-00002F100000}"/>
    <cellStyle name="Финансовый 14 2 2 2 3 2 2" xfId="41588" xr:uid="{00000000-0005-0000-0000-000030100000}"/>
    <cellStyle name="Финансовый 14 2 2 2 3 3" xfId="29610" xr:uid="{00000000-0005-0000-0000-000031100000}"/>
    <cellStyle name="Финансовый 14 2 2 2 4" xfId="8265" xr:uid="{00000000-0005-0000-0000-000032100000}"/>
    <cellStyle name="Финансовый 14 2 2 2 4 2" xfId="20243" xr:uid="{00000000-0005-0000-0000-000033100000}"/>
    <cellStyle name="Финансовый 14 2 2 2 4 2 2" xfId="44198" xr:uid="{00000000-0005-0000-0000-000034100000}"/>
    <cellStyle name="Финансовый 14 2 2 2 4 3" xfId="32220" xr:uid="{00000000-0005-0000-0000-000035100000}"/>
    <cellStyle name="Финансовый 14 2 2 2 5" xfId="10048" xr:uid="{00000000-0005-0000-0000-000036100000}"/>
    <cellStyle name="Финансовый 14 2 2 2 5 2" xfId="22026" xr:uid="{00000000-0005-0000-0000-000037100000}"/>
    <cellStyle name="Финансовый 14 2 2 2 5 2 2" xfId="45981" xr:uid="{00000000-0005-0000-0000-000038100000}"/>
    <cellStyle name="Финансовый 14 2 2 2 5 3" xfId="34003" xr:uid="{00000000-0005-0000-0000-000039100000}"/>
    <cellStyle name="Финансовый 14 2 2 2 6" xfId="14206" xr:uid="{00000000-0005-0000-0000-00003A100000}"/>
    <cellStyle name="Финансовый 14 2 2 2 6 2" xfId="38161" xr:uid="{00000000-0005-0000-0000-00003B100000}"/>
    <cellStyle name="Финансовый 14 2 2 2 7" xfId="26184" xr:uid="{00000000-0005-0000-0000-00003C100000}"/>
    <cellStyle name="Финансовый 14 2 2 2 8" xfId="49317" xr:uid="{00000000-0005-0000-0000-00003D100000}"/>
    <cellStyle name="Финансовый 14 2 2 3" xfId="3045" xr:uid="{00000000-0005-0000-0000-00003E100000}"/>
    <cellStyle name="Финансовый 14 2 2 3 2" xfId="10840" xr:uid="{00000000-0005-0000-0000-00003F100000}"/>
    <cellStyle name="Финансовый 14 2 2 3 2 2" xfId="22818" xr:uid="{00000000-0005-0000-0000-000040100000}"/>
    <cellStyle name="Финансовый 14 2 2 3 2 2 2" xfId="46773" xr:uid="{00000000-0005-0000-0000-000041100000}"/>
    <cellStyle name="Финансовый 14 2 2 3 2 3" xfId="34795" xr:uid="{00000000-0005-0000-0000-000042100000}"/>
    <cellStyle name="Финансовый 14 2 2 3 3" xfId="15024" xr:uid="{00000000-0005-0000-0000-000043100000}"/>
    <cellStyle name="Финансовый 14 2 2 3 3 2" xfId="38979" xr:uid="{00000000-0005-0000-0000-000044100000}"/>
    <cellStyle name="Финансовый 14 2 2 3 4" xfId="27002" xr:uid="{00000000-0005-0000-0000-000045100000}"/>
    <cellStyle name="Финансовый 14 2 2 3 5" xfId="50133" xr:uid="{00000000-0005-0000-0000-000046100000}"/>
    <cellStyle name="Финансовый 14 2 2 4" xfId="4689" xr:uid="{00000000-0005-0000-0000-000047100000}"/>
    <cellStyle name="Финансовый 14 2 2 4 2" xfId="16668" xr:uid="{00000000-0005-0000-0000-000048100000}"/>
    <cellStyle name="Финансовый 14 2 2 4 2 2" xfId="40623" xr:uid="{00000000-0005-0000-0000-000049100000}"/>
    <cellStyle name="Финансовый 14 2 2 4 3" xfId="28646" xr:uid="{00000000-0005-0000-0000-00004A100000}"/>
    <cellStyle name="Финансовый 14 2 2 5" xfId="7301" xr:uid="{00000000-0005-0000-0000-00004B100000}"/>
    <cellStyle name="Финансовый 14 2 2 5 2" xfId="19279" xr:uid="{00000000-0005-0000-0000-00004C100000}"/>
    <cellStyle name="Финансовый 14 2 2 5 2 2" xfId="43234" xr:uid="{00000000-0005-0000-0000-00004D100000}"/>
    <cellStyle name="Финансовый 14 2 2 5 3" xfId="31256" xr:uid="{00000000-0005-0000-0000-00004E100000}"/>
    <cellStyle name="Финансовый 14 2 2 6" xfId="9083" xr:uid="{00000000-0005-0000-0000-00004F100000}"/>
    <cellStyle name="Финансовый 14 2 2 6 2" xfId="21061" xr:uid="{00000000-0005-0000-0000-000050100000}"/>
    <cellStyle name="Финансовый 14 2 2 6 2 2" xfId="45016" xr:uid="{00000000-0005-0000-0000-000051100000}"/>
    <cellStyle name="Финансовый 14 2 2 6 3" xfId="33038" xr:uid="{00000000-0005-0000-0000-000052100000}"/>
    <cellStyle name="Финансовый 14 2 2 7" xfId="13242" xr:uid="{00000000-0005-0000-0000-000053100000}"/>
    <cellStyle name="Финансовый 14 2 2 7 2" xfId="37197" xr:uid="{00000000-0005-0000-0000-000054100000}"/>
    <cellStyle name="Финансовый 14 2 2 8" xfId="25220" xr:uid="{00000000-0005-0000-0000-000055100000}"/>
    <cellStyle name="Финансовый 14 2 2 9" xfId="48353" xr:uid="{00000000-0005-0000-0000-000056100000}"/>
    <cellStyle name="Финансовый 14 2 3" xfId="1971" xr:uid="{00000000-0005-0000-0000-000057100000}"/>
    <cellStyle name="Финансовый 14 2 3 2" xfId="3616" xr:uid="{00000000-0005-0000-0000-000058100000}"/>
    <cellStyle name="Финансовый 14 2 3 2 2" xfId="11356" xr:uid="{00000000-0005-0000-0000-000059100000}"/>
    <cellStyle name="Финансовый 14 2 3 2 2 2" xfId="23334" xr:uid="{00000000-0005-0000-0000-00005A100000}"/>
    <cellStyle name="Финансовый 14 2 3 2 2 2 2" xfId="47289" xr:uid="{00000000-0005-0000-0000-00005B100000}"/>
    <cellStyle name="Финансовый 14 2 3 2 2 3" xfId="35311" xr:uid="{00000000-0005-0000-0000-00005C100000}"/>
    <cellStyle name="Финансовый 14 2 3 2 3" xfId="15595" xr:uid="{00000000-0005-0000-0000-00005D100000}"/>
    <cellStyle name="Финансовый 14 2 3 2 3 2" xfId="39550" xr:uid="{00000000-0005-0000-0000-00005E100000}"/>
    <cellStyle name="Финансовый 14 2 3 2 4" xfId="27573" xr:uid="{00000000-0005-0000-0000-00005F100000}"/>
    <cellStyle name="Финансовый 14 2 3 2 5" xfId="50842" xr:uid="{00000000-0005-0000-0000-000060100000}"/>
    <cellStyle name="Финансовый 14 2 3 3" xfId="5399" xr:uid="{00000000-0005-0000-0000-000061100000}"/>
    <cellStyle name="Финансовый 14 2 3 3 2" xfId="17377" xr:uid="{00000000-0005-0000-0000-000062100000}"/>
    <cellStyle name="Финансовый 14 2 3 3 2 2" xfId="41332" xr:uid="{00000000-0005-0000-0000-000063100000}"/>
    <cellStyle name="Финансовый 14 2 3 3 3" xfId="29354" xr:uid="{00000000-0005-0000-0000-000064100000}"/>
    <cellStyle name="Финансовый 14 2 3 4" xfId="8009" xr:uid="{00000000-0005-0000-0000-000065100000}"/>
    <cellStyle name="Финансовый 14 2 3 4 2" xfId="19987" xr:uid="{00000000-0005-0000-0000-000066100000}"/>
    <cellStyle name="Финансовый 14 2 3 4 2 2" xfId="43942" xr:uid="{00000000-0005-0000-0000-000067100000}"/>
    <cellStyle name="Финансовый 14 2 3 4 3" xfId="31964" xr:uid="{00000000-0005-0000-0000-000068100000}"/>
    <cellStyle name="Финансовый 14 2 3 5" xfId="9792" xr:uid="{00000000-0005-0000-0000-000069100000}"/>
    <cellStyle name="Финансовый 14 2 3 5 2" xfId="21770" xr:uid="{00000000-0005-0000-0000-00006A100000}"/>
    <cellStyle name="Финансовый 14 2 3 5 2 2" xfId="45725" xr:uid="{00000000-0005-0000-0000-00006B100000}"/>
    <cellStyle name="Финансовый 14 2 3 5 3" xfId="33747" xr:uid="{00000000-0005-0000-0000-00006C100000}"/>
    <cellStyle name="Финансовый 14 2 3 6" xfId="13950" xr:uid="{00000000-0005-0000-0000-00006D100000}"/>
    <cellStyle name="Финансовый 14 2 3 6 2" xfId="37905" xr:uid="{00000000-0005-0000-0000-00006E100000}"/>
    <cellStyle name="Финансовый 14 2 3 7" xfId="25928" xr:uid="{00000000-0005-0000-0000-00006F100000}"/>
    <cellStyle name="Финансовый 14 2 3 8" xfId="49061" xr:uid="{00000000-0005-0000-0000-000070100000}"/>
    <cellStyle name="Финансовый 14 2 4" xfId="2492" xr:uid="{00000000-0005-0000-0000-000071100000}"/>
    <cellStyle name="Финансовый 14 2 4 2" xfId="4137" xr:uid="{00000000-0005-0000-0000-000072100000}"/>
    <cellStyle name="Финансовый 14 2 4 2 2" xfId="11869" xr:uid="{00000000-0005-0000-0000-000073100000}"/>
    <cellStyle name="Финансовый 14 2 4 2 2 2" xfId="23847" xr:uid="{00000000-0005-0000-0000-000074100000}"/>
    <cellStyle name="Финансовый 14 2 4 2 2 2 2" xfId="47802" xr:uid="{00000000-0005-0000-0000-000075100000}"/>
    <cellStyle name="Финансовый 14 2 4 2 2 3" xfId="35824" xr:uid="{00000000-0005-0000-0000-000076100000}"/>
    <cellStyle name="Финансовый 14 2 4 2 3" xfId="16116" xr:uid="{00000000-0005-0000-0000-000077100000}"/>
    <cellStyle name="Финансовый 14 2 4 2 3 2" xfId="40071" xr:uid="{00000000-0005-0000-0000-000078100000}"/>
    <cellStyle name="Финансовый 14 2 4 2 4" xfId="28094" xr:uid="{00000000-0005-0000-0000-000079100000}"/>
    <cellStyle name="Финансовый 14 2 4 2 5" xfId="51363" xr:uid="{00000000-0005-0000-0000-00007A100000}"/>
    <cellStyle name="Финансовый 14 2 4 3" xfId="5920" xr:uid="{00000000-0005-0000-0000-00007B100000}"/>
    <cellStyle name="Финансовый 14 2 4 3 2" xfId="17898" xr:uid="{00000000-0005-0000-0000-00007C100000}"/>
    <cellStyle name="Финансовый 14 2 4 3 2 2" xfId="41853" xr:uid="{00000000-0005-0000-0000-00007D100000}"/>
    <cellStyle name="Финансовый 14 2 4 3 3" xfId="29875" xr:uid="{00000000-0005-0000-0000-00007E100000}"/>
    <cellStyle name="Финансовый 14 2 4 4" xfId="8530" xr:uid="{00000000-0005-0000-0000-00007F100000}"/>
    <cellStyle name="Финансовый 14 2 4 4 2" xfId="20508" xr:uid="{00000000-0005-0000-0000-000080100000}"/>
    <cellStyle name="Финансовый 14 2 4 4 2 2" xfId="44463" xr:uid="{00000000-0005-0000-0000-000081100000}"/>
    <cellStyle name="Финансовый 14 2 4 4 3" xfId="32485" xr:uid="{00000000-0005-0000-0000-000082100000}"/>
    <cellStyle name="Финансовый 14 2 4 5" xfId="10313" xr:uid="{00000000-0005-0000-0000-000083100000}"/>
    <cellStyle name="Финансовый 14 2 4 5 2" xfId="22291" xr:uid="{00000000-0005-0000-0000-000084100000}"/>
    <cellStyle name="Финансовый 14 2 4 5 2 2" xfId="46246" xr:uid="{00000000-0005-0000-0000-000085100000}"/>
    <cellStyle name="Финансовый 14 2 4 5 3" xfId="34268" xr:uid="{00000000-0005-0000-0000-000086100000}"/>
    <cellStyle name="Финансовый 14 2 4 6" xfId="14471" xr:uid="{00000000-0005-0000-0000-000087100000}"/>
    <cellStyle name="Финансовый 14 2 4 6 2" xfId="38426" xr:uid="{00000000-0005-0000-0000-000088100000}"/>
    <cellStyle name="Финансовый 14 2 4 7" xfId="26449" xr:uid="{00000000-0005-0000-0000-000089100000}"/>
    <cellStyle name="Финансовый 14 2 4 8" xfId="49582" xr:uid="{00000000-0005-0000-0000-00008A100000}"/>
    <cellStyle name="Финансовый 14 2 5" xfId="996" xr:uid="{00000000-0005-0000-0000-00008B100000}"/>
    <cellStyle name="Финансовый 14 2 5 2" xfId="7036" xr:uid="{00000000-0005-0000-0000-00008C100000}"/>
    <cellStyle name="Финансовый 14 2 5 2 2" xfId="19014" xr:uid="{00000000-0005-0000-0000-00008D100000}"/>
    <cellStyle name="Финансовый 14 2 5 2 2 2" xfId="42969" xr:uid="{00000000-0005-0000-0000-00008E100000}"/>
    <cellStyle name="Финансовый 14 2 5 2 3" xfId="30991" xr:uid="{00000000-0005-0000-0000-00008F100000}"/>
    <cellStyle name="Финансовый 14 2 5 3" xfId="10584" xr:uid="{00000000-0005-0000-0000-000090100000}"/>
    <cellStyle name="Финансовый 14 2 5 3 2" xfId="22562" xr:uid="{00000000-0005-0000-0000-000091100000}"/>
    <cellStyle name="Финансовый 14 2 5 3 2 2" xfId="46517" xr:uid="{00000000-0005-0000-0000-000092100000}"/>
    <cellStyle name="Финансовый 14 2 5 3 3" xfId="34539" xr:uid="{00000000-0005-0000-0000-000093100000}"/>
    <cellStyle name="Финансовый 14 2 5 4" xfId="12977" xr:uid="{00000000-0005-0000-0000-000094100000}"/>
    <cellStyle name="Финансовый 14 2 5 4 2" xfId="36932" xr:uid="{00000000-0005-0000-0000-000095100000}"/>
    <cellStyle name="Финансовый 14 2 5 5" xfId="24955" xr:uid="{00000000-0005-0000-0000-000096100000}"/>
    <cellStyle name="Финансовый 14 2 5 6" xfId="49861" xr:uid="{00000000-0005-0000-0000-000097100000}"/>
    <cellStyle name="Финансовый 14 2 6" xfId="584" xr:uid="{00000000-0005-0000-0000-000098100000}"/>
    <cellStyle name="Финансовый 14 2 6 2" xfId="6624" xr:uid="{00000000-0005-0000-0000-000099100000}"/>
    <cellStyle name="Финансовый 14 2 6 2 2" xfId="18602" xr:uid="{00000000-0005-0000-0000-00009A100000}"/>
    <cellStyle name="Финансовый 14 2 6 2 2 2" xfId="42557" xr:uid="{00000000-0005-0000-0000-00009B100000}"/>
    <cellStyle name="Финансовый 14 2 6 2 3" xfId="30579" xr:uid="{00000000-0005-0000-0000-00009C100000}"/>
    <cellStyle name="Финансовый 14 2 6 3" xfId="12565" xr:uid="{00000000-0005-0000-0000-00009D100000}"/>
    <cellStyle name="Финансовый 14 2 6 3 2" xfId="36520" xr:uid="{00000000-0005-0000-0000-00009E100000}"/>
    <cellStyle name="Финансовый 14 2 6 4" xfId="24543" xr:uid="{00000000-0005-0000-0000-00009F100000}"/>
    <cellStyle name="Финансовый 14 2 7" xfId="2773" xr:uid="{00000000-0005-0000-0000-0000A0100000}"/>
    <cellStyle name="Финансовый 14 2 7 2" xfId="14752" xr:uid="{00000000-0005-0000-0000-0000A1100000}"/>
    <cellStyle name="Финансовый 14 2 7 2 2" xfId="38707" xr:uid="{00000000-0005-0000-0000-0000A2100000}"/>
    <cellStyle name="Финансовый 14 2 7 3" xfId="26730" xr:uid="{00000000-0005-0000-0000-0000A3100000}"/>
    <cellStyle name="Финансовый 14 2 8" xfId="4417" xr:uid="{00000000-0005-0000-0000-0000A4100000}"/>
    <cellStyle name="Финансовый 14 2 8 2" xfId="16396" xr:uid="{00000000-0005-0000-0000-0000A5100000}"/>
    <cellStyle name="Финансовый 14 2 8 2 2" xfId="40351" xr:uid="{00000000-0005-0000-0000-0000A6100000}"/>
    <cellStyle name="Финансовый 14 2 8 3" xfId="28374" xr:uid="{00000000-0005-0000-0000-0000A7100000}"/>
    <cellStyle name="Финансовый 14 2 9" xfId="6204" xr:uid="{00000000-0005-0000-0000-0000A8100000}"/>
    <cellStyle name="Финансовый 14 2 9 2" xfId="18182" xr:uid="{00000000-0005-0000-0000-0000A9100000}"/>
    <cellStyle name="Финансовый 14 2 9 2 2" xfId="42137" xr:uid="{00000000-0005-0000-0000-0000AA100000}"/>
    <cellStyle name="Финансовый 14 2 9 3" xfId="30159" xr:uid="{00000000-0005-0000-0000-0000AB100000}"/>
    <cellStyle name="Финансовый 14 3" xfId="312" xr:uid="{00000000-0005-0000-0000-0000AC100000}"/>
    <cellStyle name="Финансовый 14 3 10" xfId="24271" xr:uid="{00000000-0005-0000-0000-0000AD100000}"/>
    <cellStyle name="Финансовый 14 3 11" xfId="48217" xr:uid="{00000000-0005-0000-0000-0000AE100000}"/>
    <cellStyle name="Финансовый 14 3 2" xfId="2099" xr:uid="{00000000-0005-0000-0000-0000AF100000}"/>
    <cellStyle name="Финансовый 14 3 2 2" xfId="3744" xr:uid="{00000000-0005-0000-0000-0000B0100000}"/>
    <cellStyle name="Финансовый 14 3 2 2 2" xfId="11484" xr:uid="{00000000-0005-0000-0000-0000B1100000}"/>
    <cellStyle name="Финансовый 14 3 2 2 2 2" xfId="23462" xr:uid="{00000000-0005-0000-0000-0000B2100000}"/>
    <cellStyle name="Финансовый 14 3 2 2 2 2 2" xfId="47417" xr:uid="{00000000-0005-0000-0000-0000B3100000}"/>
    <cellStyle name="Финансовый 14 3 2 2 2 3" xfId="35439" xr:uid="{00000000-0005-0000-0000-0000B4100000}"/>
    <cellStyle name="Финансовый 14 3 2 2 3" xfId="15723" xr:uid="{00000000-0005-0000-0000-0000B5100000}"/>
    <cellStyle name="Финансовый 14 3 2 2 3 2" xfId="39678" xr:uid="{00000000-0005-0000-0000-0000B6100000}"/>
    <cellStyle name="Финансовый 14 3 2 2 4" xfId="27701" xr:uid="{00000000-0005-0000-0000-0000B7100000}"/>
    <cellStyle name="Финансовый 14 3 2 2 5" xfId="50970" xr:uid="{00000000-0005-0000-0000-0000B8100000}"/>
    <cellStyle name="Финансовый 14 3 2 3" xfId="5527" xr:uid="{00000000-0005-0000-0000-0000B9100000}"/>
    <cellStyle name="Финансовый 14 3 2 3 2" xfId="17505" xr:uid="{00000000-0005-0000-0000-0000BA100000}"/>
    <cellStyle name="Финансовый 14 3 2 3 2 2" xfId="41460" xr:uid="{00000000-0005-0000-0000-0000BB100000}"/>
    <cellStyle name="Финансовый 14 3 2 3 3" xfId="29482" xr:uid="{00000000-0005-0000-0000-0000BC100000}"/>
    <cellStyle name="Финансовый 14 3 2 4" xfId="8137" xr:uid="{00000000-0005-0000-0000-0000BD100000}"/>
    <cellStyle name="Финансовый 14 3 2 4 2" xfId="20115" xr:uid="{00000000-0005-0000-0000-0000BE100000}"/>
    <cellStyle name="Финансовый 14 3 2 4 2 2" xfId="44070" xr:uid="{00000000-0005-0000-0000-0000BF100000}"/>
    <cellStyle name="Финансовый 14 3 2 4 3" xfId="32092" xr:uid="{00000000-0005-0000-0000-0000C0100000}"/>
    <cellStyle name="Финансовый 14 3 2 5" xfId="9920" xr:uid="{00000000-0005-0000-0000-0000C1100000}"/>
    <cellStyle name="Финансовый 14 3 2 5 2" xfId="21898" xr:uid="{00000000-0005-0000-0000-0000C2100000}"/>
    <cellStyle name="Финансовый 14 3 2 5 2 2" xfId="45853" xr:uid="{00000000-0005-0000-0000-0000C3100000}"/>
    <cellStyle name="Финансовый 14 3 2 5 3" xfId="33875" xr:uid="{00000000-0005-0000-0000-0000C4100000}"/>
    <cellStyle name="Финансовый 14 3 2 6" xfId="14078" xr:uid="{00000000-0005-0000-0000-0000C5100000}"/>
    <cellStyle name="Финансовый 14 3 2 6 2" xfId="38033" xr:uid="{00000000-0005-0000-0000-0000C6100000}"/>
    <cellStyle name="Финансовый 14 3 2 7" xfId="26056" xr:uid="{00000000-0005-0000-0000-0000C7100000}"/>
    <cellStyle name="Финансовый 14 3 2 8" xfId="49189" xr:uid="{00000000-0005-0000-0000-0000C8100000}"/>
    <cellStyle name="Финансовый 14 3 3" xfId="1132" xr:uid="{00000000-0005-0000-0000-0000C9100000}"/>
    <cellStyle name="Финансовый 14 3 3 2" xfId="7172" xr:uid="{00000000-0005-0000-0000-0000CA100000}"/>
    <cellStyle name="Финансовый 14 3 3 2 2" xfId="19150" xr:uid="{00000000-0005-0000-0000-0000CB100000}"/>
    <cellStyle name="Финансовый 14 3 3 2 2 2" xfId="43105" xr:uid="{00000000-0005-0000-0000-0000CC100000}"/>
    <cellStyle name="Финансовый 14 3 3 2 3" xfId="31127" xr:uid="{00000000-0005-0000-0000-0000CD100000}"/>
    <cellStyle name="Финансовый 14 3 3 3" xfId="10712" xr:uid="{00000000-0005-0000-0000-0000CE100000}"/>
    <cellStyle name="Финансовый 14 3 3 3 2" xfId="22690" xr:uid="{00000000-0005-0000-0000-0000CF100000}"/>
    <cellStyle name="Финансовый 14 3 3 3 2 2" xfId="46645" xr:uid="{00000000-0005-0000-0000-0000D0100000}"/>
    <cellStyle name="Финансовый 14 3 3 3 3" xfId="34667" xr:uid="{00000000-0005-0000-0000-0000D1100000}"/>
    <cellStyle name="Финансовый 14 3 3 4" xfId="13113" xr:uid="{00000000-0005-0000-0000-0000D2100000}"/>
    <cellStyle name="Финансовый 14 3 3 4 2" xfId="37068" xr:uid="{00000000-0005-0000-0000-0000D3100000}"/>
    <cellStyle name="Финансовый 14 3 3 5" xfId="25091" xr:uid="{00000000-0005-0000-0000-0000D4100000}"/>
    <cellStyle name="Финансовый 14 3 3 6" xfId="49997" xr:uid="{00000000-0005-0000-0000-0000D5100000}"/>
    <cellStyle name="Финансовый 14 3 4" xfId="732" xr:uid="{00000000-0005-0000-0000-0000D6100000}"/>
    <cellStyle name="Финансовый 14 3 4 2" xfId="6772" xr:uid="{00000000-0005-0000-0000-0000D7100000}"/>
    <cellStyle name="Финансовый 14 3 4 2 2" xfId="18750" xr:uid="{00000000-0005-0000-0000-0000D8100000}"/>
    <cellStyle name="Финансовый 14 3 4 2 2 2" xfId="42705" xr:uid="{00000000-0005-0000-0000-0000D9100000}"/>
    <cellStyle name="Финансовый 14 3 4 2 3" xfId="30727" xr:uid="{00000000-0005-0000-0000-0000DA100000}"/>
    <cellStyle name="Финансовый 14 3 4 3" xfId="12713" xr:uid="{00000000-0005-0000-0000-0000DB100000}"/>
    <cellStyle name="Финансовый 14 3 4 3 2" xfId="36668" xr:uid="{00000000-0005-0000-0000-0000DC100000}"/>
    <cellStyle name="Финансовый 14 3 4 4" xfId="24691" xr:uid="{00000000-0005-0000-0000-0000DD100000}"/>
    <cellStyle name="Финансовый 14 3 5" xfId="2909" xr:uid="{00000000-0005-0000-0000-0000DE100000}"/>
    <cellStyle name="Финансовый 14 3 5 2" xfId="14888" xr:uid="{00000000-0005-0000-0000-0000DF100000}"/>
    <cellStyle name="Финансовый 14 3 5 2 2" xfId="38843" xr:uid="{00000000-0005-0000-0000-0000E0100000}"/>
    <cellStyle name="Финансовый 14 3 5 3" xfId="26866" xr:uid="{00000000-0005-0000-0000-0000E1100000}"/>
    <cellStyle name="Финансовый 14 3 6" xfId="4553" xr:uid="{00000000-0005-0000-0000-0000E2100000}"/>
    <cellStyle name="Финансовый 14 3 6 2" xfId="16532" xr:uid="{00000000-0005-0000-0000-0000E3100000}"/>
    <cellStyle name="Финансовый 14 3 6 2 2" xfId="40487" xr:uid="{00000000-0005-0000-0000-0000E4100000}"/>
    <cellStyle name="Финансовый 14 3 6 3" xfId="28510" xr:uid="{00000000-0005-0000-0000-0000E5100000}"/>
    <cellStyle name="Финансовый 14 3 7" xfId="6352" xr:uid="{00000000-0005-0000-0000-0000E6100000}"/>
    <cellStyle name="Финансовый 14 3 7 2" xfId="18330" xr:uid="{00000000-0005-0000-0000-0000E7100000}"/>
    <cellStyle name="Финансовый 14 3 7 2 2" xfId="42285" xr:uid="{00000000-0005-0000-0000-0000E8100000}"/>
    <cellStyle name="Финансовый 14 3 7 3" xfId="30307" xr:uid="{00000000-0005-0000-0000-0000E9100000}"/>
    <cellStyle name="Финансовый 14 3 8" xfId="8947" xr:uid="{00000000-0005-0000-0000-0000EA100000}"/>
    <cellStyle name="Финансовый 14 3 8 2" xfId="20925" xr:uid="{00000000-0005-0000-0000-0000EB100000}"/>
    <cellStyle name="Финансовый 14 3 8 2 2" xfId="44880" xr:uid="{00000000-0005-0000-0000-0000EC100000}"/>
    <cellStyle name="Финансовый 14 3 8 3" xfId="32902" xr:uid="{00000000-0005-0000-0000-0000ED100000}"/>
    <cellStyle name="Финансовый 14 3 9" xfId="12293" xr:uid="{00000000-0005-0000-0000-0000EE100000}"/>
    <cellStyle name="Финансовый 14 3 9 2" xfId="36248" xr:uid="{00000000-0005-0000-0000-0000EF100000}"/>
    <cellStyle name="Финансовый 14 4" xfId="1441" xr:uid="{00000000-0005-0000-0000-0000F0100000}"/>
    <cellStyle name="Финансовый 14 4 2" xfId="1835" xr:uid="{00000000-0005-0000-0000-0000F1100000}"/>
    <cellStyle name="Финансовый 14 4 2 2" xfId="3480" xr:uid="{00000000-0005-0000-0000-0000F2100000}"/>
    <cellStyle name="Финансовый 14 4 2 2 2" xfId="11228" xr:uid="{00000000-0005-0000-0000-0000F3100000}"/>
    <cellStyle name="Финансовый 14 4 2 2 2 2" xfId="23206" xr:uid="{00000000-0005-0000-0000-0000F4100000}"/>
    <cellStyle name="Финансовый 14 4 2 2 2 2 2" xfId="47161" xr:uid="{00000000-0005-0000-0000-0000F5100000}"/>
    <cellStyle name="Финансовый 14 4 2 2 2 3" xfId="35183" xr:uid="{00000000-0005-0000-0000-0000F6100000}"/>
    <cellStyle name="Финансовый 14 4 2 2 3" xfId="15459" xr:uid="{00000000-0005-0000-0000-0000F7100000}"/>
    <cellStyle name="Финансовый 14 4 2 2 3 2" xfId="39414" xr:uid="{00000000-0005-0000-0000-0000F8100000}"/>
    <cellStyle name="Финансовый 14 4 2 2 4" xfId="27437" xr:uid="{00000000-0005-0000-0000-0000F9100000}"/>
    <cellStyle name="Финансовый 14 4 2 2 5" xfId="50706" xr:uid="{00000000-0005-0000-0000-0000FA100000}"/>
    <cellStyle name="Финансовый 14 4 2 3" xfId="5263" xr:uid="{00000000-0005-0000-0000-0000FB100000}"/>
    <cellStyle name="Финансовый 14 4 2 3 2" xfId="17241" xr:uid="{00000000-0005-0000-0000-0000FC100000}"/>
    <cellStyle name="Финансовый 14 4 2 3 2 2" xfId="41196" xr:uid="{00000000-0005-0000-0000-0000FD100000}"/>
    <cellStyle name="Финансовый 14 4 2 3 3" xfId="29218" xr:uid="{00000000-0005-0000-0000-0000FE100000}"/>
    <cellStyle name="Финансовый 14 4 2 4" xfId="7873" xr:uid="{00000000-0005-0000-0000-0000FF100000}"/>
    <cellStyle name="Финансовый 14 4 2 4 2" xfId="19851" xr:uid="{00000000-0005-0000-0000-000000110000}"/>
    <cellStyle name="Финансовый 14 4 2 4 2 2" xfId="43806" xr:uid="{00000000-0005-0000-0000-000001110000}"/>
    <cellStyle name="Финансовый 14 4 2 4 3" xfId="31828" xr:uid="{00000000-0005-0000-0000-000002110000}"/>
    <cellStyle name="Финансовый 14 4 2 5" xfId="9656" xr:uid="{00000000-0005-0000-0000-000003110000}"/>
    <cellStyle name="Финансовый 14 4 2 5 2" xfId="21634" xr:uid="{00000000-0005-0000-0000-000004110000}"/>
    <cellStyle name="Финансовый 14 4 2 5 2 2" xfId="45589" xr:uid="{00000000-0005-0000-0000-000005110000}"/>
    <cellStyle name="Финансовый 14 4 2 5 3" xfId="33611" xr:uid="{00000000-0005-0000-0000-000006110000}"/>
    <cellStyle name="Финансовый 14 4 2 6" xfId="13814" xr:uid="{00000000-0005-0000-0000-000007110000}"/>
    <cellStyle name="Финансовый 14 4 2 6 2" xfId="37769" xr:uid="{00000000-0005-0000-0000-000008110000}"/>
    <cellStyle name="Финансовый 14 4 2 7" xfId="25792" xr:uid="{00000000-0005-0000-0000-000009110000}"/>
    <cellStyle name="Финансовый 14 4 2 8" xfId="48925" xr:uid="{00000000-0005-0000-0000-00000A110000}"/>
    <cellStyle name="Финансовый 14 4 3" xfId="4869" xr:uid="{00000000-0005-0000-0000-00000B110000}"/>
    <cellStyle name="Финансовый 14 4 3 2" xfId="16847" xr:uid="{00000000-0005-0000-0000-00000C110000}"/>
    <cellStyle name="Финансовый 14 4 3 2 2" xfId="40802" xr:uid="{00000000-0005-0000-0000-00000D110000}"/>
    <cellStyle name="Финансовый 14 4 3 3" xfId="28824" xr:uid="{00000000-0005-0000-0000-00000E110000}"/>
    <cellStyle name="Финансовый 14 4 3 4" xfId="50312" xr:uid="{00000000-0005-0000-0000-00000F110000}"/>
    <cellStyle name="Финансовый 14 4 4" xfId="7479" xr:uid="{00000000-0005-0000-0000-000010110000}"/>
    <cellStyle name="Финансовый 14 4 4 2" xfId="19457" xr:uid="{00000000-0005-0000-0000-000011110000}"/>
    <cellStyle name="Финансовый 14 4 4 2 2" xfId="43412" xr:uid="{00000000-0005-0000-0000-000012110000}"/>
    <cellStyle name="Финансовый 14 4 4 3" xfId="31434" xr:uid="{00000000-0005-0000-0000-000013110000}"/>
    <cellStyle name="Финансовый 14 4 5" xfId="9262" xr:uid="{00000000-0005-0000-0000-000014110000}"/>
    <cellStyle name="Финансовый 14 4 5 2" xfId="21240" xr:uid="{00000000-0005-0000-0000-000015110000}"/>
    <cellStyle name="Финансовый 14 4 5 2 2" xfId="45195" xr:uid="{00000000-0005-0000-0000-000016110000}"/>
    <cellStyle name="Финансовый 14 4 5 3" xfId="33217" xr:uid="{00000000-0005-0000-0000-000017110000}"/>
    <cellStyle name="Финансовый 14 4 6" xfId="13420" xr:uid="{00000000-0005-0000-0000-000018110000}"/>
    <cellStyle name="Финансовый 14 4 6 2" xfId="37375" xr:uid="{00000000-0005-0000-0000-000019110000}"/>
    <cellStyle name="Финансовый 14 4 7" xfId="25398" xr:uid="{00000000-0005-0000-0000-00001A110000}"/>
    <cellStyle name="Финансовый 14 4 8" xfId="48531" xr:uid="{00000000-0005-0000-0000-00001B110000}"/>
    <cellStyle name="Финансовый 14 5" xfId="1719" xr:uid="{00000000-0005-0000-0000-00001C110000}"/>
    <cellStyle name="Финансовый 14 5 2" xfId="3364" xr:uid="{00000000-0005-0000-0000-00001D110000}"/>
    <cellStyle name="Финансовый 14 5 2 2" xfId="11112" xr:uid="{00000000-0005-0000-0000-00001E110000}"/>
    <cellStyle name="Финансовый 14 5 2 2 2" xfId="23090" xr:uid="{00000000-0005-0000-0000-00001F110000}"/>
    <cellStyle name="Финансовый 14 5 2 2 2 2" xfId="47045" xr:uid="{00000000-0005-0000-0000-000020110000}"/>
    <cellStyle name="Финансовый 14 5 2 2 3" xfId="35067" xr:uid="{00000000-0005-0000-0000-000021110000}"/>
    <cellStyle name="Финансовый 14 5 2 3" xfId="15343" xr:uid="{00000000-0005-0000-0000-000022110000}"/>
    <cellStyle name="Финансовый 14 5 2 3 2" xfId="39298" xr:uid="{00000000-0005-0000-0000-000023110000}"/>
    <cellStyle name="Финансовый 14 5 2 4" xfId="27321" xr:uid="{00000000-0005-0000-0000-000024110000}"/>
    <cellStyle name="Финансовый 14 5 2 5" xfId="50590" xr:uid="{00000000-0005-0000-0000-000025110000}"/>
    <cellStyle name="Финансовый 14 5 3" xfId="5147" xr:uid="{00000000-0005-0000-0000-000026110000}"/>
    <cellStyle name="Финансовый 14 5 3 2" xfId="17125" xr:uid="{00000000-0005-0000-0000-000027110000}"/>
    <cellStyle name="Финансовый 14 5 3 2 2" xfId="41080" xr:uid="{00000000-0005-0000-0000-000028110000}"/>
    <cellStyle name="Финансовый 14 5 3 3" xfId="29102" xr:uid="{00000000-0005-0000-0000-000029110000}"/>
    <cellStyle name="Финансовый 14 5 4" xfId="7757" xr:uid="{00000000-0005-0000-0000-00002A110000}"/>
    <cellStyle name="Финансовый 14 5 4 2" xfId="19735" xr:uid="{00000000-0005-0000-0000-00002B110000}"/>
    <cellStyle name="Финансовый 14 5 4 2 2" xfId="43690" xr:uid="{00000000-0005-0000-0000-00002C110000}"/>
    <cellStyle name="Финансовый 14 5 4 3" xfId="31712" xr:uid="{00000000-0005-0000-0000-00002D110000}"/>
    <cellStyle name="Финансовый 14 5 5" xfId="9540" xr:uid="{00000000-0005-0000-0000-00002E110000}"/>
    <cellStyle name="Финансовый 14 5 5 2" xfId="21518" xr:uid="{00000000-0005-0000-0000-00002F110000}"/>
    <cellStyle name="Финансовый 14 5 5 2 2" xfId="45473" xr:uid="{00000000-0005-0000-0000-000030110000}"/>
    <cellStyle name="Финансовый 14 5 5 3" xfId="33495" xr:uid="{00000000-0005-0000-0000-000031110000}"/>
    <cellStyle name="Финансовый 14 5 6" xfId="13698" xr:uid="{00000000-0005-0000-0000-000032110000}"/>
    <cellStyle name="Финансовый 14 5 6 2" xfId="37653" xr:uid="{00000000-0005-0000-0000-000033110000}"/>
    <cellStyle name="Финансовый 14 5 7" xfId="25676" xr:uid="{00000000-0005-0000-0000-000034110000}"/>
    <cellStyle name="Финансовый 14 5 8" xfId="48809" xr:uid="{00000000-0005-0000-0000-000035110000}"/>
    <cellStyle name="Финансовый 14 6" xfId="2355" xr:uid="{00000000-0005-0000-0000-000036110000}"/>
    <cellStyle name="Финансовый 14 6 2" xfId="4000" xr:uid="{00000000-0005-0000-0000-000037110000}"/>
    <cellStyle name="Финансовый 14 6 2 2" xfId="11740" xr:uid="{00000000-0005-0000-0000-000038110000}"/>
    <cellStyle name="Финансовый 14 6 2 2 2" xfId="23718" xr:uid="{00000000-0005-0000-0000-000039110000}"/>
    <cellStyle name="Финансовый 14 6 2 2 2 2" xfId="47673" xr:uid="{00000000-0005-0000-0000-00003A110000}"/>
    <cellStyle name="Финансовый 14 6 2 2 3" xfId="35695" xr:uid="{00000000-0005-0000-0000-00003B110000}"/>
    <cellStyle name="Финансовый 14 6 2 3" xfId="15979" xr:uid="{00000000-0005-0000-0000-00003C110000}"/>
    <cellStyle name="Финансовый 14 6 2 3 2" xfId="39934" xr:uid="{00000000-0005-0000-0000-00003D110000}"/>
    <cellStyle name="Финансовый 14 6 2 4" xfId="27957" xr:uid="{00000000-0005-0000-0000-00003E110000}"/>
    <cellStyle name="Финансовый 14 6 2 5" xfId="51226" xr:uid="{00000000-0005-0000-0000-00003F110000}"/>
    <cellStyle name="Финансовый 14 6 3" xfId="5783" xr:uid="{00000000-0005-0000-0000-000040110000}"/>
    <cellStyle name="Финансовый 14 6 3 2" xfId="17761" xr:uid="{00000000-0005-0000-0000-000041110000}"/>
    <cellStyle name="Финансовый 14 6 3 2 2" xfId="41716" xr:uid="{00000000-0005-0000-0000-000042110000}"/>
    <cellStyle name="Финансовый 14 6 3 3" xfId="29738" xr:uid="{00000000-0005-0000-0000-000043110000}"/>
    <cellStyle name="Финансовый 14 6 4" xfId="8393" xr:uid="{00000000-0005-0000-0000-000044110000}"/>
    <cellStyle name="Финансовый 14 6 4 2" xfId="20371" xr:uid="{00000000-0005-0000-0000-000045110000}"/>
    <cellStyle name="Финансовый 14 6 4 2 2" xfId="44326" xr:uid="{00000000-0005-0000-0000-000046110000}"/>
    <cellStyle name="Финансовый 14 6 4 3" xfId="32348" xr:uid="{00000000-0005-0000-0000-000047110000}"/>
    <cellStyle name="Финансовый 14 6 5" xfId="10176" xr:uid="{00000000-0005-0000-0000-000048110000}"/>
    <cellStyle name="Финансовый 14 6 5 2" xfId="22154" xr:uid="{00000000-0005-0000-0000-000049110000}"/>
    <cellStyle name="Финансовый 14 6 5 2 2" xfId="46109" xr:uid="{00000000-0005-0000-0000-00004A110000}"/>
    <cellStyle name="Финансовый 14 6 5 3" xfId="34131" xr:uid="{00000000-0005-0000-0000-00004B110000}"/>
    <cellStyle name="Финансовый 14 6 6" xfId="14334" xr:uid="{00000000-0005-0000-0000-00004C110000}"/>
    <cellStyle name="Финансовый 14 6 6 2" xfId="38289" xr:uid="{00000000-0005-0000-0000-00004D110000}"/>
    <cellStyle name="Финансовый 14 6 7" xfId="26312" xr:uid="{00000000-0005-0000-0000-00004E110000}"/>
    <cellStyle name="Финансовый 14 6 8" xfId="49445" xr:uid="{00000000-0005-0000-0000-00004F110000}"/>
    <cellStyle name="Финансовый 14 7" xfId="1582" xr:uid="{00000000-0005-0000-0000-000050110000}"/>
    <cellStyle name="Финансовый 14 7 2" xfId="3227" xr:uid="{00000000-0005-0000-0000-000051110000}"/>
    <cellStyle name="Финансовый 14 7 2 2" xfId="10983" xr:uid="{00000000-0005-0000-0000-000052110000}"/>
    <cellStyle name="Финансовый 14 7 2 2 2" xfId="22961" xr:uid="{00000000-0005-0000-0000-000053110000}"/>
    <cellStyle name="Финансовый 14 7 2 2 2 2" xfId="46916" xr:uid="{00000000-0005-0000-0000-000054110000}"/>
    <cellStyle name="Финансовый 14 7 2 2 3" xfId="34938" xr:uid="{00000000-0005-0000-0000-000055110000}"/>
    <cellStyle name="Финансовый 14 7 2 3" xfId="15206" xr:uid="{00000000-0005-0000-0000-000056110000}"/>
    <cellStyle name="Финансовый 14 7 2 3 2" xfId="39161" xr:uid="{00000000-0005-0000-0000-000057110000}"/>
    <cellStyle name="Финансовый 14 7 2 4" xfId="27184" xr:uid="{00000000-0005-0000-0000-000058110000}"/>
    <cellStyle name="Финансовый 14 7 2 5" xfId="50453" xr:uid="{00000000-0005-0000-0000-000059110000}"/>
    <cellStyle name="Финансовый 14 7 3" xfId="5010" xr:uid="{00000000-0005-0000-0000-00005A110000}"/>
    <cellStyle name="Финансовый 14 7 3 2" xfId="16988" xr:uid="{00000000-0005-0000-0000-00005B110000}"/>
    <cellStyle name="Финансовый 14 7 3 2 2" xfId="40943" xr:uid="{00000000-0005-0000-0000-00005C110000}"/>
    <cellStyle name="Финансовый 14 7 3 3" xfId="28965" xr:uid="{00000000-0005-0000-0000-00005D110000}"/>
    <cellStyle name="Финансовый 14 7 4" xfId="7620" xr:uid="{00000000-0005-0000-0000-00005E110000}"/>
    <cellStyle name="Финансовый 14 7 4 2" xfId="19598" xr:uid="{00000000-0005-0000-0000-00005F110000}"/>
    <cellStyle name="Финансовый 14 7 4 2 2" xfId="43553" xr:uid="{00000000-0005-0000-0000-000060110000}"/>
    <cellStyle name="Финансовый 14 7 4 3" xfId="31575" xr:uid="{00000000-0005-0000-0000-000061110000}"/>
    <cellStyle name="Финансовый 14 7 5" xfId="9403" xr:uid="{00000000-0005-0000-0000-000062110000}"/>
    <cellStyle name="Финансовый 14 7 5 2" xfId="21381" xr:uid="{00000000-0005-0000-0000-000063110000}"/>
    <cellStyle name="Финансовый 14 7 5 2 2" xfId="45336" xr:uid="{00000000-0005-0000-0000-000064110000}"/>
    <cellStyle name="Финансовый 14 7 5 3" xfId="33358" xr:uid="{00000000-0005-0000-0000-000065110000}"/>
    <cellStyle name="Финансовый 14 7 6" xfId="13561" xr:uid="{00000000-0005-0000-0000-000066110000}"/>
    <cellStyle name="Финансовый 14 7 6 2" xfId="37516" xr:uid="{00000000-0005-0000-0000-000067110000}"/>
    <cellStyle name="Финансовый 14 7 7" xfId="25539" xr:uid="{00000000-0005-0000-0000-000068110000}"/>
    <cellStyle name="Финансовый 14 7 8" xfId="48672" xr:uid="{00000000-0005-0000-0000-000069110000}"/>
    <cellStyle name="Финансовый 14 8" xfId="868" xr:uid="{00000000-0005-0000-0000-00006A110000}"/>
    <cellStyle name="Финансовый 14 8 2" xfId="6908" xr:uid="{00000000-0005-0000-0000-00006B110000}"/>
    <cellStyle name="Финансовый 14 8 2 2" xfId="18886" xr:uid="{00000000-0005-0000-0000-00006C110000}"/>
    <cellStyle name="Финансовый 14 8 2 2 2" xfId="42841" xr:uid="{00000000-0005-0000-0000-00006D110000}"/>
    <cellStyle name="Финансовый 14 8 2 3" xfId="30863" xr:uid="{00000000-0005-0000-0000-00006E110000}"/>
    <cellStyle name="Финансовый 14 8 3" xfId="10456" xr:uid="{00000000-0005-0000-0000-00006F110000}"/>
    <cellStyle name="Финансовый 14 8 3 2" xfId="22434" xr:uid="{00000000-0005-0000-0000-000070110000}"/>
    <cellStyle name="Финансовый 14 8 3 2 2" xfId="46389" xr:uid="{00000000-0005-0000-0000-000071110000}"/>
    <cellStyle name="Финансовый 14 8 3 3" xfId="34411" xr:uid="{00000000-0005-0000-0000-000072110000}"/>
    <cellStyle name="Финансовый 14 8 4" xfId="12849" xr:uid="{00000000-0005-0000-0000-000073110000}"/>
    <cellStyle name="Финансовый 14 8 4 2" xfId="36804" xr:uid="{00000000-0005-0000-0000-000074110000}"/>
    <cellStyle name="Финансовый 14 8 5" xfId="24827" xr:uid="{00000000-0005-0000-0000-000075110000}"/>
    <cellStyle name="Финансовый 14 8 6" xfId="49725" xr:uid="{00000000-0005-0000-0000-000076110000}"/>
    <cellStyle name="Финансовый 14 9" xfId="448" xr:uid="{00000000-0005-0000-0000-000077110000}"/>
    <cellStyle name="Финансовый 14 9 2" xfId="6488" xr:uid="{00000000-0005-0000-0000-000078110000}"/>
    <cellStyle name="Финансовый 14 9 2 2" xfId="18466" xr:uid="{00000000-0005-0000-0000-000079110000}"/>
    <cellStyle name="Финансовый 14 9 2 2 2" xfId="42421" xr:uid="{00000000-0005-0000-0000-00007A110000}"/>
    <cellStyle name="Финансовый 14 9 2 3" xfId="30443" xr:uid="{00000000-0005-0000-0000-00007B110000}"/>
    <cellStyle name="Финансовый 14 9 3" xfId="12429" xr:uid="{00000000-0005-0000-0000-00007C110000}"/>
    <cellStyle name="Финансовый 14 9 3 2" xfId="36384" xr:uid="{00000000-0005-0000-0000-00007D110000}"/>
    <cellStyle name="Финансовый 14 9 4" xfId="24407" xr:uid="{00000000-0005-0000-0000-00007E110000}"/>
    <cellStyle name="Финансовый 15" xfId="13" xr:uid="{00000000-0005-0000-0000-00007F110000}"/>
    <cellStyle name="Финансовый 15 10" xfId="2625" xr:uid="{00000000-0005-0000-0000-000080110000}"/>
    <cellStyle name="Финансовый 15 10 2" xfId="14604" xr:uid="{00000000-0005-0000-0000-000081110000}"/>
    <cellStyle name="Финансовый 15 10 2 2" xfId="38559" xr:uid="{00000000-0005-0000-0000-000082110000}"/>
    <cellStyle name="Финансовый 15 10 3" xfId="26582" xr:uid="{00000000-0005-0000-0000-000083110000}"/>
    <cellStyle name="Финансовый 15 11" xfId="4268" xr:uid="{00000000-0005-0000-0000-000084110000}"/>
    <cellStyle name="Финансовый 15 11 2" xfId="16247" xr:uid="{00000000-0005-0000-0000-000085110000}"/>
    <cellStyle name="Финансовый 15 11 2 2" xfId="40202" xr:uid="{00000000-0005-0000-0000-000086110000}"/>
    <cellStyle name="Финансовый 15 11 3" xfId="28225" xr:uid="{00000000-0005-0000-0000-000087110000}"/>
    <cellStyle name="Финансовый 15 12" xfId="6056" xr:uid="{00000000-0005-0000-0000-000088110000}"/>
    <cellStyle name="Финансовый 15 12 2" xfId="18034" xr:uid="{00000000-0005-0000-0000-000089110000}"/>
    <cellStyle name="Финансовый 15 12 2 2" xfId="41989" xr:uid="{00000000-0005-0000-0000-00008A110000}"/>
    <cellStyle name="Финансовый 15 12 3" xfId="30011" xr:uid="{00000000-0005-0000-0000-00008B110000}"/>
    <cellStyle name="Финансовый 15 13" xfId="8663" xr:uid="{00000000-0005-0000-0000-00008C110000}"/>
    <cellStyle name="Финансовый 15 13 2" xfId="20641" xr:uid="{00000000-0005-0000-0000-00008D110000}"/>
    <cellStyle name="Финансовый 15 13 2 2" xfId="44596" xr:uid="{00000000-0005-0000-0000-00008E110000}"/>
    <cellStyle name="Финансовый 15 13 3" xfId="32618" xr:uid="{00000000-0005-0000-0000-00008F110000}"/>
    <cellStyle name="Финансовый 15 14" xfId="11997" xr:uid="{00000000-0005-0000-0000-000090110000}"/>
    <cellStyle name="Финансовый 15 14 2" xfId="35952" xr:uid="{00000000-0005-0000-0000-000091110000}"/>
    <cellStyle name="Финансовый 15 15" xfId="23975" xr:uid="{00000000-0005-0000-0000-000092110000}"/>
    <cellStyle name="Финансовый 15 16" xfId="47933" xr:uid="{00000000-0005-0000-0000-000093110000}"/>
    <cellStyle name="Финансовый 15 2" xfId="151" xr:uid="{00000000-0005-0000-0000-000094110000}"/>
    <cellStyle name="Финансовый 15 2 10" xfId="8799" xr:uid="{00000000-0005-0000-0000-000095110000}"/>
    <cellStyle name="Финансовый 15 2 10 2" xfId="20777" xr:uid="{00000000-0005-0000-0000-000096110000}"/>
    <cellStyle name="Финансовый 15 2 10 2 2" xfId="44732" xr:uid="{00000000-0005-0000-0000-000097110000}"/>
    <cellStyle name="Финансовый 15 2 10 3" xfId="32754" xr:uid="{00000000-0005-0000-0000-000098110000}"/>
    <cellStyle name="Финансовый 15 2 11" xfId="12133" xr:uid="{00000000-0005-0000-0000-000099110000}"/>
    <cellStyle name="Финансовый 15 2 11 2" xfId="36088" xr:uid="{00000000-0005-0000-0000-00009A110000}"/>
    <cellStyle name="Финансовый 15 2 12" xfId="24111" xr:uid="{00000000-0005-0000-0000-00009B110000}"/>
    <cellStyle name="Финансовый 15 2 13" xfId="48069" xr:uid="{00000000-0005-0000-0000-00009C110000}"/>
    <cellStyle name="Финансовый 15 2 2" xfId="1249" xr:uid="{00000000-0005-0000-0000-00009D110000}"/>
    <cellStyle name="Финансовый 15 2 2 2" xfId="2215" xr:uid="{00000000-0005-0000-0000-00009E110000}"/>
    <cellStyle name="Финансовый 15 2 2 2 2" xfId="3860" xr:uid="{00000000-0005-0000-0000-00009F110000}"/>
    <cellStyle name="Финансовый 15 2 2 2 2 2" xfId="11600" xr:uid="{00000000-0005-0000-0000-0000A0110000}"/>
    <cellStyle name="Финансовый 15 2 2 2 2 2 2" xfId="23578" xr:uid="{00000000-0005-0000-0000-0000A1110000}"/>
    <cellStyle name="Финансовый 15 2 2 2 2 2 2 2" xfId="47533" xr:uid="{00000000-0005-0000-0000-0000A2110000}"/>
    <cellStyle name="Финансовый 15 2 2 2 2 2 3" xfId="35555" xr:uid="{00000000-0005-0000-0000-0000A3110000}"/>
    <cellStyle name="Финансовый 15 2 2 2 2 3" xfId="15839" xr:uid="{00000000-0005-0000-0000-0000A4110000}"/>
    <cellStyle name="Финансовый 15 2 2 2 2 3 2" xfId="39794" xr:uid="{00000000-0005-0000-0000-0000A5110000}"/>
    <cellStyle name="Финансовый 15 2 2 2 2 4" xfId="27817" xr:uid="{00000000-0005-0000-0000-0000A6110000}"/>
    <cellStyle name="Финансовый 15 2 2 2 2 5" xfId="51086" xr:uid="{00000000-0005-0000-0000-0000A7110000}"/>
    <cellStyle name="Финансовый 15 2 2 2 3" xfId="5643" xr:uid="{00000000-0005-0000-0000-0000A8110000}"/>
    <cellStyle name="Финансовый 15 2 2 2 3 2" xfId="17621" xr:uid="{00000000-0005-0000-0000-0000A9110000}"/>
    <cellStyle name="Финансовый 15 2 2 2 3 2 2" xfId="41576" xr:uid="{00000000-0005-0000-0000-0000AA110000}"/>
    <cellStyle name="Финансовый 15 2 2 2 3 3" xfId="29598" xr:uid="{00000000-0005-0000-0000-0000AB110000}"/>
    <cellStyle name="Финансовый 15 2 2 2 4" xfId="8253" xr:uid="{00000000-0005-0000-0000-0000AC110000}"/>
    <cellStyle name="Финансовый 15 2 2 2 4 2" xfId="20231" xr:uid="{00000000-0005-0000-0000-0000AD110000}"/>
    <cellStyle name="Финансовый 15 2 2 2 4 2 2" xfId="44186" xr:uid="{00000000-0005-0000-0000-0000AE110000}"/>
    <cellStyle name="Финансовый 15 2 2 2 4 3" xfId="32208" xr:uid="{00000000-0005-0000-0000-0000AF110000}"/>
    <cellStyle name="Финансовый 15 2 2 2 5" xfId="10036" xr:uid="{00000000-0005-0000-0000-0000B0110000}"/>
    <cellStyle name="Финансовый 15 2 2 2 5 2" xfId="22014" xr:uid="{00000000-0005-0000-0000-0000B1110000}"/>
    <cellStyle name="Финансовый 15 2 2 2 5 2 2" xfId="45969" xr:uid="{00000000-0005-0000-0000-0000B2110000}"/>
    <cellStyle name="Финансовый 15 2 2 2 5 3" xfId="33991" xr:uid="{00000000-0005-0000-0000-0000B3110000}"/>
    <cellStyle name="Финансовый 15 2 2 2 6" xfId="14194" xr:uid="{00000000-0005-0000-0000-0000B4110000}"/>
    <cellStyle name="Финансовый 15 2 2 2 6 2" xfId="38149" xr:uid="{00000000-0005-0000-0000-0000B5110000}"/>
    <cellStyle name="Финансовый 15 2 2 2 7" xfId="26172" xr:uid="{00000000-0005-0000-0000-0000B6110000}"/>
    <cellStyle name="Финансовый 15 2 2 2 8" xfId="49305" xr:uid="{00000000-0005-0000-0000-0000B7110000}"/>
    <cellStyle name="Финансовый 15 2 2 3" xfId="3033" xr:uid="{00000000-0005-0000-0000-0000B8110000}"/>
    <cellStyle name="Финансовый 15 2 2 3 2" xfId="10828" xr:uid="{00000000-0005-0000-0000-0000B9110000}"/>
    <cellStyle name="Финансовый 15 2 2 3 2 2" xfId="22806" xr:uid="{00000000-0005-0000-0000-0000BA110000}"/>
    <cellStyle name="Финансовый 15 2 2 3 2 2 2" xfId="46761" xr:uid="{00000000-0005-0000-0000-0000BB110000}"/>
    <cellStyle name="Финансовый 15 2 2 3 2 3" xfId="34783" xr:uid="{00000000-0005-0000-0000-0000BC110000}"/>
    <cellStyle name="Финансовый 15 2 2 3 3" xfId="15012" xr:uid="{00000000-0005-0000-0000-0000BD110000}"/>
    <cellStyle name="Финансовый 15 2 2 3 3 2" xfId="38967" xr:uid="{00000000-0005-0000-0000-0000BE110000}"/>
    <cellStyle name="Финансовый 15 2 2 3 4" xfId="26990" xr:uid="{00000000-0005-0000-0000-0000BF110000}"/>
    <cellStyle name="Финансовый 15 2 2 3 5" xfId="50121" xr:uid="{00000000-0005-0000-0000-0000C0110000}"/>
    <cellStyle name="Финансовый 15 2 2 4" xfId="4677" xr:uid="{00000000-0005-0000-0000-0000C1110000}"/>
    <cellStyle name="Финансовый 15 2 2 4 2" xfId="16656" xr:uid="{00000000-0005-0000-0000-0000C2110000}"/>
    <cellStyle name="Финансовый 15 2 2 4 2 2" xfId="40611" xr:uid="{00000000-0005-0000-0000-0000C3110000}"/>
    <cellStyle name="Финансовый 15 2 2 4 3" xfId="28634" xr:uid="{00000000-0005-0000-0000-0000C4110000}"/>
    <cellStyle name="Финансовый 15 2 2 5" xfId="7289" xr:uid="{00000000-0005-0000-0000-0000C5110000}"/>
    <cellStyle name="Финансовый 15 2 2 5 2" xfId="19267" xr:uid="{00000000-0005-0000-0000-0000C6110000}"/>
    <cellStyle name="Финансовый 15 2 2 5 2 2" xfId="43222" xr:uid="{00000000-0005-0000-0000-0000C7110000}"/>
    <cellStyle name="Финансовый 15 2 2 5 3" xfId="31244" xr:uid="{00000000-0005-0000-0000-0000C8110000}"/>
    <cellStyle name="Финансовый 15 2 2 6" xfId="9071" xr:uid="{00000000-0005-0000-0000-0000C9110000}"/>
    <cellStyle name="Финансовый 15 2 2 6 2" xfId="21049" xr:uid="{00000000-0005-0000-0000-0000CA110000}"/>
    <cellStyle name="Финансовый 15 2 2 6 2 2" xfId="45004" xr:uid="{00000000-0005-0000-0000-0000CB110000}"/>
    <cellStyle name="Финансовый 15 2 2 6 3" xfId="33026" xr:uid="{00000000-0005-0000-0000-0000CC110000}"/>
    <cellStyle name="Финансовый 15 2 2 7" xfId="13230" xr:uid="{00000000-0005-0000-0000-0000CD110000}"/>
    <cellStyle name="Финансовый 15 2 2 7 2" xfId="37185" xr:uid="{00000000-0005-0000-0000-0000CE110000}"/>
    <cellStyle name="Финансовый 15 2 2 8" xfId="25208" xr:uid="{00000000-0005-0000-0000-0000CF110000}"/>
    <cellStyle name="Финансовый 15 2 2 9" xfId="48341" xr:uid="{00000000-0005-0000-0000-0000D0110000}"/>
    <cellStyle name="Финансовый 15 2 3" xfId="1959" xr:uid="{00000000-0005-0000-0000-0000D1110000}"/>
    <cellStyle name="Финансовый 15 2 3 2" xfId="3604" xr:uid="{00000000-0005-0000-0000-0000D2110000}"/>
    <cellStyle name="Финансовый 15 2 3 2 2" xfId="11344" xr:uid="{00000000-0005-0000-0000-0000D3110000}"/>
    <cellStyle name="Финансовый 15 2 3 2 2 2" xfId="23322" xr:uid="{00000000-0005-0000-0000-0000D4110000}"/>
    <cellStyle name="Финансовый 15 2 3 2 2 2 2" xfId="47277" xr:uid="{00000000-0005-0000-0000-0000D5110000}"/>
    <cellStyle name="Финансовый 15 2 3 2 2 3" xfId="35299" xr:uid="{00000000-0005-0000-0000-0000D6110000}"/>
    <cellStyle name="Финансовый 15 2 3 2 3" xfId="15583" xr:uid="{00000000-0005-0000-0000-0000D7110000}"/>
    <cellStyle name="Финансовый 15 2 3 2 3 2" xfId="39538" xr:uid="{00000000-0005-0000-0000-0000D8110000}"/>
    <cellStyle name="Финансовый 15 2 3 2 4" xfId="27561" xr:uid="{00000000-0005-0000-0000-0000D9110000}"/>
    <cellStyle name="Финансовый 15 2 3 2 5" xfId="50830" xr:uid="{00000000-0005-0000-0000-0000DA110000}"/>
    <cellStyle name="Финансовый 15 2 3 3" xfId="5387" xr:uid="{00000000-0005-0000-0000-0000DB110000}"/>
    <cellStyle name="Финансовый 15 2 3 3 2" xfId="17365" xr:uid="{00000000-0005-0000-0000-0000DC110000}"/>
    <cellStyle name="Финансовый 15 2 3 3 2 2" xfId="41320" xr:uid="{00000000-0005-0000-0000-0000DD110000}"/>
    <cellStyle name="Финансовый 15 2 3 3 3" xfId="29342" xr:uid="{00000000-0005-0000-0000-0000DE110000}"/>
    <cellStyle name="Финансовый 15 2 3 4" xfId="7997" xr:uid="{00000000-0005-0000-0000-0000DF110000}"/>
    <cellStyle name="Финансовый 15 2 3 4 2" xfId="19975" xr:uid="{00000000-0005-0000-0000-0000E0110000}"/>
    <cellStyle name="Финансовый 15 2 3 4 2 2" xfId="43930" xr:uid="{00000000-0005-0000-0000-0000E1110000}"/>
    <cellStyle name="Финансовый 15 2 3 4 3" xfId="31952" xr:uid="{00000000-0005-0000-0000-0000E2110000}"/>
    <cellStyle name="Финансовый 15 2 3 5" xfId="9780" xr:uid="{00000000-0005-0000-0000-0000E3110000}"/>
    <cellStyle name="Финансовый 15 2 3 5 2" xfId="21758" xr:uid="{00000000-0005-0000-0000-0000E4110000}"/>
    <cellStyle name="Финансовый 15 2 3 5 2 2" xfId="45713" xr:uid="{00000000-0005-0000-0000-0000E5110000}"/>
    <cellStyle name="Финансовый 15 2 3 5 3" xfId="33735" xr:uid="{00000000-0005-0000-0000-0000E6110000}"/>
    <cellStyle name="Финансовый 15 2 3 6" xfId="13938" xr:uid="{00000000-0005-0000-0000-0000E7110000}"/>
    <cellStyle name="Финансовый 15 2 3 6 2" xfId="37893" xr:uid="{00000000-0005-0000-0000-0000E8110000}"/>
    <cellStyle name="Финансовый 15 2 3 7" xfId="25916" xr:uid="{00000000-0005-0000-0000-0000E9110000}"/>
    <cellStyle name="Финансовый 15 2 3 8" xfId="49049" xr:uid="{00000000-0005-0000-0000-0000EA110000}"/>
    <cellStyle name="Финансовый 15 2 4" xfId="2480" xr:uid="{00000000-0005-0000-0000-0000EB110000}"/>
    <cellStyle name="Финансовый 15 2 4 2" xfId="4125" xr:uid="{00000000-0005-0000-0000-0000EC110000}"/>
    <cellStyle name="Финансовый 15 2 4 2 2" xfId="11857" xr:uid="{00000000-0005-0000-0000-0000ED110000}"/>
    <cellStyle name="Финансовый 15 2 4 2 2 2" xfId="23835" xr:uid="{00000000-0005-0000-0000-0000EE110000}"/>
    <cellStyle name="Финансовый 15 2 4 2 2 2 2" xfId="47790" xr:uid="{00000000-0005-0000-0000-0000EF110000}"/>
    <cellStyle name="Финансовый 15 2 4 2 2 3" xfId="35812" xr:uid="{00000000-0005-0000-0000-0000F0110000}"/>
    <cellStyle name="Финансовый 15 2 4 2 3" xfId="16104" xr:uid="{00000000-0005-0000-0000-0000F1110000}"/>
    <cellStyle name="Финансовый 15 2 4 2 3 2" xfId="40059" xr:uid="{00000000-0005-0000-0000-0000F2110000}"/>
    <cellStyle name="Финансовый 15 2 4 2 4" xfId="28082" xr:uid="{00000000-0005-0000-0000-0000F3110000}"/>
    <cellStyle name="Финансовый 15 2 4 2 5" xfId="51351" xr:uid="{00000000-0005-0000-0000-0000F4110000}"/>
    <cellStyle name="Финансовый 15 2 4 3" xfId="5908" xr:uid="{00000000-0005-0000-0000-0000F5110000}"/>
    <cellStyle name="Финансовый 15 2 4 3 2" xfId="17886" xr:uid="{00000000-0005-0000-0000-0000F6110000}"/>
    <cellStyle name="Финансовый 15 2 4 3 2 2" xfId="41841" xr:uid="{00000000-0005-0000-0000-0000F7110000}"/>
    <cellStyle name="Финансовый 15 2 4 3 3" xfId="29863" xr:uid="{00000000-0005-0000-0000-0000F8110000}"/>
    <cellStyle name="Финансовый 15 2 4 4" xfId="8518" xr:uid="{00000000-0005-0000-0000-0000F9110000}"/>
    <cellStyle name="Финансовый 15 2 4 4 2" xfId="20496" xr:uid="{00000000-0005-0000-0000-0000FA110000}"/>
    <cellStyle name="Финансовый 15 2 4 4 2 2" xfId="44451" xr:uid="{00000000-0005-0000-0000-0000FB110000}"/>
    <cellStyle name="Финансовый 15 2 4 4 3" xfId="32473" xr:uid="{00000000-0005-0000-0000-0000FC110000}"/>
    <cellStyle name="Финансовый 15 2 4 5" xfId="10301" xr:uid="{00000000-0005-0000-0000-0000FD110000}"/>
    <cellStyle name="Финансовый 15 2 4 5 2" xfId="22279" xr:uid="{00000000-0005-0000-0000-0000FE110000}"/>
    <cellStyle name="Финансовый 15 2 4 5 2 2" xfId="46234" xr:uid="{00000000-0005-0000-0000-0000FF110000}"/>
    <cellStyle name="Финансовый 15 2 4 5 3" xfId="34256" xr:uid="{00000000-0005-0000-0000-000000120000}"/>
    <cellStyle name="Финансовый 15 2 4 6" xfId="14459" xr:uid="{00000000-0005-0000-0000-000001120000}"/>
    <cellStyle name="Финансовый 15 2 4 6 2" xfId="38414" xr:uid="{00000000-0005-0000-0000-000002120000}"/>
    <cellStyle name="Финансовый 15 2 4 7" xfId="26437" xr:uid="{00000000-0005-0000-0000-000003120000}"/>
    <cellStyle name="Финансовый 15 2 4 8" xfId="49570" xr:uid="{00000000-0005-0000-0000-000004120000}"/>
    <cellStyle name="Финансовый 15 2 5" xfId="984" xr:uid="{00000000-0005-0000-0000-000005120000}"/>
    <cellStyle name="Финансовый 15 2 5 2" xfId="7024" xr:uid="{00000000-0005-0000-0000-000006120000}"/>
    <cellStyle name="Финансовый 15 2 5 2 2" xfId="19002" xr:uid="{00000000-0005-0000-0000-000007120000}"/>
    <cellStyle name="Финансовый 15 2 5 2 2 2" xfId="42957" xr:uid="{00000000-0005-0000-0000-000008120000}"/>
    <cellStyle name="Финансовый 15 2 5 2 3" xfId="30979" xr:uid="{00000000-0005-0000-0000-000009120000}"/>
    <cellStyle name="Финансовый 15 2 5 3" xfId="10572" xr:uid="{00000000-0005-0000-0000-00000A120000}"/>
    <cellStyle name="Финансовый 15 2 5 3 2" xfId="22550" xr:uid="{00000000-0005-0000-0000-00000B120000}"/>
    <cellStyle name="Финансовый 15 2 5 3 2 2" xfId="46505" xr:uid="{00000000-0005-0000-0000-00000C120000}"/>
    <cellStyle name="Финансовый 15 2 5 3 3" xfId="34527" xr:uid="{00000000-0005-0000-0000-00000D120000}"/>
    <cellStyle name="Финансовый 15 2 5 4" xfId="12965" xr:uid="{00000000-0005-0000-0000-00000E120000}"/>
    <cellStyle name="Финансовый 15 2 5 4 2" xfId="36920" xr:uid="{00000000-0005-0000-0000-00000F120000}"/>
    <cellStyle name="Финансовый 15 2 5 5" xfId="24943" xr:uid="{00000000-0005-0000-0000-000010120000}"/>
    <cellStyle name="Финансовый 15 2 5 6" xfId="49849" xr:uid="{00000000-0005-0000-0000-000011120000}"/>
    <cellStyle name="Финансовый 15 2 6" xfId="572" xr:uid="{00000000-0005-0000-0000-000012120000}"/>
    <cellStyle name="Финансовый 15 2 6 2" xfId="6612" xr:uid="{00000000-0005-0000-0000-000013120000}"/>
    <cellStyle name="Финансовый 15 2 6 2 2" xfId="18590" xr:uid="{00000000-0005-0000-0000-000014120000}"/>
    <cellStyle name="Финансовый 15 2 6 2 2 2" xfId="42545" xr:uid="{00000000-0005-0000-0000-000015120000}"/>
    <cellStyle name="Финансовый 15 2 6 2 3" xfId="30567" xr:uid="{00000000-0005-0000-0000-000016120000}"/>
    <cellStyle name="Финансовый 15 2 6 3" xfId="12553" xr:uid="{00000000-0005-0000-0000-000017120000}"/>
    <cellStyle name="Финансовый 15 2 6 3 2" xfId="36508" xr:uid="{00000000-0005-0000-0000-000018120000}"/>
    <cellStyle name="Финансовый 15 2 6 4" xfId="24531" xr:uid="{00000000-0005-0000-0000-000019120000}"/>
    <cellStyle name="Финансовый 15 2 7" xfId="2761" xr:uid="{00000000-0005-0000-0000-00001A120000}"/>
    <cellStyle name="Финансовый 15 2 7 2" xfId="14740" xr:uid="{00000000-0005-0000-0000-00001B120000}"/>
    <cellStyle name="Финансовый 15 2 7 2 2" xfId="38695" xr:uid="{00000000-0005-0000-0000-00001C120000}"/>
    <cellStyle name="Финансовый 15 2 7 3" xfId="26718" xr:uid="{00000000-0005-0000-0000-00001D120000}"/>
    <cellStyle name="Финансовый 15 2 8" xfId="4405" xr:uid="{00000000-0005-0000-0000-00001E120000}"/>
    <cellStyle name="Финансовый 15 2 8 2" xfId="16384" xr:uid="{00000000-0005-0000-0000-00001F120000}"/>
    <cellStyle name="Финансовый 15 2 8 2 2" xfId="40339" xr:uid="{00000000-0005-0000-0000-000020120000}"/>
    <cellStyle name="Финансовый 15 2 8 3" xfId="28362" xr:uid="{00000000-0005-0000-0000-000021120000}"/>
    <cellStyle name="Финансовый 15 2 9" xfId="6192" xr:uid="{00000000-0005-0000-0000-000022120000}"/>
    <cellStyle name="Финансовый 15 2 9 2" xfId="18170" xr:uid="{00000000-0005-0000-0000-000023120000}"/>
    <cellStyle name="Финансовый 15 2 9 2 2" xfId="42125" xr:uid="{00000000-0005-0000-0000-000024120000}"/>
    <cellStyle name="Финансовый 15 2 9 3" xfId="30147" xr:uid="{00000000-0005-0000-0000-000025120000}"/>
    <cellStyle name="Финансовый 15 3" xfId="300" xr:uid="{00000000-0005-0000-0000-000026120000}"/>
    <cellStyle name="Финансовый 15 3 10" xfId="24259" xr:uid="{00000000-0005-0000-0000-000027120000}"/>
    <cellStyle name="Финансовый 15 3 11" xfId="48205" xr:uid="{00000000-0005-0000-0000-000028120000}"/>
    <cellStyle name="Финансовый 15 3 2" xfId="2087" xr:uid="{00000000-0005-0000-0000-000029120000}"/>
    <cellStyle name="Финансовый 15 3 2 2" xfId="3732" xr:uid="{00000000-0005-0000-0000-00002A120000}"/>
    <cellStyle name="Финансовый 15 3 2 2 2" xfId="11472" xr:uid="{00000000-0005-0000-0000-00002B120000}"/>
    <cellStyle name="Финансовый 15 3 2 2 2 2" xfId="23450" xr:uid="{00000000-0005-0000-0000-00002C120000}"/>
    <cellStyle name="Финансовый 15 3 2 2 2 2 2" xfId="47405" xr:uid="{00000000-0005-0000-0000-00002D120000}"/>
    <cellStyle name="Финансовый 15 3 2 2 2 3" xfId="35427" xr:uid="{00000000-0005-0000-0000-00002E120000}"/>
    <cellStyle name="Финансовый 15 3 2 2 3" xfId="15711" xr:uid="{00000000-0005-0000-0000-00002F120000}"/>
    <cellStyle name="Финансовый 15 3 2 2 3 2" xfId="39666" xr:uid="{00000000-0005-0000-0000-000030120000}"/>
    <cellStyle name="Финансовый 15 3 2 2 4" xfId="27689" xr:uid="{00000000-0005-0000-0000-000031120000}"/>
    <cellStyle name="Финансовый 15 3 2 2 5" xfId="50958" xr:uid="{00000000-0005-0000-0000-000032120000}"/>
    <cellStyle name="Финансовый 15 3 2 3" xfId="5515" xr:uid="{00000000-0005-0000-0000-000033120000}"/>
    <cellStyle name="Финансовый 15 3 2 3 2" xfId="17493" xr:uid="{00000000-0005-0000-0000-000034120000}"/>
    <cellStyle name="Финансовый 15 3 2 3 2 2" xfId="41448" xr:uid="{00000000-0005-0000-0000-000035120000}"/>
    <cellStyle name="Финансовый 15 3 2 3 3" xfId="29470" xr:uid="{00000000-0005-0000-0000-000036120000}"/>
    <cellStyle name="Финансовый 15 3 2 4" xfId="8125" xr:uid="{00000000-0005-0000-0000-000037120000}"/>
    <cellStyle name="Финансовый 15 3 2 4 2" xfId="20103" xr:uid="{00000000-0005-0000-0000-000038120000}"/>
    <cellStyle name="Финансовый 15 3 2 4 2 2" xfId="44058" xr:uid="{00000000-0005-0000-0000-000039120000}"/>
    <cellStyle name="Финансовый 15 3 2 4 3" xfId="32080" xr:uid="{00000000-0005-0000-0000-00003A120000}"/>
    <cellStyle name="Финансовый 15 3 2 5" xfId="9908" xr:uid="{00000000-0005-0000-0000-00003B120000}"/>
    <cellStyle name="Финансовый 15 3 2 5 2" xfId="21886" xr:uid="{00000000-0005-0000-0000-00003C120000}"/>
    <cellStyle name="Финансовый 15 3 2 5 2 2" xfId="45841" xr:uid="{00000000-0005-0000-0000-00003D120000}"/>
    <cellStyle name="Финансовый 15 3 2 5 3" xfId="33863" xr:uid="{00000000-0005-0000-0000-00003E120000}"/>
    <cellStyle name="Финансовый 15 3 2 6" xfId="14066" xr:uid="{00000000-0005-0000-0000-00003F120000}"/>
    <cellStyle name="Финансовый 15 3 2 6 2" xfId="38021" xr:uid="{00000000-0005-0000-0000-000040120000}"/>
    <cellStyle name="Финансовый 15 3 2 7" xfId="26044" xr:uid="{00000000-0005-0000-0000-000041120000}"/>
    <cellStyle name="Финансовый 15 3 2 8" xfId="49177" xr:uid="{00000000-0005-0000-0000-000042120000}"/>
    <cellStyle name="Финансовый 15 3 3" xfId="1120" xr:uid="{00000000-0005-0000-0000-000043120000}"/>
    <cellStyle name="Финансовый 15 3 3 2" xfId="7160" xr:uid="{00000000-0005-0000-0000-000044120000}"/>
    <cellStyle name="Финансовый 15 3 3 2 2" xfId="19138" xr:uid="{00000000-0005-0000-0000-000045120000}"/>
    <cellStyle name="Финансовый 15 3 3 2 2 2" xfId="43093" xr:uid="{00000000-0005-0000-0000-000046120000}"/>
    <cellStyle name="Финансовый 15 3 3 2 3" xfId="31115" xr:uid="{00000000-0005-0000-0000-000047120000}"/>
    <cellStyle name="Финансовый 15 3 3 3" xfId="10700" xr:uid="{00000000-0005-0000-0000-000048120000}"/>
    <cellStyle name="Финансовый 15 3 3 3 2" xfId="22678" xr:uid="{00000000-0005-0000-0000-000049120000}"/>
    <cellStyle name="Финансовый 15 3 3 3 2 2" xfId="46633" xr:uid="{00000000-0005-0000-0000-00004A120000}"/>
    <cellStyle name="Финансовый 15 3 3 3 3" xfId="34655" xr:uid="{00000000-0005-0000-0000-00004B120000}"/>
    <cellStyle name="Финансовый 15 3 3 4" xfId="13101" xr:uid="{00000000-0005-0000-0000-00004C120000}"/>
    <cellStyle name="Финансовый 15 3 3 4 2" xfId="37056" xr:uid="{00000000-0005-0000-0000-00004D120000}"/>
    <cellStyle name="Финансовый 15 3 3 5" xfId="25079" xr:uid="{00000000-0005-0000-0000-00004E120000}"/>
    <cellStyle name="Финансовый 15 3 3 6" xfId="49985" xr:uid="{00000000-0005-0000-0000-00004F120000}"/>
    <cellStyle name="Финансовый 15 3 4" xfId="720" xr:uid="{00000000-0005-0000-0000-000050120000}"/>
    <cellStyle name="Финансовый 15 3 4 2" xfId="6760" xr:uid="{00000000-0005-0000-0000-000051120000}"/>
    <cellStyle name="Финансовый 15 3 4 2 2" xfId="18738" xr:uid="{00000000-0005-0000-0000-000052120000}"/>
    <cellStyle name="Финансовый 15 3 4 2 2 2" xfId="42693" xr:uid="{00000000-0005-0000-0000-000053120000}"/>
    <cellStyle name="Финансовый 15 3 4 2 3" xfId="30715" xr:uid="{00000000-0005-0000-0000-000054120000}"/>
    <cellStyle name="Финансовый 15 3 4 3" xfId="12701" xr:uid="{00000000-0005-0000-0000-000055120000}"/>
    <cellStyle name="Финансовый 15 3 4 3 2" xfId="36656" xr:uid="{00000000-0005-0000-0000-000056120000}"/>
    <cellStyle name="Финансовый 15 3 4 4" xfId="24679" xr:uid="{00000000-0005-0000-0000-000057120000}"/>
    <cellStyle name="Финансовый 15 3 5" xfId="2897" xr:uid="{00000000-0005-0000-0000-000058120000}"/>
    <cellStyle name="Финансовый 15 3 5 2" xfId="14876" xr:uid="{00000000-0005-0000-0000-000059120000}"/>
    <cellStyle name="Финансовый 15 3 5 2 2" xfId="38831" xr:uid="{00000000-0005-0000-0000-00005A120000}"/>
    <cellStyle name="Финансовый 15 3 5 3" xfId="26854" xr:uid="{00000000-0005-0000-0000-00005B120000}"/>
    <cellStyle name="Финансовый 15 3 6" xfId="4541" xr:uid="{00000000-0005-0000-0000-00005C120000}"/>
    <cellStyle name="Финансовый 15 3 6 2" xfId="16520" xr:uid="{00000000-0005-0000-0000-00005D120000}"/>
    <cellStyle name="Финансовый 15 3 6 2 2" xfId="40475" xr:uid="{00000000-0005-0000-0000-00005E120000}"/>
    <cellStyle name="Финансовый 15 3 6 3" xfId="28498" xr:uid="{00000000-0005-0000-0000-00005F120000}"/>
    <cellStyle name="Финансовый 15 3 7" xfId="6340" xr:uid="{00000000-0005-0000-0000-000060120000}"/>
    <cellStyle name="Финансовый 15 3 7 2" xfId="18318" xr:uid="{00000000-0005-0000-0000-000061120000}"/>
    <cellStyle name="Финансовый 15 3 7 2 2" xfId="42273" xr:uid="{00000000-0005-0000-0000-000062120000}"/>
    <cellStyle name="Финансовый 15 3 7 3" xfId="30295" xr:uid="{00000000-0005-0000-0000-000063120000}"/>
    <cellStyle name="Финансовый 15 3 8" xfId="8935" xr:uid="{00000000-0005-0000-0000-000064120000}"/>
    <cellStyle name="Финансовый 15 3 8 2" xfId="20913" xr:uid="{00000000-0005-0000-0000-000065120000}"/>
    <cellStyle name="Финансовый 15 3 8 2 2" xfId="44868" xr:uid="{00000000-0005-0000-0000-000066120000}"/>
    <cellStyle name="Финансовый 15 3 8 3" xfId="32890" xr:uid="{00000000-0005-0000-0000-000067120000}"/>
    <cellStyle name="Финансовый 15 3 9" xfId="12281" xr:uid="{00000000-0005-0000-0000-000068120000}"/>
    <cellStyle name="Финансовый 15 3 9 2" xfId="36236" xr:uid="{00000000-0005-0000-0000-000069120000}"/>
    <cellStyle name="Финансовый 15 4" xfId="1435" xr:uid="{00000000-0005-0000-0000-00006A120000}"/>
    <cellStyle name="Финансовый 15 4 2" xfId="1823" xr:uid="{00000000-0005-0000-0000-00006B120000}"/>
    <cellStyle name="Финансовый 15 4 2 2" xfId="3468" xr:uid="{00000000-0005-0000-0000-00006C120000}"/>
    <cellStyle name="Финансовый 15 4 2 2 2" xfId="11216" xr:uid="{00000000-0005-0000-0000-00006D120000}"/>
    <cellStyle name="Финансовый 15 4 2 2 2 2" xfId="23194" xr:uid="{00000000-0005-0000-0000-00006E120000}"/>
    <cellStyle name="Финансовый 15 4 2 2 2 2 2" xfId="47149" xr:uid="{00000000-0005-0000-0000-00006F120000}"/>
    <cellStyle name="Финансовый 15 4 2 2 2 3" xfId="35171" xr:uid="{00000000-0005-0000-0000-000070120000}"/>
    <cellStyle name="Финансовый 15 4 2 2 3" xfId="15447" xr:uid="{00000000-0005-0000-0000-000071120000}"/>
    <cellStyle name="Финансовый 15 4 2 2 3 2" xfId="39402" xr:uid="{00000000-0005-0000-0000-000072120000}"/>
    <cellStyle name="Финансовый 15 4 2 2 4" xfId="27425" xr:uid="{00000000-0005-0000-0000-000073120000}"/>
    <cellStyle name="Финансовый 15 4 2 2 5" xfId="50694" xr:uid="{00000000-0005-0000-0000-000074120000}"/>
    <cellStyle name="Финансовый 15 4 2 3" xfId="5251" xr:uid="{00000000-0005-0000-0000-000075120000}"/>
    <cellStyle name="Финансовый 15 4 2 3 2" xfId="17229" xr:uid="{00000000-0005-0000-0000-000076120000}"/>
    <cellStyle name="Финансовый 15 4 2 3 2 2" xfId="41184" xr:uid="{00000000-0005-0000-0000-000077120000}"/>
    <cellStyle name="Финансовый 15 4 2 3 3" xfId="29206" xr:uid="{00000000-0005-0000-0000-000078120000}"/>
    <cellStyle name="Финансовый 15 4 2 4" xfId="7861" xr:uid="{00000000-0005-0000-0000-000079120000}"/>
    <cellStyle name="Финансовый 15 4 2 4 2" xfId="19839" xr:uid="{00000000-0005-0000-0000-00007A120000}"/>
    <cellStyle name="Финансовый 15 4 2 4 2 2" xfId="43794" xr:uid="{00000000-0005-0000-0000-00007B120000}"/>
    <cellStyle name="Финансовый 15 4 2 4 3" xfId="31816" xr:uid="{00000000-0005-0000-0000-00007C120000}"/>
    <cellStyle name="Финансовый 15 4 2 5" xfId="9644" xr:uid="{00000000-0005-0000-0000-00007D120000}"/>
    <cellStyle name="Финансовый 15 4 2 5 2" xfId="21622" xr:uid="{00000000-0005-0000-0000-00007E120000}"/>
    <cellStyle name="Финансовый 15 4 2 5 2 2" xfId="45577" xr:uid="{00000000-0005-0000-0000-00007F120000}"/>
    <cellStyle name="Финансовый 15 4 2 5 3" xfId="33599" xr:uid="{00000000-0005-0000-0000-000080120000}"/>
    <cellStyle name="Финансовый 15 4 2 6" xfId="13802" xr:uid="{00000000-0005-0000-0000-000081120000}"/>
    <cellStyle name="Финансовый 15 4 2 6 2" xfId="37757" xr:uid="{00000000-0005-0000-0000-000082120000}"/>
    <cellStyle name="Финансовый 15 4 2 7" xfId="25780" xr:uid="{00000000-0005-0000-0000-000083120000}"/>
    <cellStyle name="Финансовый 15 4 2 8" xfId="48913" xr:uid="{00000000-0005-0000-0000-000084120000}"/>
    <cellStyle name="Финансовый 15 4 3" xfId="4863" xr:uid="{00000000-0005-0000-0000-000085120000}"/>
    <cellStyle name="Финансовый 15 4 3 2" xfId="16842" xr:uid="{00000000-0005-0000-0000-000086120000}"/>
    <cellStyle name="Финансовый 15 4 3 2 2" xfId="40797" xr:uid="{00000000-0005-0000-0000-000087120000}"/>
    <cellStyle name="Финансовый 15 4 3 3" xfId="28819" xr:uid="{00000000-0005-0000-0000-000088120000}"/>
    <cellStyle name="Финансовый 15 4 3 4" xfId="50307" xr:uid="{00000000-0005-0000-0000-000089120000}"/>
    <cellStyle name="Финансовый 15 4 4" xfId="7474" xr:uid="{00000000-0005-0000-0000-00008A120000}"/>
    <cellStyle name="Финансовый 15 4 4 2" xfId="19452" xr:uid="{00000000-0005-0000-0000-00008B120000}"/>
    <cellStyle name="Финансовый 15 4 4 2 2" xfId="43407" xr:uid="{00000000-0005-0000-0000-00008C120000}"/>
    <cellStyle name="Финансовый 15 4 4 3" xfId="31429" xr:uid="{00000000-0005-0000-0000-00008D120000}"/>
    <cellStyle name="Финансовый 15 4 5" xfId="9257" xr:uid="{00000000-0005-0000-0000-00008E120000}"/>
    <cellStyle name="Финансовый 15 4 5 2" xfId="21235" xr:uid="{00000000-0005-0000-0000-00008F120000}"/>
    <cellStyle name="Финансовый 15 4 5 2 2" xfId="45190" xr:uid="{00000000-0005-0000-0000-000090120000}"/>
    <cellStyle name="Финансовый 15 4 5 3" xfId="33212" xr:uid="{00000000-0005-0000-0000-000091120000}"/>
    <cellStyle name="Финансовый 15 4 6" xfId="13415" xr:uid="{00000000-0005-0000-0000-000092120000}"/>
    <cellStyle name="Финансовый 15 4 6 2" xfId="37370" xr:uid="{00000000-0005-0000-0000-000093120000}"/>
    <cellStyle name="Финансовый 15 4 7" xfId="25393" xr:uid="{00000000-0005-0000-0000-000094120000}"/>
    <cellStyle name="Финансовый 15 4 8" xfId="48526" xr:uid="{00000000-0005-0000-0000-000095120000}"/>
    <cellStyle name="Финансовый 15 5" xfId="1707" xr:uid="{00000000-0005-0000-0000-000096120000}"/>
    <cellStyle name="Финансовый 15 5 2" xfId="3352" xr:uid="{00000000-0005-0000-0000-000097120000}"/>
    <cellStyle name="Финансовый 15 5 2 2" xfId="11100" xr:uid="{00000000-0005-0000-0000-000098120000}"/>
    <cellStyle name="Финансовый 15 5 2 2 2" xfId="23078" xr:uid="{00000000-0005-0000-0000-000099120000}"/>
    <cellStyle name="Финансовый 15 5 2 2 2 2" xfId="47033" xr:uid="{00000000-0005-0000-0000-00009A120000}"/>
    <cellStyle name="Финансовый 15 5 2 2 3" xfId="35055" xr:uid="{00000000-0005-0000-0000-00009B120000}"/>
    <cellStyle name="Финансовый 15 5 2 3" xfId="15331" xr:uid="{00000000-0005-0000-0000-00009C120000}"/>
    <cellStyle name="Финансовый 15 5 2 3 2" xfId="39286" xr:uid="{00000000-0005-0000-0000-00009D120000}"/>
    <cellStyle name="Финансовый 15 5 2 4" xfId="27309" xr:uid="{00000000-0005-0000-0000-00009E120000}"/>
    <cellStyle name="Финансовый 15 5 2 5" xfId="50578" xr:uid="{00000000-0005-0000-0000-00009F120000}"/>
    <cellStyle name="Финансовый 15 5 3" xfId="5135" xr:uid="{00000000-0005-0000-0000-0000A0120000}"/>
    <cellStyle name="Финансовый 15 5 3 2" xfId="17113" xr:uid="{00000000-0005-0000-0000-0000A1120000}"/>
    <cellStyle name="Финансовый 15 5 3 2 2" xfId="41068" xr:uid="{00000000-0005-0000-0000-0000A2120000}"/>
    <cellStyle name="Финансовый 15 5 3 3" xfId="29090" xr:uid="{00000000-0005-0000-0000-0000A3120000}"/>
    <cellStyle name="Финансовый 15 5 4" xfId="7745" xr:uid="{00000000-0005-0000-0000-0000A4120000}"/>
    <cellStyle name="Финансовый 15 5 4 2" xfId="19723" xr:uid="{00000000-0005-0000-0000-0000A5120000}"/>
    <cellStyle name="Финансовый 15 5 4 2 2" xfId="43678" xr:uid="{00000000-0005-0000-0000-0000A6120000}"/>
    <cellStyle name="Финансовый 15 5 4 3" xfId="31700" xr:uid="{00000000-0005-0000-0000-0000A7120000}"/>
    <cellStyle name="Финансовый 15 5 5" xfId="9528" xr:uid="{00000000-0005-0000-0000-0000A8120000}"/>
    <cellStyle name="Финансовый 15 5 5 2" xfId="21506" xr:uid="{00000000-0005-0000-0000-0000A9120000}"/>
    <cellStyle name="Финансовый 15 5 5 2 2" xfId="45461" xr:uid="{00000000-0005-0000-0000-0000AA120000}"/>
    <cellStyle name="Финансовый 15 5 5 3" xfId="33483" xr:uid="{00000000-0005-0000-0000-0000AB120000}"/>
    <cellStyle name="Финансовый 15 5 6" xfId="13686" xr:uid="{00000000-0005-0000-0000-0000AC120000}"/>
    <cellStyle name="Финансовый 15 5 6 2" xfId="37641" xr:uid="{00000000-0005-0000-0000-0000AD120000}"/>
    <cellStyle name="Финансовый 15 5 7" xfId="25664" xr:uid="{00000000-0005-0000-0000-0000AE120000}"/>
    <cellStyle name="Финансовый 15 5 8" xfId="48797" xr:uid="{00000000-0005-0000-0000-0000AF120000}"/>
    <cellStyle name="Финансовый 15 6" xfId="2343" xr:uid="{00000000-0005-0000-0000-0000B0120000}"/>
    <cellStyle name="Финансовый 15 6 2" xfId="3988" xr:uid="{00000000-0005-0000-0000-0000B1120000}"/>
    <cellStyle name="Финансовый 15 6 2 2" xfId="11728" xr:uid="{00000000-0005-0000-0000-0000B2120000}"/>
    <cellStyle name="Финансовый 15 6 2 2 2" xfId="23706" xr:uid="{00000000-0005-0000-0000-0000B3120000}"/>
    <cellStyle name="Финансовый 15 6 2 2 2 2" xfId="47661" xr:uid="{00000000-0005-0000-0000-0000B4120000}"/>
    <cellStyle name="Финансовый 15 6 2 2 3" xfId="35683" xr:uid="{00000000-0005-0000-0000-0000B5120000}"/>
    <cellStyle name="Финансовый 15 6 2 3" xfId="15967" xr:uid="{00000000-0005-0000-0000-0000B6120000}"/>
    <cellStyle name="Финансовый 15 6 2 3 2" xfId="39922" xr:uid="{00000000-0005-0000-0000-0000B7120000}"/>
    <cellStyle name="Финансовый 15 6 2 4" xfId="27945" xr:uid="{00000000-0005-0000-0000-0000B8120000}"/>
    <cellStyle name="Финансовый 15 6 2 5" xfId="51214" xr:uid="{00000000-0005-0000-0000-0000B9120000}"/>
    <cellStyle name="Финансовый 15 6 3" xfId="5771" xr:uid="{00000000-0005-0000-0000-0000BA120000}"/>
    <cellStyle name="Финансовый 15 6 3 2" xfId="17749" xr:uid="{00000000-0005-0000-0000-0000BB120000}"/>
    <cellStyle name="Финансовый 15 6 3 2 2" xfId="41704" xr:uid="{00000000-0005-0000-0000-0000BC120000}"/>
    <cellStyle name="Финансовый 15 6 3 3" xfId="29726" xr:uid="{00000000-0005-0000-0000-0000BD120000}"/>
    <cellStyle name="Финансовый 15 6 4" xfId="8381" xr:uid="{00000000-0005-0000-0000-0000BE120000}"/>
    <cellStyle name="Финансовый 15 6 4 2" xfId="20359" xr:uid="{00000000-0005-0000-0000-0000BF120000}"/>
    <cellStyle name="Финансовый 15 6 4 2 2" xfId="44314" xr:uid="{00000000-0005-0000-0000-0000C0120000}"/>
    <cellStyle name="Финансовый 15 6 4 3" xfId="32336" xr:uid="{00000000-0005-0000-0000-0000C1120000}"/>
    <cellStyle name="Финансовый 15 6 5" xfId="10164" xr:uid="{00000000-0005-0000-0000-0000C2120000}"/>
    <cellStyle name="Финансовый 15 6 5 2" xfId="22142" xr:uid="{00000000-0005-0000-0000-0000C3120000}"/>
    <cellStyle name="Финансовый 15 6 5 2 2" xfId="46097" xr:uid="{00000000-0005-0000-0000-0000C4120000}"/>
    <cellStyle name="Финансовый 15 6 5 3" xfId="34119" xr:uid="{00000000-0005-0000-0000-0000C5120000}"/>
    <cellStyle name="Финансовый 15 6 6" xfId="14322" xr:uid="{00000000-0005-0000-0000-0000C6120000}"/>
    <cellStyle name="Финансовый 15 6 6 2" xfId="38277" xr:uid="{00000000-0005-0000-0000-0000C7120000}"/>
    <cellStyle name="Финансовый 15 6 7" xfId="26300" xr:uid="{00000000-0005-0000-0000-0000C8120000}"/>
    <cellStyle name="Финансовый 15 6 8" xfId="49433" xr:uid="{00000000-0005-0000-0000-0000C9120000}"/>
    <cellStyle name="Финансовый 15 7" xfId="1570" xr:uid="{00000000-0005-0000-0000-0000CA120000}"/>
    <cellStyle name="Финансовый 15 7 2" xfId="3215" xr:uid="{00000000-0005-0000-0000-0000CB120000}"/>
    <cellStyle name="Финансовый 15 7 2 2" xfId="10971" xr:uid="{00000000-0005-0000-0000-0000CC120000}"/>
    <cellStyle name="Финансовый 15 7 2 2 2" xfId="22949" xr:uid="{00000000-0005-0000-0000-0000CD120000}"/>
    <cellStyle name="Финансовый 15 7 2 2 2 2" xfId="46904" xr:uid="{00000000-0005-0000-0000-0000CE120000}"/>
    <cellStyle name="Финансовый 15 7 2 2 3" xfId="34926" xr:uid="{00000000-0005-0000-0000-0000CF120000}"/>
    <cellStyle name="Финансовый 15 7 2 3" xfId="15194" xr:uid="{00000000-0005-0000-0000-0000D0120000}"/>
    <cellStyle name="Финансовый 15 7 2 3 2" xfId="39149" xr:uid="{00000000-0005-0000-0000-0000D1120000}"/>
    <cellStyle name="Финансовый 15 7 2 4" xfId="27172" xr:uid="{00000000-0005-0000-0000-0000D2120000}"/>
    <cellStyle name="Финансовый 15 7 2 5" xfId="50441" xr:uid="{00000000-0005-0000-0000-0000D3120000}"/>
    <cellStyle name="Финансовый 15 7 3" xfId="4998" xr:uid="{00000000-0005-0000-0000-0000D4120000}"/>
    <cellStyle name="Финансовый 15 7 3 2" xfId="16976" xr:uid="{00000000-0005-0000-0000-0000D5120000}"/>
    <cellStyle name="Финансовый 15 7 3 2 2" xfId="40931" xr:uid="{00000000-0005-0000-0000-0000D6120000}"/>
    <cellStyle name="Финансовый 15 7 3 3" xfId="28953" xr:uid="{00000000-0005-0000-0000-0000D7120000}"/>
    <cellStyle name="Финансовый 15 7 4" xfId="7608" xr:uid="{00000000-0005-0000-0000-0000D8120000}"/>
    <cellStyle name="Финансовый 15 7 4 2" xfId="19586" xr:uid="{00000000-0005-0000-0000-0000D9120000}"/>
    <cellStyle name="Финансовый 15 7 4 2 2" xfId="43541" xr:uid="{00000000-0005-0000-0000-0000DA120000}"/>
    <cellStyle name="Финансовый 15 7 4 3" xfId="31563" xr:uid="{00000000-0005-0000-0000-0000DB120000}"/>
    <cellStyle name="Финансовый 15 7 5" xfId="9391" xr:uid="{00000000-0005-0000-0000-0000DC120000}"/>
    <cellStyle name="Финансовый 15 7 5 2" xfId="21369" xr:uid="{00000000-0005-0000-0000-0000DD120000}"/>
    <cellStyle name="Финансовый 15 7 5 2 2" xfId="45324" xr:uid="{00000000-0005-0000-0000-0000DE120000}"/>
    <cellStyle name="Финансовый 15 7 5 3" xfId="33346" xr:uid="{00000000-0005-0000-0000-0000DF120000}"/>
    <cellStyle name="Финансовый 15 7 6" xfId="13549" xr:uid="{00000000-0005-0000-0000-0000E0120000}"/>
    <cellStyle name="Финансовый 15 7 6 2" xfId="37504" xr:uid="{00000000-0005-0000-0000-0000E1120000}"/>
    <cellStyle name="Финансовый 15 7 7" xfId="25527" xr:uid="{00000000-0005-0000-0000-0000E2120000}"/>
    <cellStyle name="Финансовый 15 7 8" xfId="48660" xr:uid="{00000000-0005-0000-0000-0000E3120000}"/>
    <cellStyle name="Финансовый 15 8" xfId="856" xr:uid="{00000000-0005-0000-0000-0000E4120000}"/>
    <cellStyle name="Финансовый 15 8 2" xfId="6896" xr:uid="{00000000-0005-0000-0000-0000E5120000}"/>
    <cellStyle name="Финансовый 15 8 2 2" xfId="18874" xr:uid="{00000000-0005-0000-0000-0000E6120000}"/>
    <cellStyle name="Финансовый 15 8 2 2 2" xfId="42829" xr:uid="{00000000-0005-0000-0000-0000E7120000}"/>
    <cellStyle name="Финансовый 15 8 2 3" xfId="30851" xr:uid="{00000000-0005-0000-0000-0000E8120000}"/>
    <cellStyle name="Финансовый 15 8 3" xfId="10444" xr:uid="{00000000-0005-0000-0000-0000E9120000}"/>
    <cellStyle name="Финансовый 15 8 3 2" xfId="22422" xr:uid="{00000000-0005-0000-0000-0000EA120000}"/>
    <cellStyle name="Финансовый 15 8 3 2 2" xfId="46377" xr:uid="{00000000-0005-0000-0000-0000EB120000}"/>
    <cellStyle name="Финансовый 15 8 3 3" xfId="34399" xr:uid="{00000000-0005-0000-0000-0000EC120000}"/>
    <cellStyle name="Финансовый 15 8 4" xfId="12837" xr:uid="{00000000-0005-0000-0000-0000ED120000}"/>
    <cellStyle name="Финансовый 15 8 4 2" xfId="36792" xr:uid="{00000000-0005-0000-0000-0000EE120000}"/>
    <cellStyle name="Финансовый 15 8 5" xfId="24815" xr:uid="{00000000-0005-0000-0000-0000EF120000}"/>
    <cellStyle name="Финансовый 15 8 6" xfId="49713" xr:uid="{00000000-0005-0000-0000-0000F0120000}"/>
    <cellStyle name="Финансовый 15 9" xfId="436" xr:uid="{00000000-0005-0000-0000-0000F1120000}"/>
    <cellStyle name="Финансовый 15 9 2" xfId="6476" xr:uid="{00000000-0005-0000-0000-0000F2120000}"/>
    <cellStyle name="Финансовый 15 9 2 2" xfId="18454" xr:uid="{00000000-0005-0000-0000-0000F3120000}"/>
    <cellStyle name="Финансовый 15 9 2 2 2" xfId="42409" xr:uid="{00000000-0005-0000-0000-0000F4120000}"/>
    <cellStyle name="Финансовый 15 9 2 3" xfId="30431" xr:uid="{00000000-0005-0000-0000-0000F5120000}"/>
    <cellStyle name="Финансовый 15 9 3" xfId="12417" xr:uid="{00000000-0005-0000-0000-0000F6120000}"/>
    <cellStyle name="Финансовый 15 9 3 2" xfId="36372" xr:uid="{00000000-0005-0000-0000-0000F7120000}"/>
    <cellStyle name="Финансовый 15 9 4" xfId="24395" xr:uid="{00000000-0005-0000-0000-0000F8120000}"/>
    <cellStyle name="Финансовый 16" xfId="139" xr:uid="{00000000-0005-0000-0000-0000F9120000}"/>
    <cellStyle name="Финансовый 16 10" xfId="8787" xr:uid="{00000000-0005-0000-0000-0000FA120000}"/>
    <cellStyle name="Финансовый 16 10 2" xfId="20765" xr:uid="{00000000-0005-0000-0000-0000FB120000}"/>
    <cellStyle name="Финансовый 16 10 2 2" xfId="44720" xr:uid="{00000000-0005-0000-0000-0000FC120000}"/>
    <cellStyle name="Финансовый 16 10 3" xfId="32742" xr:uid="{00000000-0005-0000-0000-0000FD120000}"/>
    <cellStyle name="Финансовый 16 11" xfId="12121" xr:uid="{00000000-0005-0000-0000-0000FE120000}"/>
    <cellStyle name="Финансовый 16 11 2" xfId="36076" xr:uid="{00000000-0005-0000-0000-0000FF120000}"/>
    <cellStyle name="Финансовый 16 12" xfId="24099" xr:uid="{00000000-0005-0000-0000-000000130000}"/>
    <cellStyle name="Финансовый 16 13" xfId="48057" xr:uid="{00000000-0005-0000-0000-000001130000}"/>
    <cellStyle name="Финансовый 16 2" xfId="1237" xr:uid="{00000000-0005-0000-0000-000002130000}"/>
    <cellStyle name="Финансовый 16 2 2" xfId="2203" xr:uid="{00000000-0005-0000-0000-000003130000}"/>
    <cellStyle name="Финансовый 16 2 2 2" xfId="3848" xr:uid="{00000000-0005-0000-0000-000004130000}"/>
    <cellStyle name="Финансовый 16 2 2 2 2" xfId="11588" xr:uid="{00000000-0005-0000-0000-000005130000}"/>
    <cellStyle name="Финансовый 16 2 2 2 2 2" xfId="23566" xr:uid="{00000000-0005-0000-0000-000006130000}"/>
    <cellStyle name="Финансовый 16 2 2 2 2 2 2" xfId="47521" xr:uid="{00000000-0005-0000-0000-000007130000}"/>
    <cellStyle name="Финансовый 16 2 2 2 2 3" xfId="35543" xr:uid="{00000000-0005-0000-0000-000008130000}"/>
    <cellStyle name="Финансовый 16 2 2 2 3" xfId="15827" xr:uid="{00000000-0005-0000-0000-000009130000}"/>
    <cellStyle name="Финансовый 16 2 2 2 3 2" xfId="39782" xr:uid="{00000000-0005-0000-0000-00000A130000}"/>
    <cellStyle name="Финансовый 16 2 2 2 4" xfId="27805" xr:uid="{00000000-0005-0000-0000-00000B130000}"/>
    <cellStyle name="Финансовый 16 2 2 2 5" xfId="51074" xr:uid="{00000000-0005-0000-0000-00000C130000}"/>
    <cellStyle name="Финансовый 16 2 2 3" xfId="5631" xr:uid="{00000000-0005-0000-0000-00000D130000}"/>
    <cellStyle name="Финансовый 16 2 2 3 2" xfId="17609" xr:uid="{00000000-0005-0000-0000-00000E130000}"/>
    <cellStyle name="Финансовый 16 2 2 3 2 2" xfId="41564" xr:uid="{00000000-0005-0000-0000-00000F130000}"/>
    <cellStyle name="Финансовый 16 2 2 3 3" xfId="29586" xr:uid="{00000000-0005-0000-0000-000010130000}"/>
    <cellStyle name="Финансовый 16 2 2 4" xfId="8241" xr:uid="{00000000-0005-0000-0000-000011130000}"/>
    <cellStyle name="Финансовый 16 2 2 4 2" xfId="20219" xr:uid="{00000000-0005-0000-0000-000012130000}"/>
    <cellStyle name="Финансовый 16 2 2 4 2 2" xfId="44174" xr:uid="{00000000-0005-0000-0000-000013130000}"/>
    <cellStyle name="Финансовый 16 2 2 4 3" xfId="32196" xr:uid="{00000000-0005-0000-0000-000014130000}"/>
    <cellStyle name="Финансовый 16 2 2 5" xfId="10024" xr:uid="{00000000-0005-0000-0000-000015130000}"/>
    <cellStyle name="Финансовый 16 2 2 5 2" xfId="22002" xr:uid="{00000000-0005-0000-0000-000016130000}"/>
    <cellStyle name="Финансовый 16 2 2 5 2 2" xfId="45957" xr:uid="{00000000-0005-0000-0000-000017130000}"/>
    <cellStyle name="Финансовый 16 2 2 5 3" xfId="33979" xr:uid="{00000000-0005-0000-0000-000018130000}"/>
    <cellStyle name="Финансовый 16 2 2 6" xfId="14182" xr:uid="{00000000-0005-0000-0000-000019130000}"/>
    <cellStyle name="Финансовый 16 2 2 6 2" xfId="38137" xr:uid="{00000000-0005-0000-0000-00001A130000}"/>
    <cellStyle name="Финансовый 16 2 2 7" xfId="26160" xr:uid="{00000000-0005-0000-0000-00001B130000}"/>
    <cellStyle name="Финансовый 16 2 2 8" xfId="49293" xr:uid="{00000000-0005-0000-0000-00001C130000}"/>
    <cellStyle name="Финансовый 16 2 3" xfId="3021" xr:uid="{00000000-0005-0000-0000-00001D130000}"/>
    <cellStyle name="Финансовый 16 2 3 2" xfId="10816" xr:uid="{00000000-0005-0000-0000-00001E130000}"/>
    <cellStyle name="Финансовый 16 2 3 2 2" xfId="22794" xr:uid="{00000000-0005-0000-0000-00001F130000}"/>
    <cellStyle name="Финансовый 16 2 3 2 2 2" xfId="46749" xr:uid="{00000000-0005-0000-0000-000020130000}"/>
    <cellStyle name="Финансовый 16 2 3 2 3" xfId="34771" xr:uid="{00000000-0005-0000-0000-000021130000}"/>
    <cellStyle name="Финансовый 16 2 3 3" xfId="15000" xr:uid="{00000000-0005-0000-0000-000022130000}"/>
    <cellStyle name="Финансовый 16 2 3 3 2" xfId="38955" xr:uid="{00000000-0005-0000-0000-000023130000}"/>
    <cellStyle name="Финансовый 16 2 3 4" xfId="26978" xr:uid="{00000000-0005-0000-0000-000024130000}"/>
    <cellStyle name="Финансовый 16 2 3 5" xfId="50109" xr:uid="{00000000-0005-0000-0000-000025130000}"/>
    <cellStyle name="Финансовый 16 2 4" xfId="4665" xr:uid="{00000000-0005-0000-0000-000026130000}"/>
    <cellStyle name="Финансовый 16 2 4 2" xfId="16644" xr:uid="{00000000-0005-0000-0000-000027130000}"/>
    <cellStyle name="Финансовый 16 2 4 2 2" xfId="40599" xr:uid="{00000000-0005-0000-0000-000028130000}"/>
    <cellStyle name="Финансовый 16 2 4 3" xfId="28622" xr:uid="{00000000-0005-0000-0000-000029130000}"/>
    <cellStyle name="Финансовый 16 2 5" xfId="7277" xr:uid="{00000000-0005-0000-0000-00002A130000}"/>
    <cellStyle name="Финансовый 16 2 5 2" xfId="19255" xr:uid="{00000000-0005-0000-0000-00002B130000}"/>
    <cellStyle name="Финансовый 16 2 5 2 2" xfId="43210" xr:uid="{00000000-0005-0000-0000-00002C130000}"/>
    <cellStyle name="Финансовый 16 2 5 3" xfId="31232" xr:uid="{00000000-0005-0000-0000-00002D130000}"/>
    <cellStyle name="Финансовый 16 2 6" xfId="9059" xr:uid="{00000000-0005-0000-0000-00002E130000}"/>
    <cellStyle name="Финансовый 16 2 6 2" xfId="21037" xr:uid="{00000000-0005-0000-0000-00002F130000}"/>
    <cellStyle name="Финансовый 16 2 6 2 2" xfId="44992" xr:uid="{00000000-0005-0000-0000-000030130000}"/>
    <cellStyle name="Финансовый 16 2 6 3" xfId="33014" xr:uid="{00000000-0005-0000-0000-000031130000}"/>
    <cellStyle name="Финансовый 16 2 7" xfId="13218" xr:uid="{00000000-0005-0000-0000-000032130000}"/>
    <cellStyle name="Финансовый 16 2 7 2" xfId="37173" xr:uid="{00000000-0005-0000-0000-000033130000}"/>
    <cellStyle name="Финансовый 16 2 8" xfId="25196" xr:uid="{00000000-0005-0000-0000-000034130000}"/>
    <cellStyle name="Финансовый 16 2 9" xfId="48329" xr:uid="{00000000-0005-0000-0000-000035130000}"/>
    <cellStyle name="Финансовый 16 3" xfId="1947" xr:uid="{00000000-0005-0000-0000-000036130000}"/>
    <cellStyle name="Финансовый 16 3 2" xfId="3592" xr:uid="{00000000-0005-0000-0000-000037130000}"/>
    <cellStyle name="Финансовый 16 3 2 2" xfId="11332" xr:uid="{00000000-0005-0000-0000-000038130000}"/>
    <cellStyle name="Финансовый 16 3 2 2 2" xfId="23310" xr:uid="{00000000-0005-0000-0000-000039130000}"/>
    <cellStyle name="Финансовый 16 3 2 2 2 2" xfId="47265" xr:uid="{00000000-0005-0000-0000-00003A130000}"/>
    <cellStyle name="Финансовый 16 3 2 2 3" xfId="35287" xr:uid="{00000000-0005-0000-0000-00003B130000}"/>
    <cellStyle name="Финансовый 16 3 2 3" xfId="15571" xr:uid="{00000000-0005-0000-0000-00003C130000}"/>
    <cellStyle name="Финансовый 16 3 2 3 2" xfId="39526" xr:uid="{00000000-0005-0000-0000-00003D130000}"/>
    <cellStyle name="Финансовый 16 3 2 4" xfId="27549" xr:uid="{00000000-0005-0000-0000-00003E130000}"/>
    <cellStyle name="Финансовый 16 3 2 5" xfId="50818" xr:uid="{00000000-0005-0000-0000-00003F130000}"/>
    <cellStyle name="Финансовый 16 3 3" xfId="5375" xr:uid="{00000000-0005-0000-0000-000040130000}"/>
    <cellStyle name="Финансовый 16 3 3 2" xfId="17353" xr:uid="{00000000-0005-0000-0000-000041130000}"/>
    <cellStyle name="Финансовый 16 3 3 2 2" xfId="41308" xr:uid="{00000000-0005-0000-0000-000042130000}"/>
    <cellStyle name="Финансовый 16 3 3 3" xfId="29330" xr:uid="{00000000-0005-0000-0000-000043130000}"/>
    <cellStyle name="Финансовый 16 3 4" xfId="7985" xr:uid="{00000000-0005-0000-0000-000044130000}"/>
    <cellStyle name="Финансовый 16 3 4 2" xfId="19963" xr:uid="{00000000-0005-0000-0000-000045130000}"/>
    <cellStyle name="Финансовый 16 3 4 2 2" xfId="43918" xr:uid="{00000000-0005-0000-0000-000046130000}"/>
    <cellStyle name="Финансовый 16 3 4 3" xfId="31940" xr:uid="{00000000-0005-0000-0000-000047130000}"/>
    <cellStyle name="Финансовый 16 3 5" xfId="9768" xr:uid="{00000000-0005-0000-0000-000048130000}"/>
    <cellStyle name="Финансовый 16 3 5 2" xfId="21746" xr:uid="{00000000-0005-0000-0000-000049130000}"/>
    <cellStyle name="Финансовый 16 3 5 2 2" xfId="45701" xr:uid="{00000000-0005-0000-0000-00004A130000}"/>
    <cellStyle name="Финансовый 16 3 5 3" xfId="33723" xr:uid="{00000000-0005-0000-0000-00004B130000}"/>
    <cellStyle name="Финансовый 16 3 6" xfId="13926" xr:uid="{00000000-0005-0000-0000-00004C130000}"/>
    <cellStyle name="Финансовый 16 3 6 2" xfId="37881" xr:uid="{00000000-0005-0000-0000-00004D130000}"/>
    <cellStyle name="Финансовый 16 3 7" xfId="25904" xr:uid="{00000000-0005-0000-0000-00004E130000}"/>
    <cellStyle name="Финансовый 16 3 8" xfId="49037" xr:uid="{00000000-0005-0000-0000-00004F130000}"/>
    <cellStyle name="Финансовый 16 4" xfId="2468" xr:uid="{00000000-0005-0000-0000-000050130000}"/>
    <cellStyle name="Финансовый 16 4 2" xfId="4113" xr:uid="{00000000-0005-0000-0000-000051130000}"/>
    <cellStyle name="Финансовый 16 4 2 2" xfId="11845" xr:uid="{00000000-0005-0000-0000-000052130000}"/>
    <cellStyle name="Финансовый 16 4 2 2 2" xfId="23823" xr:uid="{00000000-0005-0000-0000-000053130000}"/>
    <cellStyle name="Финансовый 16 4 2 2 2 2" xfId="47778" xr:uid="{00000000-0005-0000-0000-000054130000}"/>
    <cellStyle name="Финансовый 16 4 2 2 3" xfId="35800" xr:uid="{00000000-0005-0000-0000-000055130000}"/>
    <cellStyle name="Финансовый 16 4 2 3" xfId="16092" xr:uid="{00000000-0005-0000-0000-000056130000}"/>
    <cellStyle name="Финансовый 16 4 2 3 2" xfId="40047" xr:uid="{00000000-0005-0000-0000-000057130000}"/>
    <cellStyle name="Финансовый 16 4 2 4" xfId="28070" xr:uid="{00000000-0005-0000-0000-000058130000}"/>
    <cellStyle name="Финансовый 16 4 2 5" xfId="51339" xr:uid="{00000000-0005-0000-0000-000059130000}"/>
    <cellStyle name="Финансовый 16 4 3" xfId="5896" xr:uid="{00000000-0005-0000-0000-00005A130000}"/>
    <cellStyle name="Финансовый 16 4 3 2" xfId="17874" xr:uid="{00000000-0005-0000-0000-00005B130000}"/>
    <cellStyle name="Финансовый 16 4 3 2 2" xfId="41829" xr:uid="{00000000-0005-0000-0000-00005C130000}"/>
    <cellStyle name="Финансовый 16 4 3 3" xfId="29851" xr:uid="{00000000-0005-0000-0000-00005D130000}"/>
    <cellStyle name="Финансовый 16 4 4" xfId="8506" xr:uid="{00000000-0005-0000-0000-00005E130000}"/>
    <cellStyle name="Финансовый 16 4 4 2" xfId="20484" xr:uid="{00000000-0005-0000-0000-00005F130000}"/>
    <cellStyle name="Финансовый 16 4 4 2 2" xfId="44439" xr:uid="{00000000-0005-0000-0000-000060130000}"/>
    <cellStyle name="Финансовый 16 4 4 3" xfId="32461" xr:uid="{00000000-0005-0000-0000-000061130000}"/>
    <cellStyle name="Финансовый 16 4 5" xfId="10289" xr:uid="{00000000-0005-0000-0000-000062130000}"/>
    <cellStyle name="Финансовый 16 4 5 2" xfId="22267" xr:uid="{00000000-0005-0000-0000-000063130000}"/>
    <cellStyle name="Финансовый 16 4 5 2 2" xfId="46222" xr:uid="{00000000-0005-0000-0000-000064130000}"/>
    <cellStyle name="Финансовый 16 4 5 3" xfId="34244" xr:uid="{00000000-0005-0000-0000-000065130000}"/>
    <cellStyle name="Финансовый 16 4 6" xfId="14447" xr:uid="{00000000-0005-0000-0000-000066130000}"/>
    <cellStyle name="Финансовый 16 4 6 2" xfId="38402" xr:uid="{00000000-0005-0000-0000-000067130000}"/>
    <cellStyle name="Финансовый 16 4 7" xfId="26425" xr:uid="{00000000-0005-0000-0000-000068130000}"/>
    <cellStyle name="Финансовый 16 4 8" xfId="49558" xr:uid="{00000000-0005-0000-0000-000069130000}"/>
    <cellStyle name="Финансовый 16 5" xfId="972" xr:uid="{00000000-0005-0000-0000-00006A130000}"/>
    <cellStyle name="Финансовый 16 5 2" xfId="7012" xr:uid="{00000000-0005-0000-0000-00006B130000}"/>
    <cellStyle name="Финансовый 16 5 2 2" xfId="18990" xr:uid="{00000000-0005-0000-0000-00006C130000}"/>
    <cellStyle name="Финансовый 16 5 2 2 2" xfId="42945" xr:uid="{00000000-0005-0000-0000-00006D130000}"/>
    <cellStyle name="Финансовый 16 5 2 3" xfId="30967" xr:uid="{00000000-0005-0000-0000-00006E130000}"/>
    <cellStyle name="Финансовый 16 5 3" xfId="10560" xr:uid="{00000000-0005-0000-0000-00006F130000}"/>
    <cellStyle name="Финансовый 16 5 3 2" xfId="22538" xr:uid="{00000000-0005-0000-0000-000070130000}"/>
    <cellStyle name="Финансовый 16 5 3 2 2" xfId="46493" xr:uid="{00000000-0005-0000-0000-000071130000}"/>
    <cellStyle name="Финансовый 16 5 3 3" xfId="34515" xr:uid="{00000000-0005-0000-0000-000072130000}"/>
    <cellStyle name="Финансовый 16 5 4" xfId="12953" xr:uid="{00000000-0005-0000-0000-000073130000}"/>
    <cellStyle name="Финансовый 16 5 4 2" xfId="36908" xr:uid="{00000000-0005-0000-0000-000074130000}"/>
    <cellStyle name="Финансовый 16 5 5" xfId="24931" xr:uid="{00000000-0005-0000-0000-000075130000}"/>
    <cellStyle name="Финансовый 16 5 6" xfId="49837" xr:uid="{00000000-0005-0000-0000-000076130000}"/>
    <cellStyle name="Финансовый 16 6" xfId="560" xr:uid="{00000000-0005-0000-0000-000077130000}"/>
    <cellStyle name="Финансовый 16 6 2" xfId="6600" xr:uid="{00000000-0005-0000-0000-000078130000}"/>
    <cellStyle name="Финансовый 16 6 2 2" xfId="18578" xr:uid="{00000000-0005-0000-0000-000079130000}"/>
    <cellStyle name="Финансовый 16 6 2 2 2" xfId="42533" xr:uid="{00000000-0005-0000-0000-00007A130000}"/>
    <cellStyle name="Финансовый 16 6 2 3" xfId="30555" xr:uid="{00000000-0005-0000-0000-00007B130000}"/>
    <cellStyle name="Финансовый 16 6 3" xfId="12541" xr:uid="{00000000-0005-0000-0000-00007C130000}"/>
    <cellStyle name="Финансовый 16 6 3 2" xfId="36496" xr:uid="{00000000-0005-0000-0000-00007D130000}"/>
    <cellStyle name="Финансовый 16 6 4" xfId="24519" xr:uid="{00000000-0005-0000-0000-00007E130000}"/>
    <cellStyle name="Финансовый 16 7" xfId="2749" xr:uid="{00000000-0005-0000-0000-00007F130000}"/>
    <cellStyle name="Финансовый 16 7 2" xfId="14728" xr:uid="{00000000-0005-0000-0000-000080130000}"/>
    <cellStyle name="Финансовый 16 7 2 2" xfId="38683" xr:uid="{00000000-0005-0000-0000-000081130000}"/>
    <cellStyle name="Финансовый 16 7 3" xfId="26706" xr:uid="{00000000-0005-0000-0000-000082130000}"/>
    <cellStyle name="Финансовый 16 8" xfId="4393" xr:uid="{00000000-0005-0000-0000-000083130000}"/>
    <cellStyle name="Финансовый 16 8 2" xfId="16372" xr:uid="{00000000-0005-0000-0000-000084130000}"/>
    <cellStyle name="Финансовый 16 8 2 2" xfId="40327" xr:uid="{00000000-0005-0000-0000-000085130000}"/>
    <cellStyle name="Финансовый 16 8 3" xfId="28350" xr:uid="{00000000-0005-0000-0000-000086130000}"/>
    <cellStyle name="Финансовый 16 9" xfId="6180" xr:uid="{00000000-0005-0000-0000-000087130000}"/>
    <cellStyle name="Финансовый 16 9 2" xfId="18158" xr:uid="{00000000-0005-0000-0000-000088130000}"/>
    <cellStyle name="Финансовый 16 9 2 2" xfId="42113" xr:uid="{00000000-0005-0000-0000-000089130000}"/>
    <cellStyle name="Финансовый 16 9 3" xfId="30135" xr:uid="{00000000-0005-0000-0000-00008A130000}"/>
    <cellStyle name="Финансовый 17" xfId="275" xr:uid="{00000000-0005-0000-0000-00008B130000}"/>
    <cellStyle name="Финансовый 17 10" xfId="24235" xr:uid="{00000000-0005-0000-0000-00008C130000}"/>
    <cellStyle name="Финансовый 17 11" xfId="48465" xr:uid="{00000000-0005-0000-0000-00008D130000}"/>
    <cellStyle name="Финансовый 17 2" xfId="2075" xr:uid="{00000000-0005-0000-0000-00008E130000}"/>
    <cellStyle name="Финансовый 17 2 2" xfId="3720" xr:uid="{00000000-0005-0000-0000-00008F130000}"/>
    <cellStyle name="Финансовый 17 2 2 2" xfId="11460" xr:uid="{00000000-0005-0000-0000-000090130000}"/>
    <cellStyle name="Финансовый 17 2 2 2 2" xfId="23438" xr:uid="{00000000-0005-0000-0000-000091130000}"/>
    <cellStyle name="Финансовый 17 2 2 2 2 2" xfId="47393" xr:uid="{00000000-0005-0000-0000-000092130000}"/>
    <cellStyle name="Финансовый 17 2 2 2 3" xfId="35415" xr:uid="{00000000-0005-0000-0000-000093130000}"/>
    <cellStyle name="Финансовый 17 2 2 3" xfId="15699" xr:uid="{00000000-0005-0000-0000-000094130000}"/>
    <cellStyle name="Финансовый 17 2 2 3 2" xfId="39654" xr:uid="{00000000-0005-0000-0000-000095130000}"/>
    <cellStyle name="Финансовый 17 2 2 4" xfId="27677" xr:uid="{00000000-0005-0000-0000-000096130000}"/>
    <cellStyle name="Финансовый 17 2 2 5" xfId="50946" xr:uid="{00000000-0005-0000-0000-000097130000}"/>
    <cellStyle name="Финансовый 17 2 3" xfId="5503" xr:uid="{00000000-0005-0000-0000-000098130000}"/>
    <cellStyle name="Финансовый 17 2 3 2" xfId="17481" xr:uid="{00000000-0005-0000-0000-000099130000}"/>
    <cellStyle name="Финансовый 17 2 3 2 2" xfId="41436" xr:uid="{00000000-0005-0000-0000-00009A130000}"/>
    <cellStyle name="Финансовый 17 2 3 3" xfId="29458" xr:uid="{00000000-0005-0000-0000-00009B130000}"/>
    <cellStyle name="Финансовый 17 2 4" xfId="8113" xr:uid="{00000000-0005-0000-0000-00009C130000}"/>
    <cellStyle name="Финансовый 17 2 4 2" xfId="20091" xr:uid="{00000000-0005-0000-0000-00009D130000}"/>
    <cellStyle name="Финансовый 17 2 4 2 2" xfId="44046" xr:uid="{00000000-0005-0000-0000-00009E130000}"/>
    <cellStyle name="Финансовый 17 2 4 3" xfId="32068" xr:uid="{00000000-0005-0000-0000-00009F130000}"/>
    <cellStyle name="Финансовый 17 2 5" xfId="9896" xr:uid="{00000000-0005-0000-0000-0000A0130000}"/>
    <cellStyle name="Финансовый 17 2 5 2" xfId="21874" xr:uid="{00000000-0005-0000-0000-0000A1130000}"/>
    <cellStyle name="Финансовый 17 2 5 2 2" xfId="45829" xr:uid="{00000000-0005-0000-0000-0000A2130000}"/>
    <cellStyle name="Финансовый 17 2 5 3" xfId="33851" xr:uid="{00000000-0005-0000-0000-0000A3130000}"/>
    <cellStyle name="Финансовый 17 2 6" xfId="14054" xr:uid="{00000000-0005-0000-0000-0000A4130000}"/>
    <cellStyle name="Финансовый 17 2 6 2" xfId="38009" xr:uid="{00000000-0005-0000-0000-0000A5130000}"/>
    <cellStyle name="Финансовый 17 2 7" xfId="26032" xr:uid="{00000000-0005-0000-0000-0000A6130000}"/>
    <cellStyle name="Финансовый 17 2 8" xfId="49165" xr:uid="{00000000-0005-0000-0000-0000A7130000}"/>
    <cellStyle name="Финансовый 17 3" xfId="1373" xr:uid="{00000000-0005-0000-0000-0000A8130000}"/>
    <cellStyle name="Финансовый 17 3 2" xfId="7413" xr:uid="{00000000-0005-0000-0000-0000A9130000}"/>
    <cellStyle name="Финансовый 17 3 2 2" xfId="19391" xr:uid="{00000000-0005-0000-0000-0000AA130000}"/>
    <cellStyle name="Финансовый 17 3 2 2 2" xfId="43346" xr:uid="{00000000-0005-0000-0000-0000AB130000}"/>
    <cellStyle name="Финансовый 17 3 2 3" xfId="31368" xr:uid="{00000000-0005-0000-0000-0000AC130000}"/>
    <cellStyle name="Финансовый 17 3 3" xfId="10944" xr:uid="{00000000-0005-0000-0000-0000AD130000}"/>
    <cellStyle name="Финансовый 17 3 3 2" xfId="22922" xr:uid="{00000000-0005-0000-0000-0000AE130000}"/>
    <cellStyle name="Финансовый 17 3 3 2 2" xfId="46877" xr:uid="{00000000-0005-0000-0000-0000AF130000}"/>
    <cellStyle name="Финансовый 17 3 3 3" xfId="34899" xr:uid="{00000000-0005-0000-0000-0000B0130000}"/>
    <cellStyle name="Финансовый 17 3 4" xfId="13354" xr:uid="{00000000-0005-0000-0000-0000B1130000}"/>
    <cellStyle name="Финансовый 17 3 4 2" xfId="37309" xr:uid="{00000000-0005-0000-0000-0000B2130000}"/>
    <cellStyle name="Финансовый 17 3 5" xfId="25332" xr:uid="{00000000-0005-0000-0000-0000B3130000}"/>
    <cellStyle name="Финансовый 17 3 6" xfId="50245" xr:uid="{00000000-0005-0000-0000-0000B4130000}"/>
    <cellStyle name="Финансовый 17 4" xfId="696" xr:uid="{00000000-0005-0000-0000-0000B5130000}"/>
    <cellStyle name="Финансовый 17 4 2" xfId="6736" xr:uid="{00000000-0005-0000-0000-0000B6130000}"/>
    <cellStyle name="Финансовый 17 4 2 2" xfId="18714" xr:uid="{00000000-0005-0000-0000-0000B7130000}"/>
    <cellStyle name="Финансовый 17 4 2 2 2" xfId="42669" xr:uid="{00000000-0005-0000-0000-0000B8130000}"/>
    <cellStyle name="Финансовый 17 4 2 3" xfId="30691" xr:uid="{00000000-0005-0000-0000-0000B9130000}"/>
    <cellStyle name="Финансовый 17 4 3" xfId="12677" xr:uid="{00000000-0005-0000-0000-0000BA130000}"/>
    <cellStyle name="Финансовый 17 4 3 2" xfId="36632" xr:uid="{00000000-0005-0000-0000-0000BB130000}"/>
    <cellStyle name="Финансовый 17 4 4" xfId="24655" xr:uid="{00000000-0005-0000-0000-0000BC130000}"/>
    <cellStyle name="Финансовый 17 5" xfId="3157" xr:uid="{00000000-0005-0000-0000-0000BD130000}"/>
    <cellStyle name="Финансовый 17 5 2" xfId="15136" xr:uid="{00000000-0005-0000-0000-0000BE130000}"/>
    <cellStyle name="Финансовый 17 5 2 2" xfId="39091" xr:uid="{00000000-0005-0000-0000-0000BF130000}"/>
    <cellStyle name="Финансовый 17 5 3" xfId="27114" xr:uid="{00000000-0005-0000-0000-0000C0130000}"/>
    <cellStyle name="Финансовый 17 6" xfId="4801" xr:uid="{00000000-0005-0000-0000-0000C1130000}"/>
    <cellStyle name="Финансовый 17 6 2" xfId="16780" xr:uid="{00000000-0005-0000-0000-0000C2130000}"/>
    <cellStyle name="Финансовый 17 6 2 2" xfId="40735" xr:uid="{00000000-0005-0000-0000-0000C3130000}"/>
    <cellStyle name="Финансовый 17 6 3" xfId="28758" xr:uid="{00000000-0005-0000-0000-0000C4130000}"/>
    <cellStyle name="Финансовый 17 7" xfId="6316" xr:uid="{00000000-0005-0000-0000-0000C5130000}"/>
    <cellStyle name="Финансовый 17 7 2" xfId="18294" xr:uid="{00000000-0005-0000-0000-0000C6130000}"/>
    <cellStyle name="Финансовый 17 7 2 2" xfId="42249" xr:uid="{00000000-0005-0000-0000-0000C7130000}"/>
    <cellStyle name="Финансовый 17 7 3" xfId="30271" xr:uid="{00000000-0005-0000-0000-0000C8130000}"/>
    <cellStyle name="Финансовый 17 8" xfId="9195" xr:uid="{00000000-0005-0000-0000-0000C9130000}"/>
    <cellStyle name="Финансовый 17 8 2" xfId="21173" xr:uid="{00000000-0005-0000-0000-0000CA130000}"/>
    <cellStyle name="Финансовый 17 8 2 2" xfId="45128" xr:uid="{00000000-0005-0000-0000-0000CB130000}"/>
    <cellStyle name="Финансовый 17 8 3" xfId="33150" xr:uid="{00000000-0005-0000-0000-0000CC130000}"/>
    <cellStyle name="Финансовый 17 9" xfId="12257" xr:uid="{00000000-0005-0000-0000-0000CD130000}"/>
    <cellStyle name="Финансовый 17 9 2" xfId="36212" xr:uid="{00000000-0005-0000-0000-0000CE130000}"/>
    <cellStyle name="Финансовый 18" xfId="288" xr:uid="{00000000-0005-0000-0000-0000CF130000}"/>
    <cellStyle name="Финансовый 18 10" xfId="48193" xr:uid="{00000000-0005-0000-0000-0000D0130000}"/>
    <cellStyle name="Финансовый 18 2" xfId="1108" xr:uid="{00000000-0005-0000-0000-0000D1130000}"/>
    <cellStyle name="Финансовый 18 2 2" xfId="7148" xr:uid="{00000000-0005-0000-0000-0000D2130000}"/>
    <cellStyle name="Финансовый 18 2 2 2" xfId="19126" xr:uid="{00000000-0005-0000-0000-0000D3130000}"/>
    <cellStyle name="Финансовый 18 2 2 2 2" xfId="43081" xr:uid="{00000000-0005-0000-0000-0000D4130000}"/>
    <cellStyle name="Финансовый 18 2 2 3" xfId="31103" xr:uid="{00000000-0005-0000-0000-0000D5130000}"/>
    <cellStyle name="Финансовый 18 2 3" xfId="10688" xr:uid="{00000000-0005-0000-0000-0000D6130000}"/>
    <cellStyle name="Финансовый 18 2 3 2" xfId="22666" xr:uid="{00000000-0005-0000-0000-0000D7130000}"/>
    <cellStyle name="Финансовый 18 2 3 2 2" xfId="46621" xr:uid="{00000000-0005-0000-0000-0000D8130000}"/>
    <cellStyle name="Финансовый 18 2 3 3" xfId="34643" xr:uid="{00000000-0005-0000-0000-0000D9130000}"/>
    <cellStyle name="Финансовый 18 2 4" xfId="13089" xr:uid="{00000000-0005-0000-0000-0000DA130000}"/>
    <cellStyle name="Финансовый 18 2 4 2" xfId="37044" xr:uid="{00000000-0005-0000-0000-0000DB130000}"/>
    <cellStyle name="Финансовый 18 2 5" xfId="25067" xr:uid="{00000000-0005-0000-0000-0000DC130000}"/>
    <cellStyle name="Финансовый 18 2 6" xfId="49973" xr:uid="{00000000-0005-0000-0000-0000DD130000}"/>
    <cellStyle name="Финансовый 18 3" xfId="708" xr:uid="{00000000-0005-0000-0000-0000DE130000}"/>
    <cellStyle name="Финансовый 18 3 2" xfId="6748" xr:uid="{00000000-0005-0000-0000-0000DF130000}"/>
    <cellStyle name="Финансовый 18 3 2 2" xfId="18726" xr:uid="{00000000-0005-0000-0000-0000E0130000}"/>
    <cellStyle name="Финансовый 18 3 2 2 2" xfId="42681" xr:uid="{00000000-0005-0000-0000-0000E1130000}"/>
    <cellStyle name="Финансовый 18 3 2 3" xfId="30703" xr:uid="{00000000-0005-0000-0000-0000E2130000}"/>
    <cellStyle name="Финансовый 18 3 3" xfId="12689" xr:uid="{00000000-0005-0000-0000-0000E3130000}"/>
    <cellStyle name="Финансовый 18 3 3 2" xfId="36644" xr:uid="{00000000-0005-0000-0000-0000E4130000}"/>
    <cellStyle name="Финансовый 18 3 4" xfId="24667" xr:uid="{00000000-0005-0000-0000-0000E5130000}"/>
    <cellStyle name="Финансовый 18 4" xfId="2885" xr:uid="{00000000-0005-0000-0000-0000E6130000}"/>
    <cellStyle name="Финансовый 18 4 2" xfId="14864" xr:uid="{00000000-0005-0000-0000-0000E7130000}"/>
    <cellStyle name="Финансовый 18 4 2 2" xfId="38819" xr:uid="{00000000-0005-0000-0000-0000E8130000}"/>
    <cellStyle name="Финансовый 18 4 3" xfId="26842" xr:uid="{00000000-0005-0000-0000-0000E9130000}"/>
    <cellStyle name="Финансовый 18 5" xfId="4529" xr:uid="{00000000-0005-0000-0000-0000EA130000}"/>
    <cellStyle name="Финансовый 18 5 2" xfId="16508" xr:uid="{00000000-0005-0000-0000-0000EB130000}"/>
    <cellStyle name="Финансовый 18 5 2 2" xfId="40463" xr:uid="{00000000-0005-0000-0000-0000EC130000}"/>
    <cellStyle name="Финансовый 18 5 3" xfId="28486" xr:uid="{00000000-0005-0000-0000-0000ED130000}"/>
    <cellStyle name="Финансовый 18 6" xfId="6328" xr:uid="{00000000-0005-0000-0000-0000EE130000}"/>
    <cellStyle name="Финансовый 18 6 2" xfId="18306" xr:uid="{00000000-0005-0000-0000-0000EF130000}"/>
    <cellStyle name="Финансовый 18 6 2 2" xfId="42261" xr:uid="{00000000-0005-0000-0000-0000F0130000}"/>
    <cellStyle name="Финансовый 18 6 3" xfId="30283" xr:uid="{00000000-0005-0000-0000-0000F1130000}"/>
    <cellStyle name="Финансовый 18 7" xfId="8923" xr:uid="{00000000-0005-0000-0000-0000F2130000}"/>
    <cellStyle name="Финансовый 18 7 2" xfId="20901" xr:uid="{00000000-0005-0000-0000-0000F3130000}"/>
    <cellStyle name="Финансовый 18 7 2 2" xfId="44856" xr:uid="{00000000-0005-0000-0000-0000F4130000}"/>
    <cellStyle name="Финансовый 18 7 3" xfId="32878" xr:uid="{00000000-0005-0000-0000-0000F5130000}"/>
    <cellStyle name="Финансовый 18 8" xfId="12269" xr:uid="{00000000-0005-0000-0000-0000F6130000}"/>
    <cellStyle name="Финансовый 18 8 2" xfId="36224" xr:uid="{00000000-0005-0000-0000-0000F7130000}"/>
    <cellStyle name="Финансовый 18 9" xfId="24247" xr:uid="{00000000-0005-0000-0000-0000F8130000}"/>
    <cellStyle name="Финансовый 19" xfId="1421" xr:uid="{00000000-0005-0000-0000-0000F9130000}"/>
    <cellStyle name="Финансовый 19 2" xfId="1695" xr:uid="{00000000-0005-0000-0000-0000FA130000}"/>
    <cellStyle name="Финансовый 19 2 2" xfId="3340" xr:uid="{00000000-0005-0000-0000-0000FB130000}"/>
    <cellStyle name="Финансовый 19 2 2 2" xfId="11088" xr:uid="{00000000-0005-0000-0000-0000FC130000}"/>
    <cellStyle name="Финансовый 19 2 2 2 2" xfId="23066" xr:uid="{00000000-0005-0000-0000-0000FD130000}"/>
    <cellStyle name="Финансовый 19 2 2 2 2 2" xfId="47021" xr:uid="{00000000-0005-0000-0000-0000FE130000}"/>
    <cellStyle name="Финансовый 19 2 2 2 3" xfId="35043" xr:uid="{00000000-0005-0000-0000-0000FF130000}"/>
    <cellStyle name="Финансовый 19 2 2 3" xfId="15319" xr:uid="{00000000-0005-0000-0000-000000140000}"/>
    <cellStyle name="Финансовый 19 2 2 3 2" xfId="39274" xr:uid="{00000000-0005-0000-0000-000001140000}"/>
    <cellStyle name="Финансовый 19 2 2 4" xfId="27297" xr:uid="{00000000-0005-0000-0000-000002140000}"/>
    <cellStyle name="Финансовый 19 2 2 5" xfId="50566" xr:uid="{00000000-0005-0000-0000-000003140000}"/>
    <cellStyle name="Финансовый 19 2 3" xfId="5123" xr:uid="{00000000-0005-0000-0000-000004140000}"/>
    <cellStyle name="Финансовый 19 2 3 2" xfId="17101" xr:uid="{00000000-0005-0000-0000-000005140000}"/>
    <cellStyle name="Финансовый 19 2 3 2 2" xfId="41056" xr:uid="{00000000-0005-0000-0000-000006140000}"/>
    <cellStyle name="Финансовый 19 2 3 3" xfId="29078" xr:uid="{00000000-0005-0000-0000-000007140000}"/>
    <cellStyle name="Финансовый 19 2 4" xfId="7733" xr:uid="{00000000-0005-0000-0000-000008140000}"/>
    <cellStyle name="Финансовый 19 2 4 2" xfId="19711" xr:uid="{00000000-0005-0000-0000-000009140000}"/>
    <cellStyle name="Финансовый 19 2 4 2 2" xfId="43666" xr:uid="{00000000-0005-0000-0000-00000A140000}"/>
    <cellStyle name="Финансовый 19 2 4 3" xfId="31688" xr:uid="{00000000-0005-0000-0000-00000B140000}"/>
    <cellStyle name="Финансовый 19 2 5" xfId="9516" xr:uid="{00000000-0005-0000-0000-00000C140000}"/>
    <cellStyle name="Финансовый 19 2 5 2" xfId="21494" xr:uid="{00000000-0005-0000-0000-00000D140000}"/>
    <cellStyle name="Финансовый 19 2 5 2 2" xfId="45449" xr:uid="{00000000-0005-0000-0000-00000E140000}"/>
    <cellStyle name="Финансовый 19 2 5 3" xfId="33471" xr:uid="{00000000-0005-0000-0000-00000F140000}"/>
    <cellStyle name="Финансовый 19 2 6" xfId="13674" xr:uid="{00000000-0005-0000-0000-000010140000}"/>
    <cellStyle name="Финансовый 19 2 6 2" xfId="37629" xr:uid="{00000000-0005-0000-0000-000011140000}"/>
    <cellStyle name="Финансовый 19 2 7" xfId="25652" xr:uid="{00000000-0005-0000-0000-000012140000}"/>
    <cellStyle name="Финансовый 19 2 8" xfId="48785" xr:uid="{00000000-0005-0000-0000-000013140000}"/>
    <cellStyle name="Финансовый 19 3" xfId="4849" xr:uid="{00000000-0005-0000-0000-000014140000}"/>
    <cellStyle name="Финансовый 19 3 2" xfId="16828" xr:uid="{00000000-0005-0000-0000-000015140000}"/>
    <cellStyle name="Финансовый 19 3 2 2" xfId="40783" xr:uid="{00000000-0005-0000-0000-000016140000}"/>
    <cellStyle name="Финансовый 19 3 3" xfId="28806" xr:uid="{00000000-0005-0000-0000-000017140000}"/>
    <cellStyle name="Финансовый 19 3 4" xfId="50293" xr:uid="{00000000-0005-0000-0000-000018140000}"/>
    <cellStyle name="Финансовый 19 4" xfId="7461" xr:uid="{00000000-0005-0000-0000-000019140000}"/>
    <cellStyle name="Финансовый 19 4 2" xfId="19439" xr:uid="{00000000-0005-0000-0000-00001A140000}"/>
    <cellStyle name="Финансовый 19 4 2 2" xfId="43394" xr:uid="{00000000-0005-0000-0000-00001B140000}"/>
    <cellStyle name="Финансовый 19 4 3" xfId="31416" xr:uid="{00000000-0005-0000-0000-00001C140000}"/>
    <cellStyle name="Финансовый 19 5" xfId="9243" xr:uid="{00000000-0005-0000-0000-00001D140000}"/>
    <cellStyle name="Финансовый 19 5 2" xfId="21221" xr:uid="{00000000-0005-0000-0000-00001E140000}"/>
    <cellStyle name="Финансовый 19 5 2 2" xfId="45176" xr:uid="{00000000-0005-0000-0000-00001F140000}"/>
    <cellStyle name="Финансовый 19 5 3" xfId="33198" xr:uid="{00000000-0005-0000-0000-000020140000}"/>
    <cellStyle name="Финансовый 19 6" xfId="13402" xr:uid="{00000000-0005-0000-0000-000021140000}"/>
    <cellStyle name="Финансовый 19 6 2" xfId="37357" xr:uid="{00000000-0005-0000-0000-000022140000}"/>
    <cellStyle name="Финансовый 19 7" xfId="25380" xr:uid="{00000000-0005-0000-0000-000023140000}"/>
    <cellStyle name="Финансовый 19 8" xfId="48513" xr:uid="{00000000-0005-0000-0000-000024140000}"/>
    <cellStyle name="Финансовый 2" xfId="2" xr:uid="{00000000-0005-0000-0000-000025140000}"/>
    <cellStyle name="Финансовый 2 10" xfId="62" xr:uid="{00000000-0005-0000-0000-000026140000}"/>
    <cellStyle name="Финансовый 2 10 10" xfId="2674" xr:uid="{00000000-0005-0000-0000-000027140000}"/>
    <cellStyle name="Финансовый 2 10 10 2" xfId="14653" xr:uid="{00000000-0005-0000-0000-000028140000}"/>
    <cellStyle name="Финансовый 2 10 10 2 2" xfId="38608" xr:uid="{00000000-0005-0000-0000-000029140000}"/>
    <cellStyle name="Финансовый 2 10 10 3" xfId="26631" xr:uid="{00000000-0005-0000-0000-00002A140000}"/>
    <cellStyle name="Финансовый 2 10 11" xfId="4317" xr:uid="{00000000-0005-0000-0000-00002B140000}"/>
    <cellStyle name="Финансовый 2 10 11 2" xfId="16296" xr:uid="{00000000-0005-0000-0000-00002C140000}"/>
    <cellStyle name="Финансовый 2 10 11 2 2" xfId="40251" xr:uid="{00000000-0005-0000-0000-00002D140000}"/>
    <cellStyle name="Финансовый 2 10 11 3" xfId="28274" xr:uid="{00000000-0005-0000-0000-00002E140000}"/>
    <cellStyle name="Финансовый 2 10 12" xfId="6105" xr:uid="{00000000-0005-0000-0000-00002F140000}"/>
    <cellStyle name="Финансовый 2 10 12 2" xfId="18083" xr:uid="{00000000-0005-0000-0000-000030140000}"/>
    <cellStyle name="Финансовый 2 10 12 2 2" xfId="42038" xr:uid="{00000000-0005-0000-0000-000031140000}"/>
    <cellStyle name="Финансовый 2 10 12 3" xfId="30060" xr:uid="{00000000-0005-0000-0000-000032140000}"/>
    <cellStyle name="Финансовый 2 10 13" xfId="8712" xr:uid="{00000000-0005-0000-0000-000033140000}"/>
    <cellStyle name="Финансовый 2 10 13 2" xfId="20690" xr:uid="{00000000-0005-0000-0000-000034140000}"/>
    <cellStyle name="Финансовый 2 10 13 2 2" xfId="44645" xr:uid="{00000000-0005-0000-0000-000035140000}"/>
    <cellStyle name="Финансовый 2 10 13 3" xfId="32667" xr:uid="{00000000-0005-0000-0000-000036140000}"/>
    <cellStyle name="Финансовый 2 10 14" xfId="12046" xr:uid="{00000000-0005-0000-0000-000037140000}"/>
    <cellStyle name="Финансовый 2 10 14 2" xfId="36001" xr:uid="{00000000-0005-0000-0000-000038140000}"/>
    <cellStyle name="Финансовый 2 10 15" xfId="24024" xr:uid="{00000000-0005-0000-0000-000039140000}"/>
    <cellStyle name="Финансовый 2 10 16" xfId="47982" xr:uid="{00000000-0005-0000-0000-00003A140000}"/>
    <cellStyle name="Финансовый 2 10 2" xfId="200" xr:uid="{00000000-0005-0000-0000-00003B140000}"/>
    <cellStyle name="Финансовый 2 10 2 10" xfId="8848" xr:uid="{00000000-0005-0000-0000-00003C140000}"/>
    <cellStyle name="Финансовый 2 10 2 10 2" xfId="20826" xr:uid="{00000000-0005-0000-0000-00003D140000}"/>
    <cellStyle name="Финансовый 2 10 2 10 2 2" xfId="44781" xr:uid="{00000000-0005-0000-0000-00003E140000}"/>
    <cellStyle name="Финансовый 2 10 2 10 3" xfId="32803" xr:uid="{00000000-0005-0000-0000-00003F140000}"/>
    <cellStyle name="Финансовый 2 10 2 11" xfId="12182" xr:uid="{00000000-0005-0000-0000-000040140000}"/>
    <cellStyle name="Финансовый 2 10 2 11 2" xfId="36137" xr:uid="{00000000-0005-0000-0000-000041140000}"/>
    <cellStyle name="Финансовый 2 10 2 12" xfId="24160" xr:uid="{00000000-0005-0000-0000-000042140000}"/>
    <cellStyle name="Финансовый 2 10 2 13" xfId="48118" xr:uid="{00000000-0005-0000-0000-000043140000}"/>
    <cellStyle name="Финансовый 2 10 2 2" xfId="1298" xr:uid="{00000000-0005-0000-0000-000044140000}"/>
    <cellStyle name="Финансовый 2 10 2 2 2" xfId="2264" xr:uid="{00000000-0005-0000-0000-000045140000}"/>
    <cellStyle name="Финансовый 2 10 2 2 2 2" xfId="3909" xr:uid="{00000000-0005-0000-0000-000046140000}"/>
    <cellStyle name="Финансовый 2 10 2 2 2 2 2" xfId="11649" xr:uid="{00000000-0005-0000-0000-000047140000}"/>
    <cellStyle name="Финансовый 2 10 2 2 2 2 2 2" xfId="23627" xr:uid="{00000000-0005-0000-0000-000048140000}"/>
    <cellStyle name="Финансовый 2 10 2 2 2 2 2 2 2" xfId="47582" xr:uid="{00000000-0005-0000-0000-000049140000}"/>
    <cellStyle name="Финансовый 2 10 2 2 2 2 2 3" xfId="35604" xr:uid="{00000000-0005-0000-0000-00004A140000}"/>
    <cellStyle name="Финансовый 2 10 2 2 2 2 3" xfId="15888" xr:uid="{00000000-0005-0000-0000-00004B140000}"/>
    <cellStyle name="Финансовый 2 10 2 2 2 2 3 2" xfId="39843" xr:uid="{00000000-0005-0000-0000-00004C140000}"/>
    <cellStyle name="Финансовый 2 10 2 2 2 2 4" xfId="27866" xr:uid="{00000000-0005-0000-0000-00004D140000}"/>
    <cellStyle name="Финансовый 2 10 2 2 2 2 5" xfId="51135" xr:uid="{00000000-0005-0000-0000-00004E140000}"/>
    <cellStyle name="Финансовый 2 10 2 2 2 3" xfId="5692" xr:uid="{00000000-0005-0000-0000-00004F140000}"/>
    <cellStyle name="Финансовый 2 10 2 2 2 3 2" xfId="17670" xr:uid="{00000000-0005-0000-0000-000050140000}"/>
    <cellStyle name="Финансовый 2 10 2 2 2 3 2 2" xfId="41625" xr:uid="{00000000-0005-0000-0000-000051140000}"/>
    <cellStyle name="Финансовый 2 10 2 2 2 3 3" xfId="29647" xr:uid="{00000000-0005-0000-0000-000052140000}"/>
    <cellStyle name="Финансовый 2 10 2 2 2 4" xfId="8302" xr:uid="{00000000-0005-0000-0000-000053140000}"/>
    <cellStyle name="Финансовый 2 10 2 2 2 4 2" xfId="20280" xr:uid="{00000000-0005-0000-0000-000054140000}"/>
    <cellStyle name="Финансовый 2 10 2 2 2 4 2 2" xfId="44235" xr:uid="{00000000-0005-0000-0000-000055140000}"/>
    <cellStyle name="Финансовый 2 10 2 2 2 4 3" xfId="32257" xr:uid="{00000000-0005-0000-0000-000056140000}"/>
    <cellStyle name="Финансовый 2 10 2 2 2 5" xfId="10085" xr:uid="{00000000-0005-0000-0000-000057140000}"/>
    <cellStyle name="Финансовый 2 10 2 2 2 5 2" xfId="22063" xr:uid="{00000000-0005-0000-0000-000058140000}"/>
    <cellStyle name="Финансовый 2 10 2 2 2 5 2 2" xfId="46018" xr:uid="{00000000-0005-0000-0000-000059140000}"/>
    <cellStyle name="Финансовый 2 10 2 2 2 5 3" xfId="34040" xr:uid="{00000000-0005-0000-0000-00005A140000}"/>
    <cellStyle name="Финансовый 2 10 2 2 2 6" xfId="14243" xr:uid="{00000000-0005-0000-0000-00005B140000}"/>
    <cellStyle name="Финансовый 2 10 2 2 2 6 2" xfId="38198" xr:uid="{00000000-0005-0000-0000-00005C140000}"/>
    <cellStyle name="Финансовый 2 10 2 2 2 7" xfId="26221" xr:uid="{00000000-0005-0000-0000-00005D140000}"/>
    <cellStyle name="Финансовый 2 10 2 2 2 8" xfId="49354" xr:uid="{00000000-0005-0000-0000-00005E140000}"/>
    <cellStyle name="Финансовый 2 10 2 2 3" xfId="3082" xr:uid="{00000000-0005-0000-0000-00005F140000}"/>
    <cellStyle name="Финансовый 2 10 2 2 3 2" xfId="10877" xr:uid="{00000000-0005-0000-0000-000060140000}"/>
    <cellStyle name="Финансовый 2 10 2 2 3 2 2" xfId="22855" xr:uid="{00000000-0005-0000-0000-000061140000}"/>
    <cellStyle name="Финансовый 2 10 2 2 3 2 2 2" xfId="46810" xr:uid="{00000000-0005-0000-0000-000062140000}"/>
    <cellStyle name="Финансовый 2 10 2 2 3 2 3" xfId="34832" xr:uid="{00000000-0005-0000-0000-000063140000}"/>
    <cellStyle name="Финансовый 2 10 2 2 3 3" xfId="15061" xr:uid="{00000000-0005-0000-0000-000064140000}"/>
    <cellStyle name="Финансовый 2 10 2 2 3 3 2" xfId="39016" xr:uid="{00000000-0005-0000-0000-000065140000}"/>
    <cellStyle name="Финансовый 2 10 2 2 3 4" xfId="27039" xr:uid="{00000000-0005-0000-0000-000066140000}"/>
    <cellStyle name="Финансовый 2 10 2 2 3 5" xfId="50170" xr:uid="{00000000-0005-0000-0000-000067140000}"/>
    <cellStyle name="Финансовый 2 10 2 2 4" xfId="4726" xr:uid="{00000000-0005-0000-0000-000068140000}"/>
    <cellStyle name="Финансовый 2 10 2 2 4 2" xfId="16705" xr:uid="{00000000-0005-0000-0000-000069140000}"/>
    <cellStyle name="Финансовый 2 10 2 2 4 2 2" xfId="40660" xr:uid="{00000000-0005-0000-0000-00006A140000}"/>
    <cellStyle name="Финансовый 2 10 2 2 4 3" xfId="28683" xr:uid="{00000000-0005-0000-0000-00006B140000}"/>
    <cellStyle name="Финансовый 2 10 2 2 5" xfId="7338" xr:uid="{00000000-0005-0000-0000-00006C140000}"/>
    <cellStyle name="Финансовый 2 10 2 2 5 2" xfId="19316" xr:uid="{00000000-0005-0000-0000-00006D140000}"/>
    <cellStyle name="Финансовый 2 10 2 2 5 2 2" xfId="43271" xr:uid="{00000000-0005-0000-0000-00006E140000}"/>
    <cellStyle name="Финансовый 2 10 2 2 5 3" xfId="31293" xr:uid="{00000000-0005-0000-0000-00006F140000}"/>
    <cellStyle name="Финансовый 2 10 2 2 6" xfId="9120" xr:uid="{00000000-0005-0000-0000-000070140000}"/>
    <cellStyle name="Финансовый 2 10 2 2 6 2" xfId="21098" xr:uid="{00000000-0005-0000-0000-000071140000}"/>
    <cellStyle name="Финансовый 2 10 2 2 6 2 2" xfId="45053" xr:uid="{00000000-0005-0000-0000-000072140000}"/>
    <cellStyle name="Финансовый 2 10 2 2 6 3" xfId="33075" xr:uid="{00000000-0005-0000-0000-000073140000}"/>
    <cellStyle name="Финансовый 2 10 2 2 7" xfId="13279" xr:uid="{00000000-0005-0000-0000-000074140000}"/>
    <cellStyle name="Финансовый 2 10 2 2 7 2" xfId="37234" xr:uid="{00000000-0005-0000-0000-000075140000}"/>
    <cellStyle name="Финансовый 2 10 2 2 8" xfId="25257" xr:uid="{00000000-0005-0000-0000-000076140000}"/>
    <cellStyle name="Финансовый 2 10 2 2 9" xfId="48390" xr:uid="{00000000-0005-0000-0000-000077140000}"/>
    <cellStyle name="Финансовый 2 10 2 3" xfId="2008" xr:uid="{00000000-0005-0000-0000-000078140000}"/>
    <cellStyle name="Финансовый 2 10 2 3 2" xfId="3653" xr:uid="{00000000-0005-0000-0000-000079140000}"/>
    <cellStyle name="Финансовый 2 10 2 3 2 2" xfId="11393" xr:uid="{00000000-0005-0000-0000-00007A140000}"/>
    <cellStyle name="Финансовый 2 10 2 3 2 2 2" xfId="23371" xr:uid="{00000000-0005-0000-0000-00007B140000}"/>
    <cellStyle name="Финансовый 2 10 2 3 2 2 2 2" xfId="47326" xr:uid="{00000000-0005-0000-0000-00007C140000}"/>
    <cellStyle name="Финансовый 2 10 2 3 2 2 3" xfId="35348" xr:uid="{00000000-0005-0000-0000-00007D140000}"/>
    <cellStyle name="Финансовый 2 10 2 3 2 3" xfId="15632" xr:uid="{00000000-0005-0000-0000-00007E140000}"/>
    <cellStyle name="Финансовый 2 10 2 3 2 3 2" xfId="39587" xr:uid="{00000000-0005-0000-0000-00007F140000}"/>
    <cellStyle name="Финансовый 2 10 2 3 2 4" xfId="27610" xr:uid="{00000000-0005-0000-0000-000080140000}"/>
    <cellStyle name="Финансовый 2 10 2 3 2 5" xfId="50879" xr:uid="{00000000-0005-0000-0000-000081140000}"/>
    <cellStyle name="Финансовый 2 10 2 3 3" xfId="5436" xr:uid="{00000000-0005-0000-0000-000082140000}"/>
    <cellStyle name="Финансовый 2 10 2 3 3 2" xfId="17414" xr:uid="{00000000-0005-0000-0000-000083140000}"/>
    <cellStyle name="Финансовый 2 10 2 3 3 2 2" xfId="41369" xr:uid="{00000000-0005-0000-0000-000084140000}"/>
    <cellStyle name="Финансовый 2 10 2 3 3 3" xfId="29391" xr:uid="{00000000-0005-0000-0000-000085140000}"/>
    <cellStyle name="Финансовый 2 10 2 3 4" xfId="8046" xr:uid="{00000000-0005-0000-0000-000086140000}"/>
    <cellStyle name="Финансовый 2 10 2 3 4 2" xfId="20024" xr:uid="{00000000-0005-0000-0000-000087140000}"/>
    <cellStyle name="Финансовый 2 10 2 3 4 2 2" xfId="43979" xr:uid="{00000000-0005-0000-0000-000088140000}"/>
    <cellStyle name="Финансовый 2 10 2 3 4 3" xfId="32001" xr:uid="{00000000-0005-0000-0000-000089140000}"/>
    <cellStyle name="Финансовый 2 10 2 3 5" xfId="9829" xr:uid="{00000000-0005-0000-0000-00008A140000}"/>
    <cellStyle name="Финансовый 2 10 2 3 5 2" xfId="21807" xr:uid="{00000000-0005-0000-0000-00008B140000}"/>
    <cellStyle name="Финансовый 2 10 2 3 5 2 2" xfId="45762" xr:uid="{00000000-0005-0000-0000-00008C140000}"/>
    <cellStyle name="Финансовый 2 10 2 3 5 3" xfId="33784" xr:uid="{00000000-0005-0000-0000-00008D140000}"/>
    <cellStyle name="Финансовый 2 10 2 3 6" xfId="13987" xr:uid="{00000000-0005-0000-0000-00008E140000}"/>
    <cellStyle name="Финансовый 2 10 2 3 6 2" xfId="37942" xr:uid="{00000000-0005-0000-0000-00008F140000}"/>
    <cellStyle name="Финансовый 2 10 2 3 7" xfId="25965" xr:uid="{00000000-0005-0000-0000-000090140000}"/>
    <cellStyle name="Финансовый 2 10 2 3 8" xfId="49098" xr:uid="{00000000-0005-0000-0000-000091140000}"/>
    <cellStyle name="Финансовый 2 10 2 4" xfId="2529" xr:uid="{00000000-0005-0000-0000-000092140000}"/>
    <cellStyle name="Финансовый 2 10 2 4 2" xfId="4174" xr:uid="{00000000-0005-0000-0000-000093140000}"/>
    <cellStyle name="Финансовый 2 10 2 4 2 2" xfId="11906" xr:uid="{00000000-0005-0000-0000-000094140000}"/>
    <cellStyle name="Финансовый 2 10 2 4 2 2 2" xfId="23884" xr:uid="{00000000-0005-0000-0000-000095140000}"/>
    <cellStyle name="Финансовый 2 10 2 4 2 2 2 2" xfId="47839" xr:uid="{00000000-0005-0000-0000-000096140000}"/>
    <cellStyle name="Финансовый 2 10 2 4 2 2 3" xfId="35861" xr:uid="{00000000-0005-0000-0000-000097140000}"/>
    <cellStyle name="Финансовый 2 10 2 4 2 3" xfId="16153" xr:uid="{00000000-0005-0000-0000-000098140000}"/>
    <cellStyle name="Финансовый 2 10 2 4 2 3 2" xfId="40108" xr:uid="{00000000-0005-0000-0000-000099140000}"/>
    <cellStyle name="Финансовый 2 10 2 4 2 4" xfId="28131" xr:uid="{00000000-0005-0000-0000-00009A140000}"/>
    <cellStyle name="Финансовый 2 10 2 4 2 5" xfId="51400" xr:uid="{00000000-0005-0000-0000-00009B140000}"/>
    <cellStyle name="Финансовый 2 10 2 4 3" xfId="5957" xr:uid="{00000000-0005-0000-0000-00009C140000}"/>
    <cellStyle name="Финансовый 2 10 2 4 3 2" xfId="17935" xr:uid="{00000000-0005-0000-0000-00009D140000}"/>
    <cellStyle name="Финансовый 2 10 2 4 3 2 2" xfId="41890" xr:uid="{00000000-0005-0000-0000-00009E140000}"/>
    <cellStyle name="Финансовый 2 10 2 4 3 3" xfId="29912" xr:uid="{00000000-0005-0000-0000-00009F140000}"/>
    <cellStyle name="Финансовый 2 10 2 4 4" xfId="8567" xr:uid="{00000000-0005-0000-0000-0000A0140000}"/>
    <cellStyle name="Финансовый 2 10 2 4 4 2" xfId="20545" xr:uid="{00000000-0005-0000-0000-0000A1140000}"/>
    <cellStyle name="Финансовый 2 10 2 4 4 2 2" xfId="44500" xr:uid="{00000000-0005-0000-0000-0000A2140000}"/>
    <cellStyle name="Финансовый 2 10 2 4 4 3" xfId="32522" xr:uid="{00000000-0005-0000-0000-0000A3140000}"/>
    <cellStyle name="Финансовый 2 10 2 4 5" xfId="10350" xr:uid="{00000000-0005-0000-0000-0000A4140000}"/>
    <cellStyle name="Финансовый 2 10 2 4 5 2" xfId="22328" xr:uid="{00000000-0005-0000-0000-0000A5140000}"/>
    <cellStyle name="Финансовый 2 10 2 4 5 2 2" xfId="46283" xr:uid="{00000000-0005-0000-0000-0000A6140000}"/>
    <cellStyle name="Финансовый 2 10 2 4 5 3" xfId="34305" xr:uid="{00000000-0005-0000-0000-0000A7140000}"/>
    <cellStyle name="Финансовый 2 10 2 4 6" xfId="14508" xr:uid="{00000000-0005-0000-0000-0000A8140000}"/>
    <cellStyle name="Финансовый 2 10 2 4 6 2" xfId="38463" xr:uid="{00000000-0005-0000-0000-0000A9140000}"/>
    <cellStyle name="Финансовый 2 10 2 4 7" xfId="26486" xr:uid="{00000000-0005-0000-0000-0000AA140000}"/>
    <cellStyle name="Финансовый 2 10 2 4 8" xfId="49619" xr:uid="{00000000-0005-0000-0000-0000AB140000}"/>
    <cellStyle name="Финансовый 2 10 2 5" xfId="1033" xr:uid="{00000000-0005-0000-0000-0000AC140000}"/>
    <cellStyle name="Финансовый 2 10 2 5 2" xfId="7073" xr:uid="{00000000-0005-0000-0000-0000AD140000}"/>
    <cellStyle name="Финансовый 2 10 2 5 2 2" xfId="19051" xr:uid="{00000000-0005-0000-0000-0000AE140000}"/>
    <cellStyle name="Финансовый 2 10 2 5 2 2 2" xfId="43006" xr:uid="{00000000-0005-0000-0000-0000AF140000}"/>
    <cellStyle name="Финансовый 2 10 2 5 2 3" xfId="31028" xr:uid="{00000000-0005-0000-0000-0000B0140000}"/>
    <cellStyle name="Финансовый 2 10 2 5 3" xfId="10621" xr:uid="{00000000-0005-0000-0000-0000B1140000}"/>
    <cellStyle name="Финансовый 2 10 2 5 3 2" xfId="22599" xr:uid="{00000000-0005-0000-0000-0000B2140000}"/>
    <cellStyle name="Финансовый 2 10 2 5 3 2 2" xfId="46554" xr:uid="{00000000-0005-0000-0000-0000B3140000}"/>
    <cellStyle name="Финансовый 2 10 2 5 3 3" xfId="34576" xr:uid="{00000000-0005-0000-0000-0000B4140000}"/>
    <cellStyle name="Финансовый 2 10 2 5 4" xfId="13014" xr:uid="{00000000-0005-0000-0000-0000B5140000}"/>
    <cellStyle name="Финансовый 2 10 2 5 4 2" xfId="36969" xr:uid="{00000000-0005-0000-0000-0000B6140000}"/>
    <cellStyle name="Финансовый 2 10 2 5 5" xfId="24992" xr:uid="{00000000-0005-0000-0000-0000B7140000}"/>
    <cellStyle name="Финансовый 2 10 2 5 6" xfId="49898" xr:uid="{00000000-0005-0000-0000-0000B8140000}"/>
    <cellStyle name="Финансовый 2 10 2 6" xfId="621" xr:uid="{00000000-0005-0000-0000-0000B9140000}"/>
    <cellStyle name="Финансовый 2 10 2 6 2" xfId="6661" xr:uid="{00000000-0005-0000-0000-0000BA140000}"/>
    <cellStyle name="Финансовый 2 10 2 6 2 2" xfId="18639" xr:uid="{00000000-0005-0000-0000-0000BB140000}"/>
    <cellStyle name="Финансовый 2 10 2 6 2 2 2" xfId="42594" xr:uid="{00000000-0005-0000-0000-0000BC140000}"/>
    <cellStyle name="Финансовый 2 10 2 6 2 3" xfId="30616" xr:uid="{00000000-0005-0000-0000-0000BD140000}"/>
    <cellStyle name="Финансовый 2 10 2 6 3" xfId="12602" xr:uid="{00000000-0005-0000-0000-0000BE140000}"/>
    <cellStyle name="Финансовый 2 10 2 6 3 2" xfId="36557" xr:uid="{00000000-0005-0000-0000-0000BF140000}"/>
    <cellStyle name="Финансовый 2 10 2 6 4" xfId="24580" xr:uid="{00000000-0005-0000-0000-0000C0140000}"/>
    <cellStyle name="Финансовый 2 10 2 7" xfId="2810" xr:uid="{00000000-0005-0000-0000-0000C1140000}"/>
    <cellStyle name="Финансовый 2 10 2 7 2" xfId="14789" xr:uid="{00000000-0005-0000-0000-0000C2140000}"/>
    <cellStyle name="Финансовый 2 10 2 7 2 2" xfId="38744" xr:uid="{00000000-0005-0000-0000-0000C3140000}"/>
    <cellStyle name="Финансовый 2 10 2 7 3" xfId="26767" xr:uid="{00000000-0005-0000-0000-0000C4140000}"/>
    <cellStyle name="Финансовый 2 10 2 8" xfId="4454" xr:uid="{00000000-0005-0000-0000-0000C5140000}"/>
    <cellStyle name="Финансовый 2 10 2 8 2" xfId="16433" xr:uid="{00000000-0005-0000-0000-0000C6140000}"/>
    <cellStyle name="Финансовый 2 10 2 8 2 2" xfId="40388" xr:uid="{00000000-0005-0000-0000-0000C7140000}"/>
    <cellStyle name="Финансовый 2 10 2 8 3" xfId="28411" xr:uid="{00000000-0005-0000-0000-0000C8140000}"/>
    <cellStyle name="Финансовый 2 10 2 9" xfId="6241" xr:uid="{00000000-0005-0000-0000-0000C9140000}"/>
    <cellStyle name="Финансовый 2 10 2 9 2" xfId="18219" xr:uid="{00000000-0005-0000-0000-0000CA140000}"/>
    <cellStyle name="Финансовый 2 10 2 9 2 2" xfId="42174" xr:uid="{00000000-0005-0000-0000-0000CB140000}"/>
    <cellStyle name="Финансовый 2 10 2 9 3" xfId="30196" xr:uid="{00000000-0005-0000-0000-0000CC140000}"/>
    <cellStyle name="Финансовый 2 10 3" xfId="349" xr:uid="{00000000-0005-0000-0000-0000CD140000}"/>
    <cellStyle name="Финансовый 2 10 3 10" xfId="24308" xr:uid="{00000000-0005-0000-0000-0000CE140000}"/>
    <cellStyle name="Финансовый 2 10 3 11" xfId="48254" xr:uid="{00000000-0005-0000-0000-0000CF140000}"/>
    <cellStyle name="Финансовый 2 10 3 2" xfId="2136" xr:uid="{00000000-0005-0000-0000-0000D0140000}"/>
    <cellStyle name="Финансовый 2 10 3 2 2" xfId="3781" xr:uid="{00000000-0005-0000-0000-0000D1140000}"/>
    <cellStyle name="Финансовый 2 10 3 2 2 2" xfId="11521" xr:uid="{00000000-0005-0000-0000-0000D2140000}"/>
    <cellStyle name="Финансовый 2 10 3 2 2 2 2" xfId="23499" xr:uid="{00000000-0005-0000-0000-0000D3140000}"/>
    <cellStyle name="Финансовый 2 10 3 2 2 2 2 2" xfId="47454" xr:uid="{00000000-0005-0000-0000-0000D4140000}"/>
    <cellStyle name="Финансовый 2 10 3 2 2 2 3" xfId="35476" xr:uid="{00000000-0005-0000-0000-0000D5140000}"/>
    <cellStyle name="Финансовый 2 10 3 2 2 3" xfId="15760" xr:uid="{00000000-0005-0000-0000-0000D6140000}"/>
    <cellStyle name="Финансовый 2 10 3 2 2 3 2" xfId="39715" xr:uid="{00000000-0005-0000-0000-0000D7140000}"/>
    <cellStyle name="Финансовый 2 10 3 2 2 4" xfId="27738" xr:uid="{00000000-0005-0000-0000-0000D8140000}"/>
    <cellStyle name="Финансовый 2 10 3 2 2 5" xfId="51007" xr:uid="{00000000-0005-0000-0000-0000D9140000}"/>
    <cellStyle name="Финансовый 2 10 3 2 3" xfId="5564" xr:uid="{00000000-0005-0000-0000-0000DA140000}"/>
    <cellStyle name="Финансовый 2 10 3 2 3 2" xfId="17542" xr:uid="{00000000-0005-0000-0000-0000DB140000}"/>
    <cellStyle name="Финансовый 2 10 3 2 3 2 2" xfId="41497" xr:uid="{00000000-0005-0000-0000-0000DC140000}"/>
    <cellStyle name="Финансовый 2 10 3 2 3 3" xfId="29519" xr:uid="{00000000-0005-0000-0000-0000DD140000}"/>
    <cellStyle name="Финансовый 2 10 3 2 4" xfId="8174" xr:uid="{00000000-0005-0000-0000-0000DE140000}"/>
    <cellStyle name="Финансовый 2 10 3 2 4 2" xfId="20152" xr:uid="{00000000-0005-0000-0000-0000DF140000}"/>
    <cellStyle name="Финансовый 2 10 3 2 4 2 2" xfId="44107" xr:uid="{00000000-0005-0000-0000-0000E0140000}"/>
    <cellStyle name="Финансовый 2 10 3 2 4 3" xfId="32129" xr:uid="{00000000-0005-0000-0000-0000E1140000}"/>
    <cellStyle name="Финансовый 2 10 3 2 5" xfId="9957" xr:uid="{00000000-0005-0000-0000-0000E2140000}"/>
    <cellStyle name="Финансовый 2 10 3 2 5 2" xfId="21935" xr:uid="{00000000-0005-0000-0000-0000E3140000}"/>
    <cellStyle name="Финансовый 2 10 3 2 5 2 2" xfId="45890" xr:uid="{00000000-0005-0000-0000-0000E4140000}"/>
    <cellStyle name="Финансовый 2 10 3 2 5 3" xfId="33912" xr:uid="{00000000-0005-0000-0000-0000E5140000}"/>
    <cellStyle name="Финансовый 2 10 3 2 6" xfId="14115" xr:uid="{00000000-0005-0000-0000-0000E6140000}"/>
    <cellStyle name="Финансовый 2 10 3 2 6 2" xfId="38070" xr:uid="{00000000-0005-0000-0000-0000E7140000}"/>
    <cellStyle name="Финансовый 2 10 3 2 7" xfId="26093" xr:uid="{00000000-0005-0000-0000-0000E8140000}"/>
    <cellStyle name="Финансовый 2 10 3 2 8" xfId="49226" xr:uid="{00000000-0005-0000-0000-0000E9140000}"/>
    <cellStyle name="Финансовый 2 10 3 3" xfId="1169" xr:uid="{00000000-0005-0000-0000-0000EA140000}"/>
    <cellStyle name="Финансовый 2 10 3 3 2" xfId="7209" xr:uid="{00000000-0005-0000-0000-0000EB140000}"/>
    <cellStyle name="Финансовый 2 10 3 3 2 2" xfId="19187" xr:uid="{00000000-0005-0000-0000-0000EC140000}"/>
    <cellStyle name="Финансовый 2 10 3 3 2 2 2" xfId="43142" xr:uid="{00000000-0005-0000-0000-0000ED140000}"/>
    <cellStyle name="Финансовый 2 10 3 3 2 3" xfId="31164" xr:uid="{00000000-0005-0000-0000-0000EE140000}"/>
    <cellStyle name="Финансовый 2 10 3 3 3" xfId="10749" xr:uid="{00000000-0005-0000-0000-0000EF140000}"/>
    <cellStyle name="Финансовый 2 10 3 3 3 2" xfId="22727" xr:uid="{00000000-0005-0000-0000-0000F0140000}"/>
    <cellStyle name="Финансовый 2 10 3 3 3 2 2" xfId="46682" xr:uid="{00000000-0005-0000-0000-0000F1140000}"/>
    <cellStyle name="Финансовый 2 10 3 3 3 3" xfId="34704" xr:uid="{00000000-0005-0000-0000-0000F2140000}"/>
    <cellStyle name="Финансовый 2 10 3 3 4" xfId="13150" xr:uid="{00000000-0005-0000-0000-0000F3140000}"/>
    <cellStyle name="Финансовый 2 10 3 3 4 2" xfId="37105" xr:uid="{00000000-0005-0000-0000-0000F4140000}"/>
    <cellStyle name="Финансовый 2 10 3 3 5" xfId="25128" xr:uid="{00000000-0005-0000-0000-0000F5140000}"/>
    <cellStyle name="Финансовый 2 10 3 3 6" xfId="50034" xr:uid="{00000000-0005-0000-0000-0000F6140000}"/>
    <cellStyle name="Финансовый 2 10 3 4" xfId="769" xr:uid="{00000000-0005-0000-0000-0000F7140000}"/>
    <cellStyle name="Финансовый 2 10 3 4 2" xfId="6809" xr:uid="{00000000-0005-0000-0000-0000F8140000}"/>
    <cellStyle name="Финансовый 2 10 3 4 2 2" xfId="18787" xr:uid="{00000000-0005-0000-0000-0000F9140000}"/>
    <cellStyle name="Финансовый 2 10 3 4 2 2 2" xfId="42742" xr:uid="{00000000-0005-0000-0000-0000FA140000}"/>
    <cellStyle name="Финансовый 2 10 3 4 2 3" xfId="30764" xr:uid="{00000000-0005-0000-0000-0000FB140000}"/>
    <cellStyle name="Финансовый 2 10 3 4 3" xfId="12750" xr:uid="{00000000-0005-0000-0000-0000FC140000}"/>
    <cellStyle name="Финансовый 2 10 3 4 3 2" xfId="36705" xr:uid="{00000000-0005-0000-0000-0000FD140000}"/>
    <cellStyle name="Финансовый 2 10 3 4 4" xfId="24728" xr:uid="{00000000-0005-0000-0000-0000FE140000}"/>
    <cellStyle name="Финансовый 2 10 3 5" xfId="2946" xr:uid="{00000000-0005-0000-0000-0000FF140000}"/>
    <cellStyle name="Финансовый 2 10 3 5 2" xfId="14925" xr:uid="{00000000-0005-0000-0000-000000150000}"/>
    <cellStyle name="Финансовый 2 10 3 5 2 2" xfId="38880" xr:uid="{00000000-0005-0000-0000-000001150000}"/>
    <cellStyle name="Финансовый 2 10 3 5 3" xfId="26903" xr:uid="{00000000-0005-0000-0000-000002150000}"/>
    <cellStyle name="Финансовый 2 10 3 6" xfId="4590" xr:uid="{00000000-0005-0000-0000-000003150000}"/>
    <cellStyle name="Финансовый 2 10 3 6 2" xfId="16569" xr:uid="{00000000-0005-0000-0000-000004150000}"/>
    <cellStyle name="Финансовый 2 10 3 6 2 2" xfId="40524" xr:uid="{00000000-0005-0000-0000-000005150000}"/>
    <cellStyle name="Финансовый 2 10 3 6 3" xfId="28547" xr:uid="{00000000-0005-0000-0000-000006150000}"/>
    <cellStyle name="Финансовый 2 10 3 7" xfId="6389" xr:uid="{00000000-0005-0000-0000-000007150000}"/>
    <cellStyle name="Финансовый 2 10 3 7 2" xfId="18367" xr:uid="{00000000-0005-0000-0000-000008150000}"/>
    <cellStyle name="Финансовый 2 10 3 7 2 2" xfId="42322" xr:uid="{00000000-0005-0000-0000-000009150000}"/>
    <cellStyle name="Финансовый 2 10 3 7 3" xfId="30344" xr:uid="{00000000-0005-0000-0000-00000A150000}"/>
    <cellStyle name="Финансовый 2 10 3 8" xfId="8984" xr:uid="{00000000-0005-0000-0000-00000B150000}"/>
    <cellStyle name="Финансовый 2 10 3 8 2" xfId="20962" xr:uid="{00000000-0005-0000-0000-00000C150000}"/>
    <cellStyle name="Финансовый 2 10 3 8 2 2" xfId="44917" xr:uid="{00000000-0005-0000-0000-00000D150000}"/>
    <cellStyle name="Финансовый 2 10 3 8 3" xfId="32939" xr:uid="{00000000-0005-0000-0000-00000E150000}"/>
    <cellStyle name="Финансовый 2 10 3 9" xfId="12330" xr:uid="{00000000-0005-0000-0000-00000F150000}"/>
    <cellStyle name="Финансовый 2 10 3 9 2" xfId="36285" xr:uid="{00000000-0005-0000-0000-000010150000}"/>
    <cellStyle name="Финансовый 2 10 4" xfId="1448" xr:uid="{00000000-0005-0000-0000-000011150000}"/>
    <cellStyle name="Финансовый 2 10 4 2" xfId="1872" xr:uid="{00000000-0005-0000-0000-000012150000}"/>
    <cellStyle name="Финансовый 2 10 4 2 2" xfId="3517" xr:uid="{00000000-0005-0000-0000-000013150000}"/>
    <cellStyle name="Финансовый 2 10 4 2 2 2" xfId="11265" xr:uid="{00000000-0005-0000-0000-000014150000}"/>
    <cellStyle name="Финансовый 2 10 4 2 2 2 2" xfId="23243" xr:uid="{00000000-0005-0000-0000-000015150000}"/>
    <cellStyle name="Финансовый 2 10 4 2 2 2 2 2" xfId="47198" xr:uid="{00000000-0005-0000-0000-000016150000}"/>
    <cellStyle name="Финансовый 2 10 4 2 2 2 3" xfId="35220" xr:uid="{00000000-0005-0000-0000-000017150000}"/>
    <cellStyle name="Финансовый 2 10 4 2 2 3" xfId="15496" xr:uid="{00000000-0005-0000-0000-000018150000}"/>
    <cellStyle name="Финансовый 2 10 4 2 2 3 2" xfId="39451" xr:uid="{00000000-0005-0000-0000-000019150000}"/>
    <cellStyle name="Финансовый 2 10 4 2 2 4" xfId="27474" xr:uid="{00000000-0005-0000-0000-00001A150000}"/>
    <cellStyle name="Финансовый 2 10 4 2 2 5" xfId="50743" xr:uid="{00000000-0005-0000-0000-00001B150000}"/>
    <cellStyle name="Финансовый 2 10 4 2 3" xfId="5300" xr:uid="{00000000-0005-0000-0000-00001C150000}"/>
    <cellStyle name="Финансовый 2 10 4 2 3 2" xfId="17278" xr:uid="{00000000-0005-0000-0000-00001D150000}"/>
    <cellStyle name="Финансовый 2 10 4 2 3 2 2" xfId="41233" xr:uid="{00000000-0005-0000-0000-00001E150000}"/>
    <cellStyle name="Финансовый 2 10 4 2 3 3" xfId="29255" xr:uid="{00000000-0005-0000-0000-00001F150000}"/>
    <cellStyle name="Финансовый 2 10 4 2 4" xfId="7910" xr:uid="{00000000-0005-0000-0000-000020150000}"/>
    <cellStyle name="Финансовый 2 10 4 2 4 2" xfId="19888" xr:uid="{00000000-0005-0000-0000-000021150000}"/>
    <cellStyle name="Финансовый 2 10 4 2 4 2 2" xfId="43843" xr:uid="{00000000-0005-0000-0000-000022150000}"/>
    <cellStyle name="Финансовый 2 10 4 2 4 3" xfId="31865" xr:uid="{00000000-0005-0000-0000-000023150000}"/>
    <cellStyle name="Финансовый 2 10 4 2 5" xfId="9693" xr:uid="{00000000-0005-0000-0000-000024150000}"/>
    <cellStyle name="Финансовый 2 10 4 2 5 2" xfId="21671" xr:uid="{00000000-0005-0000-0000-000025150000}"/>
    <cellStyle name="Финансовый 2 10 4 2 5 2 2" xfId="45626" xr:uid="{00000000-0005-0000-0000-000026150000}"/>
    <cellStyle name="Финансовый 2 10 4 2 5 3" xfId="33648" xr:uid="{00000000-0005-0000-0000-000027150000}"/>
    <cellStyle name="Финансовый 2 10 4 2 6" xfId="13851" xr:uid="{00000000-0005-0000-0000-000028150000}"/>
    <cellStyle name="Финансовый 2 10 4 2 6 2" xfId="37806" xr:uid="{00000000-0005-0000-0000-000029150000}"/>
    <cellStyle name="Финансовый 2 10 4 2 7" xfId="25829" xr:uid="{00000000-0005-0000-0000-00002A150000}"/>
    <cellStyle name="Финансовый 2 10 4 2 8" xfId="48962" xr:uid="{00000000-0005-0000-0000-00002B150000}"/>
    <cellStyle name="Финансовый 2 10 4 3" xfId="4876" xr:uid="{00000000-0005-0000-0000-00002C150000}"/>
    <cellStyle name="Финансовый 2 10 4 3 2" xfId="16854" xr:uid="{00000000-0005-0000-0000-00002D150000}"/>
    <cellStyle name="Финансовый 2 10 4 3 2 2" xfId="40809" xr:uid="{00000000-0005-0000-0000-00002E150000}"/>
    <cellStyle name="Финансовый 2 10 4 3 3" xfId="28831" xr:uid="{00000000-0005-0000-0000-00002F150000}"/>
    <cellStyle name="Финансовый 2 10 4 3 4" xfId="50319" xr:uid="{00000000-0005-0000-0000-000030150000}"/>
    <cellStyle name="Финансовый 2 10 4 4" xfId="7486" xr:uid="{00000000-0005-0000-0000-000031150000}"/>
    <cellStyle name="Финансовый 2 10 4 4 2" xfId="19464" xr:uid="{00000000-0005-0000-0000-000032150000}"/>
    <cellStyle name="Финансовый 2 10 4 4 2 2" xfId="43419" xr:uid="{00000000-0005-0000-0000-000033150000}"/>
    <cellStyle name="Финансовый 2 10 4 4 3" xfId="31441" xr:uid="{00000000-0005-0000-0000-000034150000}"/>
    <cellStyle name="Финансовый 2 10 4 5" xfId="9269" xr:uid="{00000000-0005-0000-0000-000035150000}"/>
    <cellStyle name="Финансовый 2 10 4 5 2" xfId="21247" xr:uid="{00000000-0005-0000-0000-000036150000}"/>
    <cellStyle name="Финансовый 2 10 4 5 2 2" xfId="45202" xr:uid="{00000000-0005-0000-0000-000037150000}"/>
    <cellStyle name="Финансовый 2 10 4 5 3" xfId="33224" xr:uid="{00000000-0005-0000-0000-000038150000}"/>
    <cellStyle name="Финансовый 2 10 4 6" xfId="13427" xr:uid="{00000000-0005-0000-0000-000039150000}"/>
    <cellStyle name="Финансовый 2 10 4 6 2" xfId="37382" xr:uid="{00000000-0005-0000-0000-00003A150000}"/>
    <cellStyle name="Финансовый 2 10 4 7" xfId="25405" xr:uid="{00000000-0005-0000-0000-00003B150000}"/>
    <cellStyle name="Финансовый 2 10 4 8" xfId="48538" xr:uid="{00000000-0005-0000-0000-00003C150000}"/>
    <cellStyle name="Финансовый 2 10 5" xfId="1756" xr:uid="{00000000-0005-0000-0000-00003D150000}"/>
    <cellStyle name="Финансовый 2 10 5 2" xfId="3401" xr:uid="{00000000-0005-0000-0000-00003E150000}"/>
    <cellStyle name="Финансовый 2 10 5 2 2" xfId="11149" xr:uid="{00000000-0005-0000-0000-00003F150000}"/>
    <cellStyle name="Финансовый 2 10 5 2 2 2" xfId="23127" xr:uid="{00000000-0005-0000-0000-000040150000}"/>
    <cellStyle name="Финансовый 2 10 5 2 2 2 2" xfId="47082" xr:uid="{00000000-0005-0000-0000-000041150000}"/>
    <cellStyle name="Финансовый 2 10 5 2 2 3" xfId="35104" xr:uid="{00000000-0005-0000-0000-000042150000}"/>
    <cellStyle name="Финансовый 2 10 5 2 3" xfId="15380" xr:uid="{00000000-0005-0000-0000-000043150000}"/>
    <cellStyle name="Финансовый 2 10 5 2 3 2" xfId="39335" xr:uid="{00000000-0005-0000-0000-000044150000}"/>
    <cellStyle name="Финансовый 2 10 5 2 4" xfId="27358" xr:uid="{00000000-0005-0000-0000-000045150000}"/>
    <cellStyle name="Финансовый 2 10 5 2 5" xfId="50627" xr:uid="{00000000-0005-0000-0000-000046150000}"/>
    <cellStyle name="Финансовый 2 10 5 3" xfId="5184" xr:uid="{00000000-0005-0000-0000-000047150000}"/>
    <cellStyle name="Финансовый 2 10 5 3 2" xfId="17162" xr:uid="{00000000-0005-0000-0000-000048150000}"/>
    <cellStyle name="Финансовый 2 10 5 3 2 2" xfId="41117" xr:uid="{00000000-0005-0000-0000-000049150000}"/>
    <cellStyle name="Финансовый 2 10 5 3 3" xfId="29139" xr:uid="{00000000-0005-0000-0000-00004A150000}"/>
    <cellStyle name="Финансовый 2 10 5 4" xfId="7794" xr:uid="{00000000-0005-0000-0000-00004B150000}"/>
    <cellStyle name="Финансовый 2 10 5 4 2" xfId="19772" xr:uid="{00000000-0005-0000-0000-00004C150000}"/>
    <cellStyle name="Финансовый 2 10 5 4 2 2" xfId="43727" xr:uid="{00000000-0005-0000-0000-00004D150000}"/>
    <cellStyle name="Финансовый 2 10 5 4 3" xfId="31749" xr:uid="{00000000-0005-0000-0000-00004E150000}"/>
    <cellStyle name="Финансовый 2 10 5 5" xfId="9577" xr:uid="{00000000-0005-0000-0000-00004F150000}"/>
    <cellStyle name="Финансовый 2 10 5 5 2" xfId="21555" xr:uid="{00000000-0005-0000-0000-000050150000}"/>
    <cellStyle name="Финансовый 2 10 5 5 2 2" xfId="45510" xr:uid="{00000000-0005-0000-0000-000051150000}"/>
    <cellStyle name="Финансовый 2 10 5 5 3" xfId="33532" xr:uid="{00000000-0005-0000-0000-000052150000}"/>
    <cellStyle name="Финансовый 2 10 5 6" xfId="13735" xr:uid="{00000000-0005-0000-0000-000053150000}"/>
    <cellStyle name="Финансовый 2 10 5 6 2" xfId="37690" xr:uid="{00000000-0005-0000-0000-000054150000}"/>
    <cellStyle name="Финансовый 2 10 5 7" xfId="25713" xr:uid="{00000000-0005-0000-0000-000055150000}"/>
    <cellStyle name="Финансовый 2 10 5 8" xfId="48846" xr:uid="{00000000-0005-0000-0000-000056150000}"/>
    <cellStyle name="Финансовый 2 10 6" xfId="2392" xr:uid="{00000000-0005-0000-0000-000057150000}"/>
    <cellStyle name="Финансовый 2 10 6 2" xfId="4037" xr:uid="{00000000-0005-0000-0000-000058150000}"/>
    <cellStyle name="Финансовый 2 10 6 2 2" xfId="11777" xr:uid="{00000000-0005-0000-0000-000059150000}"/>
    <cellStyle name="Финансовый 2 10 6 2 2 2" xfId="23755" xr:uid="{00000000-0005-0000-0000-00005A150000}"/>
    <cellStyle name="Финансовый 2 10 6 2 2 2 2" xfId="47710" xr:uid="{00000000-0005-0000-0000-00005B150000}"/>
    <cellStyle name="Финансовый 2 10 6 2 2 3" xfId="35732" xr:uid="{00000000-0005-0000-0000-00005C150000}"/>
    <cellStyle name="Финансовый 2 10 6 2 3" xfId="16016" xr:uid="{00000000-0005-0000-0000-00005D150000}"/>
    <cellStyle name="Финансовый 2 10 6 2 3 2" xfId="39971" xr:uid="{00000000-0005-0000-0000-00005E150000}"/>
    <cellStyle name="Финансовый 2 10 6 2 4" xfId="27994" xr:uid="{00000000-0005-0000-0000-00005F150000}"/>
    <cellStyle name="Финансовый 2 10 6 2 5" xfId="51263" xr:uid="{00000000-0005-0000-0000-000060150000}"/>
    <cellStyle name="Финансовый 2 10 6 3" xfId="5820" xr:uid="{00000000-0005-0000-0000-000061150000}"/>
    <cellStyle name="Финансовый 2 10 6 3 2" xfId="17798" xr:uid="{00000000-0005-0000-0000-000062150000}"/>
    <cellStyle name="Финансовый 2 10 6 3 2 2" xfId="41753" xr:uid="{00000000-0005-0000-0000-000063150000}"/>
    <cellStyle name="Финансовый 2 10 6 3 3" xfId="29775" xr:uid="{00000000-0005-0000-0000-000064150000}"/>
    <cellStyle name="Финансовый 2 10 6 4" xfId="8430" xr:uid="{00000000-0005-0000-0000-000065150000}"/>
    <cellStyle name="Финансовый 2 10 6 4 2" xfId="20408" xr:uid="{00000000-0005-0000-0000-000066150000}"/>
    <cellStyle name="Финансовый 2 10 6 4 2 2" xfId="44363" xr:uid="{00000000-0005-0000-0000-000067150000}"/>
    <cellStyle name="Финансовый 2 10 6 4 3" xfId="32385" xr:uid="{00000000-0005-0000-0000-000068150000}"/>
    <cellStyle name="Финансовый 2 10 6 5" xfId="10213" xr:uid="{00000000-0005-0000-0000-000069150000}"/>
    <cellStyle name="Финансовый 2 10 6 5 2" xfId="22191" xr:uid="{00000000-0005-0000-0000-00006A150000}"/>
    <cellStyle name="Финансовый 2 10 6 5 2 2" xfId="46146" xr:uid="{00000000-0005-0000-0000-00006B150000}"/>
    <cellStyle name="Финансовый 2 10 6 5 3" xfId="34168" xr:uid="{00000000-0005-0000-0000-00006C150000}"/>
    <cellStyle name="Финансовый 2 10 6 6" xfId="14371" xr:uid="{00000000-0005-0000-0000-00006D150000}"/>
    <cellStyle name="Финансовый 2 10 6 6 2" xfId="38326" xr:uid="{00000000-0005-0000-0000-00006E150000}"/>
    <cellStyle name="Финансовый 2 10 6 7" xfId="26349" xr:uid="{00000000-0005-0000-0000-00006F150000}"/>
    <cellStyle name="Финансовый 2 10 6 8" xfId="49482" xr:uid="{00000000-0005-0000-0000-000070150000}"/>
    <cellStyle name="Финансовый 2 10 7" xfId="1619" xr:uid="{00000000-0005-0000-0000-000071150000}"/>
    <cellStyle name="Финансовый 2 10 7 2" xfId="3264" xr:uid="{00000000-0005-0000-0000-000072150000}"/>
    <cellStyle name="Финансовый 2 10 7 2 2" xfId="11020" xr:uid="{00000000-0005-0000-0000-000073150000}"/>
    <cellStyle name="Финансовый 2 10 7 2 2 2" xfId="22998" xr:uid="{00000000-0005-0000-0000-000074150000}"/>
    <cellStyle name="Финансовый 2 10 7 2 2 2 2" xfId="46953" xr:uid="{00000000-0005-0000-0000-000075150000}"/>
    <cellStyle name="Финансовый 2 10 7 2 2 3" xfId="34975" xr:uid="{00000000-0005-0000-0000-000076150000}"/>
    <cellStyle name="Финансовый 2 10 7 2 3" xfId="15243" xr:uid="{00000000-0005-0000-0000-000077150000}"/>
    <cellStyle name="Финансовый 2 10 7 2 3 2" xfId="39198" xr:uid="{00000000-0005-0000-0000-000078150000}"/>
    <cellStyle name="Финансовый 2 10 7 2 4" xfId="27221" xr:uid="{00000000-0005-0000-0000-000079150000}"/>
    <cellStyle name="Финансовый 2 10 7 2 5" xfId="50490" xr:uid="{00000000-0005-0000-0000-00007A150000}"/>
    <cellStyle name="Финансовый 2 10 7 3" xfId="5047" xr:uid="{00000000-0005-0000-0000-00007B150000}"/>
    <cellStyle name="Финансовый 2 10 7 3 2" xfId="17025" xr:uid="{00000000-0005-0000-0000-00007C150000}"/>
    <cellStyle name="Финансовый 2 10 7 3 2 2" xfId="40980" xr:uid="{00000000-0005-0000-0000-00007D150000}"/>
    <cellStyle name="Финансовый 2 10 7 3 3" xfId="29002" xr:uid="{00000000-0005-0000-0000-00007E150000}"/>
    <cellStyle name="Финансовый 2 10 7 4" xfId="7657" xr:uid="{00000000-0005-0000-0000-00007F150000}"/>
    <cellStyle name="Финансовый 2 10 7 4 2" xfId="19635" xr:uid="{00000000-0005-0000-0000-000080150000}"/>
    <cellStyle name="Финансовый 2 10 7 4 2 2" xfId="43590" xr:uid="{00000000-0005-0000-0000-000081150000}"/>
    <cellStyle name="Финансовый 2 10 7 4 3" xfId="31612" xr:uid="{00000000-0005-0000-0000-000082150000}"/>
    <cellStyle name="Финансовый 2 10 7 5" xfId="9440" xr:uid="{00000000-0005-0000-0000-000083150000}"/>
    <cellStyle name="Финансовый 2 10 7 5 2" xfId="21418" xr:uid="{00000000-0005-0000-0000-000084150000}"/>
    <cellStyle name="Финансовый 2 10 7 5 2 2" xfId="45373" xr:uid="{00000000-0005-0000-0000-000085150000}"/>
    <cellStyle name="Финансовый 2 10 7 5 3" xfId="33395" xr:uid="{00000000-0005-0000-0000-000086150000}"/>
    <cellStyle name="Финансовый 2 10 7 6" xfId="13598" xr:uid="{00000000-0005-0000-0000-000087150000}"/>
    <cellStyle name="Финансовый 2 10 7 6 2" xfId="37553" xr:uid="{00000000-0005-0000-0000-000088150000}"/>
    <cellStyle name="Финансовый 2 10 7 7" xfId="25576" xr:uid="{00000000-0005-0000-0000-000089150000}"/>
    <cellStyle name="Финансовый 2 10 7 8" xfId="48709" xr:uid="{00000000-0005-0000-0000-00008A150000}"/>
    <cellStyle name="Финансовый 2 10 8" xfId="905" xr:uid="{00000000-0005-0000-0000-00008B150000}"/>
    <cellStyle name="Финансовый 2 10 8 2" xfId="6945" xr:uid="{00000000-0005-0000-0000-00008C150000}"/>
    <cellStyle name="Финансовый 2 10 8 2 2" xfId="18923" xr:uid="{00000000-0005-0000-0000-00008D150000}"/>
    <cellStyle name="Финансовый 2 10 8 2 2 2" xfId="42878" xr:uid="{00000000-0005-0000-0000-00008E150000}"/>
    <cellStyle name="Финансовый 2 10 8 2 3" xfId="30900" xr:uid="{00000000-0005-0000-0000-00008F150000}"/>
    <cellStyle name="Финансовый 2 10 8 3" xfId="10493" xr:uid="{00000000-0005-0000-0000-000090150000}"/>
    <cellStyle name="Финансовый 2 10 8 3 2" xfId="22471" xr:uid="{00000000-0005-0000-0000-000091150000}"/>
    <cellStyle name="Финансовый 2 10 8 3 2 2" xfId="46426" xr:uid="{00000000-0005-0000-0000-000092150000}"/>
    <cellStyle name="Финансовый 2 10 8 3 3" xfId="34448" xr:uid="{00000000-0005-0000-0000-000093150000}"/>
    <cellStyle name="Финансовый 2 10 8 4" xfId="12886" xr:uid="{00000000-0005-0000-0000-000094150000}"/>
    <cellStyle name="Финансовый 2 10 8 4 2" xfId="36841" xr:uid="{00000000-0005-0000-0000-000095150000}"/>
    <cellStyle name="Финансовый 2 10 8 5" xfId="24864" xr:uid="{00000000-0005-0000-0000-000096150000}"/>
    <cellStyle name="Финансовый 2 10 8 6" xfId="49762" xr:uid="{00000000-0005-0000-0000-000097150000}"/>
    <cellStyle name="Финансовый 2 10 9" xfId="485" xr:uid="{00000000-0005-0000-0000-000098150000}"/>
    <cellStyle name="Финансовый 2 10 9 2" xfId="6525" xr:uid="{00000000-0005-0000-0000-000099150000}"/>
    <cellStyle name="Финансовый 2 10 9 2 2" xfId="18503" xr:uid="{00000000-0005-0000-0000-00009A150000}"/>
    <cellStyle name="Финансовый 2 10 9 2 2 2" xfId="42458" xr:uid="{00000000-0005-0000-0000-00009B150000}"/>
    <cellStyle name="Финансовый 2 10 9 2 3" xfId="30480" xr:uid="{00000000-0005-0000-0000-00009C150000}"/>
    <cellStyle name="Финансовый 2 10 9 3" xfId="12466" xr:uid="{00000000-0005-0000-0000-00009D150000}"/>
    <cellStyle name="Финансовый 2 10 9 3 2" xfId="36421" xr:uid="{00000000-0005-0000-0000-00009E150000}"/>
    <cellStyle name="Финансовый 2 10 9 4" xfId="24444" xr:uid="{00000000-0005-0000-0000-00009F150000}"/>
    <cellStyle name="Финансовый 2 11" xfId="50" xr:uid="{00000000-0005-0000-0000-0000A0150000}"/>
    <cellStyle name="Финансовый 2 11 10" xfId="2662" xr:uid="{00000000-0005-0000-0000-0000A1150000}"/>
    <cellStyle name="Финансовый 2 11 10 2" xfId="14641" xr:uid="{00000000-0005-0000-0000-0000A2150000}"/>
    <cellStyle name="Финансовый 2 11 10 2 2" xfId="38596" xr:uid="{00000000-0005-0000-0000-0000A3150000}"/>
    <cellStyle name="Финансовый 2 11 10 3" xfId="26619" xr:uid="{00000000-0005-0000-0000-0000A4150000}"/>
    <cellStyle name="Финансовый 2 11 11" xfId="4305" xr:uid="{00000000-0005-0000-0000-0000A5150000}"/>
    <cellStyle name="Финансовый 2 11 11 2" xfId="16284" xr:uid="{00000000-0005-0000-0000-0000A6150000}"/>
    <cellStyle name="Финансовый 2 11 11 2 2" xfId="40239" xr:uid="{00000000-0005-0000-0000-0000A7150000}"/>
    <cellStyle name="Финансовый 2 11 11 3" xfId="28262" xr:uid="{00000000-0005-0000-0000-0000A8150000}"/>
    <cellStyle name="Финансовый 2 11 12" xfId="6093" xr:uid="{00000000-0005-0000-0000-0000A9150000}"/>
    <cellStyle name="Финансовый 2 11 12 2" xfId="18071" xr:uid="{00000000-0005-0000-0000-0000AA150000}"/>
    <cellStyle name="Финансовый 2 11 12 2 2" xfId="42026" xr:uid="{00000000-0005-0000-0000-0000AB150000}"/>
    <cellStyle name="Финансовый 2 11 12 3" xfId="30048" xr:uid="{00000000-0005-0000-0000-0000AC150000}"/>
    <cellStyle name="Финансовый 2 11 13" xfId="8700" xr:uid="{00000000-0005-0000-0000-0000AD150000}"/>
    <cellStyle name="Финансовый 2 11 13 2" xfId="20678" xr:uid="{00000000-0005-0000-0000-0000AE150000}"/>
    <cellStyle name="Финансовый 2 11 13 2 2" xfId="44633" xr:uid="{00000000-0005-0000-0000-0000AF150000}"/>
    <cellStyle name="Финансовый 2 11 13 3" xfId="32655" xr:uid="{00000000-0005-0000-0000-0000B0150000}"/>
    <cellStyle name="Финансовый 2 11 14" xfId="12034" xr:uid="{00000000-0005-0000-0000-0000B1150000}"/>
    <cellStyle name="Финансовый 2 11 14 2" xfId="35989" xr:uid="{00000000-0005-0000-0000-0000B2150000}"/>
    <cellStyle name="Финансовый 2 11 15" xfId="24012" xr:uid="{00000000-0005-0000-0000-0000B3150000}"/>
    <cellStyle name="Финансовый 2 11 16" xfId="47970" xr:uid="{00000000-0005-0000-0000-0000B4150000}"/>
    <cellStyle name="Финансовый 2 11 2" xfId="188" xr:uid="{00000000-0005-0000-0000-0000B5150000}"/>
    <cellStyle name="Финансовый 2 11 2 10" xfId="8836" xr:uid="{00000000-0005-0000-0000-0000B6150000}"/>
    <cellStyle name="Финансовый 2 11 2 10 2" xfId="20814" xr:uid="{00000000-0005-0000-0000-0000B7150000}"/>
    <cellStyle name="Финансовый 2 11 2 10 2 2" xfId="44769" xr:uid="{00000000-0005-0000-0000-0000B8150000}"/>
    <cellStyle name="Финансовый 2 11 2 10 3" xfId="32791" xr:uid="{00000000-0005-0000-0000-0000B9150000}"/>
    <cellStyle name="Финансовый 2 11 2 11" xfId="12170" xr:uid="{00000000-0005-0000-0000-0000BA150000}"/>
    <cellStyle name="Финансовый 2 11 2 11 2" xfId="36125" xr:uid="{00000000-0005-0000-0000-0000BB150000}"/>
    <cellStyle name="Финансовый 2 11 2 12" xfId="24148" xr:uid="{00000000-0005-0000-0000-0000BC150000}"/>
    <cellStyle name="Финансовый 2 11 2 13" xfId="48106" xr:uid="{00000000-0005-0000-0000-0000BD150000}"/>
    <cellStyle name="Финансовый 2 11 2 2" xfId="1286" xr:uid="{00000000-0005-0000-0000-0000BE150000}"/>
    <cellStyle name="Финансовый 2 11 2 2 2" xfId="2252" xr:uid="{00000000-0005-0000-0000-0000BF150000}"/>
    <cellStyle name="Финансовый 2 11 2 2 2 2" xfId="3897" xr:uid="{00000000-0005-0000-0000-0000C0150000}"/>
    <cellStyle name="Финансовый 2 11 2 2 2 2 2" xfId="11637" xr:uid="{00000000-0005-0000-0000-0000C1150000}"/>
    <cellStyle name="Финансовый 2 11 2 2 2 2 2 2" xfId="23615" xr:uid="{00000000-0005-0000-0000-0000C2150000}"/>
    <cellStyle name="Финансовый 2 11 2 2 2 2 2 2 2" xfId="47570" xr:uid="{00000000-0005-0000-0000-0000C3150000}"/>
    <cellStyle name="Финансовый 2 11 2 2 2 2 2 3" xfId="35592" xr:uid="{00000000-0005-0000-0000-0000C4150000}"/>
    <cellStyle name="Финансовый 2 11 2 2 2 2 3" xfId="15876" xr:uid="{00000000-0005-0000-0000-0000C5150000}"/>
    <cellStyle name="Финансовый 2 11 2 2 2 2 3 2" xfId="39831" xr:uid="{00000000-0005-0000-0000-0000C6150000}"/>
    <cellStyle name="Финансовый 2 11 2 2 2 2 4" xfId="27854" xr:uid="{00000000-0005-0000-0000-0000C7150000}"/>
    <cellStyle name="Финансовый 2 11 2 2 2 2 5" xfId="51123" xr:uid="{00000000-0005-0000-0000-0000C8150000}"/>
    <cellStyle name="Финансовый 2 11 2 2 2 3" xfId="5680" xr:uid="{00000000-0005-0000-0000-0000C9150000}"/>
    <cellStyle name="Финансовый 2 11 2 2 2 3 2" xfId="17658" xr:uid="{00000000-0005-0000-0000-0000CA150000}"/>
    <cellStyle name="Финансовый 2 11 2 2 2 3 2 2" xfId="41613" xr:uid="{00000000-0005-0000-0000-0000CB150000}"/>
    <cellStyle name="Финансовый 2 11 2 2 2 3 3" xfId="29635" xr:uid="{00000000-0005-0000-0000-0000CC150000}"/>
    <cellStyle name="Финансовый 2 11 2 2 2 4" xfId="8290" xr:uid="{00000000-0005-0000-0000-0000CD150000}"/>
    <cellStyle name="Финансовый 2 11 2 2 2 4 2" xfId="20268" xr:uid="{00000000-0005-0000-0000-0000CE150000}"/>
    <cellStyle name="Финансовый 2 11 2 2 2 4 2 2" xfId="44223" xr:uid="{00000000-0005-0000-0000-0000CF150000}"/>
    <cellStyle name="Финансовый 2 11 2 2 2 4 3" xfId="32245" xr:uid="{00000000-0005-0000-0000-0000D0150000}"/>
    <cellStyle name="Финансовый 2 11 2 2 2 5" xfId="10073" xr:uid="{00000000-0005-0000-0000-0000D1150000}"/>
    <cellStyle name="Финансовый 2 11 2 2 2 5 2" xfId="22051" xr:uid="{00000000-0005-0000-0000-0000D2150000}"/>
    <cellStyle name="Финансовый 2 11 2 2 2 5 2 2" xfId="46006" xr:uid="{00000000-0005-0000-0000-0000D3150000}"/>
    <cellStyle name="Финансовый 2 11 2 2 2 5 3" xfId="34028" xr:uid="{00000000-0005-0000-0000-0000D4150000}"/>
    <cellStyle name="Финансовый 2 11 2 2 2 6" xfId="14231" xr:uid="{00000000-0005-0000-0000-0000D5150000}"/>
    <cellStyle name="Финансовый 2 11 2 2 2 6 2" xfId="38186" xr:uid="{00000000-0005-0000-0000-0000D6150000}"/>
    <cellStyle name="Финансовый 2 11 2 2 2 7" xfId="26209" xr:uid="{00000000-0005-0000-0000-0000D7150000}"/>
    <cellStyle name="Финансовый 2 11 2 2 2 8" xfId="49342" xr:uid="{00000000-0005-0000-0000-0000D8150000}"/>
    <cellStyle name="Финансовый 2 11 2 2 3" xfId="3070" xr:uid="{00000000-0005-0000-0000-0000D9150000}"/>
    <cellStyle name="Финансовый 2 11 2 2 3 2" xfId="10865" xr:uid="{00000000-0005-0000-0000-0000DA150000}"/>
    <cellStyle name="Финансовый 2 11 2 2 3 2 2" xfId="22843" xr:uid="{00000000-0005-0000-0000-0000DB150000}"/>
    <cellStyle name="Финансовый 2 11 2 2 3 2 2 2" xfId="46798" xr:uid="{00000000-0005-0000-0000-0000DC150000}"/>
    <cellStyle name="Финансовый 2 11 2 2 3 2 3" xfId="34820" xr:uid="{00000000-0005-0000-0000-0000DD150000}"/>
    <cellStyle name="Финансовый 2 11 2 2 3 3" xfId="15049" xr:uid="{00000000-0005-0000-0000-0000DE150000}"/>
    <cellStyle name="Финансовый 2 11 2 2 3 3 2" xfId="39004" xr:uid="{00000000-0005-0000-0000-0000DF150000}"/>
    <cellStyle name="Финансовый 2 11 2 2 3 4" xfId="27027" xr:uid="{00000000-0005-0000-0000-0000E0150000}"/>
    <cellStyle name="Финансовый 2 11 2 2 3 5" xfId="50158" xr:uid="{00000000-0005-0000-0000-0000E1150000}"/>
    <cellStyle name="Финансовый 2 11 2 2 4" xfId="4714" xr:uid="{00000000-0005-0000-0000-0000E2150000}"/>
    <cellStyle name="Финансовый 2 11 2 2 4 2" xfId="16693" xr:uid="{00000000-0005-0000-0000-0000E3150000}"/>
    <cellStyle name="Финансовый 2 11 2 2 4 2 2" xfId="40648" xr:uid="{00000000-0005-0000-0000-0000E4150000}"/>
    <cellStyle name="Финансовый 2 11 2 2 4 3" xfId="28671" xr:uid="{00000000-0005-0000-0000-0000E5150000}"/>
    <cellStyle name="Финансовый 2 11 2 2 5" xfId="7326" xr:uid="{00000000-0005-0000-0000-0000E6150000}"/>
    <cellStyle name="Финансовый 2 11 2 2 5 2" xfId="19304" xr:uid="{00000000-0005-0000-0000-0000E7150000}"/>
    <cellStyle name="Финансовый 2 11 2 2 5 2 2" xfId="43259" xr:uid="{00000000-0005-0000-0000-0000E8150000}"/>
    <cellStyle name="Финансовый 2 11 2 2 5 3" xfId="31281" xr:uid="{00000000-0005-0000-0000-0000E9150000}"/>
    <cellStyle name="Финансовый 2 11 2 2 6" xfId="9108" xr:uid="{00000000-0005-0000-0000-0000EA150000}"/>
    <cellStyle name="Финансовый 2 11 2 2 6 2" xfId="21086" xr:uid="{00000000-0005-0000-0000-0000EB150000}"/>
    <cellStyle name="Финансовый 2 11 2 2 6 2 2" xfId="45041" xr:uid="{00000000-0005-0000-0000-0000EC150000}"/>
    <cellStyle name="Финансовый 2 11 2 2 6 3" xfId="33063" xr:uid="{00000000-0005-0000-0000-0000ED150000}"/>
    <cellStyle name="Финансовый 2 11 2 2 7" xfId="13267" xr:uid="{00000000-0005-0000-0000-0000EE150000}"/>
    <cellStyle name="Финансовый 2 11 2 2 7 2" xfId="37222" xr:uid="{00000000-0005-0000-0000-0000EF150000}"/>
    <cellStyle name="Финансовый 2 11 2 2 8" xfId="25245" xr:uid="{00000000-0005-0000-0000-0000F0150000}"/>
    <cellStyle name="Финансовый 2 11 2 2 9" xfId="48378" xr:uid="{00000000-0005-0000-0000-0000F1150000}"/>
    <cellStyle name="Финансовый 2 11 2 3" xfId="1996" xr:uid="{00000000-0005-0000-0000-0000F2150000}"/>
    <cellStyle name="Финансовый 2 11 2 3 2" xfId="3641" xr:uid="{00000000-0005-0000-0000-0000F3150000}"/>
    <cellStyle name="Финансовый 2 11 2 3 2 2" xfId="11381" xr:uid="{00000000-0005-0000-0000-0000F4150000}"/>
    <cellStyle name="Финансовый 2 11 2 3 2 2 2" xfId="23359" xr:uid="{00000000-0005-0000-0000-0000F5150000}"/>
    <cellStyle name="Финансовый 2 11 2 3 2 2 2 2" xfId="47314" xr:uid="{00000000-0005-0000-0000-0000F6150000}"/>
    <cellStyle name="Финансовый 2 11 2 3 2 2 3" xfId="35336" xr:uid="{00000000-0005-0000-0000-0000F7150000}"/>
    <cellStyle name="Финансовый 2 11 2 3 2 3" xfId="15620" xr:uid="{00000000-0005-0000-0000-0000F8150000}"/>
    <cellStyle name="Финансовый 2 11 2 3 2 3 2" xfId="39575" xr:uid="{00000000-0005-0000-0000-0000F9150000}"/>
    <cellStyle name="Финансовый 2 11 2 3 2 4" xfId="27598" xr:uid="{00000000-0005-0000-0000-0000FA150000}"/>
    <cellStyle name="Финансовый 2 11 2 3 2 5" xfId="50867" xr:uid="{00000000-0005-0000-0000-0000FB150000}"/>
    <cellStyle name="Финансовый 2 11 2 3 3" xfId="5424" xr:uid="{00000000-0005-0000-0000-0000FC150000}"/>
    <cellStyle name="Финансовый 2 11 2 3 3 2" xfId="17402" xr:uid="{00000000-0005-0000-0000-0000FD150000}"/>
    <cellStyle name="Финансовый 2 11 2 3 3 2 2" xfId="41357" xr:uid="{00000000-0005-0000-0000-0000FE150000}"/>
    <cellStyle name="Финансовый 2 11 2 3 3 3" xfId="29379" xr:uid="{00000000-0005-0000-0000-0000FF150000}"/>
    <cellStyle name="Финансовый 2 11 2 3 4" xfId="8034" xr:uid="{00000000-0005-0000-0000-000000160000}"/>
    <cellStyle name="Финансовый 2 11 2 3 4 2" xfId="20012" xr:uid="{00000000-0005-0000-0000-000001160000}"/>
    <cellStyle name="Финансовый 2 11 2 3 4 2 2" xfId="43967" xr:uid="{00000000-0005-0000-0000-000002160000}"/>
    <cellStyle name="Финансовый 2 11 2 3 4 3" xfId="31989" xr:uid="{00000000-0005-0000-0000-000003160000}"/>
    <cellStyle name="Финансовый 2 11 2 3 5" xfId="9817" xr:uid="{00000000-0005-0000-0000-000004160000}"/>
    <cellStyle name="Финансовый 2 11 2 3 5 2" xfId="21795" xr:uid="{00000000-0005-0000-0000-000005160000}"/>
    <cellStyle name="Финансовый 2 11 2 3 5 2 2" xfId="45750" xr:uid="{00000000-0005-0000-0000-000006160000}"/>
    <cellStyle name="Финансовый 2 11 2 3 5 3" xfId="33772" xr:uid="{00000000-0005-0000-0000-000007160000}"/>
    <cellStyle name="Финансовый 2 11 2 3 6" xfId="13975" xr:uid="{00000000-0005-0000-0000-000008160000}"/>
    <cellStyle name="Финансовый 2 11 2 3 6 2" xfId="37930" xr:uid="{00000000-0005-0000-0000-000009160000}"/>
    <cellStyle name="Финансовый 2 11 2 3 7" xfId="25953" xr:uid="{00000000-0005-0000-0000-00000A160000}"/>
    <cellStyle name="Финансовый 2 11 2 3 8" xfId="49086" xr:uid="{00000000-0005-0000-0000-00000B160000}"/>
    <cellStyle name="Финансовый 2 11 2 4" xfId="2517" xr:uid="{00000000-0005-0000-0000-00000C160000}"/>
    <cellStyle name="Финансовый 2 11 2 4 2" xfId="4162" xr:uid="{00000000-0005-0000-0000-00000D160000}"/>
    <cellStyle name="Финансовый 2 11 2 4 2 2" xfId="11894" xr:uid="{00000000-0005-0000-0000-00000E160000}"/>
    <cellStyle name="Финансовый 2 11 2 4 2 2 2" xfId="23872" xr:uid="{00000000-0005-0000-0000-00000F160000}"/>
    <cellStyle name="Финансовый 2 11 2 4 2 2 2 2" xfId="47827" xr:uid="{00000000-0005-0000-0000-000010160000}"/>
    <cellStyle name="Финансовый 2 11 2 4 2 2 3" xfId="35849" xr:uid="{00000000-0005-0000-0000-000011160000}"/>
    <cellStyle name="Финансовый 2 11 2 4 2 3" xfId="16141" xr:uid="{00000000-0005-0000-0000-000012160000}"/>
    <cellStyle name="Финансовый 2 11 2 4 2 3 2" xfId="40096" xr:uid="{00000000-0005-0000-0000-000013160000}"/>
    <cellStyle name="Финансовый 2 11 2 4 2 4" xfId="28119" xr:uid="{00000000-0005-0000-0000-000014160000}"/>
    <cellStyle name="Финансовый 2 11 2 4 2 5" xfId="51388" xr:uid="{00000000-0005-0000-0000-000015160000}"/>
    <cellStyle name="Финансовый 2 11 2 4 3" xfId="5945" xr:uid="{00000000-0005-0000-0000-000016160000}"/>
    <cellStyle name="Финансовый 2 11 2 4 3 2" xfId="17923" xr:uid="{00000000-0005-0000-0000-000017160000}"/>
    <cellStyle name="Финансовый 2 11 2 4 3 2 2" xfId="41878" xr:uid="{00000000-0005-0000-0000-000018160000}"/>
    <cellStyle name="Финансовый 2 11 2 4 3 3" xfId="29900" xr:uid="{00000000-0005-0000-0000-000019160000}"/>
    <cellStyle name="Финансовый 2 11 2 4 4" xfId="8555" xr:uid="{00000000-0005-0000-0000-00001A160000}"/>
    <cellStyle name="Финансовый 2 11 2 4 4 2" xfId="20533" xr:uid="{00000000-0005-0000-0000-00001B160000}"/>
    <cellStyle name="Финансовый 2 11 2 4 4 2 2" xfId="44488" xr:uid="{00000000-0005-0000-0000-00001C160000}"/>
    <cellStyle name="Финансовый 2 11 2 4 4 3" xfId="32510" xr:uid="{00000000-0005-0000-0000-00001D160000}"/>
    <cellStyle name="Финансовый 2 11 2 4 5" xfId="10338" xr:uid="{00000000-0005-0000-0000-00001E160000}"/>
    <cellStyle name="Финансовый 2 11 2 4 5 2" xfId="22316" xr:uid="{00000000-0005-0000-0000-00001F160000}"/>
    <cellStyle name="Финансовый 2 11 2 4 5 2 2" xfId="46271" xr:uid="{00000000-0005-0000-0000-000020160000}"/>
    <cellStyle name="Финансовый 2 11 2 4 5 3" xfId="34293" xr:uid="{00000000-0005-0000-0000-000021160000}"/>
    <cellStyle name="Финансовый 2 11 2 4 6" xfId="14496" xr:uid="{00000000-0005-0000-0000-000022160000}"/>
    <cellStyle name="Финансовый 2 11 2 4 6 2" xfId="38451" xr:uid="{00000000-0005-0000-0000-000023160000}"/>
    <cellStyle name="Финансовый 2 11 2 4 7" xfId="26474" xr:uid="{00000000-0005-0000-0000-000024160000}"/>
    <cellStyle name="Финансовый 2 11 2 4 8" xfId="49607" xr:uid="{00000000-0005-0000-0000-000025160000}"/>
    <cellStyle name="Финансовый 2 11 2 5" xfId="1021" xr:uid="{00000000-0005-0000-0000-000026160000}"/>
    <cellStyle name="Финансовый 2 11 2 5 2" xfId="7061" xr:uid="{00000000-0005-0000-0000-000027160000}"/>
    <cellStyle name="Финансовый 2 11 2 5 2 2" xfId="19039" xr:uid="{00000000-0005-0000-0000-000028160000}"/>
    <cellStyle name="Финансовый 2 11 2 5 2 2 2" xfId="42994" xr:uid="{00000000-0005-0000-0000-000029160000}"/>
    <cellStyle name="Финансовый 2 11 2 5 2 3" xfId="31016" xr:uid="{00000000-0005-0000-0000-00002A160000}"/>
    <cellStyle name="Финансовый 2 11 2 5 3" xfId="10609" xr:uid="{00000000-0005-0000-0000-00002B160000}"/>
    <cellStyle name="Финансовый 2 11 2 5 3 2" xfId="22587" xr:uid="{00000000-0005-0000-0000-00002C160000}"/>
    <cellStyle name="Финансовый 2 11 2 5 3 2 2" xfId="46542" xr:uid="{00000000-0005-0000-0000-00002D160000}"/>
    <cellStyle name="Финансовый 2 11 2 5 3 3" xfId="34564" xr:uid="{00000000-0005-0000-0000-00002E160000}"/>
    <cellStyle name="Финансовый 2 11 2 5 4" xfId="13002" xr:uid="{00000000-0005-0000-0000-00002F160000}"/>
    <cellStyle name="Финансовый 2 11 2 5 4 2" xfId="36957" xr:uid="{00000000-0005-0000-0000-000030160000}"/>
    <cellStyle name="Финансовый 2 11 2 5 5" xfId="24980" xr:uid="{00000000-0005-0000-0000-000031160000}"/>
    <cellStyle name="Финансовый 2 11 2 5 6" xfId="49886" xr:uid="{00000000-0005-0000-0000-000032160000}"/>
    <cellStyle name="Финансовый 2 11 2 6" xfId="609" xr:uid="{00000000-0005-0000-0000-000033160000}"/>
    <cellStyle name="Финансовый 2 11 2 6 2" xfId="6649" xr:uid="{00000000-0005-0000-0000-000034160000}"/>
    <cellStyle name="Финансовый 2 11 2 6 2 2" xfId="18627" xr:uid="{00000000-0005-0000-0000-000035160000}"/>
    <cellStyle name="Финансовый 2 11 2 6 2 2 2" xfId="42582" xr:uid="{00000000-0005-0000-0000-000036160000}"/>
    <cellStyle name="Финансовый 2 11 2 6 2 3" xfId="30604" xr:uid="{00000000-0005-0000-0000-000037160000}"/>
    <cellStyle name="Финансовый 2 11 2 6 3" xfId="12590" xr:uid="{00000000-0005-0000-0000-000038160000}"/>
    <cellStyle name="Финансовый 2 11 2 6 3 2" xfId="36545" xr:uid="{00000000-0005-0000-0000-000039160000}"/>
    <cellStyle name="Финансовый 2 11 2 6 4" xfId="24568" xr:uid="{00000000-0005-0000-0000-00003A160000}"/>
    <cellStyle name="Финансовый 2 11 2 7" xfId="2798" xr:uid="{00000000-0005-0000-0000-00003B160000}"/>
    <cellStyle name="Финансовый 2 11 2 7 2" xfId="14777" xr:uid="{00000000-0005-0000-0000-00003C160000}"/>
    <cellStyle name="Финансовый 2 11 2 7 2 2" xfId="38732" xr:uid="{00000000-0005-0000-0000-00003D160000}"/>
    <cellStyle name="Финансовый 2 11 2 7 3" xfId="26755" xr:uid="{00000000-0005-0000-0000-00003E160000}"/>
    <cellStyle name="Финансовый 2 11 2 8" xfId="4442" xr:uid="{00000000-0005-0000-0000-00003F160000}"/>
    <cellStyle name="Финансовый 2 11 2 8 2" xfId="16421" xr:uid="{00000000-0005-0000-0000-000040160000}"/>
    <cellStyle name="Финансовый 2 11 2 8 2 2" xfId="40376" xr:uid="{00000000-0005-0000-0000-000041160000}"/>
    <cellStyle name="Финансовый 2 11 2 8 3" xfId="28399" xr:uid="{00000000-0005-0000-0000-000042160000}"/>
    <cellStyle name="Финансовый 2 11 2 9" xfId="6229" xr:uid="{00000000-0005-0000-0000-000043160000}"/>
    <cellStyle name="Финансовый 2 11 2 9 2" xfId="18207" xr:uid="{00000000-0005-0000-0000-000044160000}"/>
    <cellStyle name="Финансовый 2 11 2 9 2 2" xfId="42162" xr:uid="{00000000-0005-0000-0000-000045160000}"/>
    <cellStyle name="Финансовый 2 11 2 9 3" xfId="30184" xr:uid="{00000000-0005-0000-0000-000046160000}"/>
    <cellStyle name="Финансовый 2 11 3" xfId="337" xr:uid="{00000000-0005-0000-0000-000047160000}"/>
    <cellStyle name="Финансовый 2 11 3 10" xfId="24296" xr:uid="{00000000-0005-0000-0000-000048160000}"/>
    <cellStyle name="Финансовый 2 11 3 11" xfId="48242" xr:uid="{00000000-0005-0000-0000-000049160000}"/>
    <cellStyle name="Финансовый 2 11 3 2" xfId="2124" xr:uid="{00000000-0005-0000-0000-00004A160000}"/>
    <cellStyle name="Финансовый 2 11 3 2 2" xfId="3769" xr:uid="{00000000-0005-0000-0000-00004B160000}"/>
    <cellStyle name="Финансовый 2 11 3 2 2 2" xfId="11509" xr:uid="{00000000-0005-0000-0000-00004C160000}"/>
    <cellStyle name="Финансовый 2 11 3 2 2 2 2" xfId="23487" xr:uid="{00000000-0005-0000-0000-00004D160000}"/>
    <cellStyle name="Финансовый 2 11 3 2 2 2 2 2" xfId="47442" xr:uid="{00000000-0005-0000-0000-00004E160000}"/>
    <cellStyle name="Финансовый 2 11 3 2 2 2 3" xfId="35464" xr:uid="{00000000-0005-0000-0000-00004F160000}"/>
    <cellStyle name="Финансовый 2 11 3 2 2 3" xfId="15748" xr:uid="{00000000-0005-0000-0000-000050160000}"/>
    <cellStyle name="Финансовый 2 11 3 2 2 3 2" xfId="39703" xr:uid="{00000000-0005-0000-0000-000051160000}"/>
    <cellStyle name="Финансовый 2 11 3 2 2 4" xfId="27726" xr:uid="{00000000-0005-0000-0000-000052160000}"/>
    <cellStyle name="Финансовый 2 11 3 2 2 5" xfId="50995" xr:uid="{00000000-0005-0000-0000-000053160000}"/>
    <cellStyle name="Финансовый 2 11 3 2 3" xfId="5552" xr:uid="{00000000-0005-0000-0000-000054160000}"/>
    <cellStyle name="Финансовый 2 11 3 2 3 2" xfId="17530" xr:uid="{00000000-0005-0000-0000-000055160000}"/>
    <cellStyle name="Финансовый 2 11 3 2 3 2 2" xfId="41485" xr:uid="{00000000-0005-0000-0000-000056160000}"/>
    <cellStyle name="Финансовый 2 11 3 2 3 3" xfId="29507" xr:uid="{00000000-0005-0000-0000-000057160000}"/>
    <cellStyle name="Финансовый 2 11 3 2 4" xfId="8162" xr:uid="{00000000-0005-0000-0000-000058160000}"/>
    <cellStyle name="Финансовый 2 11 3 2 4 2" xfId="20140" xr:uid="{00000000-0005-0000-0000-000059160000}"/>
    <cellStyle name="Финансовый 2 11 3 2 4 2 2" xfId="44095" xr:uid="{00000000-0005-0000-0000-00005A160000}"/>
    <cellStyle name="Финансовый 2 11 3 2 4 3" xfId="32117" xr:uid="{00000000-0005-0000-0000-00005B160000}"/>
    <cellStyle name="Финансовый 2 11 3 2 5" xfId="9945" xr:uid="{00000000-0005-0000-0000-00005C160000}"/>
    <cellStyle name="Финансовый 2 11 3 2 5 2" xfId="21923" xr:uid="{00000000-0005-0000-0000-00005D160000}"/>
    <cellStyle name="Финансовый 2 11 3 2 5 2 2" xfId="45878" xr:uid="{00000000-0005-0000-0000-00005E160000}"/>
    <cellStyle name="Финансовый 2 11 3 2 5 3" xfId="33900" xr:uid="{00000000-0005-0000-0000-00005F160000}"/>
    <cellStyle name="Финансовый 2 11 3 2 6" xfId="14103" xr:uid="{00000000-0005-0000-0000-000060160000}"/>
    <cellStyle name="Финансовый 2 11 3 2 6 2" xfId="38058" xr:uid="{00000000-0005-0000-0000-000061160000}"/>
    <cellStyle name="Финансовый 2 11 3 2 7" xfId="26081" xr:uid="{00000000-0005-0000-0000-000062160000}"/>
    <cellStyle name="Финансовый 2 11 3 2 8" xfId="49214" xr:uid="{00000000-0005-0000-0000-000063160000}"/>
    <cellStyle name="Финансовый 2 11 3 3" xfId="1157" xr:uid="{00000000-0005-0000-0000-000064160000}"/>
    <cellStyle name="Финансовый 2 11 3 3 2" xfId="7197" xr:uid="{00000000-0005-0000-0000-000065160000}"/>
    <cellStyle name="Финансовый 2 11 3 3 2 2" xfId="19175" xr:uid="{00000000-0005-0000-0000-000066160000}"/>
    <cellStyle name="Финансовый 2 11 3 3 2 2 2" xfId="43130" xr:uid="{00000000-0005-0000-0000-000067160000}"/>
    <cellStyle name="Финансовый 2 11 3 3 2 3" xfId="31152" xr:uid="{00000000-0005-0000-0000-000068160000}"/>
    <cellStyle name="Финансовый 2 11 3 3 3" xfId="10737" xr:uid="{00000000-0005-0000-0000-000069160000}"/>
    <cellStyle name="Финансовый 2 11 3 3 3 2" xfId="22715" xr:uid="{00000000-0005-0000-0000-00006A160000}"/>
    <cellStyle name="Финансовый 2 11 3 3 3 2 2" xfId="46670" xr:uid="{00000000-0005-0000-0000-00006B160000}"/>
    <cellStyle name="Финансовый 2 11 3 3 3 3" xfId="34692" xr:uid="{00000000-0005-0000-0000-00006C160000}"/>
    <cellStyle name="Финансовый 2 11 3 3 4" xfId="13138" xr:uid="{00000000-0005-0000-0000-00006D160000}"/>
    <cellStyle name="Финансовый 2 11 3 3 4 2" xfId="37093" xr:uid="{00000000-0005-0000-0000-00006E160000}"/>
    <cellStyle name="Финансовый 2 11 3 3 5" xfId="25116" xr:uid="{00000000-0005-0000-0000-00006F160000}"/>
    <cellStyle name="Финансовый 2 11 3 3 6" xfId="50022" xr:uid="{00000000-0005-0000-0000-000070160000}"/>
    <cellStyle name="Финансовый 2 11 3 4" xfId="757" xr:uid="{00000000-0005-0000-0000-000071160000}"/>
    <cellStyle name="Финансовый 2 11 3 4 2" xfId="6797" xr:uid="{00000000-0005-0000-0000-000072160000}"/>
    <cellStyle name="Финансовый 2 11 3 4 2 2" xfId="18775" xr:uid="{00000000-0005-0000-0000-000073160000}"/>
    <cellStyle name="Финансовый 2 11 3 4 2 2 2" xfId="42730" xr:uid="{00000000-0005-0000-0000-000074160000}"/>
    <cellStyle name="Финансовый 2 11 3 4 2 3" xfId="30752" xr:uid="{00000000-0005-0000-0000-000075160000}"/>
    <cellStyle name="Финансовый 2 11 3 4 3" xfId="12738" xr:uid="{00000000-0005-0000-0000-000076160000}"/>
    <cellStyle name="Финансовый 2 11 3 4 3 2" xfId="36693" xr:uid="{00000000-0005-0000-0000-000077160000}"/>
    <cellStyle name="Финансовый 2 11 3 4 4" xfId="24716" xr:uid="{00000000-0005-0000-0000-000078160000}"/>
    <cellStyle name="Финансовый 2 11 3 5" xfId="2934" xr:uid="{00000000-0005-0000-0000-000079160000}"/>
    <cellStyle name="Финансовый 2 11 3 5 2" xfId="14913" xr:uid="{00000000-0005-0000-0000-00007A160000}"/>
    <cellStyle name="Финансовый 2 11 3 5 2 2" xfId="38868" xr:uid="{00000000-0005-0000-0000-00007B160000}"/>
    <cellStyle name="Финансовый 2 11 3 5 3" xfId="26891" xr:uid="{00000000-0005-0000-0000-00007C160000}"/>
    <cellStyle name="Финансовый 2 11 3 6" xfId="4578" xr:uid="{00000000-0005-0000-0000-00007D160000}"/>
    <cellStyle name="Финансовый 2 11 3 6 2" xfId="16557" xr:uid="{00000000-0005-0000-0000-00007E160000}"/>
    <cellStyle name="Финансовый 2 11 3 6 2 2" xfId="40512" xr:uid="{00000000-0005-0000-0000-00007F160000}"/>
    <cellStyle name="Финансовый 2 11 3 6 3" xfId="28535" xr:uid="{00000000-0005-0000-0000-000080160000}"/>
    <cellStyle name="Финансовый 2 11 3 7" xfId="6377" xr:uid="{00000000-0005-0000-0000-000081160000}"/>
    <cellStyle name="Финансовый 2 11 3 7 2" xfId="18355" xr:uid="{00000000-0005-0000-0000-000082160000}"/>
    <cellStyle name="Финансовый 2 11 3 7 2 2" xfId="42310" xr:uid="{00000000-0005-0000-0000-000083160000}"/>
    <cellStyle name="Финансовый 2 11 3 7 3" xfId="30332" xr:uid="{00000000-0005-0000-0000-000084160000}"/>
    <cellStyle name="Финансовый 2 11 3 8" xfId="8972" xr:uid="{00000000-0005-0000-0000-000085160000}"/>
    <cellStyle name="Финансовый 2 11 3 8 2" xfId="20950" xr:uid="{00000000-0005-0000-0000-000086160000}"/>
    <cellStyle name="Финансовый 2 11 3 8 2 2" xfId="44905" xr:uid="{00000000-0005-0000-0000-000087160000}"/>
    <cellStyle name="Финансовый 2 11 3 8 3" xfId="32927" xr:uid="{00000000-0005-0000-0000-000088160000}"/>
    <cellStyle name="Финансовый 2 11 3 9" xfId="12318" xr:uid="{00000000-0005-0000-0000-000089160000}"/>
    <cellStyle name="Финансовый 2 11 3 9 2" xfId="36273" xr:uid="{00000000-0005-0000-0000-00008A160000}"/>
    <cellStyle name="Финансовый 2 11 4" xfId="1434" xr:uid="{00000000-0005-0000-0000-00008B160000}"/>
    <cellStyle name="Финансовый 2 11 4 2" xfId="1860" xr:uid="{00000000-0005-0000-0000-00008C160000}"/>
    <cellStyle name="Финансовый 2 11 4 2 2" xfId="3505" xr:uid="{00000000-0005-0000-0000-00008D160000}"/>
    <cellStyle name="Финансовый 2 11 4 2 2 2" xfId="11253" xr:uid="{00000000-0005-0000-0000-00008E160000}"/>
    <cellStyle name="Финансовый 2 11 4 2 2 2 2" xfId="23231" xr:uid="{00000000-0005-0000-0000-00008F160000}"/>
    <cellStyle name="Финансовый 2 11 4 2 2 2 2 2" xfId="47186" xr:uid="{00000000-0005-0000-0000-000090160000}"/>
    <cellStyle name="Финансовый 2 11 4 2 2 2 3" xfId="35208" xr:uid="{00000000-0005-0000-0000-000091160000}"/>
    <cellStyle name="Финансовый 2 11 4 2 2 3" xfId="15484" xr:uid="{00000000-0005-0000-0000-000092160000}"/>
    <cellStyle name="Финансовый 2 11 4 2 2 3 2" xfId="39439" xr:uid="{00000000-0005-0000-0000-000093160000}"/>
    <cellStyle name="Финансовый 2 11 4 2 2 4" xfId="27462" xr:uid="{00000000-0005-0000-0000-000094160000}"/>
    <cellStyle name="Финансовый 2 11 4 2 2 5" xfId="50731" xr:uid="{00000000-0005-0000-0000-000095160000}"/>
    <cellStyle name="Финансовый 2 11 4 2 3" xfId="5288" xr:uid="{00000000-0005-0000-0000-000096160000}"/>
    <cellStyle name="Финансовый 2 11 4 2 3 2" xfId="17266" xr:uid="{00000000-0005-0000-0000-000097160000}"/>
    <cellStyle name="Финансовый 2 11 4 2 3 2 2" xfId="41221" xr:uid="{00000000-0005-0000-0000-000098160000}"/>
    <cellStyle name="Финансовый 2 11 4 2 3 3" xfId="29243" xr:uid="{00000000-0005-0000-0000-000099160000}"/>
    <cellStyle name="Финансовый 2 11 4 2 4" xfId="7898" xr:uid="{00000000-0005-0000-0000-00009A160000}"/>
    <cellStyle name="Финансовый 2 11 4 2 4 2" xfId="19876" xr:uid="{00000000-0005-0000-0000-00009B160000}"/>
    <cellStyle name="Финансовый 2 11 4 2 4 2 2" xfId="43831" xr:uid="{00000000-0005-0000-0000-00009C160000}"/>
    <cellStyle name="Финансовый 2 11 4 2 4 3" xfId="31853" xr:uid="{00000000-0005-0000-0000-00009D160000}"/>
    <cellStyle name="Финансовый 2 11 4 2 5" xfId="9681" xr:uid="{00000000-0005-0000-0000-00009E160000}"/>
    <cellStyle name="Финансовый 2 11 4 2 5 2" xfId="21659" xr:uid="{00000000-0005-0000-0000-00009F160000}"/>
    <cellStyle name="Финансовый 2 11 4 2 5 2 2" xfId="45614" xr:uid="{00000000-0005-0000-0000-0000A0160000}"/>
    <cellStyle name="Финансовый 2 11 4 2 5 3" xfId="33636" xr:uid="{00000000-0005-0000-0000-0000A1160000}"/>
    <cellStyle name="Финансовый 2 11 4 2 6" xfId="13839" xr:uid="{00000000-0005-0000-0000-0000A2160000}"/>
    <cellStyle name="Финансовый 2 11 4 2 6 2" xfId="37794" xr:uid="{00000000-0005-0000-0000-0000A3160000}"/>
    <cellStyle name="Финансовый 2 11 4 2 7" xfId="25817" xr:uid="{00000000-0005-0000-0000-0000A4160000}"/>
    <cellStyle name="Финансовый 2 11 4 2 8" xfId="48950" xr:uid="{00000000-0005-0000-0000-0000A5160000}"/>
    <cellStyle name="Финансовый 2 11 4 3" xfId="4862" xr:uid="{00000000-0005-0000-0000-0000A6160000}"/>
    <cellStyle name="Финансовый 2 11 4 3 2" xfId="16841" xr:uid="{00000000-0005-0000-0000-0000A7160000}"/>
    <cellStyle name="Финансовый 2 11 4 3 2 2" xfId="40796" xr:uid="{00000000-0005-0000-0000-0000A8160000}"/>
    <cellStyle name="Финансовый 2 11 4 3 3" xfId="28818" xr:uid="{00000000-0005-0000-0000-0000A9160000}"/>
    <cellStyle name="Финансовый 2 11 4 3 4" xfId="50306" xr:uid="{00000000-0005-0000-0000-0000AA160000}"/>
    <cellStyle name="Финансовый 2 11 4 4" xfId="7473" xr:uid="{00000000-0005-0000-0000-0000AB160000}"/>
    <cellStyle name="Финансовый 2 11 4 4 2" xfId="19451" xr:uid="{00000000-0005-0000-0000-0000AC160000}"/>
    <cellStyle name="Финансовый 2 11 4 4 2 2" xfId="43406" xr:uid="{00000000-0005-0000-0000-0000AD160000}"/>
    <cellStyle name="Финансовый 2 11 4 4 3" xfId="31428" xr:uid="{00000000-0005-0000-0000-0000AE160000}"/>
    <cellStyle name="Финансовый 2 11 4 5" xfId="9256" xr:uid="{00000000-0005-0000-0000-0000AF160000}"/>
    <cellStyle name="Финансовый 2 11 4 5 2" xfId="21234" xr:uid="{00000000-0005-0000-0000-0000B0160000}"/>
    <cellStyle name="Финансовый 2 11 4 5 2 2" xfId="45189" xr:uid="{00000000-0005-0000-0000-0000B1160000}"/>
    <cellStyle name="Финансовый 2 11 4 5 3" xfId="33211" xr:uid="{00000000-0005-0000-0000-0000B2160000}"/>
    <cellStyle name="Финансовый 2 11 4 6" xfId="13414" xr:uid="{00000000-0005-0000-0000-0000B3160000}"/>
    <cellStyle name="Финансовый 2 11 4 6 2" xfId="37369" xr:uid="{00000000-0005-0000-0000-0000B4160000}"/>
    <cellStyle name="Финансовый 2 11 4 7" xfId="25392" xr:uid="{00000000-0005-0000-0000-0000B5160000}"/>
    <cellStyle name="Финансовый 2 11 4 8" xfId="48525" xr:uid="{00000000-0005-0000-0000-0000B6160000}"/>
    <cellStyle name="Финансовый 2 11 5" xfId="1744" xr:uid="{00000000-0005-0000-0000-0000B7160000}"/>
    <cellStyle name="Финансовый 2 11 5 2" xfId="3389" xr:uid="{00000000-0005-0000-0000-0000B8160000}"/>
    <cellStyle name="Финансовый 2 11 5 2 2" xfId="11137" xr:uid="{00000000-0005-0000-0000-0000B9160000}"/>
    <cellStyle name="Финансовый 2 11 5 2 2 2" xfId="23115" xr:uid="{00000000-0005-0000-0000-0000BA160000}"/>
    <cellStyle name="Финансовый 2 11 5 2 2 2 2" xfId="47070" xr:uid="{00000000-0005-0000-0000-0000BB160000}"/>
    <cellStyle name="Финансовый 2 11 5 2 2 3" xfId="35092" xr:uid="{00000000-0005-0000-0000-0000BC160000}"/>
    <cellStyle name="Финансовый 2 11 5 2 3" xfId="15368" xr:uid="{00000000-0005-0000-0000-0000BD160000}"/>
    <cellStyle name="Финансовый 2 11 5 2 3 2" xfId="39323" xr:uid="{00000000-0005-0000-0000-0000BE160000}"/>
    <cellStyle name="Финансовый 2 11 5 2 4" xfId="27346" xr:uid="{00000000-0005-0000-0000-0000BF160000}"/>
    <cellStyle name="Финансовый 2 11 5 2 5" xfId="50615" xr:uid="{00000000-0005-0000-0000-0000C0160000}"/>
    <cellStyle name="Финансовый 2 11 5 3" xfId="5172" xr:uid="{00000000-0005-0000-0000-0000C1160000}"/>
    <cellStyle name="Финансовый 2 11 5 3 2" xfId="17150" xr:uid="{00000000-0005-0000-0000-0000C2160000}"/>
    <cellStyle name="Финансовый 2 11 5 3 2 2" xfId="41105" xr:uid="{00000000-0005-0000-0000-0000C3160000}"/>
    <cellStyle name="Финансовый 2 11 5 3 3" xfId="29127" xr:uid="{00000000-0005-0000-0000-0000C4160000}"/>
    <cellStyle name="Финансовый 2 11 5 4" xfId="7782" xr:uid="{00000000-0005-0000-0000-0000C5160000}"/>
    <cellStyle name="Финансовый 2 11 5 4 2" xfId="19760" xr:uid="{00000000-0005-0000-0000-0000C6160000}"/>
    <cellStyle name="Финансовый 2 11 5 4 2 2" xfId="43715" xr:uid="{00000000-0005-0000-0000-0000C7160000}"/>
    <cellStyle name="Финансовый 2 11 5 4 3" xfId="31737" xr:uid="{00000000-0005-0000-0000-0000C8160000}"/>
    <cellStyle name="Финансовый 2 11 5 5" xfId="9565" xr:uid="{00000000-0005-0000-0000-0000C9160000}"/>
    <cellStyle name="Финансовый 2 11 5 5 2" xfId="21543" xr:uid="{00000000-0005-0000-0000-0000CA160000}"/>
    <cellStyle name="Финансовый 2 11 5 5 2 2" xfId="45498" xr:uid="{00000000-0005-0000-0000-0000CB160000}"/>
    <cellStyle name="Финансовый 2 11 5 5 3" xfId="33520" xr:uid="{00000000-0005-0000-0000-0000CC160000}"/>
    <cellStyle name="Финансовый 2 11 5 6" xfId="13723" xr:uid="{00000000-0005-0000-0000-0000CD160000}"/>
    <cellStyle name="Финансовый 2 11 5 6 2" xfId="37678" xr:uid="{00000000-0005-0000-0000-0000CE160000}"/>
    <cellStyle name="Финансовый 2 11 5 7" xfId="25701" xr:uid="{00000000-0005-0000-0000-0000CF160000}"/>
    <cellStyle name="Финансовый 2 11 5 8" xfId="48834" xr:uid="{00000000-0005-0000-0000-0000D0160000}"/>
    <cellStyle name="Финансовый 2 11 6" xfId="2380" xr:uid="{00000000-0005-0000-0000-0000D1160000}"/>
    <cellStyle name="Финансовый 2 11 6 2" xfId="4025" xr:uid="{00000000-0005-0000-0000-0000D2160000}"/>
    <cellStyle name="Финансовый 2 11 6 2 2" xfId="11765" xr:uid="{00000000-0005-0000-0000-0000D3160000}"/>
    <cellStyle name="Финансовый 2 11 6 2 2 2" xfId="23743" xr:uid="{00000000-0005-0000-0000-0000D4160000}"/>
    <cellStyle name="Финансовый 2 11 6 2 2 2 2" xfId="47698" xr:uid="{00000000-0005-0000-0000-0000D5160000}"/>
    <cellStyle name="Финансовый 2 11 6 2 2 3" xfId="35720" xr:uid="{00000000-0005-0000-0000-0000D6160000}"/>
    <cellStyle name="Финансовый 2 11 6 2 3" xfId="16004" xr:uid="{00000000-0005-0000-0000-0000D7160000}"/>
    <cellStyle name="Финансовый 2 11 6 2 3 2" xfId="39959" xr:uid="{00000000-0005-0000-0000-0000D8160000}"/>
    <cellStyle name="Финансовый 2 11 6 2 4" xfId="27982" xr:uid="{00000000-0005-0000-0000-0000D9160000}"/>
    <cellStyle name="Финансовый 2 11 6 2 5" xfId="51251" xr:uid="{00000000-0005-0000-0000-0000DA160000}"/>
    <cellStyle name="Финансовый 2 11 6 3" xfId="5808" xr:uid="{00000000-0005-0000-0000-0000DB160000}"/>
    <cellStyle name="Финансовый 2 11 6 3 2" xfId="17786" xr:uid="{00000000-0005-0000-0000-0000DC160000}"/>
    <cellStyle name="Финансовый 2 11 6 3 2 2" xfId="41741" xr:uid="{00000000-0005-0000-0000-0000DD160000}"/>
    <cellStyle name="Финансовый 2 11 6 3 3" xfId="29763" xr:uid="{00000000-0005-0000-0000-0000DE160000}"/>
    <cellStyle name="Финансовый 2 11 6 4" xfId="8418" xr:uid="{00000000-0005-0000-0000-0000DF160000}"/>
    <cellStyle name="Финансовый 2 11 6 4 2" xfId="20396" xr:uid="{00000000-0005-0000-0000-0000E0160000}"/>
    <cellStyle name="Финансовый 2 11 6 4 2 2" xfId="44351" xr:uid="{00000000-0005-0000-0000-0000E1160000}"/>
    <cellStyle name="Финансовый 2 11 6 4 3" xfId="32373" xr:uid="{00000000-0005-0000-0000-0000E2160000}"/>
    <cellStyle name="Финансовый 2 11 6 5" xfId="10201" xr:uid="{00000000-0005-0000-0000-0000E3160000}"/>
    <cellStyle name="Финансовый 2 11 6 5 2" xfId="22179" xr:uid="{00000000-0005-0000-0000-0000E4160000}"/>
    <cellStyle name="Финансовый 2 11 6 5 2 2" xfId="46134" xr:uid="{00000000-0005-0000-0000-0000E5160000}"/>
    <cellStyle name="Финансовый 2 11 6 5 3" xfId="34156" xr:uid="{00000000-0005-0000-0000-0000E6160000}"/>
    <cellStyle name="Финансовый 2 11 6 6" xfId="14359" xr:uid="{00000000-0005-0000-0000-0000E7160000}"/>
    <cellStyle name="Финансовый 2 11 6 6 2" xfId="38314" xr:uid="{00000000-0005-0000-0000-0000E8160000}"/>
    <cellStyle name="Финансовый 2 11 6 7" xfId="26337" xr:uid="{00000000-0005-0000-0000-0000E9160000}"/>
    <cellStyle name="Финансовый 2 11 6 8" xfId="49470" xr:uid="{00000000-0005-0000-0000-0000EA160000}"/>
    <cellStyle name="Финансовый 2 11 7" xfId="1607" xr:uid="{00000000-0005-0000-0000-0000EB160000}"/>
    <cellStyle name="Финансовый 2 11 7 2" xfId="3252" xr:uid="{00000000-0005-0000-0000-0000EC160000}"/>
    <cellStyle name="Финансовый 2 11 7 2 2" xfId="11008" xr:uid="{00000000-0005-0000-0000-0000ED160000}"/>
    <cellStyle name="Финансовый 2 11 7 2 2 2" xfId="22986" xr:uid="{00000000-0005-0000-0000-0000EE160000}"/>
    <cellStyle name="Финансовый 2 11 7 2 2 2 2" xfId="46941" xr:uid="{00000000-0005-0000-0000-0000EF160000}"/>
    <cellStyle name="Финансовый 2 11 7 2 2 3" xfId="34963" xr:uid="{00000000-0005-0000-0000-0000F0160000}"/>
    <cellStyle name="Финансовый 2 11 7 2 3" xfId="15231" xr:uid="{00000000-0005-0000-0000-0000F1160000}"/>
    <cellStyle name="Финансовый 2 11 7 2 3 2" xfId="39186" xr:uid="{00000000-0005-0000-0000-0000F2160000}"/>
    <cellStyle name="Финансовый 2 11 7 2 4" xfId="27209" xr:uid="{00000000-0005-0000-0000-0000F3160000}"/>
    <cellStyle name="Финансовый 2 11 7 2 5" xfId="50478" xr:uid="{00000000-0005-0000-0000-0000F4160000}"/>
    <cellStyle name="Финансовый 2 11 7 3" xfId="5035" xr:uid="{00000000-0005-0000-0000-0000F5160000}"/>
    <cellStyle name="Финансовый 2 11 7 3 2" xfId="17013" xr:uid="{00000000-0005-0000-0000-0000F6160000}"/>
    <cellStyle name="Финансовый 2 11 7 3 2 2" xfId="40968" xr:uid="{00000000-0005-0000-0000-0000F7160000}"/>
    <cellStyle name="Финансовый 2 11 7 3 3" xfId="28990" xr:uid="{00000000-0005-0000-0000-0000F8160000}"/>
    <cellStyle name="Финансовый 2 11 7 4" xfId="7645" xr:uid="{00000000-0005-0000-0000-0000F9160000}"/>
    <cellStyle name="Финансовый 2 11 7 4 2" xfId="19623" xr:uid="{00000000-0005-0000-0000-0000FA160000}"/>
    <cellStyle name="Финансовый 2 11 7 4 2 2" xfId="43578" xr:uid="{00000000-0005-0000-0000-0000FB160000}"/>
    <cellStyle name="Финансовый 2 11 7 4 3" xfId="31600" xr:uid="{00000000-0005-0000-0000-0000FC160000}"/>
    <cellStyle name="Финансовый 2 11 7 5" xfId="9428" xr:uid="{00000000-0005-0000-0000-0000FD160000}"/>
    <cellStyle name="Финансовый 2 11 7 5 2" xfId="21406" xr:uid="{00000000-0005-0000-0000-0000FE160000}"/>
    <cellStyle name="Финансовый 2 11 7 5 2 2" xfId="45361" xr:uid="{00000000-0005-0000-0000-0000FF160000}"/>
    <cellStyle name="Финансовый 2 11 7 5 3" xfId="33383" xr:uid="{00000000-0005-0000-0000-000000170000}"/>
    <cellStyle name="Финансовый 2 11 7 6" xfId="13586" xr:uid="{00000000-0005-0000-0000-000001170000}"/>
    <cellStyle name="Финансовый 2 11 7 6 2" xfId="37541" xr:uid="{00000000-0005-0000-0000-000002170000}"/>
    <cellStyle name="Финансовый 2 11 7 7" xfId="25564" xr:uid="{00000000-0005-0000-0000-000003170000}"/>
    <cellStyle name="Финансовый 2 11 7 8" xfId="48697" xr:uid="{00000000-0005-0000-0000-000004170000}"/>
    <cellStyle name="Финансовый 2 11 8" xfId="893" xr:uid="{00000000-0005-0000-0000-000005170000}"/>
    <cellStyle name="Финансовый 2 11 8 2" xfId="6933" xr:uid="{00000000-0005-0000-0000-000006170000}"/>
    <cellStyle name="Финансовый 2 11 8 2 2" xfId="18911" xr:uid="{00000000-0005-0000-0000-000007170000}"/>
    <cellStyle name="Финансовый 2 11 8 2 2 2" xfId="42866" xr:uid="{00000000-0005-0000-0000-000008170000}"/>
    <cellStyle name="Финансовый 2 11 8 2 3" xfId="30888" xr:uid="{00000000-0005-0000-0000-000009170000}"/>
    <cellStyle name="Финансовый 2 11 8 3" xfId="10481" xr:uid="{00000000-0005-0000-0000-00000A170000}"/>
    <cellStyle name="Финансовый 2 11 8 3 2" xfId="22459" xr:uid="{00000000-0005-0000-0000-00000B170000}"/>
    <cellStyle name="Финансовый 2 11 8 3 2 2" xfId="46414" xr:uid="{00000000-0005-0000-0000-00000C170000}"/>
    <cellStyle name="Финансовый 2 11 8 3 3" xfId="34436" xr:uid="{00000000-0005-0000-0000-00000D170000}"/>
    <cellStyle name="Финансовый 2 11 8 4" xfId="12874" xr:uid="{00000000-0005-0000-0000-00000E170000}"/>
    <cellStyle name="Финансовый 2 11 8 4 2" xfId="36829" xr:uid="{00000000-0005-0000-0000-00000F170000}"/>
    <cellStyle name="Финансовый 2 11 8 5" xfId="24852" xr:uid="{00000000-0005-0000-0000-000010170000}"/>
    <cellStyle name="Финансовый 2 11 8 6" xfId="49750" xr:uid="{00000000-0005-0000-0000-000011170000}"/>
    <cellStyle name="Финансовый 2 11 9" xfId="473" xr:uid="{00000000-0005-0000-0000-000012170000}"/>
    <cellStyle name="Финансовый 2 11 9 2" xfId="6513" xr:uid="{00000000-0005-0000-0000-000013170000}"/>
    <cellStyle name="Финансовый 2 11 9 2 2" xfId="18491" xr:uid="{00000000-0005-0000-0000-000014170000}"/>
    <cellStyle name="Финансовый 2 11 9 2 2 2" xfId="42446" xr:uid="{00000000-0005-0000-0000-000015170000}"/>
    <cellStyle name="Финансовый 2 11 9 2 3" xfId="30468" xr:uid="{00000000-0005-0000-0000-000016170000}"/>
    <cellStyle name="Финансовый 2 11 9 3" xfId="12454" xr:uid="{00000000-0005-0000-0000-000017170000}"/>
    <cellStyle name="Финансовый 2 11 9 3 2" xfId="36409" xr:uid="{00000000-0005-0000-0000-000018170000}"/>
    <cellStyle name="Финансовый 2 11 9 4" xfId="24432" xr:uid="{00000000-0005-0000-0000-000019170000}"/>
    <cellStyle name="Финансовый 2 12" xfId="128" xr:uid="{00000000-0005-0000-0000-00001A170000}"/>
    <cellStyle name="Финансовый 2 12 10" xfId="2738" xr:uid="{00000000-0005-0000-0000-00001B170000}"/>
    <cellStyle name="Финансовый 2 12 10 2" xfId="14717" xr:uid="{00000000-0005-0000-0000-00001C170000}"/>
    <cellStyle name="Финансовый 2 12 10 2 2" xfId="38672" xr:uid="{00000000-0005-0000-0000-00001D170000}"/>
    <cellStyle name="Финансовый 2 12 10 3" xfId="26695" xr:uid="{00000000-0005-0000-0000-00001E170000}"/>
    <cellStyle name="Финансовый 2 12 11" xfId="4382" xr:uid="{00000000-0005-0000-0000-00001F170000}"/>
    <cellStyle name="Финансовый 2 12 11 2" xfId="16361" xr:uid="{00000000-0005-0000-0000-000020170000}"/>
    <cellStyle name="Финансовый 2 12 11 2 2" xfId="40316" xr:uid="{00000000-0005-0000-0000-000021170000}"/>
    <cellStyle name="Финансовый 2 12 11 3" xfId="28339" xr:uid="{00000000-0005-0000-0000-000022170000}"/>
    <cellStyle name="Финансовый 2 12 12" xfId="6169" xr:uid="{00000000-0005-0000-0000-000023170000}"/>
    <cellStyle name="Финансовый 2 12 12 2" xfId="18147" xr:uid="{00000000-0005-0000-0000-000024170000}"/>
    <cellStyle name="Финансовый 2 12 12 2 2" xfId="42102" xr:uid="{00000000-0005-0000-0000-000025170000}"/>
    <cellStyle name="Финансовый 2 12 12 3" xfId="30124" xr:uid="{00000000-0005-0000-0000-000026170000}"/>
    <cellStyle name="Финансовый 2 12 13" xfId="8776" xr:uid="{00000000-0005-0000-0000-000027170000}"/>
    <cellStyle name="Финансовый 2 12 13 2" xfId="20754" xr:uid="{00000000-0005-0000-0000-000028170000}"/>
    <cellStyle name="Финансовый 2 12 13 2 2" xfId="44709" xr:uid="{00000000-0005-0000-0000-000029170000}"/>
    <cellStyle name="Финансовый 2 12 13 3" xfId="32731" xr:uid="{00000000-0005-0000-0000-00002A170000}"/>
    <cellStyle name="Финансовый 2 12 14" xfId="12110" xr:uid="{00000000-0005-0000-0000-00002B170000}"/>
    <cellStyle name="Финансовый 2 12 14 2" xfId="36065" xr:uid="{00000000-0005-0000-0000-00002C170000}"/>
    <cellStyle name="Финансовый 2 12 15" xfId="24088" xr:uid="{00000000-0005-0000-0000-00002D170000}"/>
    <cellStyle name="Финансовый 2 12 16" xfId="48046" xr:uid="{00000000-0005-0000-0000-00002E170000}"/>
    <cellStyle name="Финансовый 2 12 2" xfId="264" xr:uid="{00000000-0005-0000-0000-00002F170000}"/>
    <cellStyle name="Финансовый 2 12 2 10" xfId="8912" xr:uid="{00000000-0005-0000-0000-000030170000}"/>
    <cellStyle name="Финансовый 2 12 2 10 2" xfId="20890" xr:uid="{00000000-0005-0000-0000-000031170000}"/>
    <cellStyle name="Финансовый 2 12 2 10 2 2" xfId="44845" xr:uid="{00000000-0005-0000-0000-000032170000}"/>
    <cellStyle name="Финансовый 2 12 2 10 3" xfId="32867" xr:uid="{00000000-0005-0000-0000-000033170000}"/>
    <cellStyle name="Финансовый 2 12 2 11" xfId="12246" xr:uid="{00000000-0005-0000-0000-000034170000}"/>
    <cellStyle name="Финансовый 2 12 2 11 2" xfId="36201" xr:uid="{00000000-0005-0000-0000-000035170000}"/>
    <cellStyle name="Финансовый 2 12 2 12" xfId="24224" xr:uid="{00000000-0005-0000-0000-000036170000}"/>
    <cellStyle name="Финансовый 2 12 2 13" xfId="48182" xr:uid="{00000000-0005-0000-0000-000037170000}"/>
    <cellStyle name="Финансовый 2 12 2 2" xfId="1362" xr:uid="{00000000-0005-0000-0000-000038170000}"/>
    <cellStyle name="Финансовый 2 12 2 2 2" xfId="2320" xr:uid="{00000000-0005-0000-0000-000039170000}"/>
    <cellStyle name="Финансовый 2 12 2 2 2 2" xfId="3965" xr:uid="{00000000-0005-0000-0000-00003A170000}"/>
    <cellStyle name="Финансовый 2 12 2 2 2 2 2" xfId="11705" xr:uid="{00000000-0005-0000-0000-00003B170000}"/>
    <cellStyle name="Финансовый 2 12 2 2 2 2 2 2" xfId="23683" xr:uid="{00000000-0005-0000-0000-00003C170000}"/>
    <cellStyle name="Финансовый 2 12 2 2 2 2 2 2 2" xfId="47638" xr:uid="{00000000-0005-0000-0000-00003D170000}"/>
    <cellStyle name="Финансовый 2 12 2 2 2 2 2 3" xfId="35660" xr:uid="{00000000-0005-0000-0000-00003E170000}"/>
    <cellStyle name="Финансовый 2 12 2 2 2 2 3" xfId="15944" xr:uid="{00000000-0005-0000-0000-00003F170000}"/>
    <cellStyle name="Финансовый 2 12 2 2 2 2 3 2" xfId="39899" xr:uid="{00000000-0005-0000-0000-000040170000}"/>
    <cellStyle name="Финансовый 2 12 2 2 2 2 4" xfId="27922" xr:uid="{00000000-0005-0000-0000-000041170000}"/>
    <cellStyle name="Финансовый 2 12 2 2 2 2 5" xfId="51191" xr:uid="{00000000-0005-0000-0000-000042170000}"/>
    <cellStyle name="Финансовый 2 12 2 2 2 3" xfId="5748" xr:uid="{00000000-0005-0000-0000-000043170000}"/>
    <cellStyle name="Финансовый 2 12 2 2 2 3 2" xfId="17726" xr:uid="{00000000-0005-0000-0000-000044170000}"/>
    <cellStyle name="Финансовый 2 12 2 2 2 3 2 2" xfId="41681" xr:uid="{00000000-0005-0000-0000-000045170000}"/>
    <cellStyle name="Финансовый 2 12 2 2 2 3 3" xfId="29703" xr:uid="{00000000-0005-0000-0000-000046170000}"/>
    <cellStyle name="Финансовый 2 12 2 2 2 4" xfId="8358" xr:uid="{00000000-0005-0000-0000-000047170000}"/>
    <cellStyle name="Финансовый 2 12 2 2 2 4 2" xfId="20336" xr:uid="{00000000-0005-0000-0000-000048170000}"/>
    <cellStyle name="Финансовый 2 12 2 2 2 4 2 2" xfId="44291" xr:uid="{00000000-0005-0000-0000-000049170000}"/>
    <cellStyle name="Финансовый 2 12 2 2 2 4 3" xfId="32313" xr:uid="{00000000-0005-0000-0000-00004A170000}"/>
    <cellStyle name="Финансовый 2 12 2 2 2 5" xfId="10141" xr:uid="{00000000-0005-0000-0000-00004B170000}"/>
    <cellStyle name="Финансовый 2 12 2 2 2 5 2" xfId="22119" xr:uid="{00000000-0005-0000-0000-00004C170000}"/>
    <cellStyle name="Финансовый 2 12 2 2 2 5 2 2" xfId="46074" xr:uid="{00000000-0005-0000-0000-00004D170000}"/>
    <cellStyle name="Финансовый 2 12 2 2 2 5 3" xfId="34096" xr:uid="{00000000-0005-0000-0000-00004E170000}"/>
    <cellStyle name="Финансовый 2 12 2 2 2 6" xfId="14299" xr:uid="{00000000-0005-0000-0000-00004F170000}"/>
    <cellStyle name="Финансовый 2 12 2 2 2 6 2" xfId="38254" xr:uid="{00000000-0005-0000-0000-000050170000}"/>
    <cellStyle name="Финансовый 2 12 2 2 2 7" xfId="26277" xr:uid="{00000000-0005-0000-0000-000051170000}"/>
    <cellStyle name="Финансовый 2 12 2 2 2 8" xfId="49410" xr:uid="{00000000-0005-0000-0000-000052170000}"/>
    <cellStyle name="Финансовый 2 12 2 2 3" xfId="3146" xr:uid="{00000000-0005-0000-0000-000053170000}"/>
    <cellStyle name="Финансовый 2 12 2 2 3 2" xfId="10933" xr:uid="{00000000-0005-0000-0000-000054170000}"/>
    <cellStyle name="Финансовый 2 12 2 2 3 2 2" xfId="22911" xr:uid="{00000000-0005-0000-0000-000055170000}"/>
    <cellStyle name="Финансовый 2 12 2 2 3 2 2 2" xfId="46866" xr:uid="{00000000-0005-0000-0000-000056170000}"/>
    <cellStyle name="Финансовый 2 12 2 2 3 2 3" xfId="34888" xr:uid="{00000000-0005-0000-0000-000057170000}"/>
    <cellStyle name="Финансовый 2 12 2 2 3 3" xfId="15125" xr:uid="{00000000-0005-0000-0000-000058170000}"/>
    <cellStyle name="Финансовый 2 12 2 2 3 3 2" xfId="39080" xr:uid="{00000000-0005-0000-0000-000059170000}"/>
    <cellStyle name="Финансовый 2 12 2 2 3 4" xfId="27103" xr:uid="{00000000-0005-0000-0000-00005A170000}"/>
    <cellStyle name="Финансовый 2 12 2 2 3 5" xfId="50234" xr:uid="{00000000-0005-0000-0000-00005B170000}"/>
    <cellStyle name="Финансовый 2 12 2 2 4" xfId="4790" xr:uid="{00000000-0005-0000-0000-00005C170000}"/>
    <cellStyle name="Финансовый 2 12 2 2 4 2" xfId="16769" xr:uid="{00000000-0005-0000-0000-00005D170000}"/>
    <cellStyle name="Финансовый 2 12 2 2 4 2 2" xfId="40724" xr:uid="{00000000-0005-0000-0000-00005E170000}"/>
    <cellStyle name="Финансовый 2 12 2 2 4 3" xfId="28747" xr:uid="{00000000-0005-0000-0000-00005F170000}"/>
    <cellStyle name="Финансовый 2 12 2 2 5" xfId="7402" xr:uid="{00000000-0005-0000-0000-000060170000}"/>
    <cellStyle name="Финансовый 2 12 2 2 5 2" xfId="19380" xr:uid="{00000000-0005-0000-0000-000061170000}"/>
    <cellStyle name="Финансовый 2 12 2 2 5 2 2" xfId="43335" xr:uid="{00000000-0005-0000-0000-000062170000}"/>
    <cellStyle name="Финансовый 2 12 2 2 5 3" xfId="31357" xr:uid="{00000000-0005-0000-0000-000063170000}"/>
    <cellStyle name="Финансовый 2 12 2 2 6" xfId="9184" xr:uid="{00000000-0005-0000-0000-000064170000}"/>
    <cellStyle name="Финансовый 2 12 2 2 6 2" xfId="21162" xr:uid="{00000000-0005-0000-0000-000065170000}"/>
    <cellStyle name="Финансовый 2 12 2 2 6 2 2" xfId="45117" xr:uid="{00000000-0005-0000-0000-000066170000}"/>
    <cellStyle name="Финансовый 2 12 2 2 6 3" xfId="33139" xr:uid="{00000000-0005-0000-0000-000067170000}"/>
    <cellStyle name="Финансовый 2 12 2 2 7" xfId="13343" xr:uid="{00000000-0005-0000-0000-000068170000}"/>
    <cellStyle name="Финансовый 2 12 2 2 7 2" xfId="37298" xr:uid="{00000000-0005-0000-0000-000069170000}"/>
    <cellStyle name="Финансовый 2 12 2 2 8" xfId="25321" xr:uid="{00000000-0005-0000-0000-00006A170000}"/>
    <cellStyle name="Финансовый 2 12 2 2 9" xfId="48454" xr:uid="{00000000-0005-0000-0000-00006B170000}"/>
    <cellStyle name="Финансовый 2 12 2 3" xfId="2064" xr:uid="{00000000-0005-0000-0000-00006C170000}"/>
    <cellStyle name="Финансовый 2 12 2 3 2" xfId="3709" xr:uid="{00000000-0005-0000-0000-00006D170000}"/>
    <cellStyle name="Финансовый 2 12 2 3 2 2" xfId="11449" xr:uid="{00000000-0005-0000-0000-00006E170000}"/>
    <cellStyle name="Финансовый 2 12 2 3 2 2 2" xfId="23427" xr:uid="{00000000-0005-0000-0000-00006F170000}"/>
    <cellStyle name="Финансовый 2 12 2 3 2 2 2 2" xfId="47382" xr:uid="{00000000-0005-0000-0000-000070170000}"/>
    <cellStyle name="Финансовый 2 12 2 3 2 2 3" xfId="35404" xr:uid="{00000000-0005-0000-0000-000071170000}"/>
    <cellStyle name="Финансовый 2 12 2 3 2 3" xfId="15688" xr:uid="{00000000-0005-0000-0000-000072170000}"/>
    <cellStyle name="Финансовый 2 12 2 3 2 3 2" xfId="39643" xr:uid="{00000000-0005-0000-0000-000073170000}"/>
    <cellStyle name="Финансовый 2 12 2 3 2 4" xfId="27666" xr:uid="{00000000-0005-0000-0000-000074170000}"/>
    <cellStyle name="Финансовый 2 12 2 3 2 5" xfId="50935" xr:uid="{00000000-0005-0000-0000-000075170000}"/>
    <cellStyle name="Финансовый 2 12 2 3 3" xfId="5492" xr:uid="{00000000-0005-0000-0000-000076170000}"/>
    <cellStyle name="Финансовый 2 12 2 3 3 2" xfId="17470" xr:uid="{00000000-0005-0000-0000-000077170000}"/>
    <cellStyle name="Финансовый 2 12 2 3 3 2 2" xfId="41425" xr:uid="{00000000-0005-0000-0000-000078170000}"/>
    <cellStyle name="Финансовый 2 12 2 3 3 3" xfId="29447" xr:uid="{00000000-0005-0000-0000-000079170000}"/>
    <cellStyle name="Финансовый 2 12 2 3 4" xfId="8102" xr:uid="{00000000-0005-0000-0000-00007A170000}"/>
    <cellStyle name="Финансовый 2 12 2 3 4 2" xfId="20080" xr:uid="{00000000-0005-0000-0000-00007B170000}"/>
    <cellStyle name="Финансовый 2 12 2 3 4 2 2" xfId="44035" xr:uid="{00000000-0005-0000-0000-00007C170000}"/>
    <cellStyle name="Финансовый 2 12 2 3 4 3" xfId="32057" xr:uid="{00000000-0005-0000-0000-00007D170000}"/>
    <cellStyle name="Финансовый 2 12 2 3 5" xfId="9885" xr:uid="{00000000-0005-0000-0000-00007E170000}"/>
    <cellStyle name="Финансовый 2 12 2 3 5 2" xfId="21863" xr:uid="{00000000-0005-0000-0000-00007F170000}"/>
    <cellStyle name="Финансовый 2 12 2 3 5 2 2" xfId="45818" xr:uid="{00000000-0005-0000-0000-000080170000}"/>
    <cellStyle name="Финансовый 2 12 2 3 5 3" xfId="33840" xr:uid="{00000000-0005-0000-0000-000081170000}"/>
    <cellStyle name="Финансовый 2 12 2 3 6" xfId="14043" xr:uid="{00000000-0005-0000-0000-000082170000}"/>
    <cellStyle name="Финансовый 2 12 2 3 6 2" xfId="37998" xr:uid="{00000000-0005-0000-0000-000083170000}"/>
    <cellStyle name="Финансовый 2 12 2 3 7" xfId="26021" xr:uid="{00000000-0005-0000-0000-000084170000}"/>
    <cellStyle name="Финансовый 2 12 2 3 8" xfId="49154" xr:uid="{00000000-0005-0000-0000-000085170000}"/>
    <cellStyle name="Финансовый 2 12 2 4" xfId="2593" xr:uid="{00000000-0005-0000-0000-000086170000}"/>
    <cellStyle name="Финансовый 2 12 2 4 2" xfId="4238" xr:uid="{00000000-0005-0000-0000-000087170000}"/>
    <cellStyle name="Финансовый 2 12 2 4 2 2" xfId="11962" xr:uid="{00000000-0005-0000-0000-000088170000}"/>
    <cellStyle name="Финансовый 2 12 2 4 2 2 2" xfId="23940" xr:uid="{00000000-0005-0000-0000-000089170000}"/>
    <cellStyle name="Финансовый 2 12 2 4 2 2 2 2" xfId="47895" xr:uid="{00000000-0005-0000-0000-00008A170000}"/>
    <cellStyle name="Финансовый 2 12 2 4 2 2 3" xfId="35917" xr:uid="{00000000-0005-0000-0000-00008B170000}"/>
    <cellStyle name="Финансовый 2 12 2 4 2 3" xfId="16217" xr:uid="{00000000-0005-0000-0000-00008C170000}"/>
    <cellStyle name="Финансовый 2 12 2 4 2 3 2" xfId="40172" xr:uid="{00000000-0005-0000-0000-00008D170000}"/>
    <cellStyle name="Финансовый 2 12 2 4 2 4" xfId="28195" xr:uid="{00000000-0005-0000-0000-00008E170000}"/>
    <cellStyle name="Финансовый 2 12 2 4 2 5" xfId="51464" xr:uid="{00000000-0005-0000-0000-00008F170000}"/>
    <cellStyle name="Финансовый 2 12 2 4 3" xfId="6021" xr:uid="{00000000-0005-0000-0000-000090170000}"/>
    <cellStyle name="Финансовый 2 12 2 4 3 2" xfId="17999" xr:uid="{00000000-0005-0000-0000-000091170000}"/>
    <cellStyle name="Финансовый 2 12 2 4 3 2 2" xfId="41954" xr:uid="{00000000-0005-0000-0000-000092170000}"/>
    <cellStyle name="Финансовый 2 12 2 4 3 3" xfId="29976" xr:uid="{00000000-0005-0000-0000-000093170000}"/>
    <cellStyle name="Финансовый 2 12 2 4 4" xfId="8631" xr:uid="{00000000-0005-0000-0000-000094170000}"/>
    <cellStyle name="Финансовый 2 12 2 4 4 2" xfId="20609" xr:uid="{00000000-0005-0000-0000-000095170000}"/>
    <cellStyle name="Финансовый 2 12 2 4 4 2 2" xfId="44564" xr:uid="{00000000-0005-0000-0000-000096170000}"/>
    <cellStyle name="Финансовый 2 12 2 4 4 3" xfId="32586" xr:uid="{00000000-0005-0000-0000-000097170000}"/>
    <cellStyle name="Финансовый 2 12 2 4 5" xfId="10414" xr:uid="{00000000-0005-0000-0000-000098170000}"/>
    <cellStyle name="Финансовый 2 12 2 4 5 2" xfId="22392" xr:uid="{00000000-0005-0000-0000-000099170000}"/>
    <cellStyle name="Финансовый 2 12 2 4 5 2 2" xfId="46347" xr:uid="{00000000-0005-0000-0000-00009A170000}"/>
    <cellStyle name="Финансовый 2 12 2 4 5 3" xfId="34369" xr:uid="{00000000-0005-0000-0000-00009B170000}"/>
    <cellStyle name="Финансовый 2 12 2 4 6" xfId="14572" xr:uid="{00000000-0005-0000-0000-00009C170000}"/>
    <cellStyle name="Финансовый 2 12 2 4 6 2" xfId="38527" xr:uid="{00000000-0005-0000-0000-00009D170000}"/>
    <cellStyle name="Финансовый 2 12 2 4 7" xfId="26550" xr:uid="{00000000-0005-0000-0000-00009E170000}"/>
    <cellStyle name="Финансовый 2 12 2 4 8" xfId="49683" xr:uid="{00000000-0005-0000-0000-00009F170000}"/>
    <cellStyle name="Финансовый 2 12 2 5" xfId="1097" xr:uid="{00000000-0005-0000-0000-0000A0170000}"/>
    <cellStyle name="Финансовый 2 12 2 5 2" xfId="7137" xr:uid="{00000000-0005-0000-0000-0000A1170000}"/>
    <cellStyle name="Финансовый 2 12 2 5 2 2" xfId="19115" xr:uid="{00000000-0005-0000-0000-0000A2170000}"/>
    <cellStyle name="Финансовый 2 12 2 5 2 2 2" xfId="43070" xr:uid="{00000000-0005-0000-0000-0000A3170000}"/>
    <cellStyle name="Финансовый 2 12 2 5 2 3" xfId="31092" xr:uid="{00000000-0005-0000-0000-0000A4170000}"/>
    <cellStyle name="Финансовый 2 12 2 5 3" xfId="10677" xr:uid="{00000000-0005-0000-0000-0000A5170000}"/>
    <cellStyle name="Финансовый 2 12 2 5 3 2" xfId="22655" xr:uid="{00000000-0005-0000-0000-0000A6170000}"/>
    <cellStyle name="Финансовый 2 12 2 5 3 2 2" xfId="46610" xr:uid="{00000000-0005-0000-0000-0000A7170000}"/>
    <cellStyle name="Финансовый 2 12 2 5 3 3" xfId="34632" xr:uid="{00000000-0005-0000-0000-0000A8170000}"/>
    <cellStyle name="Финансовый 2 12 2 5 4" xfId="13078" xr:uid="{00000000-0005-0000-0000-0000A9170000}"/>
    <cellStyle name="Финансовый 2 12 2 5 4 2" xfId="37033" xr:uid="{00000000-0005-0000-0000-0000AA170000}"/>
    <cellStyle name="Финансовый 2 12 2 5 5" xfId="25056" xr:uid="{00000000-0005-0000-0000-0000AB170000}"/>
    <cellStyle name="Финансовый 2 12 2 5 6" xfId="49962" xr:uid="{00000000-0005-0000-0000-0000AC170000}"/>
    <cellStyle name="Финансовый 2 12 2 6" xfId="685" xr:uid="{00000000-0005-0000-0000-0000AD170000}"/>
    <cellStyle name="Финансовый 2 12 2 6 2" xfId="6725" xr:uid="{00000000-0005-0000-0000-0000AE170000}"/>
    <cellStyle name="Финансовый 2 12 2 6 2 2" xfId="18703" xr:uid="{00000000-0005-0000-0000-0000AF170000}"/>
    <cellStyle name="Финансовый 2 12 2 6 2 2 2" xfId="42658" xr:uid="{00000000-0005-0000-0000-0000B0170000}"/>
    <cellStyle name="Финансовый 2 12 2 6 2 3" xfId="30680" xr:uid="{00000000-0005-0000-0000-0000B1170000}"/>
    <cellStyle name="Финансовый 2 12 2 6 3" xfId="12666" xr:uid="{00000000-0005-0000-0000-0000B2170000}"/>
    <cellStyle name="Финансовый 2 12 2 6 3 2" xfId="36621" xr:uid="{00000000-0005-0000-0000-0000B3170000}"/>
    <cellStyle name="Финансовый 2 12 2 6 4" xfId="24644" xr:uid="{00000000-0005-0000-0000-0000B4170000}"/>
    <cellStyle name="Финансовый 2 12 2 7" xfId="2874" xr:uid="{00000000-0005-0000-0000-0000B5170000}"/>
    <cellStyle name="Финансовый 2 12 2 7 2" xfId="14853" xr:uid="{00000000-0005-0000-0000-0000B6170000}"/>
    <cellStyle name="Финансовый 2 12 2 7 2 2" xfId="38808" xr:uid="{00000000-0005-0000-0000-0000B7170000}"/>
    <cellStyle name="Финансовый 2 12 2 7 3" xfId="26831" xr:uid="{00000000-0005-0000-0000-0000B8170000}"/>
    <cellStyle name="Финансовый 2 12 2 8" xfId="4518" xr:uid="{00000000-0005-0000-0000-0000B9170000}"/>
    <cellStyle name="Финансовый 2 12 2 8 2" xfId="16497" xr:uid="{00000000-0005-0000-0000-0000BA170000}"/>
    <cellStyle name="Финансовый 2 12 2 8 2 2" xfId="40452" xr:uid="{00000000-0005-0000-0000-0000BB170000}"/>
    <cellStyle name="Финансовый 2 12 2 8 3" xfId="28475" xr:uid="{00000000-0005-0000-0000-0000BC170000}"/>
    <cellStyle name="Финансовый 2 12 2 9" xfId="6305" xr:uid="{00000000-0005-0000-0000-0000BD170000}"/>
    <cellStyle name="Финансовый 2 12 2 9 2" xfId="18283" xr:uid="{00000000-0005-0000-0000-0000BE170000}"/>
    <cellStyle name="Финансовый 2 12 2 9 2 2" xfId="42238" xr:uid="{00000000-0005-0000-0000-0000BF170000}"/>
    <cellStyle name="Финансовый 2 12 2 9 3" xfId="30260" xr:uid="{00000000-0005-0000-0000-0000C0170000}"/>
    <cellStyle name="Финансовый 2 12 3" xfId="413" xr:uid="{00000000-0005-0000-0000-0000C1170000}"/>
    <cellStyle name="Финансовый 2 12 3 10" xfId="24372" xr:uid="{00000000-0005-0000-0000-0000C2170000}"/>
    <cellStyle name="Финансовый 2 12 3 11" xfId="48318" xr:uid="{00000000-0005-0000-0000-0000C3170000}"/>
    <cellStyle name="Финансовый 2 12 3 2" xfId="2192" xr:uid="{00000000-0005-0000-0000-0000C4170000}"/>
    <cellStyle name="Финансовый 2 12 3 2 2" xfId="3837" xr:uid="{00000000-0005-0000-0000-0000C5170000}"/>
    <cellStyle name="Финансовый 2 12 3 2 2 2" xfId="11577" xr:uid="{00000000-0005-0000-0000-0000C6170000}"/>
    <cellStyle name="Финансовый 2 12 3 2 2 2 2" xfId="23555" xr:uid="{00000000-0005-0000-0000-0000C7170000}"/>
    <cellStyle name="Финансовый 2 12 3 2 2 2 2 2" xfId="47510" xr:uid="{00000000-0005-0000-0000-0000C8170000}"/>
    <cellStyle name="Финансовый 2 12 3 2 2 2 3" xfId="35532" xr:uid="{00000000-0005-0000-0000-0000C9170000}"/>
    <cellStyle name="Финансовый 2 12 3 2 2 3" xfId="15816" xr:uid="{00000000-0005-0000-0000-0000CA170000}"/>
    <cellStyle name="Финансовый 2 12 3 2 2 3 2" xfId="39771" xr:uid="{00000000-0005-0000-0000-0000CB170000}"/>
    <cellStyle name="Финансовый 2 12 3 2 2 4" xfId="27794" xr:uid="{00000000-0005-0000-0000-0000CC170000}"/>
    <cellStyle name="Финансовый 2 12 3 2 2 5" xfId="51063" xr:uid="{00000000-0005-0000-0000-0000CD170000}"/>
    <cellStyle name="Финансовый 2 12 3 2 3" xfId="5620" xr:uid="{00000000-0005-0000-0000-0000CE170000}"/>
    <cellStyle name="Финансовый 2 12 3 2 3 2" xfId="17598" xr:uid="{00000000-0005-0000-0000-0000CF170000}"/>
    <cellStyle name="Финансовый 2 12 3 2 3 2 2" xfId="41553" xr:uid="{00000000-0005-0000-0000-0000D0170000}"/>
    <cellStyle name="Финансовый 2 12 3 2 3 3" xfId="29575" xr:uid="{00000000-0005-0000-0000-0000D1170000}"/>
    <cellStyle name="Финансовый 2 12 3 2 4" xfId="8230" xr:uid="{00000000-0005-0000-0000-0000D2170000}"/>
    <cellStyle name="Финансовый 2 12 3 2 4 2" xfId="20208" xr:uid="{00000000-0005-0000-0000-0000D3170000}"/>
    <cellStyle name="Финансовый 2 12 3 2 4 2 2" xfId="44163" xr:uid="{00000000-0005-0000-0000-0000D4170000}"/>
    <cellStyle name="Финансовый 2 12 3 2 4 3" xfId="32185" xr:uid="{00000000-0005-0000-0000-0000D5170000}"/>
    <cellStyle name="Финансовый 2 12 3 2 5" xfId="10013" xr:uid="{00000000-0005-0000-0000-0000D6170000}"/>
    <cellStyle name="Финансовый 2 12 3 2 5 2" xfId="21991" xr:uid="{00000000-0005-0000-0000-0000D7170000}"/>
    <cellStyle name="Финансовый 2 12 3 2 5 2 2" xfId="45946" xr:uid="{00000000-0005-0000-0000-0000D8170000}"/>
    <cellStyle name="Финансовый 2 12 3 2 5 3" xfId="33968" xr:uid="{00000000-0005-0000-0000-0000D9170000}"/>
    <cellStyle name="Финансовый 2 12 3 2 6" xfId="14171" xr:uid="{00000000-0005-0000-0000-0000DA170000}"/>
    <cellStyle name="Финансовый 2 12 3 2 6 2" xfId="38126" xr:uid="{00000000-0005-0000-0000-0000DB170000}"/>
    <cellStyle name="Финансовый 2 12 3 2 7" xfId="26149" xr:uid="{00000000-0005-0000-0000-0000DC170000}"/>
    <cellStyle name="Финансовый 2 12 3 2 8" xfId="49282" xr:uid="{00000000-0005-0000-0000-0000DD170000}"/>
    <cellStyle name="Финансовый 2 12 3 3" xfId="1226" xr:uid="{00000000-0005-0000-0000-0000DE170000}"/>
    <cellStyle name="Финансовый 2 12 3 3 2" xfId="7266" xr:uid="{00000000-0005-0000-0000-0000DF170000}"/>
    <cellStyle name="Финансовый 2 12 3 3 2 2" xfId="19244" xr:uid="{00000000-0005-0000-0000-0000E0170000}"/>
    <cellStyle name="Финансовый 2 12 3 3 2 2 2" xfId="43199" xr:uid="{00000000-0005-0000-0000-0000E1170000}"/>
    <cellStyle name="Финансовый 2 12 3 3 2 3" xfId="31221" xr:uid="{00000000-0005-0000-0000-0000E2170000}"/>
    <cellStyle name="Финансовый 2 12 3 3 3" xfId="10805" xr:uid="{00000000-0005-0000-0000-0000E3170000}"/>
    <cellStyle name="Финансовый 2 12 3 3 3 2" xfId="22783" xr:uid="{00000000-0005-0000-0000-0000E4170000}"/>
    <cellStyle name="Финансовый 2 12 3 3 3 2 2" xfId="46738" xr:uid="{00000000-0005-0000-0000-0000E5170000}"/>
    <cellStyle name="Финансовый 2 12 3 3 3 3" xfId="34760" xr:uid="{00000000-0005-0000-0000-0000E6170000}"/>
    <cellStyle name="Финансовый 2 12 3 3 4" xfId="13207" xr:uid="{00000000-0005-0000-0000-0000E7170000}"/>
    <cellStyle name="Финансовый 2 12 3 3 4 2" xfId="37162" xr:uid="{00000000-0005-0000-0000-0000E8170000}"/>
    <cellStyle name="Финансовый 2 12 3 3 5" xfId="25185" xr:uid="{00000000-0005-0000-0000-0000E9170000}"/>
    <cellStyle name="Финансовый 2 12 3 3 6" xfId="50098" xr:uid="{00000000-0005-0000-0000-0000EA170000}"/>
    <cellStyle name="Финансовый 2 12 3 4" xfId="833" xr:uid="{00000000-0005-0000-0000-0000EB170000}"/>
    <cellStyle name="Финансовый 2 12 3 4 2" xfId="6873" xr:uid="{00000000-0005-0000-0000-0000EC170000}"/>
    <cellStyle name="Финансовый 2 12 3 4 2 2" xfId="18851" xr:uid="{00000000-0005-0000-0000-0000ED170000}"/>
    <cellStyle name="Финансовый 2 12 3 4 2 2 2" xfId="42806" xr:uid="{00000000-0005-0000-0000-0000EE170000}"/>
    <cellStyle name="Финансовый 2 12 3 4 2 3" xfId="30828" xr:uid="{00000000-0005-0000-0000-0000EF170000}"/>
    <cellStyle name="Финансовый 2 12 3 4 3" xfId="12814" xr:uid="{00000000-0005-0000-0000-0000F0170000}"/>
    <cellStyle name="Финансовый 2 12 3 4 3 2" xfId="36769" xr:uid="{00000000-0005-0000-0000-0000F1170000}"/>
    <cellStyle name="Финансовый 2 12 3 4 4" xfId="24792" xr:uid="{00000000-0005-0000-0000-0000F2170000}"/>
    <cellStyle name="Финансовый 2 12 3 5" xfId="3010" xr:uid="{00000000-0005-0000-0000-0000F3170000}"/>
    <cellStyle name="Финансовый 2 12 3 5 2" xfId="14989" xr:uid="{00000000-0005-0000-0000-0000F4170000}"/>
    <cellStyle name="Финансовый 2 12 3 5 2 2" xfId="38944" xr:uid="{00000000-0005-0000-0000-0000F5170000}"/>
    <cellStyle name="Финансовый 2 12 3 5 3" xfId="26967" xr:uid="{00000000-0005-0000-0000-0000F6170000}"/>
    <cellStyle name="Финансовый 2 12 3 6" xfId="4654" xr:uid="{00000000-0005-0000-0000-0000F7170000}"/>
    <cellStyle name="Финансовый 2 12 3 6 2" xfId="16633" xr:uid="{00000000-0005-0000-0000-0000F8170000}"/>
    <cellStyle name="Финансовый 2 12 3 6 2 2" xfId="40588" xr:uid="{00000000-0005-0000-0000-0000F9170000}"/>
    <cellStyle name="Финансовый 2 12 3 6 3" xfId="28611" xr:uid="{00000000-0005-0000-0000-0000FA170000}"/>
    <cellStyle name="Финансовый 2 12 3 7" xfId="6453" xr:uid="{00000000-0005-0000-0000-0000FB170000}"/>
    <cellStyle name="Финансовый 2 12 3 7 2" xfId="18431" xr:uid="{00000000-0005-0000-0000-0000FC170000}"/>
    <cellStyle name="Финансовый 2 12 3 7 2 2" xfId="42386" xr:uid="{00000000-0005-0000-0000-0000FD170000}"/>
    <cellStyle name="Финансовый 2 12 3 7 3" xfId="30408" xr:uid="{00000000-0005-0000-0000-0000FE170000}"/>
    <cellStyle name="Финансовый 2 12 3 8" xfId="9048" xr:uid="{00000000-0005-0000-0000-0000FF170000}"/>
    <cellStyle name="Финансовый 2 12 3 8 2" xfId="21026" xr:uid="{00000000-0005-0000-0000-000000180000}"/>
    <cellStyle name="Финансовый 2 12 3 8 2 2" xfId="44981" xr:uid="{00000000-0005-0000-0000-000001180000}"/>
    <cellStyle name="Финансовый 2 12 3 8 3" xfId="33003" xr:uid="{00000000-0005-0000-0000-000002180000}"/>
    <cellStyle name="Финансовый 2 12 3 9" xfId="12394" xr:uid="{00000000-0005-0000-0000-000003180000}"/>
    <cellStyle name="Финансовый 2 12 3 9 2" xfId="36349" xr:uid="{00000000-0005-0000-0000-000004180000}"/>
    <cellStyle name="Финансовый 2 12 4" xfId="1450" xr:uid="{00000000-0005-0000-0000-000005180000}"/>
    <cellStyle name="Финансовый 2 12 4 2" xfId="1936" xr:uid="{00000000-0005-0000-0000-000006180000}"/>
    <cellStyle name="Финансовый 2 12 4 2 2" xfId="3581" xr:uid="{00000000-0005-0000-0000-000007180000}"/>
    <cellStyle name="Финансовый 2 12 4 2 2 2" xfId="11321" xr:uid="{00000000-0005-0000-0000-000008180000}"/>
    <cellStyle name="Финансовый 2 12 4 2 2 2 2" xfId="23299" xr:uid="{00000000-0005-0000-0000-000009180000}"/>
    <cellStyle name="Финансовый 2 12 4 2 2 2 2 2" xfId="47254" xr:uid="{00000000-0005-0000-0000-00000A180000}"/>
    <cellStyle name="Финансовый 2 12 4 2 2 2 3" xfId="35276" xr:uid="{00000000-0005-0000-0000-00000B180000}"/>
    <cellStyle name="Финансовый 2 12 4 2 2 3" xfId="15560" xr:uid="{00000000-0005-0000-0000-00000C180000}"/>
    <cellStyle name="Финансовый 2 12 4 2 2 3 2" xfId="39515" xr:uid="{00000000-0005-0000-0000-00000D180000}"/>
    <cellStyle name="Финансовый 2 12 4 2 2 4" xfId="27538" xr:uid="{00000000-0005-0000-0000-00000E180000}"/>
    <cellStyle name="Финансовый 2 12 4 2 2 5" xfId="50807" xr:uid="{00000000-0005-0000-0000-00000F180000}"/>
    <cellStyle name="Финансовый 2 12 4 2 3" xfId="5364" xr:uid="{00000000-0005-0000-0000-000010180000}"/>
    <cellStyle name="Финансовый 2 12 4 2 3 2" xfId="17342" xr:uid="{00000000-0005-0000-0000-000011180000}"/>
    <cellStyle name="Финансовый 2 12 4 2 3 2 2" xfId="41297" xr:uid="{00000000-0005-0000-0000-000012180000}"/>
    <cellStyle name="Финансовый 2 12 4 2 3 3" xfId="29319" xr:uid="{00000000-0005-0000-0000-000013180000}"/>
    <cellStyle name="Финансовый 2 12 4 2 4" xfId="7974" xr:uid="{00000000-0005-0000-0000-000014180000}"/>
    <cellStyle name="Финансовый 2 12 4 2 4 2" xfId="19952" xr:uid="{00000000-0005-0000-0000-000015180000}"/>
    <cellStyle name="Финансовый 2 12 4 2 4 2 2" xfId="43907" xr:uid="{00000000-0005-0000-0000-000016180000}"/>
    <cellStyle name="Финансовый 2 12 4 2 4 3" xfId="31929" xr:uid="{00000000-0005-0000-0000-000017180000}"/>
    <cellStyle name="Финансовый 2 12 4 2 5" xfId="9757" xr:uid="{00000000-0005-0000-0000-000018180000}"/>
    <cellStyle name="Финансовый 2 12 4 2 5 2" xfId="21735" xr:uid="{00000000-0005-0000-0000-000019180000}"/>
    <cellStyle name="Финансовый 2 12 4 2 5 2 2" xfId="45690" xr:uid="{00000000-0005-0000-0000-00001A180000}"/>
    <cellStyle name="Финансовый 2 12 4 2 5 3" xfId="33712" xr:uid="{00000000-0005-0000-0000-00001B180000}"/>
    <cellStyle name="Финансовый 2 12 4 2 6" xfId="13915" xr:uid="{00000000-0005-0000-0000-00001C180000}"/>
    <cellStyle name="Финансовый 2 12 4 2 6 2" xfId="37870" xr:uid="{00000000-0005-0000-0000-00001D180000}"/>
    <cellStyle name="Финансовый 2 12 4 2 7" xfId="25893" xr:uid="{00000000-0005-0000-0000-00001E180000}"/>
    <cellStyle name="Финансовый 2 12 4 2 8" xfId="49026" xr:uid="{00000000-0005-0000-0000-00001F180000}"/>
    <cellStyle name="Финансовый 2 12 4 3" xfId="4878" xr:uid="{00000000-0005-0000-0000-000020180000}"/>
    <cellStyle name="Финансовый 2 12 4 3 2" xfId="16856" xr:uid="{00000000-0005-0000-0000-000021180000}"/>
    <cellStyle name="Финансовый 2 12 4 3 2 2" xfId="40811" xr:uid="{00000000-0005-0000-0000-000022180000}"/>
    <cellStyle name="Финансовый 2 12 4 3 3" xfId="28833" xr:uid="{00000000-0005-0000-0000-000023180000}"/>
    <cellStyle name="Финансовый 2 12 4 3 4" xfId="50321" xr:uid="{00000000-0005-0000-0000-000024180000}"/>
    <cellStyle name="Финансовый 2 12 4 4" xfId="7488" xr:uid="{00000000-0005-0000-0000-000025180000}"/>
    <cellStyle name="Финансовый 2 12 4 4 2" xfId="19466" xr:uid="{00000000-0005-0000-0000-000026180000}"/>
    <cellStyle name="Финансовый 2 12 4 4 2 2" xfId="43421" xr:uid="{00000000-0005-0000-0000-000027180000}"/>
    <cellStyle name="Финансовый 2 12 4 4 3" xfId="31443" xr:uid="{00000000-0005-0000-0000-000028180000}"/>
    <cellStyle name="Финансовый 2 12 4 5" xfId="9271" xr:uid="{00000000-0005-0000-0000-000029180000}"/>
    <cellStyle name="Финансовый 2 12 4 5 2" xfId="21249" xr:uid="{00000000-0005-0000-0000-00002A180000}"/>
    <cellStyle name="Финансовый 2 12 4 5 2 2" xfId="45204" xr:uid="{00000000-0005-0000-0000-00002B180000}"/>
    <cellStyle name="Финансовый 2 12 4 5 3" xfId="33226" xr:uid="{00000000-0005-0000-0000-00002C180000}"/>
    <cellStyle name="Финансовый 2 12 4 6" xfId="13429" xr:uid="{00000000-0005-0000-0000-00002D180000}"/>
    <cellStyle name="Финансовый 2 12 4 6 2" xfId="37384" xr:uid="{00000000-0005-0000-0000-00002E180000}"/>
    <cellStyle name="Финансовый 2 12 4 7" xfId="25407" xr:uid="{00000000-0005-0000-0000-00002F180000}"/>
    <cellStyle name="Финансовый 2 12 4 8" xfId="48540" xr:uid="{00000000-0005-0000-0000-000030180000}"/>
    <cellStyle name="Финансовый 2 12 5" xfId="1812" xr:uid="{00000000-0005-0000-0000-000031180000}"/>
    <cellStyle name="Финансовый 2 12 5 2" xfId="3457" xr:uid="{00000000-0005-0000-0000-000032180000}"/>
    <cellStyle name="Финансовый 2 12 5 2 2" xfId="11205" xr:uid="{00000000-0005-0000-0000-000033180000}"/>
    <cellStyle name="Финансовый 2 12 5 2 2 2" xfId="23183" xr:uid="{00000000-0005-0000-0000-000034180000}"/>
    <cellStyle name="Финансовый 2 12 5 2 2 2 2" xfId="47138" xr:uid="{00000000-0005-0000-0000-000035180000}"/>
    <cellStyle name="Финансовый 2 12 5 2 2 3" xfId="35160" xr:uid="{00000000-0005-0000-0000-000036180000}"/>
    <cellStyle name="Финансовый 2 12 5 2 3" xfId="15436" xr:uid="{00000000-0005-0000-0000-000037180000}"/>
    <cellStyle name="Финансовый 2 12 5 2 3 2" xfId="39391" xr:uid="{00000000-0005-0000-0000-000038180000}"/>
    <cellStyle name="Финансовый 2 12 5 2 4" xfId="27414" xr:uid="{00000000-0005-0000-0000-000039180000}"/>
    <cellStyle name="Финансовый 2 12 5 2 5" xfId="50683" xr:uid="{00000000-0005-0000-0000-00003A180000}"/>
    <cellStyle name="Финансовый 2 12 5 3" xfId="5240" xr:uid="{00000000-0005-0000-0000-00003B180000}"/>
    <cellStyle name="Финансовый 2 12 5 3 2" xfId="17218" xr:uid="{00000000-0005-0000-0000-00003C180000}"/>
    <cellStyle name="Финансовый 2 12 5 3 2 2" xfId="41173" xr:uid="{00000000-0005-0000-0000-00003D180000}"/>
    <cellStyle name="Финансовый 2 12 5 3 3" xfId="29195" xr:uid="{00000000-0005-0000-0000-00003E180000}"/>
    <cellStyle name="Финансовый 2 12 5 4" xfId="7850" xr:uid="{00000000-0005-0000-0000-00003F180000}"/>
    <cellStyle name="Финансовый 2 12 5 4 2" xfId="19828" xr:uid="{00000000-0005-0000-0000-000040180000}"/>
    <cellStyle name="Финансовый 2 12 5 4 2 2" xfId="43783" xr:uid="{00000000-0005-0000-0000-000041180000}"/>
    <cellStyle name="Финансовый 2 12 5 4 3" xfId="31805" xr:uid="{00000000-0005-0000-0000-000042180000}"/>
    <cellStyle name="Финансовый 2 12 5 5" xfId="9633" xr:uid="{00000000-0005-0000-0000-000043180000}"/>
    <cellStyle name="Финансовый 2 12 5 5 2" xfId="21611" xr:uid="{00000000-0005-0000-0000-000044180000}"/>
    <cellStyle name="Финансовый 2 12 5 5 2 2" xfId="45566" xr:uid="{00000000-0005-0000-0000-000045180000}"/>
    <cellStyle name="Финансовый 2 12 5 5 3" xfId="33588" xr:uid="{00000000-0005-0000-0000-000046180000}"/>
    <cellStyle name="Финансовый 2 12 5 6" xfId="13791" xr:uid="{00000000-0005-0000-0000-000047180000}"/>
    <cellStyle name="Финансовый 2 12 5 6 2" xfId="37746" xr:uid="{00000000-0005-0000-0000-000048180000}"/>
    <cellStyle name="Финансовый 2 12 5 7" xfId="25769" xr:uid="{00000000-0005-0000-0000-000049180000}"/>
    <cellStyle name="Финансовый 2 12 5 8" xfId="48902" xr:uid="{00000000-0005-0000-0000-00004A180000}"/>
    <cellStyle name="Финансовый 2 12 6" xfId="2457" xr:uid="{00000000-0005-0000-0000-00004B180000}"/>
    <cellStyle name="Финансовый 2 12 6 2" xfId="4102" xr:uid="{00000000-0005-0000-0000-00004C180000}"/>
    <cellStyle name="Финансовый 2 12 6 2 2" xfId="11834" xr:uid="{00000000-0005-0000-0000-00004D180000}"/>
    <cellStyle name="Финансовый 2 12 6 2 2 2" xfId="23812" xr:uid="{00000000-0005-0000-0000-00004E180000}"/>
    <cellStyle name="Финансовый 2 12 6 2 2 2 2" xfId="47767" xr:uid="{00000000-0005-0000-0000-00004F180000}"/>
    <cellStyle name="Финансовый 2 12 6 2 2 3" xfId="35789" xr:uid="{00000000-0005-0000-0000-000050180000}"/>
    <cellStyle name="Финансовый 2 12 6 2 3" xfId="16081" xr:uid="{00000000-0005-0000-0000-000051180000}"/>
    <cellStyle name="Финансовый 2 12 6 2 3 2" xfId="40036" xr:uid="{00000000-0005-0000-0000-000052180000}"/>
    <cellStyle name="Финансовый 2 12 6 2 4" xfId="28059" xr:uid="{00000000-0005-0000-0000-000053180000}"/>
    <cellStyle name="Финансовый 2 12 6 2 5" xfId="51328" xr:uid="{00000000-0005-0000-0000-000054180000}"/>
    <cellStyle name="Финансовый 2 12 6 3" xfId="5885" xr:uid="{00000000-0005-0000-0000-000055180000}"/>
    <cellStyle name="Финансовый 2 12 6 3 2" xfId="17863" xr:uid="{00000000-0005-0000-0000-000056180000}"/>
    <cellStyle name="Финансовый 2 12 6 3 2 2" xfId="41818" xr:uid="{00000000-0005-0000-0000-000057180000}"/>
    <cellStyle name="Финансовый 2 12 6 3 3" xfId="29840" xr:uid="{00000000-0005-0000-0000-000058180000}"/>
    <cellStyle name="Финансовый 2 12 6 4" xfId="8495" xr:uid="{00000000-0005-0000-0000-000059180000}"/>
    <cellStyle name="Финансовый 2 12 6 4 2" xfId="20473" xr:uid="{00000000-0005-0000-0000-00005A180000}"/>
    <cellStyle name="Финансовый 2 12 6 4 2 2" xfId="44428" xr:uid="{00000000-0005-0000-0000-00005B180000}"/>
    <cellStyle name="Финансовый 2 12 6 4 3" xfId="32450" xr:uid="{00000000-0005-0000-0000-00005C180000}"/>
    <cellStyle name="Финансовый 2 12 6 5" xfId="10278" xr:uid="{00000000-0005-0000-0000-00005D180000}"/>
    <cellStyle name="Финансовый 2 12 6 5 2" xfId="22256" xr:uid="{00000000-0005-0000-0000-00005E180000}"/>
    <cellStyle name="Финансовый 2 12 6 5 2 2" xfId="46211" xr:uid="{00000000-0005-0000-0000-00005F180000}"/>
    <cellStyle name="Финансовый 2 12 6 5 3" xfId="34233" xr:uid="{00000000-0005-0000-0000-000060180000}"/>
    <cellStyle name="Финансовый 2 12 6 6" xfId="14436" xr:uid="{00000000-0005-0000-0000-000061180000}"/>
    <cellStyle name="Финансовый 2 12 6 6 2" xfId="38391" xr:uid="{00000000-0005-0000-0000-000062180000}"/>
    <cellStyle name="Финансовый 2 12 6 7" xfId="26414" xr:uid="{00000000-0005-0000-0000-000063180000}"/>
    <cellStyle name="Финансовый 2 12 6 8" xfId="49547" xr:uid="{00000000-0005-0000-0000-000064180000}"/>
    <cellStyle name="Финансовый 2 12 7" xfId="1684" xr:uid="{00000000-0005-0000-0000-000065180000}"/>
    <cellStyle name="Финансовый 2 12 7 2" xfId="3329" xr:uid="{00000000-0005-0000-0000-000066180000}"/>
    <cellStyle name="Финансовый 2 12 7 2 2" xfId="11077" xr:uid="{00000000-0005-0000-0000-000067180000}"/>
    <cellStyle name="Финансовый 2 12 7 2 2 2" xfId="23055" xr:uid="{00000000-0005-0000-0000-000068180000}"/>
    <cellStyle name="Финансовый 2 12 7 2 2 2 2" xfId="47010" xr:uid="{00000000-0005-0000-0000-000069180000}"/>
    <cellStyle name="Финансовый 2 12 7 2 2 3" xfId="35032" xr:uid="{00000000-0005-0000-0000-00006A180000}"/>
    <cellStyle name="Финансовый 2 12 7 2 3" xfId="15308" xr:uid="{00000000-0005-0000-0000-00006B180000}"/>
    <cellStyle name="Финансовый 2 12 7 2 3 2" xfId="39263" xr:uid="{00000000-0005-0000-0000-00006C180000}"/>
    <cellStyle name="Финансовый 2 12 7 2 4" xfId="27286" xr:uid="{00000000-0005-0000-0000-00006D180000}"/>
    <cellStyle name="Финансовый 2 12 7 2 5" xfId="50555" xr:uid="{00000000-0005-0000-0000-00006E180000}"/>
    <cellStyle name="Финансовый 2 12 7 3" xfId="5112" xr:uid="{00000000-0005-0000-0000-00006F180000}"/>
    <cellStyle name="Финансовый 2 12 7 3 2" xfId="17090" xr:uid="{00000000-0005-0000-0000-000070180000}"/>
    <cellStyle name="Финансовый 2 12 7 3 2 2" xfId="41045" xr:uid="{00000000-0005-0000-0000-000071180000}"/>
    <cellStyle name="Финансовый 2 12 7 3 3" xfId="29067" xr:uid="{00000000-0005-0000-0000-000072180000}"/>
    <cellStyle name="Финансовый 2 12 7 4" xfId="7722" xr:uid="{00000000-0005-0000-0000-000073180000}"/>
    <cellStyle name="Финансовый 2 12 7 4 2" xfId="19700" xr:uid="{00000000-0005-0000-0000-000074180000}"/>
    <cellStyle name="Финансовый 2 12 7 4 2 2" xfId="43655" xr:uid="{00000000-0005-0000-0000-000075180000}"/>
    <cellStyle name="Финансовый 2 12 7 4 3" xfId="31677" xr:uid="{00000000-0005-0000-0000-000076180000}"/>
    <cellStyle name="Финансовый 2 12 7 5" xfId="9505" xr:uid="{00000000-0005-0000-0000-000077180000}"/>
    <cellStyle name="Финансовый 2 12 7 5 2" xfId="21483" xr:uid="{00000000-0005-0000-0000-000078180000}"/>
    <cellStyle name="Финансовый 2 12 7 5 2 2" xfId="45438" xr:uid="{00000000-0005-0000-0000-000079180000}"/>
    <cellStyle name="Финансовый 2 12 7 5 3" xfId="33460" xr:uid="{00000000-0005-0000-0000-00007A180000}"/>
    <cellStyle name="Финансовый 2 12 7 6" xfId="13663" xr:uid="{00000000-0005-0000-0000-00007B180000}"/>
    <cellStyle name="Финансовый 2 12 7 6 2" xfId="37618" xr:uid="{00000000-0005-0000-0000-00007C180000}"/>
    <cellStyle name="Финансовый 2 12 7 7" xfId="25641" xr:uid="{00000000-0005-0000-0000-00007D180000}"/>
    <cellStyle name="Финансовый 2 12 7 8" xfId="48774" xr:uid="{00000000-0005-0000-0000-00007E180000}"/>
    <cellStyle name="Финансовый 2 12 8" xfId="961" xr:uid="{00000000-0005-0000-0000-00007F180000}"/>
    <cellStyle name="Финансовый 2 12 8 2" xfId="7001" xr:uid="{00000000-0005-0000-0000-000080180000}"/>
    <cellStyle name="Финансовый 2 12 8 2 2" xfId="18979" xr:uid="{00000000-0005-0000-0000-000081180000}"/>
    <cellStyle name="Финансовый 2 12 8 2 2 2" xfId="42934" xr:uid="{00000000-0005-0000-0000-000082180000}"/>
    <cellStyle name="Финансовый 2 12 8 2 3" xfId="30956" xr:uid="{00000000-0005-0000-0000-000083180000}"/>
    <cellStyle name="Финансовый 2 12 8 3" xfId="10549" xr:uid="{00000000-0005-0000-0000-000084180000}"/>
    <cellStyle name="Финансовый 2 12 8 3 2" xfId="22527" xr:uid="{00000000-0005-0000-0000-000085180000}"/>
    <cellStyle name="Финансовый 2 12 8 3 2 2" xfId="46482" xr:uid="{00000000-0005-0000-0000-000086180000}"/>
    <cellStyle name="Финансовый 2 12 8 3 3" xfId="34504" xr:uid="{00000000-0005-0000-0000-000087180000}"/>
    <cellStyle name="Финансовый 2 12 8 4" xfId="12942" xr:uid="{00000000-0005-0000-0000-000088180000}"/>
    <cellStyle name="Финансовый 2 12 8 4 2" xfId="36897" xr:uid="{00000000-0005-0000-0000-000089180000}"/>
    <cellStyle name="Финансовый 2 12 8 5" xfId="24920" xr:uid="{00000000-0005-0000-0000-00008A180000}"/>
    <cellStyle name="Финансовый 2 12 8 6" xfId="49826" xr:uid="{00000000-0005-0000-0000-00008B180000}"/>
    <cellStyle name="Финансовый 2 12 9" xfId="549" xr:uid="{00000000-0005-0000-0000-00008C180000}"/>
    <cellStyle name="Финансовый 2 12 9 2" xfId="6589" xr:uid="{00000000-0005-0000-0000-00008D180000}"/>
    <cellStyle name="Финансовый 2 12 9 2 2" xfId="18567" xr:uid="{00000000-0005-0000-0000-00008E180000}"/>
    <cellStyle name="Финансовый 2 12 9 2 2 2" xfId="42522" xr:uid="{00000000-0005-0000-0000-00008F180000}"/>
    <cellStyle name="Финансовый 2 12 9 2 3" xfId="30544" xr:uid="{00000000-0005-0000-0000-000090180000}"/>
    <cellStyle name="Финансовый 2 12 9 3" xfId="12530" xr:uid="{00000000-0005-0000-0000-000091180000}"/>
    <cellStyle name="Финансовый 2 12 9 3 2" xfId="36485" xr:uid="{00000000-0005-0000-0000-000092180000}"/>
    <cellStyle name="Финансовый 2 12 9 4" xfId="24508" xr:uid="{00000000-0005-0000-0000-000093180000}"/>
    <cellStyle name="Финансовый 2 13" xfId="26" xr:uid="{00000000-0005-0000-0000-000094180000}"/>
    <cellStyle name="Финансовый 2 13 10" xfId="2638" xr:uid="{00000000-0005-0000-0000-000095180000}"/>
    <cellStyle name="Финансовый 2 13 10 2" xfId="14617" xr:uid="{00000000-0005-0000-0000-000096180000}"/>
    <cellStyle name="Финансовый 2 13 10 2 2" xfId="38572" xr:uid="{00000000-0005-0000-0000-000097180000}"/>
    <cellStyle name="Финансовый 2 13 10 3" xfId="26595" xr:uid="{00000000-0005-0000-0000-000098180000}"/>
    <cellStyle name="Финансовый 2 13 11" xfId="4281" xr:uid="{00000000-0005-0000-0000-000099180000}"/>
    <cellStyle name="Финансовый 2 13 11 2" xfId="16260" xr:uid="{00000000-0005-0000-0000-00009A180000}"/>
    <cellStyle name="Финансовый 2 13 11 2 2" xfId="40215" xr:uid="{00000000-0005-0000-0000-00009B180000}"/>
    <cellStyle name="Финансовый 2 13 11 3" xfId="28238" xr:uid="{00000000-0005-0000-0000-00009C180000}"/>
    <cellStyle name="Финансовый 2 13 12" xfId="6069" xr:uid="{00000000-0005-0000-0000-00009D180000}"/>
    <cellStyle name="Финансовый 2 13 12 2" xfId="18047" xr:uid="{00000000-0005-0000-0000-00009E180000}"/>
    <cellStyle name="Финансовый 2 13 12 2 2" xfId="42002" xr:uid="{00000000-0005-0000-0000-00009F180000}"/>
    <cellStyle name="Финансовый 2 13 12 3" xfId="30024" xr:uid="{00000000-0005-0000-0000-0000A0180000}"/>
    <cellStyle name="Финансовый 2 13 13" xfId="8676" xr:uid="{00000000-0005-0000-0000-0000A1180000}"/>
    <cellStyle name="Финансовый 2 13 13 2" xfId="20654" xr:uid="{00000000-0005-0000-0000-0000A2180000}"/>
    <cellStyle name="Финансовый 2 13 13 2 2" xfId="44609" xr:uid="{00000000-0005-0000-0000-0000A3180000}"/>
    <cellStyle name="Финансовый 2 13 13 3" xfId="32631" xr:uid="{00000000-0005-0000-0000-0000A4180000}"/>
    <cellStyle name="Финансовый 2 13 14" xfId="12010" xr:uid="{00000000-0005-0000-0000-0000A5180000}"/>
    <cellStyle name="Финансовый 2 13 14 2" xfId="35965" xr:uid="{00000000-0005-0000-0000-0000A6180000}"/>
    <cellStyle name="Финансовый 2 13 15" xfId="23988" xr:uid="{00000000-0005-0000-0000-0000A7180000}"/>
    <cellStyle name="Финансовый 2 13 16" xfId="47946" xr:uid="{00000000-0005-0000-0000-0000A8180000}"/>
    <cellStyle name="Финансовый 2 13 2" xfId="164" xr:uid="{00000000-0005-0000-0000-0000A9180000}"/>
    <cellStyle name="Финансовый 2 13 2 10" xfId="8812" xr:uid="{00000000-0005-0000-0000-0000AA180000}"/>
    <cellStyle name="Финансовый 2 13 2 10 2" xfId="20790" xr:uid="{00000000-0005-0000-0000-0000AB180000}"/>
    <cellStyle name="Финансовый 2 13 2 10 2 2" xfId="44745" xr:uid="{00000000-0005-0000-0000-0000AC180000}"/>
    <cellStyle name="Финансовый 2 13 2 10 3" xfId="32767" xr:uid="{00000000-0005-0000-0000-0000AD180000}"/>
    <cellStyle name="Финансовый 2 13 2 11" xfId="12146" xr:uid="{00000000-0005-0000-0000-0000AE180000}"/>
    <cellStyle name="Финансовый 2 13 2 11 2" xfId="36101" xr:uid="{00000000-0005-0000-0000-0000AF180000}"/>
    <cellStyle name="Финансовый 2 13 2 12" xfId="24124" xr:uid="{00000000-0005-0000-0000-0000B0180000}"/>
    <cellStyle name="Финансовый 2 13 2 13" xfId="48082" xr:uid="{00000000-0005-0000-0000-0000B1180000}"/>
    <cellStyle name="Финансовый 2 13 2 2" xfId="1262" xr:uid="{00000000-0005-0000-0000-0000B2180000}"/>
    <cellStyle name="Финансовый 2 13 2 2 2" xfId="2228" xr:uid="{00000000-0005-0000-0000-0000B3180000}"/>
    <cellStyle name="Финансовый 2 13 2 2 2 2" xfId="3873" xr:uid="{00000000-0005-0000-0000-0000B4180000}"/>
    <cellStyle name="Финансовый 2 13 2 2 2 2 2" xfId="11613" xr:uid="{00000000-0005-0000-0000-0000B5180000}"/>
    <cellStyle name="Финансовый 2 13 2 2 2 2 2 2" xfId="23591" xr:uid="{00000000-0005-0000-0000-0000B6180000}"/>
    <cellStyle name="Финансовый 2 13 2 2 2 2 2 2 2" xfId="47546" xr:uid="{00000000-0005-0000-0000-0000B7180000}"/>
    <cellStyle name="Финансовый 2 13 2 2 2 2 2 3" xfId="35568" xr:uid="{00000000-0005-0000-0000-0000B8180000}"/>
    <cellStyle name="Финансовый 2 13 2 2 2 2 3" xfId="15852" xr:uid="{00000000-0005-0000-0000-0000B9180000}"/>
    <cellStyle name="Финансовый 2 13 2 2 2 2 3 2" xfId="39807" xr:uid="{00000000-0005-0000-0000-0000BA180000}"/>
    <cellStyle name="Финансовый 2 13 2 2 2 2 4" xfId="27830" xr:uid="{00000000-0005-0000-0000-0000BB180000}"/>
    <cellStyle name="Финансовый 2 13 2 2 2 2 5" xfId="51099" xr:uid="{00000000-0005-0000-0000-0000BC180000}"/>
    <cellStyle name="Финансовый 2 13 2 2 2 3" xfId="5656" xr:uid="{00000000-0005-0000-0000-0000BD180000}"/>
    <cellStyle name="Финансовый 2 13 2 2 2 3 2" xfId="17634" xr:uid="{00000000-0005-0000-0000-0000BE180000}"/>
    <cellStyle name="Финансовый 2 13 2 2 2 3 2 2" xfId="41589" xr:uid="{00000000-0005-0000-0000-0000BF180000}"/>
    <cellStyle name="Финансовый 2 13 2 2 2 3 3" xfId="29611" xr:uid="{00000000-0005-0000-0000-0000C0180000}"/>
    <cellStyle name="Финансовый 2 13 2 2 2 4" xfId="8266" xr:uid="{00000000-0005-0000-0000-0000C1180000}"/>
    <cellStyle name="Финансовый 2 13 2 2 2 4 2" xfId="20244" xr:uid="{00000000-0005-0000-0000-0000C2180000}"/>
    <cellStyle name="Финансовый 2 13 2 2 2 4 2 2" xfId="44199" xr:uid="{00000000-0005-0000-0000-0000C3180000}"/>
    <cellStyle name="Финансовый 2 13 2 2 2 4 3" xfId="32221" xr:uid="{00000000-0005-0000-0000-0000C4180000}"/>
    <cellStyle name="Финансовый 2 13 2 2 2 5" xfId="10049" xr:uid="{00000000-0005-0000-0000-0000C5180000}"/>
    <cellStyle name="Финансовый 2 13 2 2 2 5 2" xfId="22027" xr:uid="{00000000-0005-0000-0000-0000C6180000}"/>
    <cellStyle name="Финансовый 2 13 2 2 2 5 2 2" xfId="45982" xr:uid="{00000000-0005-0000-0000-0000C7180000}"/>
    <cellStyle name="Финансовый 2 13 2 2 2 5 3" xfId="34004" xr:uid="{00000000-0005-0000-0000-0000C8180000}"/>
    <cellStyle name="Финансовый 2 13 2 2 2 6" xfId="14207" xr:uid="{00000000-0005-0000-0000-0000C9180000}"/>
    <cellStyle name="Финансовый 2 13 2 2 2 6 2" xfId="38162" xr:uid="{00000000-0005-0000-0000-0000CA180000}"/>
    <cellStyle name="Финансовый 2 13 2 2 2 7" xfId="26185" xr:uid="{00000000-0005-0000-0000-0000CB180000}"/>
    <cellStyle name="Финансовый 2 13 2 2 2 8" xfId="49318" xr:uid="{00000000-0005-0000-0000-0000CC180000}"/>
    <cellStyle name="Финансовый 2 13 2 2 3" xfId="3046" xr:uid="{00000000-0005-0000-0000-0000CD180000}"/>
    <cellStyle name="Финансовый 2 13 2 2 3 2" xfId="10841" xr:uid="{00000000-0005-0000-0000-0000CE180000}"/>
    <cellStyle name="Финансовый 2 13 2 2 3 2 2" xfId="22819" xr:uid="{00000000-0005-0000-0000-0000CF180000}"/>
    <cellStyle name="Финансовый 2 13 2 2 3 2 2 2" xfId="46774" xr:uid="{00000000-0005-0000-0000-0000D0180000}"/>
    <cellStyle name="Финансовый 2 13 2 2 3 2 3" xfId="34796" xr:uid="{00000000-0005-0000-0000-0000D1180000}"/>
    <cellStyle name="Финансовый 2 13 2 2 3 3" xfId="15025" xr:uid="{00000000-0005-0000-0000-0000D2180000}"/>
    <cellStyle name="Финансовый 2 13 2 2 3 3 2" xfId="38980" xr:uid="{00000000-0005-0000-0000-0000D3180000}"/>
    <cellStyle name="Финансовый 2 13 2 2 3 4" xfId="27003" xr:uid="{00000000-0005-0000-0000-0000D4180000}"/>
    <cellStyle name="Финансовый 2 13 2 2 3 5" xfId="50134" xr:uid="{00000000-0005-0000-0000-0000D5180000}"/>
    <cellStyle name="Финансовый 2 13 2 2 4" xfId="4690" xr:uid="{00000000-0005-0000-0000-0000D6180000}"/>
    <cellStyle name="Финансовый 2 13 2 2 4 2" xfId="16669" xr:uid="{00000000-0005-0000-0000-0000D7180000}"/>
    <cellStyle name="Финансовый 2 13 2 2 4 2 2" xfId="40624" xr:uid="{00000000-0005-0000-0000-0000D8180000}"/>
    <cellStyle name="Финансовый 2 13 2 2 4 3" xfId="28647" xr:uid="{00000000-0005-0000-0000-0000D9180000}"/>
    <cellStyle name="Финансовый 2 13 2 2 5" xfId="7302" xr:uid="{00000000-0005-0000-0000-0000DA180000}"/>
    <cellStyle name="Финансовый 2 13 2 2 5 2" xfId="19280" xr:uid="{00000000-0005-0000-0000-0000DB180000}"/>
    <cellStyle name="Финансовый 2 13 2 2 5 2 2" xfId="43235" xr:uid="{00000000-0005-0000-0000-0000DC180000}"/>
    <cellStyle name="Финансовый 2 13 2 2 5 3" xfId="31257" xr:uid="{00000000-0005-0000-0000-0000DD180000}"/>
    <cellStyle name="Финансовый 2 13 2 2 6" xfId="9084" xr:uid="{00000000-0005-0000-0000-0000DE180000}"/>
    <cellStyle name="Финансовый 2 13 2 2 6 2" xfId="21062" xr:uid="{00000000-0005-0000-0000-0000DF180000}"/>
    <cellStyle name="Финансовый 2 13 2 2 6 2 2" xfId="45017" xr:uid="{00000000-0005-0000-0000-0000E0180000}"/>
    <cellStyle name="Финансовый 2 13 2 2 6 3" xfId="33039" xr:uid="{00000000-0005-0000-0000-0000E1180000}"/>
    <cellStyle name="Финансовый 2 13 2 2 7" xfId="13243" xr:uid="{00000000-0005-0000-0000-0000E2180000}"/>
    <cellStyle name="Финансовый 2 13 2 2 7 2" xfId="37198" xr:uid="{00000000-0005-0000-0000-0000E3180000}"/>
    <cellStyle name="Финансовый 2 13 2 2 8" xfId="25221" xr:uid="{00000000-0005-0000-0000-0000E4180000}"/>
    <cellStyle name="Финансовый 2 13 2 2 9" xfId="48354" xr:uid="{00000000-0005-0000-0000-0000E5180000}"/>
    <cellStyle name="Финансовый 2 13 2 3" xfId="1972" xr:uid="{00000000-0005-0000-0000-0000E6180000}"/>
    <cellStyle name="Финансовый 2 13 2 3 2" xfId="3617" xr:uid="{00000000-0005-0000-0000-0000E7180000}"/>
    <cellStyle name="Финансовый 2 13 2 3 2 2" xfId="11357" xr:uid="{00000000-0005-0000-0000-0000E8180000}"/>
    <cellStyle name="Финансовый 2 13 2 3 2 2 2" xfId="23335" xr:uid="{00000000-0005-0000-0000-0000E9180000}"/>
    <cellStyle name="Финансовый 2 13 2 3 2 2 2 2" xfId="47290" xr:uid="{00000000-0005-0000-0000-0000EA180000}"/>
    <cellStyle name="Финансовый 2 13 2 3 2 2 3" xfId="35312" xr:uid="{00000000-0005-0000-0000-0000EB180000}"/>
    <cellStyle name="Финансовый 2 13 2 3 2 3" xfId="15596" xr:uid="{00000000-0005-0000-0000-0000EC180000}"/>
    <cellStyle name="Финансовый 2 13 2 3 2 3 2" xfId="39551" xr:uid="{00000000-0005-0000-0000-0000ED180000}"/>
    <cellStyle name="Финансовый 2 13 2 3 2 4" xfId="27574" xr:uid="{00000000-0005-0000-0000-0000EE180000}"/>
    <cellStyle name="Финансовый 2 13 2 3 2 5" xfId="50843" xr:uid="{00000000-0005-0000-0000-0000EF180000}"/>
    <cellStyle name="Финансовый 2 13 2 3 3" xfId="5400" xr:uid="{00000000-0005-0000-0000-0000F0180000}"/>
    <cellStyle name="Финансовый 2 13 2 3 3 2" xfId="17378" xr:uid="{00000000-0005-0000-0000-0000F1180000}"/>
    <cellStyle name="Финансовый 2 13 2 3 3 2 2" xfId="41333" xr:uid="{00000000-0005-0000-0000-0000F2180000}"/>
    <cellStyle name="Финансовый 2 13 2 3 3 3" xfId="29355" xr:uid="{00000000-0005-0000-0000-0000F3180000}"/>
    <cellStyle name="Финансовый 2 13 2 3 4" xfId="8010" xr:uid="{00000000-0005-0000-0000-0000F4180000}"/>
    <cellStyle name="Финансовый 2 13 2 3 4 2" xfId="19988" xr:uid="{00000000-0005-0000-0000-0000F5180000}"/>
    <cellStyle name="Финансовый 2 13 2 3 4 2 2" xfId="43943" xr:uid="{00000000-0005-0000-0000-0000F6180000}"/>
    <cellStyle name="Финансовый 2 13 2 3 4 3" xfId="31965" xr:uid="{00000000-0005-0000-0000-0000F7180000}"/>
    <cellStyle name="Финансовый 2 13 2 3 5" xfId="9793" xr:uid="{00000000-0005-0000-0000-0000F8180000}"/>
    <cellStyle name="Финансовый 2 13 2 3 5 2" xfId="21771" xr:uid="{00000000-0005-0000-0000-0000F9180000}"/>
    <cellStyle name="Финансовый 2 13 2 3 5 2 2" xfId="45726" xr:uid="{00000000-0005-0000-0000-0000FA180000}"/>
    <cellStyle name="Финансовый 2 13 2 3 5 3" xfId="33748" xr:uid="{00000000-0005-0000-0000-0000FB180000}"/>
    <cellStyle name="Финансовый 2 13 2 3 6" xfId="13951" xr:uid="{00000000-0005-0000-0000-0000FC180000}"/>
    <cellStyle name="Финансовый 2 13 2 3 6 2" xfId="37906" xr:uid="{00000000-0005-0000-0000-0000FD180000}"/>
    <cellStyle name="Финансовый 2 13 2 3 7" xfId="25929" xr:uid="{00000000-0005-0000-0000-0000FE180000}"/>
    <cellStyle name="Финансовый 2 13 2 3 8" xfId="49062" xr:uid="{00000000-0005-0000-0000-0000FF180000}"/>
    <cellStyle name="Финансовый 2 13 2 4" xfId="2493" xr:uid="{00000000-0005-0000-0000-000000190000}"/>
    <cellStyle name="Финансовый 2 13 2 4 2" xfId="4138" xr:uid="{00000000-0005-0000-0000-000001190000}"/>
    <cellStyle name="Финансовый 2 13 2 4 2 2" xfId="11870" xr:uid="{00000000-0005-0000-0000-000002190000}"/>
    <cellStyle name="Финансовый 2 13 2 4 2 2 2" xfId="23848" xr:uid="{00000000-0005-0000-0000-000003190000}"/>
    <cellStyle name="Финансовый 2 13 2 4 2 2 2 2" xfId="47803" xr:uid="{00000000-0005-0000-0000-000004190000}"/>
    <cellStyle name="Финансовый 2 13 2 4 2 2 3" xfId="35825" xr:uid="{00000000-0005-0000-0000-000005190000}"/>
    <cellStyle name="Финансовый 2 13 2 4 2 3" xfId="16117" xr:uid="{00000000-0005-0000-0000-000006190000}"/>
    <cellStyle name="Финансовый 2 13 2 4 2 3 2" xfId="40072" xr:uid="{00000000-0005-0000-0000-000007190000}"/>
    <cellStyle name="Финансовый 2 13 2 4 2 4" xfId="28095" xr:uid="{00000000-0005-0000-0000-000008190000}"/>
    <cellStyle name="Финансовый 2 13 2 4 2 5" xfId="51364" xr:uid="{00000000-0005-0000-0000-000009190000}"/>
    <cellStyle name="Финансовый 2 13 2 4 3" xfId="5921" xr:uid="{00000000-0005-0000-0000-00000A190000}"/>
    <cellStyle name="Финансовый 2 13 2 4 3 2" xfId="17899" xr:uid="{00000000-0005-0000-0000-00000B190000}"/>
    <cellStyle name="Финансовый 2 13 2 4 3 2 2" xfId="41854" xr:uid="{00000000-0005-0000-0000-00000C190000}"/>
    <cellStyle name="Финансовый 2 13 2 4 3 3" xfId="29876" xr:uid="{00000000-0005-0000-0000-00000D190000}"/>
    <cellStyle name="Финансовый 2 13 2 4 4" xfId="8531" xr:uid="{00000000-0005-0000-0000-00000E190000}"/>
    <cellStyle name="Финансовый 2 13 2 4 4 2" xfId="20509" xr:uid="{00000000-0005-0000-0000-00000F190000}"/>
    <cellStyle name="Финансовый 2 13 2 4 4 2 2" xfId="44464" xr:uid="{00000000-0005-0000-0000-000010190000}"/>
    <cellStyle name="Финансовый 2 13 2 4 4 3" xfId="32486" xr:uid="{00000000-0005-0000-0000-000011190000}"/>
    <cellStyle name="Финансовый 2 13 2 4 5" xfId="10314" xr:uid="{00000000-0005-0000-0000-000012190000}"/>
    <cellStyle name="Финансовый 2 13 2 4 5 2" xfId="22292" xr:uid="{00000000-0005-0000-0000-000013190000}"/>
    <cellStyle name="Финансовый 2 13 2 4 5 2 2" xfId="46247" xr:uid="{00000000-0005-0000-0000-000014190000}"/>
    <cellStyle name="Финансовый 2 13 2 4 5 3" xfId="34269" xr:uid="{00000000-0005-0000-0000-000015190000}"/>
    <cellStyle name="Финансовый 2 13 2 4 6" xfId="14472" xr:uid="{00000000-0005-0000-0000-000016190000}"/>
    <cellStyle name="Финансовый 2 13 2 4 6 2" xfId="38427" xr:uid="{00000000-0005-0000-0000-000017190000}"/>
    <cellStyle name="Финансовый 2 13 2 4 7" xfId="26450" xr:uid="{00000000-0005-0000-0000-000018190000}"/>
    <cellStyle name="Финансовый 2 13 2 4 8" xfId="49583" xr:uid="{00000000-0005-0000-0000-000019190000}"/>
    <cellStyle name="Финансовый 2 13 2 5" xfId="997" xr:uid="{00000000-0005-0000-0000-00001A190000}"/>
    <cellStyle name="Финансовый 2 13 2 5 2" xfId="7037" xr:uid="{00000000-0005-0000-0000-00001B190000}"/>
    <cellStyle name="Финансовый 2 13 2 5 2 2" xfId="19015" xr:uid="{00000000-0005-0000-0000-00001C190000}"/>
    <cellStyle name="Финансовый 2 13 2 5 2 2 2" xfId="42970" xr:uid="{00000000-0005-0000-0000-00001D190000}"/>
    <cellStyle name="Финансовый 2 13 2 5 2 3" xfId="30992" xr:uid="{00000000-0005-0000-0000-00001E190000}"/>
    <cellStyle name="Финансовый 2 13 2 5 3" xfId="10585" xr:uid="{00000000-0005-0000-0000-00001F190000}"/>
    <cellStyle name="Финансовый 2 13 2 5 3 2" xfId="22563" xr:uid="{00000000-0005-0000-0000-000020190000}"/>
    <cellStyle name="Финансовый 2 13 2 5 3 2 2" xfId="46518" xr:uid="{00000000-0005-0000-0000-000021190000}"/>
    <cellStyle name="Финансовый 2 13 2 5 3 3" xfId="34540" xr:uid="{00000000-0005-0000-0000-000022190000}"/>
    <cellStyle name="Финансовый 2 13 2 5 4" xfId="12978" xr:uid="{00000000-0005-0000-0000-000023190000}"/>
    <cellStyle name="Финансовый 2 13 2 5 4 2" xfId="36933" xr:uid="{00000000-0005-0000-0000-000024190000}"/>
    <cellStyle name="Финансовый 2 13 2 5 5" xfId="24956" xr:uid="{00000000-0005-0000-0000-000025190000}"/>
    <cellStyle name="Финансовый 2 13 2 5 6" xfId="49862" xr:uid="{00000000-0005-0000-0000-000026190000}"/>
    <cellStyle name="Финансовый 2 13 2 6" xfId="585" xr:uid="{00000000-0005-0000-0000-000027190000}"/>
    <cellStyle name="Финансовый 2 13 2 6 2" xfId="6625" xr:uid="{00000000-0005-0000-0000-000028190000}"/>
    <cellStyle name="Финансовый 2 13 2 6 2 2" xfId="18603" xr:uid="{00000000-0005-0000-0000-000029190000}"/>
    <cellStyle name="Финансовый 2 13 2 6 2 2 2" xfId="42558" xr:uid="{00000000-0005-0000-0000-00002A190000}"/>
    <cellStyle name="Финансовый 2 13 2 6 2 3" xfId="30580" xr:uid="{00000000-0005-0000-0000-00002B190000}"/>
    <cellStyle name="Финансовый 2 13 2 6 3" xfId="12566" xr:uid="{00000000-0005-0000-0000-00002C190000}"/>
    <cellStyle name="Финансовый 2 13 2 6 3 2" xfId="36521" xr:uid="{00000000-0005-0000-0000-00002D190000}"/>
    <cellStyle name="Финансовый 2 13 2 6 4" xfId="24544" xr:uid="{00000000-0005-0000-0000-00002E190000}"/>
    <cellStyle name="Финансовый 2 13 2 7" xfId="2774" xr:uid="{00000000-0005-0000-0000-00002F190000}"/>
    <cellStyle name="Финансовый 2 13 2 7 2" xfId="14753" xr:uid="{00000000-0005-0000-0000-000030190000}"/>
    <cellStyle name="Финансовый 2 13 2 7 2 2" xfId="38708" xr:uid="{00000000-0005-0000-0000-000031190000}"/>
    <cellStyle name="Финансовый 2 13 2 7 3" xfId="26731" xr:uid="{00000000-0005-0000-0000-000032190000}"/>
    <cellStyle name="Финансовый 2 13 2 8" xfId="4418" xr:uid="{00000000-0005-0000-0000-000033190000}"/>
    <cellStyle name="Финансовый 2 13 2 8 2" xfId="16397" xr:uid="{00000000-0005-0000-0000-000034190000}"/>
    <cellStyle name="Финансовый 2 13 2 8 2 2" xfId="40352" xr:uid="{00000000-0005-0000-0000-000035190000}"/>
    <cellStyle name="Финансовый 2 13 2 8 3" xfId="28375" xr:uid="{00000000-0005-0000-0000-000036190000}"/>
    <cellStyle name="Финансовый 2 13 2 9" xfId="6205" xr:uid="{00000000-0005-0000-0000-000037190000}"/>
    <cellStyle name="Финансовый 2 13 2 9 2" xfId="18183" xr:uid="{00000000-0005-0000-0000-000038190000}"/>
    <cellStyle name="Финансовый 2 13 2 9 2 2" xfId="42138" xr:uid="{00000000-0005-0000-0000-000039190000}"/>
    <cellStyle name="Финансовый 2 13 2 9 3" xfId="30160" xr:uid="{00000000-0005-0000-0000-00003A190000}"/>
    <cellStyle name="Финансовый 2 13 3" xfId="313" xr:uid="{00000000-0005-0000-0000-00003B190000}"/>
    <cellStyle name="Финансовый 2 13 3 10" xfId="24272" xr:uid="{00000000-0005-0000-0000-00003C190000}"/>
    <cellStyle name="Финансовый 2 13 3 11" xfId="48218" xr:uid="{00000000-0005-0000-0000-00003D190000}"/>
    <cellStyle name="Финансовый 2 13 3 2" xfId="2100" xr:uid="{00000000-0005-0000-0000-00003E190000}"/>
    <cellStyle name="Финансовый 2 13 3 2 2" xfId="3745" xr:uid="{00000000-0005-0000-0000-00003F190000}"/>
    <cellStyle name="Финансовый 2 13 3 2 2 2" xfId="11485" xr:uid="{00000000-0005-0000-0000-000040190000}"/>
    <cellStyle name="Финансовый 2 13 3 2 2 2 2" xfId="23463" xr:uid="{00000000-0005-0000-0000-000041190000}"/>
    <cellStyle name="Финансовый 2 13 3 2 2 2 2 2" xfId="47418" xr:uid="{00000000-0005-0000-0000-000042190000}"/>
    <cellStyle name="Финансовый 2 13 3 2 2 2 3" xfId="35440" xr:uid="{00000000-0005-0000-0000-000043190000}"/>
    <cellStyle name="Финансовый 2 13 3 2 2 3" xfId="15724" xr:uid="{00000000-0005-0000-0000-000044190000}"/>
    <cellStyle name="Финансовый 2 13 3 2 2 3 2" xfId="39679" xr:uid="{00000000-0005-0000-0000-000045190000}"/>
    <cellStyle name="Финансовый 2 13 3 2 2 4" xfId="27702" xr:uid="{00000000-0005-0000-0000-000046190000}"/>
    <cellStyle name="Финансовый 2 13 3 2 2 5" xfId="50971" xr:uid="{00000000-0005-0000-0000-000047190000}"/>
    <cellStyle name="Финансовый 2 13 3 2 3" xfId="5528" xr:uid="{00000000-0005-0000-0000-000048190000}"/>
    <cellStyle name="Финансовый 2 13 3 2 3 2" xfId="17506" xr:uid="{00000000-0005-0000-0000-000049190000}"/>
    <cellStyle name="Финансовый 2 13 3 2 3 2 2" xfId="41461" xr:uid="{00000000-0005-0000-0000-00004A190000}"/>
    <cellStyle name="Финансовый 2 13 3 2 3 3" xfId="29483" xr:uid="{00000000-0005-0000-0000-00004B190000}"/>
    <cellStyle name="Финансовый 2 13 3 2 4" xfId="8138" xr:uid="{00000000-0005-0000-0000-00004C190000}"/>
    <cellStyle name="Финансовый 2 13 3 2 4 2" xfId="20116" xr:uid="{00000000-0005-0000-0000-00004D190000}"/>
    <cellStyle name="Финансовый 2 13 3 2 4 2 2" xfId="44071" xr:uid="{00000000-0005-0000-0000-00004E190000}"/>
    <cellStyle name="Финансовый 2 13 3 2 4 3" xfId="32093" xr:uid="{00000000-0005-0000-0000-00004F190000}"/>
    <cellStyle name="Финансовый 2 13 3 2 5" xfId="9921" xr:uid="{00000000-0005-0000-0000-000050190000}"/>
    <cellStyle name="Финансовый 2 13 3 2 5 2" xfId="21899" xr:uid="{00000000-0005-0000-0000-000051190000}"/>
    <cellStyle name="Финансовый 2 13 3 2 5 2 2" xfId="45854" xr:uid="{00000000-0005-0000-0000-000052190000}"/>
    <cellStyle name="Финансовый 2 13 3 2 5 3" xfId="33876" xr:uid="{00000000-0005-0000-0000-000053190000}"/>
    <cellStyle name="Финансовый 2 13 3 2 6" xfId="14079" xr:uid="{00000000-0005-0000-0000-000054190000}"/>
    <cellStyle name="Финансовый 2 13 3 2 6 2" xfId="38034" xr:uid="{00000000-0005-0000-0000-000055190000}"/>
    <cellStyle name="Финансовый 2 13 3 2 7" xfId="26057" xr:uid="{00000000-0005-0000-0000-000056190000}"/>
    <cellStyle name="Финансовый 2 13 3 2 8" xfId="49190" xr:uid="{00000000-0005-0000-0000-000057190000}"/>
    <cellStyle name="Финансовый 2 13 3 3" xfId="1133" xr:uid="{00000000-0005-0000-0000-000058190000}"/>
    <cellStyle name="Финансовый 2 13 3 3 2" xfId="7173" xr:uid="{00000000-0005-0000-0000-000059190000}"/>
    <cellStyle name="Финансовый 2 13 3 3 2 2" xfId="19151" xr:uid="{00000000-0005-0000-0000-00005A190000}"/>
    <cellStyle name="Финансовый 2 13 3 3 2 2 2" xfId="43106" xr:uid="{00000000-0005-0000-0000-00005B190000}"/>
    <cellStyle name="Финансовый 2 13 3 3 2 3" xfId="31128" xr:uid="{00000000-0005-0000-0000-00005C190000}"/>
    <cellStyle name="Финансовый 2 13 3 3 3" xfId="10713" xr:uid="{00000000-0005-0000-0000-00005D190000}"/>
    <cellStyle name="Финансовый 2 13 3 3 3 2" xfId="22691" xr:uid="{00000000-0005-0000-0000-00005E190000}"/>
    <cellStyle name="Финансовый 2 13 3 3 3 2 2" xfId="46646" xr:uid="{00000000-0005-0000-0000-00005F190000}"/>
    <cellStyle name="Финансовый 2 13 3 3 3 3" xfId="34668" xr:uid="{00000000-0005-0000-0000-000060190000}"/>
    <cellStyle name="Финансовый 2 13 3 3 4" xfId="13114" xr:uid="{00000000-0005-0000-0000-000061190000}"/>
    <cellStyle name="Финансовый 2 13 3 3 4 2" xfId="37069" xr:uid="{00000000-0005-0000-0000-000062190000}"/>
    <cellStyle name="Финансовый 2 13 3 3 5" xfId="25092" xr:uid="{00000000-0005-0000-0000-000063190000}"/>
    <cellStyle name="Финансовый 2 13 3 3 6" xfId="49998" xr:uid="{00000000-0005-0000-0000-000064190000}"/>
    <cellStyle name="Финансовый 2 13 3 4" xfId="733" xr:uid="{00000000-0005-0000-0000-000065190000}"/>
    <cellStyle name="Финансовый 2 13 3 4 2" xfId="6773" xr:uid="{00000000-0005-0000-0000-000066190000}"/>
    <cellStyle name="Финансовый 2 13 3 4 2 2" xfId="18751" xr:uid="{00000000-0005-0000-0000-000067190000}"/>
    <cellStyle name="Финансовый 2 13 3 4 2 2 2" xfId="42706" xr:uid="{00000000-0005-0000-0000-000068190000}"/>
    <cellStyle name="Финансовый 2 13 3 4 2 3" xfId="30728" xr:uid="{00000000-0005-0000-0000-000069190000}"/>
    <cellStyle name="Финансовый 2 13 3 4 3" xfId="12714" xr:uid="{00000000-0005-0000-0000-00006A190000}"/>
    <cellStyle name="Финансовый 2 13 3 4 3 2" xfId="36669" xr:uid="{00000000-0005-0000-0000-00006B190000}"/>
    <cellStyle name="Финансовый 2 13 3 4 4" xfId="24692" xr:uid="{00000000-0005-0000-0000-00006C190000}"/>
    <cellStyle name="Финансовый 2 13 3 5" xfId="2910" xr:uid="{00000000-0005-0000-0000-00006D190000}"/>
    <cellStyle name="Финансовый 2 13 3 5 2" xfId="14889" xr:uid="{00000000-0005-0000-0000-00006E190000}"/>
    <cellStyle name="Финансовый 2 13 3 5 2 2" xfId="38844" xr:uid="{00000000-0005-0000-0000-00006F190000}"/>
    <cellStyle name="Финансовый 2 13 3 5 3" xfId="26867" xr:uid="{00000000-0005-0000-0000-000070190000}"/>
    <cellStyle name="Финансовый 2 13 3 6" xfId="4554" xr:uid="{00000000-0005-0000-0000-000071190000}"/>
    <cellStyle name="Финансовый 2 13 3 6 2" xfId="16533" xr:uid="{00000000-0005-0000-0000-000072190000}"/>
    <cellStyle name="Финансовый 2 13 3 6 2 2" xfId="40488" xr:uid="{00000000-0005-0000-0000-000073190000}"/>
    <cellStyle name="Финансовый 2 13 3 6 3" xfId="28511" xr:uid="{00000000-0005-0000-0000-000074190000}"/>
    <cellStyle name="Финансовый 2 13 3 7" xfId="6353" xr:uid="{00000000-0005-0000-0000-000075190000}"/>
    <cellStyle name="Финансовый 2 13 3 7 2" xfId="18331" xr:uid="{00000000-0005-0000-0000-000076190000}"/>
    <cellStyle name="Финансовый 2 13 3 7 2 2" xfId="42286" xr:uid="{00000000-0005-0000-0000-000077190000}"/>
    <cellStyle name="Финансовый 2 13 3 7 3" xfId="30308" xr:uid="{00000000-0005-0000-0000-000078190000}"/>
    <cellStyle name="Финансовый 2 13 3 8" xfId="8948" xr:uid="{00000000-0005-0000-0000-000079190000}"/>
    <cellStyle name="Финансовый 2 13 3 8 2" xfId="20926" xr:uid="{00000000-0005-0000-0000-00007A190000}"/>
    <cellStyle name="Финансовый 2 13 3 8 2 2" xfId="44881" xr:uid="{00000000-0005-0000-0000-00007B190000}"/>
    <cellStyle name="Финансовый 2 13 3 8 3" xfId="32903" xr:uid="{00000000-0005-0000-0000-00007C190000}"/>
    <cellStyle name="Финансовый 2 13 3 9" xfId="12294" xr:uid="{00000000-0005-0000-0000-00007D190000}"/>
    <cellStyle name="Финансовый 2 13 3 9 2" xfId="36249" xr:uid="{00000000-0005-0000-0000-00007E190000}"/>
    <cellStyle name="Финансовый 2 13 4" xfId="1451" xr:uid="{00000000-0005-0000-0000-00007F190000}"/>
    <cellStyle name="Финансовый 2 13 4 2" xfId="1836" xr:uid="{00000000-0005-0000-0000-000080190000}"/>
    <cellStyle name="Финансовый 2 13 4 2 2" xfId="3481" xr:uid="{00000000-0005-0000-0000-000081190000}"/>
    <cellStyle name="Финансовый 2 13 4 2 2 2" xfId="11229" xr:uid="{00000000-0005-0000-0000-000082190000}"/>
    <cellStyle name="Финансовый 2 13 4 2 2 2 2" xfId="23207" xr:uid="{00000000-0005-0000-0000-000083190000}"/>
    <cellStyle name="Финансовый 2 13 4 2 2 2 2 2" xfId="47162" xr:uid="{00000000-0005-0000-0000-000084190000}"/>
    <cellStyle name="Финансовый 2 13 4 2 2 2 3" xfId="35184" xr:uid="{00000000-0005-0000-0000-000085190000}"/>
    <cellStyle name="Финансовый 2 13 4 2 2 3" xfId="15460" xr:uid="{00000000-0005-0000-0000-000086190000}"/>
    <cellStyle name="Финансовый 2 13 4 2 2 3 2" xfId="39415" xr:uid="{00000000-0005-0000-0000-000087190000}"/>
    <cellStyle name="Финансовый 2 13 4 2 2 4" xfId="27438" xr:uid="{00000000-0005-0000-0000-000088190000}"/>
    <cellStyle name="Финансовый 2 13 4 2 2 5" xfId="50707" xr:uid="{00000000-0005-0000-0000-000089190000}"/>
    <cellStyle name="Финансовый 2 13 4 2 3" xfId="5264" xr:uid="{00000000-0005-0000-0000-00008A190000}"/>
    <cellStyle name="Финансовый 2 13 4 2 3 2" xfId="17242" xr:uid="{00000000-0005-0000-0000-00008B190000}"/>
    <cellStyle name="Финансовый 2 13 4 2 3 2 2" xfId="41197" xr:uid="{00000000-0005-0000-0000-00008C190000}"/>
    <cellStyle name="Финансовый 2 13 4 2 3 3" xfId="29219" xr:uid="{00000000-0005-0000-0000-00008D190000}"/>
    <cellStyle name="Финансовый 2 13 4 2 4" xfId="7874" xr:uid="{00000000-0005-0000-0000-00008E190000}"/>
    <cellStyle name="Финансовый 2 13 4 2 4 2" xfId="19852" xr:uid="{00000000-0005-0000-0000-00008F190000}"/>
    <cellStyle name="Финансовый 2 13 4 2 4 2 2" xfId="43807" xr:uid="{00000000-0005-0000-0000-000090190000}"/>
    <cellStyle name="Финансовый 2 13 4 2 4 3" xfId="31829" xr:uid="{00000000-0005-0000-0000-000091190000}"/>
    <cellStyle name="Финансовый 2 13 4 2 5" xfId="9657" xr:uid="{00000000-0005-0000-0000-000092190000}"/>
    <cellStyle name="Финансовый 2 13 4 2 5 2" xfId="21635" xr:uid="{00000000-0005-0000-0000-000093190000}"/>
    <cellStyle name="Финансовый 2 13 4 2 5 2 2" xfId="45590" xr:uid="{00000000-0005-0000-0000-000094190000}"/>
    <cellStyle name="Финансовый 2 13 4 2 5 3" xfId="33612" xr:uid="{00000000-0005-0000-0000-000095190000}"/>
    <cellStyle name="Финансовый 2 13 4 2 6" xfId="13815" xr:uid="{00000000-0005-0000-0000-000096190000}"/>
    <cellStyle name="Финансовый 2 13 4 2 6 2" xfId="37770" xr:uid="{00000000-0005-0000-0000-000097190000}"/>
    <cellStyle name="Финансовый 2 13 4 2 7" xfId="25793" xr:uid="{00000000-0005-0000-0000-000098190000}"/>
    <cellStyle name="Финансовый 2 13 4 2 8" xfId="48926" xr:uid="{00000000-0005-0000-0000-000099190000}"/>
    <cellStyle name="Финансовый 2 13 4 3" xfId="4879" xr:uid="{00000000-0005-0000-0000-00009A190000}"/>
    <cellStyle name="Финансовый 2 13 4 3 2" xfId="16857" xr:uid="{00000000-0005-0000-0000-00009B190000}"/>
    <cellStyle name="Финансовый 2 13 4 3 2 2" xfId="40812" xr:uid="{00000000-0005-0000-0000-00009C190000}"/>
    <cellStyle name="Финансовый 2 13 4 3 3" xfId="28834" xr:uid="{00000000-0005-0000-0000-00009D190000}"/>
    <cellStyle name="Финансовый 2 13 4 3 4" xfId="50322" xr:uid="{00000000-0005-0000-0000-00009E190000}"/>
    <cellStyle name="Финансовый 2 13 4 4" xfId="7489" xr:uid="{00000000-0005-0000-0000-00009F190000}"/>
    <cellStyle name="Финансовый 2 13 4 4 2" xfId="19467" xr:uid="{00000000-0005-0000-0000-0000A0190000}"/>
    <cellStyle name="Финансовый 2 13 4 4 2 2" xfId="43422" xr:uid="{00000000-0005-0000-0000-0000A1190000}"/>
    <cellStyle name="Финансовый 2 13 4 4 3" xfId="31444" xr:uid="{00000000-0005-0000-0000-0000A2190000}"/>
    <cellStyle name="Финансовый 2 13 4 5" xfId="9272" xr:uid="{00000000-0005-0000-0000-0000A3190000}"/>
    <cellStyle name="Финансовый 2 13 4 5 2" xfId="21250" xr:uid="{00000000-0005-0000-0000-0000A4190000}"/>
    <cellStyle name="Финансовый 2 13 4 5 2 2" xfId="45205" xr:uid="{00000000-0005-0000-0000-0000A5190000}"/>
    <cellStyle name="Финансовый 2 13 4 5 3" xfId="33227" xr:uid="{00000000-0005-0000-0000-0000A6190000}"/>
    <cellStyle name="Финансовый 2 13 4 6" xfId="13430" xr:uid="{00000000-0005-0000-0000-0000A7190000}"/>
    <cellStyle name="Финансовый 2 13 4 6 2" xfId="37385" xr:uid="{00000000-0005-0000-0000-0000A8190000}"/>
    <cellStyle name="Финансовый 2 13 4 7" xfId="25408" xr:uid="{00000000-0005-0000-0000-0000A9190000}"/>
    <cellStyle name="Финансовый 2 13 4 8" xfId="48541" xr:uid="{00000000-0005-0000-0000-0000AA190000}"/>
    <cellStyle name="Финансовый 2 13 5" xfId="1720" xr:uid="{00000000-0005-0000-0000-0000AB190000}"/>
    <cellStyle name="Финансовый 2 13 5 2" xfId="3365" xr:uid="{00000000-0005-0000-0000-0000AC190000}"/>
    <cellStyle name="Финансовый 2 13 5 2 2" xfId="11113" xr:uid="{00000000-0005-0000-0000-0000AD190000}"/>
    <cellStyle name="Финансовый 2 13 5 2 2 2" xfId="23091" xr:uid="{00000000-0005-0000-0000-0000AE190000}"/>
    <cellStyle name="Финансовый 2 13 5 2 2 2 2" xfId="47046" xr:uid="{00000000-0005-0000-0000-0000AF190000}"/>
    <cellStyle name="Финансовый 2 13 5 2 2 3" xfId="35068" xr:uid="{00000000-0005-0000-0000-0000B0190000}"/>
    <cellStyle name="Финансовый 2 13 5 2 3" xfId="15344" xr:uid="{00000000-0005-0000-0000-0000B1190000}"/>
    <cellStyle name="Финансовый 2 13 5 2 3 2" xfId="39299" xr:uid="{00000000-0005-0000-0000-0000B2190000}"/>
    <cellStyle name="Финансовый 2 13 5 2 4" xfId="27322" xr:uid="{00000000-0005-0000-0000-0000B3190000}"/>
    <cellStyle name="Финансовый 2 13 5 2 5" xfId="50591" xr:uid="{00000000-0005-0000-0000-0000B4190000}"/>
    <cellStyle name="Финансовый 2 13 5 3" xfId="5148" xr:uid="{00000000-0005-0000-0000-0000B5190000}"/>
    <cellStyle name="Финансовый 2 13 5 3 2" xfId="17126" xr:uid="{00000000-0005-0000-0000-0000B6190000}"/>
    <cellStyle name="Финансовый 2 13 5 3 2 2" xfId="41081" xr:uid="{00000000-0005-0000-0000-0000B7190000}"/>
    <cellStyle name="Финансовый 2 13 5 3 3" xfId="29103" xr:uid="{00000000-0005-0000-0000-0000B8190000}"/>
    <cellStyle name="Финансовый 2 13 5 4" xfId="7758" xr:uid="{00000000-0005-0000-0000-0000B9190000}"/>
    <cellStyle name="Финансовый 2 13 5 4 2" xfId="19736" xr:uid="{00000000-0005-0000-0000-0000BA190000}"/>
    <cellStyle name="Финансовый 2 13 5 4 2 2" xfId="43691" xr:uid="{00000000-0005-0000-0000-0000BB190000}"/>
    <cellStyle name="Финансовый 2 13 5 4 3" xfId="31713" xr:uid="{00000000-0005-0000-0000-0000BC190000}"/>
    <cellStyle name="Финансовый 2 13 5 5" xfId="9541" xr:uid="{00000000-0005-0000-0000-0000BD190000}"/>
    <cellStyle name="Финансовый 2 13 5 5 2" xfId="21519" xr:uid="{00000000-0005-0000-0000-0000BE190000}"/>
    <cellStyle name="Финансовый 2 13 5 5 2 2" xfId="45474" xr:uid="{00000000-0005-0000-0000-0000BF190000}"/>
    <cellStyle name="Финансовый 2 13 5 5 3" xfId="33496" xr:uid="{00000000-0005-0000-0000-0000C0190000}"/>
    <cellStyle name="Финансовый 2 13 5 6" xfId="13699" xr:uid="{00000000-0005-0000-0000-0000C1190000}"/>
    <cellStyle name="Финансовый 2 13 5 6 2" xfId="37654" xr:uid="{00000000-0005-0000-0000-0000C2190000}"/>
    <cellStyle name="Финансовый 2 13 5 7" xfId="25677" xr:uid="{00000000-0005-0000-0000-0000C3190000}"/>
    <cellStyle name="Финансовый 2 13 5 8" xfId="48810" xr:uid="{00000000-0005-0000-0000-0000C4190000}"/>
    <cellStyle name="Финансовый 2 13 6" xfId="2356" xr:uid="{00000000-0005-0000-0000-0000C5190000}"/>
    <cellStyle name="Финансовый 2 13 6 2" xfId="4001" xr:uid="{00000000-0005-0000-0000-0000C6190000}"/>
    <cellStyle name="Финансовый 2 13 6 2 2" xfId="11741" xr:uid="{00000000-0005-0000-0000-0000C7190000}"/>
    <cellStyle name="Финансовый 2 13 6 2 2 2" xfId="23719" xr:uid="{00000000-0005-0000-0000-0000C8190000}"/>
    <cellStyle name="Финансовый 2 13 6 2 2 2 2" xfId="47674" xr:uid="{00000000-0005-0000-0000-0000C9190000}"/>
    <cellStyle name="Финансовый 2 13 6 2 2 3" xfId="35696" xr:uid="{00000000-0005-0000-0000-0000CA190000}"/>
    <cellStyle name="Финансовый 2 13 6 2 3" xfId="15980" xr:uid="{00000000-0005-0000-0000-0000CB190000}"/>
    <cellStyle name="Финансовый 2 13 6 2 3 2" xfId="39935" xr:uid="{00000000-0005-0000-0000-0000CC190000}"/>
    <cellStyle name="Финансовый 2 13 6 2 4" xfId="27958" xr:uid="{00000000-0005-0000-0000-0000CD190000}"/>
    <cellStyle name="Финансовый 2 13 6 2 5" xfId="51227" xr:uid="{00000000-0005-0000-0000-0000CE190000}"/>
    <cellStyle name="Финансовый 2 13 6 3" xfId="5784" xr:uid="{00000000-0005-0000-0000-0000CF190000}"/>
    <cellStyle name="Финансовый 2 13 6 3 2" xfId="17762" xr:uid="{00000000-0005-0000-0000-0000D0190000}"/>
    <cellStyle name="Финансовый 2 13 6 3 2 2" xfId="41717" xr:uid="{00000000-0005-0000-0000-0000D1190000}"/>
    <cellStyle name="Финансовый 2 13 6 3 3" xfId="29739" xr:uid="{00000000-0005-0000-0000-0000D2190000}"/>
    <cellStyle name="Финансовый 2 13 6 4" xfId="8394" xr:uid="{00000000-0005-0000-0000-0000D3190000}"/>
    <cellStyle name="Финансовый 2 13 6 4 2" xfId="20372" xr:uid="{00000000-0005-0000-0000-0000D4190000}"/>
    <cellStyle name="Финансовый 2 13 6 4 2 2" xfId="44327" xr:uid="{00000000-0005-0000-0000-0000D5190000}"/>
    <cellStyle name="Финансовый 2 13 6 4 3" xfId="32349" xr:uid="{00000000-0005-0000-0000-0000D6190000}"/>
    <cellStyle name="Финансовый 2 13 6 5" xfId="10177" xr:uid="{00000000-0005-0000-0000-0000D7190000}"/>
    <cellStyle name="Финансовый 2 13 6 5 2" xfId="22155" xr:uid="{00000000-0005-0000-0000-0000D8190000}"/>
    <cellStyle name="Финансовый 2 13 6 5 2 2" xfId="46110" xr:uid="{00000000-0005-0000-0000-0000D9190000}"/>
    <cellStyle name="Финансовый 2 13 6 5 3" xfId="34132" xr:uid="{00000000-0005-0000-0000-0000DA190000}"/>
    <cellStyle name="Финансовый 2 13 6 6" xfId="14335" xr:uid="{00000000-0005-0000-0000-0000DB190000}"/>
    <cellStyle name="Финансовый 2 13 6 6 2" xfId="38290" xr:uid="{00000000-0005-0000-0000-0000DC190000}"/>
    <cellStyle name="Финансовый 2 13 6 7" xfId="26313" xr:uid="{00000000-0005-0000-0000-0000DD190000}"/>
    <cellStyle name="Финансовый 2 13 6 8" xfId="49446" xr:uid="{00000000-0005-0000-0000-0000DE190000}"/>
    <cellStyle name="Финансовый 2 13 7" xfId="1583" xr:uid="{00000000-0005-0000-0000-0000DF190000}"/>
    <cellStyle name="Финансовый 2 13 7 2" xfId="3228" xr:uid="{00000000-0005-0000-0000-0000E0190000}"/>
    <cellStyle name="Финансовый 2 13 7 2 2" xfId="10984" xr:uid="{00000000-0005-0000-0000-0000E1190000}"/>
    <cellStyle name="Финансовый 2 13 7 2 2 2" xfId="22962" xr:uid="{00000000-0005-0000-0000-0000E2190000}"/>
    <cellStyle name="Финансовый 2 13 7 2 2 2 2" xfId="46917" xr:uid="{00000000-0005-0000-0000-0000E3190000}"/>
    <cellStyle name="Финансовый 2 13 7 2 2 3" xfId="34939" xr:uid="{00000000-0005-0000-0000-0000E4190000}"/>
    <cellStyle name="Финансовый 2 13 7 2 3" xfId="15207" xr:uid="{00000000-0005-0000-0000-0000E5190000}"/>
    <cellStyle name="Финансовый 2 13 7 2 3 2" xfId="39162" xr:uid="{00000000-0005-0000-0000-0000E6190000}"/>
    <cellStyle name="Финансовый 2 13 7 2 4" xfId="27185" xr:uid="{00000000-0005-0000-0000-0000E7190000}"/>
    <cellStyle name="Финансовый 2 13 7 2 5" xfId="50454" xr:uid="{00000000-0005-0000-0000-0000E8190000}"/>
    <cellStyle name="Финансовый 2 13 7 3" xfId="5011" xr:uid="{00000000-0005-0000-0000-0000E9190000}"/>
    <cellStyle name="Финансовый 2 13 7 3 2" xfId="16989" xr:uid="{00000000-0005-0000-0000-0000EA190000}"/>
    <cellStyle name="Финансовый 2 13 7 3 2 2" xfId="40944" xr:uid="{00000000-0005-0000-0000-0000EB190000}"/>
    <cellStyle name="Финансовый 2 13 7 3 3" xfId="28966" xr:uid="{00000000-0005-0000-0000-0000EC190000}"/>
    <cellStyle name="Финансовый 2 13 7 4" xfId="7621" xr:uid="{00000000-0005-0000-0000-0000ED190000}"/>
    <cellStyle name="Финансовый 2 13 7 4 2" xfId="19599" xr:uid="{00000000-0005-0000-0000-0000EE190000}"/>
    <cellStyle name="Финансовый 2 13 7 4 2 2" xfId="43554" xr:uid="{00000000-0005-0000-0000-0000EF190000}"/>
    <cellStyle name="Финансовый 2 13 7 4 3" xfId="31576" xr:uid="{00000000-0005-0000-0000-0000F0190000}"/>
    <cellStyle name="Финансовый 2 13 7 5" xfId="9404" xr:uid="{00000000-0005-0000-0000-0000F1190000}"/>
    <cellStyle name="Финансовый 2 13 7 5 2" xfId="21382" xr:uid="{00000000-0005-0000-0000-0000F2190000}"/>
    <cellStyle name="Финансовый 2 13 7 5 2 2" xfId="45337" xr:uid="{00000000-0005-0000-0000-0000F3190000}"/>
    <cellStyle name="Финансовый 2 13 7 5 3" xfId="33359" xr:uid="{00000000-0005-0000-0000-0000F4190000}"/>
    <cellStyle name="Финансовый 2 13 7 6" xfId="13562" xr:uid="{00000000-0005-0000-0000-0000F5190000}"/>
    <cellStyle name="Финансовый 2 13 7 6 2" xfId="37517" xr:uid="{00000000-0005-0000-0000-0000F6190000}"/>
    <cellStyle name="Финансовый 2 13 7 7" xfId="25540" xr:uid="{00000000-0005-0000-0000-0000F7190000}"/>
    <cellStyle name="Финансовый 2 13 7 8" xfId="48673" xr:uid="{00000000-0005-0000-0000-0000F8190000}"/>
    <cellStyle name="Финансовый 2 13 8" xfId="869" xr:uid="{00000000-0005-0000-0000-0000F9190000}"/>
    <cellStyle name="Финансовый 2 13 8 2" xfId="6909" xr:uid="{00000000-0005-0000-0000-0000FA190000}"/>
    <cellStyle name="Финансовый 2 13 8 2 2" xfId="18887" xr:uid="{00000000-0005-0000-0000-0000FB190000}"/>
    <cellStyle name="Финансовый 2 13 8 2 2 2" xfId="42842" xr:uid="{00000000-0005-0000-0000-0000FC190000}"/>
    <cellStyle name="Финансовый 2 13 8 2 3" xfId="30864" xr:uid="{00000000-0005-0000-0000-0000FD190000}"/>
    <cellStyle name="Финансовый 2 13 8 3" xfId="10457" xr:uid="{00000000-0005-0000-0000-0000FE190000}"/>
    <cellStyle name="Финансовый 2 13 8 3 2" xfId="22435" xr:uid="{00000000-0005-0000-0000-0000FF190000}"/>
    <cellStyle name="Финансовый 2 13 8 3 2 2" xfId="46390" xr:uid="{00000000-0005-0000-0000-0000001A0000}"/>
    <cellStyle name="Финансовый 2 13 8 3 3" xfId="34412" xr:uid="{00000000-0005-0000-0000-0000011A0000}"/>
    <cellStyle name="Финансовый 2 13 8 4" xfId="12850" xr:uid="{00000000-0005-0000-0000-0000021A0000}"/>
    <cellStyle name="Финансовый 2 13 8 4 2" xfId="36805" xr:uid="{00000000-0005-0000-0000-0000031A0000}"/>
    <cellStyle name="Финансовый 2 13 8 5" xfId="24828" xr:uid="{00000000-0005-0000-0000-0000041A0000}"/>
    <cellStyle name="Финансовый 2 13 8 6" xfId="49726" xr:uid="{00000000-0005-0000-0000-0000051A0000}"/>
    <cellStyle name="Финансовый 2 13 9" xfId="449" xr:uid="{00000000-0005-0000-0000-0000061A0000}"/>
    <cellStyle name="Финансовый 2 13 9 2" xfId="6489" xr:uid="{00000000-0005-0000-0000-0000071A0000}"/>
    <cellStyle name="Финансовый 2 13 9 2 2" xfId="18467" xr:uid="{00000000-0005-0000-0000-0000081A0000}"/>
    <cellStyle name="Финансовый 2 13 9 2 2 2" xfId="42422" xr:uid="{00000000-0005-0000-0000-0000091A0000}"/>
    <cellStyle name="Финансовый 2 13 9 2 3" xfId="30444" xr:uid="{00000000-0005-0000-0000-00000A1A0000}"/>
    <cellStyle name="Финансовый 2 13 9 3" xfId="12430" xr:uid="{00000000-0005-0000-0000-00000B1A0000}"/>
    <cellStyle name="Финансовый 2 13 9 3 2" xfId="36385" xr:uid="{00000000-0005-0000-0000-00000C1A0000}"/>
    <cellStyle name="Финансовый 2 13 9 4" xfId="24408" xr:uid="{00000000-0005-0000-0000-00000D1A0000}"/>
    <cellStyle name="Финансовый 2 14" xfId="14" xr:uid="{00000000-0005-0000-0000-00000E1A0000}"/>
    <cellStyle name="Финансовый 2 14 10" xfId="2626" xr:uid="{00000000-0005-0000-0000-00000F1A0000}"/>
    <cellStyle name="Финансовый 2 14 10 2" xfId="14605" xr:uid="{00000000-0005-0000-0000-0000101A0000}"/>
    <cellStyle name="Финансовый 2 14 10 2 2" xfId="38560" xr:uid="{00000000-0005-0000-0000-0000111A0000}"/>
    <cellStyle name="Финансовый 2 14 10 3" xfId="26583" xr:uid="{00000000-0005-0000-0000-0000121A0000}"/>
    <cellStyle name="Финансовый 2 14 11" xfId="4269" xr:uid="{00000000-0005-0000-0000-0000131A0000}"/>
    <cellStyle name="Финансовый 2 14 11 2" xfId="16248" xr:uid="{00000000-0005-0000-0000-0000141A0000}"/>
    <cellStyle name="Финансовый 2 14 11 2 2" xfId="40203" xr:uid="{00000000-0005-0000-0000-0000151A0000}"/>
    <cellStyle name="Финансовый 2 14 11 3" xfId="28226" xr:uid="{00000000-0005-0000-0000-0000161A0000}"/>
    <cellStyle name="Финансовый 2 14 12" xfId="6057" xr:uid="{00000000-0005-0000-0000-0000171A0000}"/>
    <cellStyle name="Финансовый 2 14 12 2" xfId="18035" xr:uid="{00000000-0005-0000-0000-0000181A0000}"/>
    <cellStyle name="Финансовый 2 14 12 2 2" xfId="41990" xr:uid="{00000000-0005-0000-0000-0000191A0000}"/>
    <cellStyle name="Финансовый 2 14 12 3" xfId="30012" xr:uid="{00000000-0005-0000-0000-00001A1A0000}"/>
    <cellStyle name="Финансовый 2 14 13" xfId="8664" xr:uid="{00000000-0005-0000-0000-00001B1A0000}"/>
    <cellStyle name="Финансовый 2 14 13 2" xfId="20642" xr:uid="{00000000-0005-0000-0000-00001C1A0000}"/>
    <cellStyle name="Финансовый 2 14 13 2 2" xfId="44597" xr:uid="{00000000-0005-0000-0000-00001D1A0000}"/>
    <cellStyle name="Финансовый 2 14 13 3" xfId="32619" xr:uid="{00000000-0005-0000-0000-00001E1A0000}"/>
    <cellStyle name="Финансовый 2 14 14" xfId="11998" xr:uid="{00000000-0005-0000-0000-00001F1A0000}"/>
    <cellStyle name="Финансовый 2 14 14 2" xfId="35953" xr:uid="{00000000-0005-0000-0000-0000201A0000}"/>
    <cellStyle name="Финансовый 2 14 15" xfId="23976" xr:uid="{00000000-0005-0000-0000-0000211A0000}"/>
    <cellStyle name="Финансовый 2 14 16" xfId="47934" xr:uid="{00000000-0005-0000-0000-0000221A0000}"/>
    <cellStyle name="Финансовый 2 14 2" xfId="152" xr:uid="{00000000-0005-0000-0000-0000231A0000}"/>
    <cellStyle name="Финансовый 2 14 2 10" xfId="8800" xr:uid="{00000000-0005-0000-0000-0000241A0000}"/>
    <cellStyle name="Финансовый 2 14 2 10 2" xfId="20778" xr:uid="{00000000-0005-0000-0000-0000251A0000}"/>
    <cellStyle name="Финансовый 2 14 2 10 2 2" xfId="44733" xr:uid="{00000000-0005-0000-0000-0000261A0000}"/>
    <cellStyle name="Финансовый 2 14 2 10 3" xfId="32755" xr:uid="{00000000-0005-0000-0000-0000271A0000}"/>
    <cellStyle name="Финансовый 2 14 2 11" xfId="12134" xr:uid="{00000000-0005-0000-0000-0000281A0000}"/>
    <cellStyle name="Финансовый 2 14 2 11 2" xfId="36089" xr:uid="{00000000-0005-0000-0000-0000291A0000}"/>
    <cellStyle name="Финансовый 2 14 2 12" xfId="24112" xr:uid="{00000000-0005-0000-0000-00002A1A0000}"/>
    <cellStyle name="Финансовый 2 14 2 13" xfId="48070" xr:uid="{00000000-0005-0000-0000-00002B1A0000}"/>
    <cellStyle name="Финансовый 2 14 2 2" xfId="1250" xr:uid="{00000000-0005-0000-0000-00002C1A0000}"/>
    <cellStyle name="Финансовый 2 14 2 2 2" xfId="2216" xr:uid="{00000000-0005-0000-0000-00002D1A0000}"/>
    <cellStyle name="Финансовый 2 14 2 2 2 2" xfId="3861" xr:uid="{00000000-0005-0000-0000-00002E1A0000}"/>
    <cellStyle name="Финансовый 2 14 2 2 2 2 2" xfId="11601" xr:uid="{00000000-0005-0000-0000-00002F1A0000}"/>
    <cellStyle name="Финансовый 2 14 2 2 2 2 2 2" xfId="23579" xr:uid="{00000000-0005-0000-0000-0000301A0000}"/>
    <cellStyle name="Финансовый 2 14 2 2 2 2 2 2 2" xfId="47534" xr:uid="{00000000-0005-0000-0000-0000311A0000}"/>
    <cellStyle name="Финансовый 2 14 2 2 2 2 2 3" xfId="35556" xr:uid="{00000000-0005-0000-0000-0000321A0000}"/>
    <cellStyle name="Финансовый 2 14 2 2 2 2 3" xfId="15840" xr:uid="{00000000-0005-0000-0000-0000331A0000}"/>
    <cellStyle name="Финансовый 2 14 2 2 2 2 3 2" xfId="39795" xr:uid="{00000000-0005-0000-0000-0000341A0000}"/>
    <cellStyle name="Финансовый 2 14 2 2 2 2 4" xfId="27818" xr:uid="{00000000-0005-0000-0000-0000351A0000}"/>
    <cellStyle name="Финансовый 2 14 2 2 2 2 5" xfId="51087" xr:uid="{00000000-0005-0000-0000-0000361A0000}"/>
    <cellStyle name="Финансовый 2 14 2 2 2 3" xfId="5644" xr:uid="{00000000-0005-0000-0000-0000371A0000}"/>
    <cellStyle name="Финансовый 2 14 2 2 2 3 2" xfId="17622" xr:uid="{00000000-0005-0000-0000-0000381A0000}"/>
    <cellStyle name="Финансовый 2 14 2 2 2 3 2 2" xfId="41577" xr:uid="{00000000-0005-0000-0000-0000391A0000}"/>
    <cellStyle name="Финансовый 2 14 2 2 2 3 3" xfId="29599" xr:uid="{00000000-0005-0000-0000-00003A1A0000}"/>
    <cellStyle name="Финансовый 2 14 2 2 2 4" xfId="8254" xr:uid="{00000000-0005-0000-0000-00003B1A0000}"/>
    <cellStyle name="Финансовый 2 14 2 2 2 4 2" xfId="20232" xr:uid="{00000000-0005-0000-0000-00003C1A0000}"/>
    <cellStyle name="Финансовый 2 14 2 2 2 4 2 2" xfId="44187" xr:uid="{00000000-0005-0000-0000-00003D1A0000}"/>
    <cellStyle name="Финансовый 2 14 2 2 2 4 3" xfId="32209" xr:uid="{00000000-0005-0000-0000-00003E1A0000}"/>
    <cellStyle name="Финансовый 2 14 2 2 2 5" xfId="10037" xr:uid="{00000000-0005-0000-0000-00003F1A0000}"/>
    <cellStyle name="Финансовый 2 14 2 2 2 5 2" xfId="22015" xr:uid="{00000000-0005-0000-0000-0000401A0000}"/>
    <cellStyle name="Финансовый 2 14 2 2 2 5 2 2" xfId="45970" xr:uid="{00000000-0005-0000-0000-0000411A0000}"/>
    <cellStyle name="Финансовый 2 14 2 2 2 5 3" xfId="33992" xr:uid="{00000000-0005-0000-0000-0000421A0000}"/>
    <cellStyle name="Финансовый 2 14 2 2 2 6" xfId="14195" xr:uid="{00000000-0005-0000-0000-0000431A0000}"/>
    <cellStyle name="Финансовый 2 14 2 2 2 6 2" xfId="38150" xr:uid="{00000000-0005-0000-0000-0000441A0000}"/>
    <cellStyle name="Финансовый 2 14 2 2 2 7" xfId="26173" xr:uid="{00000000-0005-0000-0000-0000451A0000}"/>
    <cellStyle name="Финансовый 2 14 2 2 2 8" xfId="49306" xr:uid="{00000000-0005-0000-0000-0000461A0000}"/>
    <cellStyle name="Финансовый 2 14 2 2 3" xfId="3034" xr:uid="{00000000-0005-0000-0000-0000471A0000}"/>
    <cellStyle name="Финансовый 2 14 2 2 3 2" xfId="10829" xr:uid="{00000000-0005-0000-0000-0000481A0000}"/>
    <cellStyle name="Финансовый 2 14 2 2 3 2 2" xfId="22807" xr:uid="{00000000-0005-0000-0000-0000491A0000}"/>
    <cellStyle name="Финансовый 2 14 2 2 3 2 2 2" xfId="46762" xr:uid="{00000000-0005-0000-0000-00004A1A0000}"/>
    <cellStyle name="Финансовый 2 14 2 2 3 2 3" xfId="34784" xr:uid="{00000000-0005-0000-0000-00004B1A0000}"/>
    <cellStyle name="Финансовый 2 14 2 2 3 3" xfId="15013" xr:uid="{00000000-0005-0000-0000-00004C1A0000}"/>
    <cellStyle name="Финансовый 2 14 2 2 3 3 2" xfId="38968" xr:uid="{00000000-0005-0000-0000-00004D1A0000}"/>
    <cellStyle name="Финансовый 2 14 2 2 3 4" xfId="26991" xr:uid="{00000000-0005-0000-0000-00004E1A0000}"/>
    <cellStyle name="Финансовый 2 14 2 2 3 5" xfId="50122" xr:uid="{00000000-0005-0000-0000-00004F1A0000}"/>
    <cellStyle name="Финансовый 2 14 2 2 4" xfId="4678" xr:uid="{00000000-0005-0000-0000-0000501A0000}"/>
    <cellStyle name="Финансовый 2 14 2 2 4 2" xfId="16657" xr:uid="{00000000-0005-0000-0000-0000511A0000}"/>
    <cellStyle name="Финансовый 2 14 2 2 4 2 2" xfId="40612" xr:uid="{00000000-0005-0000-0000-0000521A0000}"/>
    <cellStyle name="Финансовый 2 14 2 2 4 3" xfId="28635" xr:uid="{00000000-0005-0000-0000-0000531A0000}"/>
    <cellStyle name="Финансовый 2 14 2 2 5" xfId="7290" xr:uid="{00000000-0005-0000-0000-0000541A0000}"/>
    <cellStyle name="Финансовый 2 14 2 2 5 2" xfId="19268" xr:uid="{00000000-0005-0000-0000-0000551A0000}"/>
    <cellStyle name="Финансовый 2 14 2 2 5 2 2" xfId="43223" xr:uid="{00000000-0005-0000-0000-0000561A0000}"/>
    <cellStyle name="Финансовый 2 14 2 2 5 3" xfId="31245" xr:uid="{00000000-0005-0000-0000-0000571A0000}"/>
    <cellStyle name="Финансовый 2 14 2 2 6" xfId="9072" xr:uid="{00000000-0005-0000-0000-0000581A0000}"/>
    <cellStyle name="Финансовый 2 14 2 2 6 2" xfId="21050" xr:uid="{00000000-0005-0000-0000-0000591A0000}"/>
    <cellStyle name="Финансовый 2 14 2 2 6 2 2" xfId="45005" xr:uid="{00000000-0005-0000-0000-00005A1A0000}"/>
    <cellStyle name="Финансовый 2 14 2 2 6 3" xfId="33027" xr:uid="{00000000-0005-0000-0000-00005B1A0000}"/>
    <cellStyle name="Финансовый 2 14 2 2 7" xfId="13231" xr:uid="{00000000-0005-0000-0000-00005C1A0000}"/>
    <cellStyle name="Финансовый 2 14 2 2 7 2" xfId="37186" xr:uid="{00000000-0005-0000-0000-00005D1A0000}"/>
    <cellStyle name="Финансовый 2 14 2 2 8" xfId="25209" xr:uid="{00000000-0005-0000-0000-00005E1A0000}"/>
    <cellStyle name="Финансовый 2 14 2 2 9" xfId="48342" xr:uid="{00000000-0005-0000-0000-00005F1A0000}"/>
    <cellStyle name="Финансовый 2 14 2 3" xfId="1960" xr:uid="{00000000-0005-0000-0000-0000601A0000}"/>
    <cellStyle name="Финансовый 2 14 2 3 2" xfId="3605" xr:uid="{00000000-0005-0000-0000-0000611A0000}"/>
    <cellStyle name="Финансовый 2 14 2 3 2 2" xfId="11345" xr:uid="{00000000-0005-0000-0000-0000621A0000}"/>
    <cellStyle name="Финансовый 2 14 2 3 2 2 2" xfId="23323" xr:uid="{00000000-0005-0000-0000-0000631A0000}"/>
    <cellStyle name="Финансовый 2 14 2 3 2 2 2 2" xfId="47278" xr:uid="{00000000-0005-0000-0000-0000641A0000}"/>
    <cellStyle name="Финансовый 2 14 2 3 2 2 3" xfId="35300" xr:uid="{00000000-0005-0000-0000-0000651A0000}"/>
    <cellStyle name="Финансовый 2 14 2 3 2 3" xfId="15584" xr:uid="{00000000-0005-0000-0000-0000661A0000}"/>
    <cellStyle name="Финансовый 2 14 2 3 2 3 2" xfId="39539" xr:uid="{00000000-0005-0000-0000-0000671A0000}"/>
    <cellStyle name="Финансовый 2 14 2 3 2 4" xfId="27562" xr:uid="{00000000-0005-0000-0000-0000681A0000}"/>
    <cellStyle name="Финансовый 2 14 2 3 2 5" xfId="50831" xr:uid="{00000000-0005-0000-0000-0000691A0000}"/>
    <cellStyle name="Финансовый 2 14 2 3 3" xfId="5388" xr:uid="{00000000-0005-0000-0000-00006A1A0000}"/>
    <cellStyle name="Финансовый 2 14 2 3 3 2" xfId="17366" xr:uid="{00000000-0005-0000-0000-00006B1A0000}"/>
    <cellStyle name="Финансовый 2 14 2 3 3 2 2" xfId="41321" xr:uid="{00000000-0005-0000-0000-00006C1A0000}"/>
    <cellStyle name="Финансовый 2 14 2 3 3 3" xfId="29343" xr:uid="{00000000-0005-0000-0000-00006D1A0000}"/>
    <cellStyle name="Финансовый 2 14 2 3 4" xfId="7998" xr:uid="{00000000-0005-0000-0000-00006E1A0000}"/>
    <cellStyle name="Финансовый 2 14 2 3 4 2" xfId="19976" xr:uid="{00000000-0005-0000-0000-00006F1A0000}"/>
    <cellStyle name="Финансовый 2 14 2 3 4 2 2" xfId="43931" xr:uid="{00000000-0005-0000-0000-0000701A0000}"/>
    <cellStyle name="Финансовый 2 14 2 3 4 3" xfId="31953" xr:uid="{00000000-0005-0000-0000-0000711A0000}"/>
    <cellStyle name="Финансовый 2 14 2 3 5" xfId="9781" xr:uid="{00000000-0005-0000-0000-0000721A0000}"/>
    <cellStyle name="Финансовый 2 14 2 3 5 2" xfId="21759" xr:uid="{00000000-0005-0000-0000-0000731A0000}"/>
    <cellStyle name="Финансовый 2 14 2 3 5 2 2" xfId="45714" xr:uid="{00000000-0005-0000-0000-0000741A0000}"/>
    <cellStyle name="Финансовый 2 14 2 3 5 3" xfId="33736" xr:uid="{00000000-0005-0000-0000-0000751A0000}"/>
    <cellStyle name="Финансовый 2 14 2 3 6" xfId="13939" xr:uid="{00000000-0005-0000-0000-0000761A0000}"/>
    <cellStyle name="Финансовый 2 14 2 3 6 2" xfId="37894" xr:uid="{00000000-0005-0000-0000-0000771A0000}"/>
    <cellStyle name="Финансовый 2 14 2 3 7" xfId="25917" xr:uid="{00000000-0005-0000-0000-0000781A0000}"/>
    <cellStyle name="Финансовый 2 14 2 3 8" xfId="49050" xr:uid="{00000000-0005-0000-0000-0000791A0000}"/>
    <cellStyle name="Финансовый 2 14 2 4" xfId="2481" xr:uid="{00000000-0005-0000-0000-00007A1A0000}"/>
    <cellStyle name="Финансовый 2 14 2 4 2" xfId="4126" xr:uid="{00000000-0005-0000-0000-00007B1A0000}"/>
    <cellStyle name="Финансовый 2 14 2 4 2 2" xfId="11858" xr:uid="{00000000-0005-0000-0000-00007C1A0000}"/>
    <cellStyle name="Финансовый 2 14 2 4 2 2 2" xfId="23836" xr:uid="{00000000-0005-0000-0000-00007D1A0000}"/>
    <cellStyle name="Финансовый 2 14 2 4 2 2 2 2" xfId="47791" xr:uid="{00000000-0005-0000-0000-00007E1A0000}"/>
    <cellStyle name="Финансовый 2 14 2 4 2 2 3" xfId="35813" xr:uid="{00000000-0005-0000-0000-00007F1A0000}"/>
    <cellStyle name="Финансовый 2 14 2 4 2 3" xfId="16105" xr:uid="{00000000-0005-0000-0000-0000801A0000}"/>
    <cellStyle name="Финансовый 2 14 2 4 2 3 2" xfId="40060" xr:uid="{00000000-0005-0000-0000-0000811A0000}"/>
    <cellStyle name="Финансовый 2 14 2 4 2 4" xfId="28083" xr:uid="{00000000-0005-0000-0000-0000821A0000}"/>
    <cellStyle name="Финансовый 2 14 2 4 2 5" xfId="51352" xr:uid="{00000000-0005-0000-0000-0000831A0000}"/>
    <cellStyle name="Финансовый 2 14 2 4 3" xfId="5909" xr:uid="{00000000-0005-0000-0000-0000841A0000}"/>
    <cellStyle name="Финансовый 2 14 2 4 3 2" xfId="17887" xr:uid="{00000000-0005-0000-0000-0000851A0000}"/>
    <cellStyle name="Финансовый 2 14 2 4 3 2 2" xfId="41842" xr:uid="{00000000-0005-0000-0000-0000861A0000}"/>
    <cellStyle name="Финансовый 2 14 2 4 3 3" xfId="29864" xr:uid="{00000000-0005-0000-0000-0000871A0000}"/>
    <cellStyle name="Финансовый 2 14 2 4 4" xfId="8519" xr:uid="{00000000-0005-0000-0000-0000881A0000}"/>
    <cellStyle name="Финансовый 2 14 2 4 4 2" xfId="20497" xr:uid="{00000000-0005-0000-0000-0000891A0000}"/>
    <cellStyle name="Финансовый 2 14 2 4 4 2 2" xfId="44452" xr:uid="{00000000-0005-0000-0000-00008A1A0000}"/>
    <cellStyle name="Финансовый 2 14 2 4 4 3" xfId="32474" xr:uid="{00000000-0005-0000-0000-00008B1A0000}"/>
    <cellStyle name="Финансовый 2 14 2 4 5" xfId="10302" xr:uid="{00000000-0005-0000-0000-00008C1A0000}"/>
    <cellStyle name="Финансовый 2 14 2 4 5 2" xfId="22280" xr:uid="{00000000-0005-0000-0000-00008D1A0000}"/>
    <cellStyle name="Финансовый 2 14 2 4 5 2 2" xfId="46235" xr:uid="{00000000-0005-0000-0000-00008E1A0000}"/>
    <cellStyle name="Финансовый 2 14 2 4 5 3" xfId="34257" xr:uid="{00000000-0005-0000-0000-00008F1A0000}"/>
    <cellStyle name="Финансовый 2 14 2 4 6" xfId="14460" xr:uid="{00000000-0005-0000-0000-0000901A0000}"/>
    <cellStyle name="Финансовый 2 14 2 4 6 2" xfId="38415" xr:uid="{00000000-0005-0000-0000-0000911A0000}"/>
    <cellStyle name="Финансовый 2 14 2 4 7" xfId="26438" xr:uid="{00000000-0005-0000-0000-0000921A0000}"/>
    <cellStyle name="Финансовый 2 14 2 4 8" xfId="49571" xr:uid="{00000000-0005-0000-0000-0000931A0000}"/>
    <cellStyle name="Финансовый 2 14 2 5" xfId="985" xr:uid="{00000000-0005-0000-0000-0000941A0000}"/>
    <cellStyle name="Финансовый 2 14 2 5 2" xfId="7025" xr:uid="{00000000-0005-0000-0000-0000951A0000}"/>
    <cellStyle name="Финансовый 2 14 2 5 2 2" xfId="19003" xr:uid="{00000000-0005-0000-0000-0000961A0000}"/>
    <cellStyle name="Финансовый 2 14 2 5 2 2 2" xfId="42958" xr:uid="{00000000-0005-0000-0000-0000971A0000}"/>
    <cellStyle name="Финансовый 2 14 2 5 2 3" xfId="30980" xr:uid="{00000000-0005-0000-0000-0000981A0000}"/>
    <cellStyle name="Финансовый 2 14 2 5 3" xfId="10573" xr:uid="{00000000-0005-0000-0000-0000991A0000}"/>
    <cellStyle name="Финансовый 2 14 2 5 3 2" xfId="22551" xr:uid="{00000000-0005-0000-0000-00009A1A0000}"/>
    <cellStyle name="Финансовый 2 14 2 5 3 2 2" xfId="46506" xr:uid="{00000000-0005-0000-0000-00009B1A0000}"/>
    <cellStyle name="Финансовый 2 14 2 5 3 3" xfId="34528" xr:uid="{00000000-0005-0000-0000-00009C1A0000}"/>
    <cellStyle name="Финансовый 2 14 2 5 4" xfId="12966" xr:uid="{00000000-0005-0000-0000-00009D1A0000}"/>
    <cellStyle name="Финансовый 2 14 2 5 4 2" xfId="36921" xr:uid="{00000000-0005-0000-0000-00009E1A0000}"/>
    <cellStyle name="Финансовый 2 14 2 5 5" xfId="24944" xr:uid="{00000000-0005-0000-0000-00009F1A0000}"/>
    <cellStyle name="Финансовый 2 14 2 5 6" xfId="49850" xr:uid="{00000000-0005-0000-0000-0000A01A0000}"/>
    <cellStyle name="Финансовый 2 14 2 6" xfId="573" xr:uid="{00000000-0005-0000-0000-0000A11A0000}"/>
    <cellStyle name="Финансовый 2 14 2 6 2" xfId="6613" xr:uid="{00000000-0005-0000-0000-0000A21A0000}"/>
    <cellStyle name="Финансовый 2 14 2 6 2 2" xfId="18591" xr:uid="{00000000-0005-0000-0000-0000A31A0000}"/>
    <cellStyle name="Финансовый 2 14 2 6 2 2 2" xfId="42546" xr:uid="{00000000-0005-0000-0000-0000A41A0000}"/>
    <cellStyle name="Финансовый 2 14 2 6 2 3" xfId="30568" xr:uid="{00000000-0005-0000-0000-0000A51A0000}"/>
    <cellStyle name="Финансовый 2 14 2 6 3" xfId="12554" xr:uid="{00000000-0005-0000-0000-0000A61A0000}"/>
    <cellStyle name="Финансовый 2 14 2 6 3 2" xfId="36509" xr:uid="{00000000-0005-0000-0000-0000A71A0000}"/>
    <cellStyle name="Финансовый 2 14 2 6 4" xfId="24532" xr:uid="{00000000-0005-0000-0000-0000A81A0000}"/>
    <cellStyle name="Финансовый 2 14 2 7" xfId="2762" xr:uid="{00000000-0005-0000-0000-0000A91A0000}"/>
    <cellStyle name="Финансовый 2 14 2 7 2" xfId="14741" xr:uid="{00000000-0005-0000-0000-0000AA1A0000}"/>
    <cellStyle name="Финансовый 2 14 2 7 2 2" xfId="38696" xr:uid="{00000000-0005-0000-0000-0000AB1A0000}"/>
    <cellStyle name="Финансовый 2 14 2 7 3" xfId="26719" xr:uid="{00000000-0005-0000-0000-0000AC1A0000}"/>
    <cellStyle name="Финансовый 2 14 2 8" xfId="4406" xr:uid="{00000000-0005-0000-0000-0000AD1A0000}"/>
    <cellStyle name="Финансовый 2 14 2 8 2" xfId="16385" xr:uid="{00000000-0005-0000-0000-0000AE1A0000}"/>
    <cellStyle name="Финансовый 2 14 2 8 2 2" xfId="40340" xr:uid="{00000000-0005-0000-0000-0000AF1A0000}"/>
    <cellStyle name="Финансовый 2 14 2 8 3" xfId="28363" xr:uid="{00000000-0005-0000-0000-0000B01A0000}"/>
    <cellStyle name="Финансовый 2 14 2 9" xfId="6193" xr:uid="{00000000-0005-0000-0000-0000B11A0000}"/>
    <cellStyle name="Финансовый 2 14 2 9 2" xfId="18171" xr:uid="{00000000-0005-0000-0000-0000B21A0000}"/>
    <cellStyle name="Финансовый 2 14 2 9 2 2" xfId="42126" xr:uid="{00000000-0005-0000-0000-0000B31A0000}"/>
    <cellStyle name="Финансовый 2 14 2 9 3" xfId="30148" xr:uid="{00000000-0005-0000-0000-0000B41A0000}"/>
    <cellStyle name="Финансовый 2 14 3" xfId="301" xr:uid="{00000000-0005-0000-0000-0000B51A0000}"/>
    <cellStyle name="Финансовый 2 14 3 10" xfId="24260" xr:uid="{00000000-0005-0000-0000-0000B61A0000}"/>
    <cellStyle name="Финансовый 2 14 3 11" xfId="48206" xr:uid="{00000000-0005-0000-0000-0000B71A0000}"/>
    <cellStyle name="Финансовый 2 14 3 2" xfId="2088" xr:uid="{00000000-0005-0000-0000-0000B81A0000}"/>
    <cellStyle name="Финансовый 2 14 3 2 2" xfId="3733" xr:uid="{00000000-0005-0000-0000-0000B91A0000}"/>
    <cellStyle name="Финансовый 2 14 3 2 2 2" xfId="11473" xr:uid="{00000000-0005-0000-0000-0000BA1A0000}"/>
    <cellStyle name="Финансовый 2 14 3 2 2 2 2" xfId="23451" xr:uid="{00000000-0005-0000-0000-0000BB1A0000}"/>
    <cellStyle name="Финансовый 2 14 3 2 2 2 2 2" xfId="47406" xr:uid="{00000000-0005-0000-0000-0000BC1A0000}"/>
    <cellStyle name="Финансовый 2 14 3 2 2 2 3" xfId="35428" xr:uid="{00000000-0005-0000-0000-0000BD1A0000}"/>
    <cellStyle name="Финансовый 2 14 3 2 2 3" xfId="15712" xr:uid="{00000000-0005-0000-0000-0000BE1A0000}"/>
    <cellStyle name="Финансовый 2 14 3 2 2 3 2" xfId="39667" xr:uid="{00000000-0005-0000-0000-0000BF1A0000}"/>
    <cellStyle name="Финансовый 2 14 3 2 2 4" xfId="27690" xr:uid="{00000000-0005-0000-0000-0000C01A0000}"/>
    <cellStyle name="Финансовый 2 14 3 2 2 5" xfId="50959" xr:uid="{00000000-0005-0000-0000-0000C11A0000}"/>
    <cellStyle name="Финансовый 2 14 3 2 3" xfId="5516" xr:uid="{00000000-0005-0000-0000-0000C21A0000}"/>
    <cellStyle name="Финансовый 2 14 3 2 3 2" xfId="17494" xr:uid="{00000000-0005-0000-0000-0000C31A0000}"/>
    <cellStyle name="Финансовый 2 14 3 2 3 2 2" xfId="41449" xr:uid="{00000000-0005-0000-0000-0000C41A0000}"/>
    <cellStyle name="Финансовый 2 14 3 2 3 3" xfId="29471" xr:uid="{00000000-0005-0000-0000-0000C51A0000}"/>
    <cellStyle name="Финансовый 2 14 3 2 4" xfId="8126" xr:uid="{00000000-0005-0000-0000-0000C61A0000}"/>
    <cellStyle name="Финансовый 2 14 3 2 4 2" xfId="20104" xr:uid="{00000000-0005-0000-0000-0000C71A0000}"/>
    <cellStyle name="Финансовый 2 14 3 2 4 2 2" xfId="44059" xr:uid="{00000000-0005-0000-0000-0000C81A0000}"/>
    <cellStyle name="Финансовый 2 14 3 2 4 3" xfId="32081" xr:uid="{00000000-0005-0000-0000-0000C91A0000}"/>
    <cellStyle name="Финансовый 2 14 3 2 5" xfId="9909" xr:uid="{00000000-0005-0000-0000-0000CA1A0000}"/>
    <cellStyle name="Финансовый 2 14 3 2 5 2" xfId="21887" xr:uid="{00000000-0005-0000-0000-0000CB1A0000}"/>
    <cellStyle name="Финансовый 2 14 3 2 5 2 2" xfId="45842" xr:uid="{00000000-0005-0000-0000-0000CC1A0000}"/>
    <cellStyle name="Финансовый 2 14 3 2 5 3" xfId="33864" xr:uid="{00000000-0005-0000-0000-0000CD1A0000}"/>
    <cellStyle name="Финансовый 2 14 3 2 6" xfId="14067" xr:uid="{00000000-0005-0000-0000-0000CE1A0000}"/>
    <cellStyle name="Финансовый 2 14 3 2 6 2" xfId="38022" xr:uid="{00000000-0005-0000-0000-0000CF1A0000}"/>
    <cellStyle name="Финансовый 2 14 3 2 7" xfId="26045" xr:uid="{00000000-0005-0000-0000-0000D01A0000}"/>
    <cellStyle name="Финансовый 2 14 3 2 8" xfId="49178" xr:uid="{00000000-0005-0000-0000-0000D11A0000}"/>
    <cellStyle name="Финансовый 2 14 3 3" xfId="1121" xr:uid="{00000000-0005-0000-0000-0000D21A0000}"/>
    <cellStyle name="Финансовый 2 14 3 3 2" xfId="7161" xr:uid="{00000000-0005-0000-0000-0000D31A0000}"/>
    <cellStyle name="Финансовый 2 14 3 3 2 2" xfId="19139" xr:uid="{00000000-0005-0000-0000-0000D41A0000}"/>
    <cellStyle name="Финансовый 2 14 3 3 2 2 2" xfId="43094" xr:uid="{00000000-0005-0000-0000-0000D51A0000}"/>
    <cellStyle name="Финансовый 2 14 3 3 2 3" xfId="31116" xr:uid="{00000000-0005-0000-0000-0000D61A0000}"/>
    <cellStyle name="Финансовый 2 14 3 3 3" xfId="10701" xr:uid="{00000000-0005-0000-0000-0000D71A0000}"/>
    <cellStyle name="Финансовый 2 14 3 3 3 2" xfId="22679" xr:uid="{00000000-0005-0000-0000-0000D81A0000}"/>
    <cellStyle name="Финансовый 2 14 3 3 3 2 2" xfId="46634" xr:uid="{00000000-0005-0000-0000-0000D91A0000}"/>
    <cellStyle name="Финансовый 2 14 3 3 3 3" xfId="34656" xr:uid="{00000000-0005-0000-0000-0000DA1A0000}"/>
    <cellStyle name="Финансовый 2 14 3 3 4" xfId="13102" xr:uid="{00000000-0005-0000-0000-0000DB1A0000}"/>
    <cellStyle name="Финансовый 2 14 3 3 4 2" xfId="37057" xr:uid="{00000000-0005-0000-0000-0000DC1A0000}"/>
    <cellStyle name="Финансовый 2 14 3 3 5" xfId="25080" xr:uid="{00000000-0005-0000-0000-0000DD1A0000}"/>
    <cellStyle name="Финансовый 2 14 3 3 6" xfId="49986" xr:uid="{00000000-0005-0000-0000-0000DE1A0000}"/>
    <cellStyle name="Финансовый 2 14 3 4" xfId="721" xr:uid="{00000000-0005-0000-0000-0000DF1A0000}"/>
    <cellStyle name="Финансовый 2 14 3 4 2" xfId="6761" xr:uid="{00000000-0005-0000-0000-0000E01A0000}"/>
    <cellStyle name="Финансовый 2 14 3 4 2 2" xfId="18739" xr:uid="{00000000-0005-0000-0000-0000E11A0000}"/>
    <cellStyle name="Финансовый 2 14 3 4 2 2 2" xfId="42694" xr:uid="{00000000-0005-0000-0000-0000E21A0000}"/>
    <cellStyle name="Финансовый 2 14 3 4 2 3" xfId="30716" xr:uid="{00000000-0005-0000-0000-0000E31A0000}"/>
    <cellStyle name="Финансовый 2 14 3 4 3" xfId="12702" xr:uid="{00000000-0005-0000-0000-0000E41A0000}"/>
    <cellStyle name="Финансовый 2 14 3 4 3 2" xfId="36657" xr:uid="{00000000-0005-0000-0000-0000E51A0000}"/>
    <cellStyle name="Финансовый 2 14 3 4 4" xfId="24680" xr:uid="{00000000-0005-0000-0000-0000E61A0000}"/>
    <cellStyle name="Финансовый 2 14 3 5" xfId="2898" xr:uid="{00000000-0005-0000-0000-0000E71A0000}"/>
    <cellStyle name="Финансовый 2 14 3 5 2" xfId="14877" xr:uid="{00000000-0005-0000-0000-0000E81A0000}"/>
    <cellStyle name="Финансовый 2 14 3 5 2 2" xfId="38832" xr:uid="{00000000-0005-0000-0000-0000E91A0000}"/>
    <cellStyle name="Финансовый 2 14 3 5 3" xfId="26855" xr:uid="{00000000-0005-0000-0000-0000EA1A0000}"/>
    <cellStyle name="Финансовый 2 14 3 6" xfId="4542" xr:uid="{00000000-0005-0000-0000-0000EB1A0000}"/>
    <cellStyle name="Финансовый 2 14 3 6 2" xfId="16521" xr:uid="{00000000-0005-0000-0000-0000EC1A0000}"/>
    <cellStyle name="Финансовый 2 14 3 6 2 2" xfId="40476" xr:uid="{00000000-0005-0000-0000-0000ED1A0000}"/>
    <cellStyle name="Финансовый 2 14 3 6 3" xfId="28499" xr:uid="{00000000-0005-0000-0000-0000EE1A0000}"/>
    <cellStyle name="Финансовый 2 14 3 7" xfId="6341" xr:uid="{00000000-0005-0000-0000-0000EF1A0000}"/>
    <cellStyle name="Финансовый 2 14 3 7 2" xfId="18319" xr:uid="{00000000-0005-0000-0000-0000F01A0000}"/>
    <cellStyle name="Финансовый 2 14 3 7 2 2" xfId="42274" xr:uid="{00000000-0005-0000-0000-0000F11A0000}"/>
    <cellStyle name="Финансовый 2 14 3 7 3" xfId="30296" xr:uid="{00000000-0005-0000-0000-0000F21A0000}"/>
    <cellStyle name="Финансовый 2 14 3 8" xfId="8936" xr:uid="{00000000-0005-0000-0000-0000F31A0000}"/>
    <cellStyle name="Финансовый 2 14 3 8 2" xfId="20914" xr:uid="{00000000-0005-0000-0000-0000F41A0000}"/>
    <cellStyle name="Финансовый 2 14 3 8 2 2" xfId="44869" xr:uid="{00000000-0005-0000-0000-0000F51A0000}"/>
    <cellStyle name="Финансовый 2 14 3 8 3" xfId="32891" xr:uid="{00000000-0005-0000-0000-0000F61A0000}"/>
    <cellStyle name="Финансовый 2 14 3 9" xfId="12282" xr:uid="{00000000-0005-0000-0000-0000F71A0000}"/>
    <cellStyle name="Финансовый 2 14 3 9 2" xfId="36237" xr:uid="{00000000-0005-0000-0000-0000F81A0000}"/>
    <cellStyle name="Финансовый 2 14 4" xfId="1452" xr:uid="{00000000-0005-0000-0000-0000F91A0000}"/>
    <cellStyle name="Финансовый 2 14 4 2" xfId="1824" xr:uid="{00000000-0005-0000-0000-0000FA1A0000}"/>
    <cellStyle name="Финансовый 2 14 4 2 2" xfId="3469" xr:uid="{00000000-0005-0000-0000-0000FB1A0000}"/>
    <cellStyle name="Финансовый 2 14 4 2 2 2" xfId="11217" xr:uid="{00000000-0005-0000-0000-0000FC1A0000}"/>
    <cellStyle name="Финансовый 2 14 4 2 2 2 2" xfId="23195" xr:uid="{00000000-0005-0000-0000-0000FD1A0000}"/>
    <cellStyle name="Финансовый 2 14 4 2 2 2 2 2" xfId="47150" xr:uid="{00000000-0005-0000-0000-0000FE1A0000}"/>
    <cellStyle name="Финансовый 2 14 4 2 2 2 3" xfId="35172" xr:uid="{00000000-0005-0000-0000-0000FF1A0000}"/>
    <cellStyle name="Финансовый 2 14 4 2 2 3" xfId="15448" xr:uid="{00000000-0005-0000-0000-0000001B0000}"/>
    <cellStyle name="Финансовый 2 14 4 2 2 3 2" xfId="39403" xr:uid="{00000000-0005-0000-0000-0000011B0000}"/>
    <cellStyle name="Финансовый 2 14 4 2 2 4" xfId="27426" xr:uid="{00000000-0005-0000-0000-0000021B0000}"/>
    <cellStyle name="Финансовый 2 14 4 2 2 5" xfId="50695" xr:uid="{00000000-0005-0000-0000-0000031B0000}"/>
    <cellStyle name="Финансовый 2 14 4 2 3" xfId="5252" xr:uid="{00000000-0005-0000-0000-0000041B0000}"/>
    <cellStyle name="Финансовый 2 14 4 2 3 2" xfId="17230" xr:uid="{00000000-0005-0000-0000-0000051B0000}"/>
    <cellStyle name="Финансовый 2 14 4 2 3 2 2" xfId="41185" xr:uid="{00000000-0005-0000-0000-0000061B0000}"/>
    <cellStyle name="Финансовый 2 14 4 2 3 3" xfId="29207" xr:uid="{00000000-0005-0000-0000-0000071B0000}"/>
    <cellStyle name="Финансовый 2 14 4 2 4" xfId="7862" xr:uid="{00000000-0005-0000-0000-0000081B0000}"/>
    <cellStyle name="Финансовый 2 14 4 2 4 2" xfId="19840" xr:uid="{00000000-0005-0000-0000-0000091B0000}"/>
    <cellStyle name="Финансовый 2 14 4 2 4 2 2" xfId="43795" xr:uid="{00000000-0005-0000-0000-00000A1B0000}"/>
    <cellStyle name="Финансовый 2 14 4 2 4 3" xfId="31817" xr:uid="{00000000-0005-0000-0000-00000B1B0000}"/>
    <cellStyle name="Финансовый 2 14 4 2 5" xfId="9645" xr:uid="{00000000-0005-0000-0000-00000C1B0000}"/>
    <cellStyle name="Финансовый 2 14 4 2 5 2" xfId="21623" xr:uid="{00000000-0005-0000-0000-00000D1B0000}"/>
    <cellStyle name="Финансовый 2 14 4 2 5 2 2" xfId="45578" xr:uid="{00000000-0005-0000-0000-00000E1B0000}"/>
    <cellStyle name="Финансовый 2 14 4 2 5 3" xfId="33600" xr:uid="{00000000-0005-0000-0000-00000F1B0000}"/>
    <cellStyle name="Финансовый 2 14 4 2 6" xfId="13803" xr:uid="{00000000-0005-0000-0000-0000101B0000}"/>
    <cellStyle name="Финансовый 2 14 4 2 6 2" xfId="37758" xr:uid="{00000000-0005-0000-0000-0000111B0000}"/>
    <cellStyle name="Финансовый 2 14 4 2 7" xfId="25781" xr:uid="{00000000-0005-0000-0000-0000121B0000}"/>
    <cellStyle name="Финансовый 2 14 4 2 8" xfId="48914" xr:uid="{00000000-0005-0000-0000-0000131B0000}"/>
    <cellStyle name="Финансовый 2 14 4 3" xfId="4880" xr:uid="{00000000-0005-0000-0000-0000141B0000}"/>
    <cellStyle name="Финансовый 2 14 4 3 2" xfId="16858" xr:uid="{00000000-0005-0000-0000-0000151B0000}"/>
    <cellStyle name="Финансовый 2 14 4 3 2 2" xfId="40813" xr:uid="{00000000-0005-0000-0000-0000161B0000}"/>
    <cellStyle name="Финансовый 2 14 4 3 3" xfId="28835" xr:uid="{00000000-0005-0000-0000-0000171B0000}"/>
    <cellStyle name="Финансовый 2 14 4 3 4" xfId="50323" xr:uid="{00000000-0005-0000-0000-0000181B0000}"/>
    <cellStyle name="Финансовый 2 14 4 4" xfId="7490" xr:uid="{00000000-0005-0000-0000-0000191B0000}"/>
    <cellStyle name="Финансовый 2 14 4 4 2" xfId="19468" xr:uid="{00000000-0005-0000-0000-00001A1B0000}"/>
    <cellStyle name="Финансовый 2 14 4 4 2 2" xfId="43423" xr:uid="{00000000-0005-0000-0000-00001B1B0000}"/>
    <cellStyle name="Финансовый 2 14 4 4 3" xfId="31445" xr:uid="{00000000-0005-0000-0000-00001C1B0000}"/>
    <cellStyle name="Финансовый 2 14 4 5" xfId="9273" xr:uid="{00000000-0005-0000-0000-00001D1B0000}"/>
    <cellStyle name="Финансовый 2 14 4 5 2" xfId="21251" xr:uid="{00000000-0005-0000-0000-00001E1B0000}"/>
    <cellStyle name="Финансовый 2 14 4 5 2 2" xfId="45206" xr:uid="{00000000-0005-0000-0000-00001F1B0000}"/>
    <cellStyle name="Финансовый 2 14 4 5 3" xfId="33228" xr:uid="{00000000-0005-0000-0000-0000201B0000}"/>
    <cellStyle name="Финансовый 2 14 4 6" xfId="13431" xr:uid="{00000000-0005-0000-0000-0000211B0000}"/>
    <cellStyle name="Финансовый 2 14 4 6 2" xfId="37386" xr:uid="{00000000-0005-0000-0000-0000221B0000}"/>
    <cellStyle name="Финансовый 2 14 4 7" xfId="25409" xr:uid="{00000000-0005-0000-0000-0000231B0000}"/>
    <cellStyle name="Финансовый 2 14 4 8" xfId="48542" xr:uid="{00000000-0005-0000-0000-0000241B0000}"/>
    <cellStyle name="Финансовый 2 14 5" xfId="1708" xr:uid="{00000000-0005-0000-0000-0000251B0000}"/>
    <cellStyle name="Финансовый 2 14 5 2" xfId="3353" xr:uid="{00000000-0005-0000-0000-0000261B0000}"/>
    <cellStyle name="Финансовый 2 14 5 2 2" xfId="11101" xr:uid="{00000000-0005-0000-0000-0000271B0000}"/>
    <cellStyle name="Финансовый 2 14 5 2 2 2" xfId="23079" xr:uid="{00000000-0005-0000-0000-0000281B0000}"/>
    <cellStyle name="Финансовый 2 14 5 2 2 2 2" xfId="47034" xr:uid="{00000000-0005-0000-0000-0000291B0000}"/>
    <cellStyle name="Финансовый 2 14 5 2 2 3" xfId="35056" xr:uid="{00000000-0005-0000-0000-00002A1B0000}"/>
    <cellStyle name="Финансовый 2 14 5 2 3" xfId="15332" xr:uid="{00000000-0005-0000-0000-00002B1B0000}"/>
    <cellStyle name="Финансовый 2 14 5 2 3 2" xfId="39287" xr:uid="{00000000-0005-0000-0000-00002C1B0000}"/>
    <cellStyle name="Финансовый 2 14 5 2 4" xfId="27310" xr:uid="{00000000-0005-0000-0000-00002D1B0000}"/>
    <cellStyle name="Финансовый 2 14 5 2 5" xfId="50579" xr:uid="{00000000-0005-0000-0000-00002E1B0000}"/>
    <cellStyle name="Финансовый 2 14 5 3" xfId="5136" xr:uid="{00000000-0005-0000-0000-00002F1B0000}"/>
    <cellStyle name="Финансовый 2 14 5 3 2" xfId="17114" xr:uid="{00000000-0005-0000-0000-0000301B0000}"/>
    <cellStyle name="Финансовый 2 14 5 3 2 2" xfId="41069" xr:uid="{00000000-0005-0000-0000-0000311B0000}"/>
    <cellStyle name="Финансовый 2 14 5 3 3" xfId="29091" xr:uid="{00000000-0005-0000-0000-0000321B0000}"/>
    <cellStyle name="Финансовый 2 14 5 4" xfId="7746" xr:uid="{00000000-0005-0000-0000-0000331B0000}"/>
    <cellStyle name="Финансовый 2 14 5 4 2" xfId="19724" xr:uid="{00000000-0005-0000-0000-0000341B0000}"/>
    <cellStyle name="Финансовый 2 14 5 4 2 2" xfId="43679" xr:uid="{00000000-0005-0000-0000-0000351B0000}"/>
    <cellStyle name="Финансовый 2 14 5 4 3" xfId="31701" xr:uid="{00000000-0005-0000-0000-0000361B0000}"/>
    <cellStyle name="Финансовый 2 14 5 5" xfId="9529" xr:uid="{00000000-0005-0000-0000-0000371B0000}"/>
    <cellStyle name="Финансовый 2 14 5 5 2" xfId="21507" xr:uid="{00000000-0005-0000-0000-0000381B0000}"/>
    <cellStyle name="Финансовый 2 14 5 5 2 2" xfId="45462" xr:uid="{00000000-0005-0000-0000-0000391B0000}"/>
    <cellStyle name="Финансовый 2 14 5 5 3" xfId="33484" xr:uid="{00000000-0005-0000-0000-00003A1B0000}"/>
    <cellStyle name="Финансовый 2 14 5 6" xfId="13687" xr:uid="{00000000-0005-0000-0000-00003B1B0000}"/>
    <cellStyle name="Финансовый 2 14 5 6 2" xfId="37642" xr:uid="{00000000-0005-0000-0000-00003C1B0000}"/>
    <cellStyle name="Финансовый 2 14 5 7" xfId="25665" xr:uid="{00000000-0005-0000-0000-00003D1B0000}"/>
    <cellStyle name="Финансовый 2 14 5 8" xfId="48798" xr:uid="{00000000-0005-0000-0000-00003E1B0000}"/>
    <cellStyle name="Финансовый 2 14 6" xfId="2344" xr:uid="{00000000-0005-0000-0000-00003F1B0000}"/>
    <cellStyle name="Финансовый 2 14 6 2" xfId="3989" xr:uid="{00000000-0005-0000-0000-0000401B0000}"/>
    <cellStyle name="Финансовый 2 14 6 2 2" xfId="11729" xr:uid="{00000000-0005-0000-0000-0000411B0000}"/>
    <cellStyle name="Финансовый 2 14 6 2 2 2" xfId="23707" xr:uid="{00000000-0005-0000-0000-0000421B0000}"/>
    <cellStyle name="Финансовый 2 14 6 2 2 2 2" xfId="47662" xr:uid="{00000000-0005-0000-0000-0000431B0000}"/>
    <cellStyle name="Финансовый 2 14 6 2 2 3" xfId="35684" xr:uid="{00000000-0005-0000-0000-0000441B0000}"/>
    <cellStyle name="Финансовый 2 14 6 2 3" xfId="15968" xr:uid="{00000000-0005-0000-0000-0000451B0000}"/>
    <cellStyle name="Финансовый 2 14 6 2 3 2" xfId="39923" xr:uid="{00000000-0005-0000-0000-0000461B0000}"/>
    <cellStyle name="Финансовый 2 14 6 2 4" xfId="27946" xr:uid="{00000000-0005-0000-0000-0000471B0000}"/>
    <cellStyle name="Финансовый 2 14 6 2 5" xfId="51215" xr:uid="{00000000-0005-0000-0000-0000481B0000}"/>
    <cellStyle name="Финансовый 2 14 6 3" xfId="5772" xr:uid="{00000000-0005-0000-0000-0000491B0000}"/>
    <cellStyle name="Финансовый 2 14 6 3 2" xfId="17750" xr:uid="{00000000-0005-0000-0000-00004A1B0000}"/>
    <cellStyle name="Финансовый 2 14 6 3 2 2" xfId="41705" xr:uid="{00000000-0005-0000-0000-00004B1B0000}"/>
    <cellStyle name="Финансовый 2 14 6 3 3" xfId="29727" xr:uid="{00000000-0005-0000-0000-00004C1B0000}"/>
    <cellStyle name="Финансовый 2 14 6 4" xfId="8382" xr:uid="{00000000-0005-0000-0000-00004D1B0000}"/>
    <cellStyle name="Финансовый 2 14 6 4 2" xfId="20360" xr:uid="{00000000-0005-0000-0000-00004E1B0000}"/>
    <cellStyle name="Финансовый 2 14 6 4 2 2" xfId="44315" xr:uid="{00000000-0005-0000-0000-00004F1B0000}"/>
    <cellStyle name="Финансовый 2 14 6 4 3" xfId="32337" xr:uid="{00000000-0005-0000-0000-0000501B0000}"/>
    <cellStyle name="Финансовый 2 14 6 5" xfId="10165" xr:uid="{00000000-0005-0000-0000-0000511B0000}"/>
    <cellStyle name="Финансовый 2 14 6 5 2" xfId="22143" xr:uid="{00000000-0005-0000-0000-0000521B0000}"/>
    <cellStyle name="Финансовый 2 14 6 5 2 2" xfId="46098" xr:uid="{00000000-0005-0000-0000-0000531B0000}"/>
    <cellStyle name="Финансовый 2 14 6 5 3" xfId="34120" xr:uid="{00000000-0005-0000-0000-0000541B0000}"/>
    <cellStyle name="Финансовый 2 14 6 6" xfId="14323" xr:uid="{00000000-0005-0000-0000-0000551B0000}"/>
    <cellStyle name="Финансовый 2 14 6 6 2" xfId="38278" xr:uid="{00000000-0005-0000-0000-0000561B0000}"/>
    <cellStyle name="Финансовый 2 14 6 7" xfId="26301" xr:uid="{00000000-0005-0000-0000-0000571B0000}"/>
    <cellStyle name="Финансовый 2 14 6 8" xfId="49434" xr:uid="{00000000-0005-0000-0000-0000581B0000}"/>
    <cellStyle name="Финансовый 2 14 7" xfId="1571" xr:uid="{00000000-0005-0000-0000-0000591B0000}"/>
    <cellStyle name="Финансовый 2 14 7 2" xfId="3216" xr:uid="{00000000-0005-0000-0000-00005A1B0000}"/>
    <cellStyle name="Финансовый 2 14 7 2 2" xfId="10972" xr:uid="{00000000-0005-0000-0000-00005B1B0000}"/>
    <cellStyle name="Финансовый 2 14 7 2 2 2" xfId="22950" xr:uid="{00000000-0005-0000-0000-00005C1B0000}"/>
    <cellStyle name="Финансовый 2 14 7 2 2 2 2" xfId="46905" xr:uid="{00000000-0005-0000-0000-00005D1B0000}"/>
    <cellStyle name="Финансовый 2 14 7 2 2 3" xfId="34927" xr:uid="{00000000-0005-0000-0000-00005E1B0000}"/>
    <cellStyle name="Финансовый 2 14 7 2 3" xfId="15195" xr:uid="{00000000-0005-0000-0000-00005F1B0000}"/>
    <cellStyle name="Финансовый 2 14 7 2 3 2" xfId="39150" xr:uid="{00000000-0005-0000-0000-0000601B0000}"/>
    <cellStyle name="Финансовый 2 14 7 2 4" xfId="27173" xr:uid="{00000000-0005-0000-0000-0000611B0000}"/>
    <cellStyle name="Финансовый 2 14 7 2 5" xfId="50442" xr:uid="{00000000-0005-0000-0000-0000621B0000}"/>
    <cellStyle name="Финансовый 2 14 7 3" xfId="4999" xr:uid="{00000000-0005-0000-0000-0000631B0000}"/>
    <cellStyle name="Финансовый 2 14 7 3 2" xfId="16977" xr:uid="{00000000-0005-0000-0000-0000641B0000}"/>
    <cellStyle name="Финансовый 2 14 7 3 2 2" xfId="40932" xr:uid="{00000000-0005-0000-0000-0000651B0000}"/>
    <cellStyle name="Финансовый 2 14 7 3 3" xfId="28954" xr:uid="{00000000-0005-0000-0000-0000661B0000}"/>
    <cellStyle name="Финансовый 2 14 7 4" xfId="7609" xr:uid="{00000000-0005-0000-0000-0000671B0000}"/>
    <cellStyle name="Финансовый 2 14 7 4 2" xfId="19587" xr:uid="{00000000-0005-0000-0000-0000681B0000}"/>
    <cellStyle name="Финансовый 2 14 7 4 2 2" xfId="43542" xr:uid="{00000000-0005-0000-0000-0000691B0000}"/>
    <cellStyle name="Финансовый 2 14 7 4 3" xfId="31564" xr:uid="{00000000-0005-0000-0000-00006A1B0000}"/>
    <cellStyle name="Финансовый 2 14 7 5" xfId="9392" xr:uid="{00000000-0005-0000-0000-00006B1B0000}"/>
    <cellStyle name="Финансовый 2 14 7 5 2" xfId="21370" xr:uid="{00000000-0005-0000-0000-00006C1B0000}"/>
    <cellStyle name="Финансовый 2 14 7 5 2 2" xfId="45325" xr:uid="{00000000-0005-0000-0000-00006D1B0000}"/>
    <cellStyle name="Финансовый 2 14 7 5 3" xfId="33347" xr:uid="{00000000-0005-0000-0000-00006E1B0000}"/>
    <cellStyle name="Финансовый 2 14 7 6" xfId="13550" xr:uid="{00000000-0005-0000-0000-00006F1B0000}"/>
    <cellStyle name="Финансовый 2 14 7 6 2" xfId="37505" xr:uid="{00000000-0005-0000-0000-0000701B0000}"/>
    <cellStyle name="Финансовый 2 14 7 7" xfId="25528" xr:uid="{00000000-0005-0000-0000-0000711B0000}"/>
    <cellStyle name="Финансовый 2 14 7 8" xfId="48661" xr:uid="{00000000-0005-0000-0000-0000721B0000}"/>
    <cellStyle name="Финансовый 2 14 8" xfId="857" xr:uid="{00000000-0005-0000-0000-0000731B0000}"/>
    <cellStyle name="Финансовый 2 14 8 2" xfId="6897" xr:uid="{00000000-0005-0000-0000-0000741B0000}"/>
    <cellStyle name="Финансовый 2 14 8 2 2" xfId="18875" xr:uid="{00000000-0005-0000-0000-0000751B0000}"/>
    <cellStyle name="Финансовый 2 14 8 2 2 2" xfId="42830" xr:uid="{00000000-0005-0000-0000-0000761B0000}"/>
    <cellStyle name="Финансовый 2 14 8 2 3" xfId="30852" xr:uid="{00000000-0005-0000-0000-0000771B0000}"/>
    <cellStyle name="Финансовый 2 14 8 3" xfId="10445" xr:uid="{00000000-0005-0000-0000-0000781B0000}"/>
    <cellStyle name="Финансовый 2 14 8 3 2" xfId="22423" xr:uid="{00000000-0005-0000-0000-0000791B0000}"/>
    <cellStyle name="Финансовый 2 14 8 3 2 2" xfId="46378" xr:uid="{00000000-0005-0000-0000-00007A1B0000}"/>
    <cellStyle name="Финансовый 2 14 8 3 3" xfId="34400" xr:uid="{00000000-0005-0000-0000-00007B1B0000}"/>
    <cellStyle name="Финансовый 2 14 8 4" xfId="12838" xr:uid="{00000000-0005-0000-0000-00007C1B0000}"/>
    <cellStyle name="Финансовый 2 14 8 4 2" xfId="36793" xr:uid="{00000000-0005-0000-0000-00007D1B0000}"/>
    <cellStyle name="Финансовый 2 14 8 5" xfId="24816" xr:uid="{00000000-0005-0000-0000-00007E1B0000}"/>
    <cellStyle name="Финансовый 2 14 8 6" xfId="49714" xr:uid="{00000000-0005-0000-0000-00007F1B0000}"/>
    <cellStyle name="Финансовый 2 14 9" xfId="437" xr:uid="{00000000-0005-0000-0000-0000801B0000}"/>
    <cellStyle name="Финансовый 2 14 9 2" xfId="6477" xr:uid="{00000000-0005-0000-0000-0000811B0000}"/>
    <cellStyle name="Финансовый 2 14 9 2 2" xfId="18455" xr:uid="{00000000-0005-0000-0000-0000821B0000}"/>
    <cellStyle name="Финансовый 2 14 9 2 2 2" xfId="42410" xr:uid="{00000000-0005-0000-0000-0000831B0000}"/>
    <cellStyle name="Финансовый 2 14 9 2 3" xfId="30432" xr:uid="{00000000-0005-0000-0000-0000841B0000}"/>
    <cellStyle name="Финансовый 2 14 9 3" xfId="12418" xr:uid="{00000000-0005-0000-0000-0000851B0000}"/>
    <cellStyle name="Финансовый 2 14 9 3 2" xfId="36373" xr:uid="{00000000-0005-0000-0000-0000861B0000}"/>
    <cellStyle name="Финансовый 2 14 9 4" xfId="24396" xr:uid="{00000000-0005-0000-0000-0000871B0000}"/>
    <cellStyle name="Финансовый 2 15" xfId="140" xr:uid="{00000000-0005-0000-0000-0000881B0000}"/>
    <cellStyle name="Финансовый 2 15 10" xfId="8788" xr:uid="{00000000-0005-0000-0000-0000891B0000}"/>
    <cellStyle name="Финансовый 2 15 10 2" xfId="20766" xr:uid="{00000000-0005-0000-0000-00008A1B0000}"/>
    <cellStyle name="Финансовый 2 15 10 2 2" xfId="44721" xr:uid="{00000000-0005-0000-0000-00008B1B0000}"/>
    <cellStyle name="Финансовый 2 15 10 3" xfId="32743" xr:uid="{00000000-0005-0000-0000-00008C1B0000}"/>
    <cellStyle name="Финансовый 2 15 11" xfId="12122" xr:uid="{00000000-0005-0000-0000-00008D1B0000}"/>
    <cellStyle name="Финансовый 2 15 11 2" xfId="36077" xr:uid="{00000000-0005-0000-0000-00008E1B0000}"/>
    <cellStyle name="Финансовый 2 15 12" xfId="24100" xr:uid="{00000000-0005-0000-0000-00008F1B0000}"/>
    <cellStyle name="Финансовый 2 15 13" xfId="48058" xr:uid="{00000000-0005-0000-0000-0000901B0000}"/>
    <cellStyle name="Финансовый 2 15 2" xfId="1238" xr:uid="{00000000-0005-0000-0000-0000911B0000}"/>
    <cellStyle name="Финансовый 2 15 2 2" xfId="2204" xr:uid="{00000000-0005-0000-0000-0000921B0000}"/>
    <cellStyle name="Финансовый 2 15 2 2 2" xfId="3849" xr:uid="{00000000-0005-0000-0000-0000931B0000}"/>
    <cellStyle name="Финансовый 2 15 2 2 2 2" xfId="11589" xr:uid="{00000000-0005-0000-0000-0000941B0000}"/>
    <cellStyle name="Финансовый 2 15 2 2 2 2 2" xfId="23567" xr:uid="{00000000-0005-0000-0000-0000951B0000}"/>
    <cellStyle name="Финансовый 2 15 2 2 2 2 2 2" xfId="47522" xr:uid="{00000000-0005-0000-0000-0000961B0000}"/>
    <cellStyle name="Финансовый 2 15 2 2 2 2 3" xfId="35544" xr:uid="{00000000-0005-0000-0000-0000971B0000}"/>
    <cellStyle name="Финансовый 2 15 2 2 2 3" xfId="15828" xr:uid="{00000000-0005-0000-0000-0000981B0000}"/>
    <cellStyle name="Финансовый 2 15 2 2 2 3 2" xfId="39783" xr:uid="{00000000-0005-0000-0000-0000991B0000}"/>
    <cellStyle name="Финансовый 2 15 2 2 2 4" xfId="27806" xr:uid="{00000000-0005-0000-0000-00009A1B0000}"/>
    <cellStyle name="Финансовый 2 15 2 2 2 5" xfId="51075" xr:uid="{00000000-0005-0000-0000-00009B1B0000}"/>
    <cellStyle name="Финансовый 2 15 2 2 3" xfId="5632" xr:uid="{00000000-0005-0000-0000-00009C1B0000}"/>
    <cellStyle name="Финансовый 2 15 2 2 3 2" xfId="17610" xr:uid="{00000000-0005-0000-0000-00009D1B0000}"/>
    <cellStyle name="Финансовый 2 15 2 2 3 2 2" xfId="41565" xr:uid="{00000000-0005-0000-0000-00009E1B0000}"/>
    <cellStyle name="Финансовый 2 15 2 2 3 3" xfId="29587" xr:uid="{00000000-0005-0000-0000-00009F1B0000}"/>
    <cellStyle name="Финансовый 2 15 2 2 4" xfId="8242" xr:uid="{00000000-0005-0000-0000-0000A01B0000}"/>
    <cellStyle name="Финансовый 2 15 2 2 4 2" xfId="20220" xr:uid="{00000000-0005-0000-0000-0000A11B0000}"/>
    <cellStyle name="Финансовый 2 15 2 2 4 2 2" xfId="44175" xr:uid="{00000000-0005-0000-0000-0000A21B0000}"/>
    <cellStyle name="Финансовый 2 15 2 2 4 3" xfId="32197" xr:uid="{00000000-0005-0000-0000-0000A31B0000}"/>
    <cellStyle name="Финансовый 2 15 2 2 5" xfId="10025" xr:uid="{00000000-0005-0000-0000-0000A41B0000}"/>
    <cellStyle name="Финансовый 2 15 2 2 5 2" xfId="22003" xr:uid="{00000000-0005-0000-0000-0000A51B0000}"/>
    <cellStyle name="Финансовый 2 15 2 2 5 2 2" xfId="45958" xr:uid="{00000000-0005-0000-0000-0000A61B0000}"/>
    <cellStyle name="Финансовый 2 15 2 2 5 3" xfId="33980" xr:uid="{00000000-0005-0000-0000-0000A71B0000}"/>
    <cellStyle name="Финансовый 2 15 2 2 6" xfId="14183" xr:uid="{00000000-0005-0000-0000-0000A81B0000}"/>
    <cellStyle name="Финансовый 2 15 2 2 6 2" xfId="38138" xr:uid="{00000000-0005-0000-0000-0000A91B0000}"/>
    <cellStyle name="Финансовый 2 15 2 2 7" xfId="26161" xr:uid="{00000000-0005-0000-0000-0000AA1B0000}"/>
    <cellStyle name="Финансовый 2 15 2 2 8" xfId="49294" xr:uid="{00000000-0005-0000-0000-0000AB1B0000}"/>
    <cellStyle name="Финансовый 2 15 2 3" xfId="3022" xr:uid="{00000000-0005-0000-0000-0000AC1B0000}"/>
    <cellStyle name="Финансовый 2 15 2 3 2" xfId="10817" xr:uid="{00000000-0005-0000-0000-0000AD1B0000}"/>
    <cellStyle name="Финансовый 2 15 2 3 2 2" xfId="22795" xr:uid="{00000000-0005-0000-0000-0000AE1B0000}"/>
    <cellStyle name="Финансовый 2 15 2 3 2 2 2" xfId="46750" xr:uid="{00000000-0005-0000-0000-0000AF1B0000}"/>
    <cellStyle name="Финансовый 2 15 2 3 2 3" xfId="34772" xr:uid="{00000000-0005-0000-0000-0000B01B0000}"/>
    <cellStyle name="Финансовый 2 15 2 3 3" xfId="15001" xr:uid="{00000000-0005-0000-0000-0000B11B0000}"/>
    <cellStyle name="Финансовый 2 15 2 3 3 2" xfId="38956" xr:uid="{00000000-0005-0000-0000-0000B21B0000}"/>
    <cellStyle name="Финансовый 2 15 2 3 4" xfId="26979" xr:uid="{00000000-0005-0000-0000-0000B31B0000}"/>
    <cellStyle name="Финансовый 2 15 2 3 5" xfId="50110" xr:uid="{00000000-0005-0000-0000-0000B41B0000}"/>
    <cellStyle name="Финансовый 2 15 2 4" xfId="4666" xr:uid="{00000000-0005-0000-0000-0000B51B0000}"/>
    <cellStyle name="Финансовый 2 15 2 4 2" xfId="16645" xr:uid="{00000000-0005-0000-0000-0000B61B0000}"/>
    <cellStyle name="Финансовый 2 15 2 4 2 2" xfId="40600" xr:uid="{00000000-0005-0000-0000-0000B71B0000}"/>
    <cellStyle name="Финансовый 2 15 2 4 3" xfId="28623" xr:uid="{00000000-0005-0000-0000-0000B81B0000}"/>
    <cellStyle name="Финансовый 2 15 2 5" xfId="7278" xr:uid="{00000000-0005-0000-0000-0000B91B0000}"/>
    <cellStyle name="Финансовый 2 15 2 5 2" xfId="19256" xr:uid="{00000000-0005-0000-0000-0000BA1B0000}"/>
    <cellStyle name="Финансовый 2 15 2 5 2 2" xfId="43211" xr:uid="{00000000-0005-0000-0000-0000BB1B0000}"/>
    <cellStyle name="Финансовый 2 15 2 5 3" xfId="31233" xr:uid="{00000000-0005-0000-0000-0000BC1B0000}"/>
    <cellStyle name="Финансовый 2 15 2 6" xfId="9060" xr:uid="{00000000-0005-0000-0000-0000BD1B0000}"/>
    <cellStyle name="Финансовый 2 15 2 6 2" xfId="21038" xr:uid="{00000000-0005-0000-0000-0000BE1B0000}"/>
    <cellStyle name="Финансовый 2 15 2 6 2 2" xfId="44993" xr:uid="{00000000-0005-0000-0000-0000BF1B0000}"/>
    <cellStyle name="Финансовый 2 15 2 6 3" xfId="33015" xr:uid="{00000000-0005-0000-0000-0000C01B0000}"/>
    <cellStyle name="Финансовый 2 15 2 7" xfId="13219" xr:uid="{00000000-0005-0000-0000-0000C11B0000}"/>
    <cellStyle name="Финансовый 2 15 2 7 2" xfId="37174" xr:uid="{00000000-0005-0000-0000-0000C21B0000}"/>
    <cellStyle name="Финансовый 2 15 2 8" xfId="25197" xr:uid="{00000000-0005-0000-0000-0000C31B0000}"/>
    <cellStyle name="Финансовый 2 15 2 9" xfId="48330" xr:uid="{00000000-0005-0000-0000-0000C41B0000}"/>
    <cellStyle name="Финансовый 2 15 3" xfId="1948" xr:uid="{00000000-0005-0000-0000-0000C51B0000}"/>
    <cellStyle name="Финансовый 2 15 3 2" xfId="3593" xr:uid="{00000000-0005-0000-0000-0000C61B0000}"/>
    <cellStyle name="Финансовый 2 15 3 2 2" xfId="11333" xr:uid="{00000000-0005-0000-0000-0000C71B0000}"/>
    <cellStyle name="Финансовый 2 15 3 2 2 2" xfId="23311" xr:uid="{00000000-0005-0000-0000-0000C81B0000}"/>
    <cellStyle name="Финансовый 2 15 3 2 2 2 2" xfId="47266" xr:uid="{00000000-0005-0000-0000-0000C91B0000}"/>
    <cellStyle name="Финансовый 2 15 3 2 2 3" xfId="35288" xr:uid="{00000000-0005-0000-0000-0000CA1B0000}"/>
    <cellStyle name="Финансовый 2 15 3 2 3" xfId="15572" xr:uid="{00000000-0005-0000-0000-0000CB1B0000}"/>
    <cellStyle name="Финансовый 2 15 3 2 3 2" xfId="39527" xr:uid="{00000000-0005-0000-0000-0000CC1B0000}"/>
    <cellStyle name="Финансовый 2 15 3 2 4" xfId="27550" xr:uid="{00000000-0005-0000-0000-0000CD1B0000}"/>
    <cellStyle name="Финансовый 2 15 3 2 5" xfId="50819" xr:uid="{00000000-0005-0000-0000-0000CE1B0000}"/>
    <cellStyle name="Финансовый 2 15 3 3" xfId="5376" xr:uid="{00000000-0005-0000-0000-0000CF1B0000}"/>
    <cellStyle name="Финансовый 2 15 3 3 2" xfId="17354" xr:uid="{00000000-0005-0000-0000-0000D01B0000}"/>
    <cellStyle name="Финансовый 2 15 3 3 2 2" xfId="41309" xr:uid="{00000000-0005-0000-0000-0000D11B0000}"/>
    <cellStyle name="Финансовый 2 15 3 3 3" xfId="29331" xr:uid="{00000000-0005-0000-0000-0000D21B0000}"/>
    <cellStyle name="Финансовый 2 15 3 4" xfId="7986" xr:uid="{00000000-0005-0000-0000-0000D31B0000}"/>
    <cellStyle name="Финансовый 2 15 3 4 2" xfId="19964" xr:uid="{00000000-0005-0000-0000-0000D41B0000}"/>
    <cellStyle name="Финансовый 2 15 3 4 2 2" xfId="43919" xr:uid="{00000000-0005-0000-0000-0000D51B0000}"/>
    <cellStyle name="Финансовый 2 15 3 4 3" xfId="31941" xr:uid="{00000000-0005-0000-0000-0000D61B0000}"/>
    <cellStyle name="Финансовый 2 15 3 5" xfId="9769" xr:uid="{00000000-0005-0000-0000-0000D71B0000}"/>
    <cellStyle name="Финансовый 2 15 3 5 2" xfId="21747" xr:uid="{00000000-0005-0000-0000-0000D81B0000}"/>
    <cellStyle name="Финансовый 2 15 3 5 2 2" xfId="45702" xr:uid="{00000000-0005-0000-0000-0000D91B0000}"/>
    <cellStyle name="Финансовый 2 15 3 5 3" xfId="33724" xr:uid="{00000000-0005-0000-0000-0000DA1B0000}"/>
    <cellStyle name="Финансовый 2 15 3 6" xfId="13927" xr:uid="{00000000-0005-0000-0000-0000DB1B0000}"/>
    <cellStyle name="Финансовый 2 15 3 6 2" xfId="37882" xr:uid="{00000000-0005-0000-0000-0000DC1B0000}"/>
    <cellStyle name="Финансовый 2 15 3 7" xfId="25905" xr:uid="{00000000-0005-0000-0000-0000DD1B0000}"/>
    <cellStyle name="Финансовый 2 15 3 8" xfId="49038" xr:uid="{00000000-0005-0000-0000-0000DE1B0000}"/>
    <cellStyle name="Финансовый 2 15 4" xfId="2469" xr:uid="{00000000-0005-0000-0000-0000DF1B0000}"/>
    <cellStyle name="Финансовый 2 15 4 2" xfId="4114" xr:uid="{00000000-0005-0000-0000-0000E01B0000}"/>
    <cellStyle name="Финансовый 2 15 4 2 2" xfId="11846" xr:uid="{00000000-0005-0000-0000-0000E11B0000}"/>
    <cellStyle name="Финансовый 2 15 4 2 2 2" xfId="23824" xr:uid="{00000000-0005-0000-0000-0000E21B0000}"/>
    <cellStyle name="Финансовый 2 15 4 2 2 2 2" xfId="47779" xr:uid="{00000000-0005-0000-0000-0000E31B0000}"/>
    <cellStyle name="Финансовый 2 15 4 2 2 3" xfId="35801" xr:uid="{00000000-0005-0000-0000-0000E41B0000}"/>
    <cellStyle name="Финансовый 2 15 4 2 3" xfId="16093" xr:uid="{00000000-0005-0000-0000-0000E51B0000}"/>
    <cellStyle name="Финансовый 2 15 4 2 3 2" xfId="40048" xr:uid="{00000000-0005-0000-0000-0000E61B0000}"/>
    <cellStyle name="Финансовый 2 15 4 2 4" xfId="28071" xr:uid="{00000000-0005-0000-0000-0000E71B0000}"/>
    <cellStyle name="Финансовый 2 15 4 2 5" xfId="51340" xr:uid="{00000000-0005-0000-0000-0000E81B0000}"/>
    <cellStyle name="Финансовый 2 15 4 3" xfId="5897" xr:uid="{00000000-0005-0000-0000-0000E91B0000}"/>
    <cellStyle name="Финансовый 2 15 4 3 2" xfId="17875" xr:uid="{00000000-0005-0000-0000-0000EA1B0000}"/>
    <cellStyle name="Финансовый 2 15 4 3 2 2" xfId="41830" xr:uid="{00000000-0005-0000-0000-0000EB1B0000}"/>
    <cellStyle name="Финансовый 2 15 4 3 3" xfId="29852" xr:uid="{00000000-0005-0000-0000-0000EC1B0000}"/>
    <cellStyle name="Финансовый 2 15 4 4" xfId="8507" xr:uid="{00000000-0005-0000-0000-0000ED1B0000}"/>
    <cellStyle name="Финансовый 2 15 4 4 2" xfId="20485" xr:uid="{00000000-0005-0000-0000-0000EE1B0000}"/>
    <cellStyle name="Финансовый 2 15 4 4 2 2" xfId="44440" xr:uid="{00000000-0005-0000-0000-0000EF1B0000}"/>
    <cellStyle name="Финансовый 2 15 4 4 3" xfId="32462" xr:uid="{00000000-0005-0000-0000-0000F01B0000}"/>
    <cellStyle name="Финансовый 2 15 4 5" xfId="10290" xr:uid="{00000000-0005-0000-0000-0000F11B0000}"/>
    <cellStyle name="Финансовый 2 15 4 5 2" xfId="22268" xr:uid="{00000000-0005-0000-0000-0000F21B0000}"/>
    <cellStyle name="Финансовый 2 15 4 5 2 2" xfId="46223" xr:uid="{00000000-0005-0000-0000-0000F31B0000}"/>
    <cellStyle name="Финансовый 2 15 4 5 3" xfId="34245" xr:uid="{00000000-0005-0000-0000-0000F41B0000}"/>
    <cellStyle name="Финансовый 2 15 4 6" xfId="14448" xr:uid="{00000000-0005-0000-0000-0000F51B0000}"/>
    <cellStyle name="Финансовый 2 15 4 6 2" xfId="38403" xr:uid="{00000000-0005-0000-0000-0000F61B0000}"/>
    <cellStyle name="Финансовый 2 15 4 7" xfId="26426" xr:uid="{00000000-0005-0000-0000-0000F71B0000}"/>
    <cellStyle name="Финансовый 2 15 4 8" xfId="49559" xr:uid="{00000000-0005-0000-0000-0000F81B0000}"/>
    <cellStyle name="Финансовый 2 15 5" xfId="973" xr:uid="{00000000-0005-0000-0000-0000F91B0000}"/>
    <cellStyle name="Финансовый 2 15 5 2" xfId="7013" xr:uid="{00000000-0005-0000-0000-0000FA1B0000}"/>
    <cellStyle name="Финансовый 2 15 5 2 2" xfId="18991" xr:uid="{00000000-0005-0000-0000-0000FB1B0000}"/>
    <cellStyle name="Финансовый 2 15 5 2 2 2" xfId="42946" xr:uid="{00000000-0005-0000-0000-0000FC1B0000}"/>
    <cellStyle name="Финансовый 2 15 5 2 3" xfId="30968" xr:uid="{00000000-0005-0000-0000-0000FD1B0000}"/>
    <cellStyle name="Финансовый 2 15 5 3" xfId="10561" xr:uid="{00000000-0005-0000-0000-0000FE1B0000}"/>
    <cellStyle name="Финансовый 2 15 5 3 2" xfId="22539" xr:uid="{00000000-0005-0000-0000-0000FF1B0000}"/>
    <cellStyle name="Финансовый 2 15 5 3 2 2" xfId="46494" xr:uid="{00000000-0005-0000-0000-0000001C0000}"/>
    <cellStyle name="Финансовый 2 15 5 3 3" xfId="34516" xr:uid="{00000000-0005-0000-0000-0000011C0000}"/>
    <cellStyle name="Финансовый 2 15 5 4" xfId="12954" xr:uid="{00000000-0005-0000-0000-0000021C0000}"/>
    <cellStyle name="Финансовый 2 15 5 4 2" xfId="36909" xr:uid="{00000000-0005-0000-0000-0000031C0000}"/>
    <cellStyle name="Финансовый 2 15 5 5" xfId="24932" xr:uid="{00000000-0005-0000-0000-0000041C0000}"/>
    <cellStyle name="Финансовый 2 15 5 6" xfId="49838" xr:uid="{00000000-0005-0000-0000-0000051C0000}"/>
    <cellStyle name="Финансовый 2 15 6" xfId="561" xr:uid="{00000000-0005-0000-0000-0000061C0000}"/>
    <cellStyle name="Финансовый 2 15 6 2" xfId="6601" xr:uid="{00000000-0005-0000-0000-0000071C0000}"/>
    <cellStyle name="Финансовый 2 15 6 2 2" xfId="18579" xr:uid="{00000000-0005-0000-0000-0000081C0000}"/>
    <cellStyle name="Финансовый 2 15 6 2 2 2" xfId="42534" xr:uid="{00000000-0005-0000-0000-0000091C0000}"/>
    <cellStyle name="Финансовый 2 15 6 2 3" xfId="30556" xr:uid="{00000000-0005-0000-0000-00000A1C0000}"/>
    <cellStyle name="Финансовый 2 15 6 3" xfId="12542" xr:uid="{00000000-0005-0000-0000-00000B1C0000}"/>
    <cellStyle name="Финансовый 2 15 6 3 2" xfId="36497" xr:uid="{00000000-0005-0000-0000-00000C1C0000}"/>
    <cellStyle name="Финансовый 2 15 6 4" xfId="24520" xr:uid="{00000000-0005-0000-0000-00000D1C0000}"/>
    <cellStyle name="Финансовый 2 15 7" xfId="2750" xr:uid="{00000000-0005-0000-0000-00000E1C0000}"/>
    <cellStyle name="Финансовый 2 15 7 2" xfId="14729" xr:uid="{00000000-0005-0000-0000-00000F1C0000}"/>
    <cellStyle name="Финансовый 2 15 7 2 2" xfId="38684" xr:uid="{00000000-0005-0000-0000-0000101C0000}"/>
    <cellStyle name="Финансовый 2 15 7 3" xfId="26707" xr:uid="{00000000-0005-0000-0000-0000111C0000}"/>
    <cellStyle name="Финансовый 2 15 8" xfId="4394" xr:uid="{00000000-0005-0000-0000-0000121C0000}"/>
    <cellStyle name="Финансовый 2 15 8 2" xfId="16373" xr:uid="{00000000-0005-0000-0000-0000131C0000}"/>
    <cellStyle name="Финансовый 2 15 8 2 2" xfId="40328" xr:uid="{00000000-0005-0000-0000-0000141C0000}"/>
    <cellStyle name="Финансовый 2 15 8 3" xfId="28351" xr:uid="{00000000-0005-0000-0000-0000151C0000}"/>
    <cellStyle name="Финансовый 2 15 9" xfId="6181" xr:uid="{00000000-0005-0000-0000-0000161C0000}"/>
    <cellStyle name="Финансовый 2 15 9 2" xfId="18159" xr:uid="{00000000-0005-0000-0000-0000171C0000}"/>
    <cellStyle name="Финансовый 2 15 9 2 2" xfId="42114" xr:uid="{00000000-0005-0000-0000-0000181C0000}"/>
    <cellStyle name="Финансовый 2 15 9 3" xfId="30136" xr:uid="{00000000-0005-0000-0000-0000191C0000}"/>
    <cellStyle name="Финансовый 2 16" xfId="276" xr:uid="{00000000-0005-0000-0000-00001A1C0000}"/>
    <cellStyle name="Финансовый 2 16 10" xfId="24236" xr:uid="{00000000-0005-0000-0000-00001B1C0000}"/>
    <cellStyle name="Финансовый 2 16 11" xfId="48466" xr:uid="{00000000-0005-0000-0000-00001C1C0000}"/>
    <cellStyle name="Финансовый 2 16 2" xfId="2076" xr:uid="{00000000-0005-0000-0000-00001D1C0000}"/>
    <cellStyle name="Финансовый 2 16 2 2" xfId="3721" xr:uid="{00000000-0005-0000-0000-00001E1C0000}"/>
    <cellStyle name="Финансовый 2 16 2 2 2" xfId="11461" xr:uid="{00000000-0005-0000-0000-00001F1C0000}"/>
    <cellStyle name="Финансовый 2 16 2 2 2 2" xfId="23439" xr:uid="{00000000-0005-0000-0000-0000201C0000}"/>
    <cellStyle name="Финансовый 2 16 2 2 2 2 2" xfId="47394" xr:uid="{00000000-0005-0000-0000-0000211C0000}"/>
    <cellStyle name="Финансовый 2 16 2 2 2 3" xfId="35416" xr:uid="{00000000-0005-0000-0000-0000221C0000}"/>
    <cellStyle name="Финансовый 2 16 2 2 3" xfId="15700" xr:uid="{00000000-0005-0000-0000-0000231C0000}"/>
    <cellStyle name="Финансовый 2 16 2 2 3 2" xfId="39655" xr:uid="{00000000-0005-0000-0000-0000241C0000}"/>
    <cellStyle name="Финансовый 2 16 2 2 4" xfId="27678" xr:uid="{00000000-0005-0000-0000-0000251C0000}"/>
    <cellStyle name="Финансовый 2 16 2 2 5" xfId="50947" xr:uid="{00000000-0005-0000-0000-0000261C0000}"/>
    <cellStyle name="Финансовый 2 16 2 3" xfId="5504" xr:uid="{00000000-0005-0000-0000-0000271C0000}"/>
    <cellStyle name="Финансовый 2 16 2 3 2" xfId="17482" xr:uid="{00000000-0005-0000-0000-0000281C0000}"/>
    <cellStyle name="Финансовый 2 16 2 3 2 2" xfId="41437" xr:uid="{00000000-0005-0000-0000-0000291C0000}"/>
    <cellStyle name="Финансовый 2 16 2 3 3" xfId="29459" xr:uid="{00000000-0005-0000-0000-00002A1C0000}"/>
    <cellStyle name="Финансовый 2 16 2 4" xfId="8114" xr:uid="{00000000-0005-0000-0000-00002B1C0000}"/>
    <cellStyle name="Финансовый 2 16 2 4 2" xfId="20092" xr:uid="{00000000-0005-0000-0000-00002C1C0000}"/>
    <cellStyle name="Финансовый 2 16 2 4 2 2" xfId="44047" xr:uid="{00000000-0005-0000-0000-00002D1C0000}"/>
    <cellStyle name="Финансовый 2 16 2 4 3" xfId="32069" xr:uid="{00000000-0005-0000-0000-00002E1C0000}"/>
    <cellStyle name="Финансовый 2 16 2 5" xfId="9897" xr:uid="{00000000-0005-0000-0000-00002F1C0000}"/>
    <cellStyle name="Финансовый 2 16 2 5 2" xfId="21875" xr:uid="{00000000-0005-0000-0000-0000301C0000}"/>
    <cellStyle name="Финансовый 2 16 2 5 2 2" xfId="45830" xr:uid="{00000000-0005-0000-0000-0000311C0000}"/>
    <cellStyle name="Финансовый 2 16 2 5 3" xfId="33852" xr:uid="{00000000-0005-0000-0000-0000321C0000}"/>
    <cellStyle name="Финансовый 2 16 2 6" xfId="14055" xr:uid="{00000000-0005-0000-0000-0000331C0000}"/>
    <cellStyle name="Финансовый 2 16 2 6 2" xfId="38010" xr:uid="{00000000-0005-0000-0000-0000341C0000}"/>
    <cellStyle name="Финансовый 2 16 2 7" xfId="26033" xr:uid="{00000000-0005-0000-0000-0000351C0000}"/>
    <cellStyle name="Финансовый 2 16 2 8" xfId="49166" xr:uid="{00000000-0005-0000-0000-0000361C0000}"/>
    <cellStyle name="Финансовый 2 16 3" xfId="1374" xr:uid="{00000000-0005-0000-0000-0000371C0000}"/>
    <cellStyle name="Финансовый 2 16 3 2" xfId="7414" xr:uid="{00000000-0005-0000-0000-0000381C0000}"/>
    <cellStyle name="Финансовый 2 16 3 2 2" xfId="19392" xr:uid="{00000000-0005-0000-0000-0000391C0000}"/>
    <cellStyle name="Финансовый 2 16 3 2 2 2" xfId="43347" xr:uid="{00000000-0005-0000-0000-00003A1C0000}"/>
    <cellStyle name="Финансовый 2 16 3 2 3" xfId="31369" xr:uid="{00000000-0005-0000-0000-00003B1C0000}"/>
    <cellStyle name="Финансовый 2 16 3 3" xfId="10945" xr:uid="{00000000-0005-0000-0000-00003C1C0000}"/>
    <cellStyle name="Финансовый 2 16 3 3 2" xfId="22923" xr:uid="{00000000-0005-0000-0000-00003D1C0000}"/>
    <cellStyle name="Финансовый 2 16 3 3 2 2" xfId="46878" xr:uid="{00000000-0005-0000-0000-00003E1C0000}"/>
    <cellStyle name="Финансовый 2 16 3 3 3" xfId="34900" xr:uid="{00000000-0005-0000-0000-00003F1C0000}"/>
    <cellStyle name="Финансовый 2 16 3 4" xfId="13355" xr:uid="{00000000-0005-0000-0000-0000401C0000}"/>
    <cellStyle name="Финансовый 2 16 3 4 2" xfId="37310" xr:uid="{00000000-0005-0000-0000-0000411C0000}"/>
    <cellStyle name="Финансовый 2 16 3 5" xfId="25333" xr:uid="{00000000-0005-0000-0000-0000421C0000}"/>
    <cellStyle name="Финансовый 2 16 3 6" xfId="50246" xr:uid="{00000000-0005-0000-0000-0000431C0000}"/>
    <cellStyle name="Финансовый 2 16 4" xfId="697" xr:uid="{00000000-0005-0000-0000-0000441C0000}"/>
    <cellStyle name="Финансовый 2 16 4 2" xfId="6737" xr:uid="{00000000-0005-0000-0000-0000451C0000}"/>
    <cellStyle name="Финансовый 2 16 4 2 2" xfId="18715" xr:uid="{00000000-0005-0000-0000-0000461C0000}"/>
    <cellStyle name="Финансовый 2 16 4 2 2 2" xfId="42670" xr:uid="{00000000-0005-0000-0000-0000471C0000}"/>
    <cellStyle name="Финансовый 2 16 4 2 3" xfId="30692" xr:uid="{00000000-0005-0000-0000-0000481C0000}"/>
    <cellStyle name="Финансовый 2 16 4 3" xfId="12678" xr:uid="{00000000-0005-0000-0000-0000491C0000}"/>
    <cellStyle name="Финансовый 2 16 4 3 2" xfId="36633" xr:uid="{00000000-0005-0000-0000-00004A1C0000}"/>
    <cellStyle name="Финансовый 2 16 4 4" xfId="24656" xr:uid="{00000000-0005-0000-0000-00004B1C0000}"/>
    <cellStyle name="Финансовый 2 16 5" xfId="3158" xr:uid="{00000000-0005-0000-0000-00004C1C0000}"/>
    <cellStyle name="Финансовый 2 16 5 2" xfId="15137" xr:uid="{00000000-0005-0000-0000-00004D1C0000}"/>
    <cellStyle name="Финансовый 2 16 5 2 2" xfId="39092" xr:uid="{00000000-0005-0000-0000-00004E1C0000}"/>
    <cellStyle name="Финансовый 2 16 5 3" xfId="27115" xr:uid="{00000000-0005-0000-0000-00004F1C0000}"/>
    <cellStyle name="Финансовый 2 16 6" xfId="4802" xr:uid="{00000000-0005-0000-0000-0000501C0000}"/>
    <cellStyle name="Финансовый 2 16 6 2" xfId="16781" xr:uid="{00000000-0005-0000-0000-0000511C0000}"/>
    <cellStyle name="Финансовый 2 16 6 2 2" xfId="40736" xr:uid="{00000000-0005-0000-0000-0000521C0000}"/>
    <cellStyle name="Финансовый 2 16 6 3" xfId="28759" xr:uid="{00000000-0005-0000-0000-0000531C0000}"/>
    <cellStyle name="Финансовый 2 16 7" xfId="6317" xr:uid="{00000000-0005-0000-0000-0000541C0000}"/>
    <cellStyle name="Финансовый 2 16 7 2" xfId="18295" xr:uid="{00000000-0005-0000-0000-0000551C0000}"/>
    <cellStyle name="Финансовый 2 16 7 2 2" xfId="42250" xr:uid="{00000000-0005-0000-0000-0000561C0000}"/>
    <cellStyle name="Финансовый 2 16 7 3" xfId="30272" xr:uid="{00000000-0005-0000-0000-0000571C0000}"/>
    <cellStyle name="Финансовый 2 16 8" xfId="9196" xr:uid="{00000000-0005-0000-0000-0000581C0000}"/>
    <cellStyle name="Финансовый 2 16 8 2" xfId="21174" xr:uid="{00000000-0005-0000-0000-0000591C0000}"/>
    <cellStyle name="Финансовый 2 16 8 2 2" xfId="45129" xr:uid="{00000000-0005-0000-0000-00005A1C0000}"/>
    <cellStyle name="Финансовый 2 16 8 3" xfId="33151" xr:uid="{00000000-0005-0000-0000-00005B1C0000}"/>
    <cellStyle name="Финансовый 2 16 9" xfId="12258" xr:uid="{00000000-0005-0000-0000-00005C1C0000}"/>
    <cellStyle name="Финансовый 2 16 9 2" xfId="36213" xr:uid="{00000000-0005-0000-0000-00005D1C0000}"/>
    <cellStyle name="Финансовый 2 17" xfId="289" xr:uid="{00000000-0005-0000-0000-00005E1C0000}"/>
    <cellStyle name="Финансовый 2 17 10" xfId="48194" xr:uid="{00000000-0005-0000-0000-00005F1C0000}"/>
    <cellStyle name="Финансовый 2 17 2" xfId="1109" xr:uid="{00000000-0005-0000-0000-0000601C0000}"/>
    <cellStyle name="Финансовый 2 17 2 2" xfId="7149" xr:uid="{00000000-0005-0000-0000-0000611C0000}"/>
    <cellStyle name="Финансовый 2 17 2 2 2" xfId="19127" xr:uid="{00000000-0005-0000-0000-0000621C0000}"/>
    <cellStyle name="Финансовый 2 17 2 2 2 2" xfId="43082" xr:uid="{00000000-0005-0000-0000-0000631C0000}"/>
    <cellStyle name="Финансовый 2 17 2 2 3" xfId="31104" xr:uid="{00000000-0005-0000-0000-0000641C0000}"/>
    <cellStyle name="Финансовый 2 17 2 3" xfId="10689" xr:uid="{00000000-0005-0000-0000-0000651C0000}"/>
    <cellStyle name="Финансовый 2 17 2 3 2" xfId="22667" xr:uid="{00000000-0005-0000-0000-0000661C0000}"/>
    <cellStyle name="Финансовый 2 17 2 3 2 2" xfId="46622" xr:uid="{00000000-0005-0000-0000-0000671C0000}"/>
    <cellStyle name="Финансовый 2 17 2 3 3" xfId="34644" xr:uid="{00000000-0005-0000-0000-0000681C0000}"/>
    <cellStyle name="Финансовый 2 17 2 4" xfId="13090" xr:uid="{00000000-0005-0000-0000-0000691C0000}"/>
    <cellStyle name="Финансовый 2 17 2 4 2" xfId="37045" xr:uid="{00000000-0005-0000-0000-00006A1C0000}"/>
    <cellStyle name="Финансовый 2 17 2 5" xfId="25068" xr:uid="{00000000-0005-0000-0000-00006B1C0000}"/>
    <cellStyle name="Финансовый 2 17 2 6" xfId="49974" xr:uid="{00000000-0005-0000-0000-00006C1C0000}"/>
    <cellStyle name="Финансовый 2 17 3" xfId="709" xr:uid="{00000000-0005-0000-0000-00006D1C0000}"/>
    <cellStyle name="Финансовый 2 17 3 2" xfId="6749" xr:uid="{00000000-0005-0000-0000-00006E1C0000}"/>
    <cellStyle name="Финансовый 2 17 3 2 2" xfId="18727" xr:uid="{00000000-0005-0000-0000-00006F1C0000}"/>
    <cellStyle name="Финансовый 2 17 3 2 2 2" xfId="42682" xr:uid="{00000000-0005-0000-0000-0000701C0000}"/>
    <cellStyle name="Финансовый 2 17 3 2 3" xfId="30704" xr:uid="{00000000-0005-0000-0000-0000711C0000}"/>
    <cellStyle name="Финансовый 2 17 3 3" xfId="12690" xr:uid="{00000000-0005-0000-0000-0000721C0000}"/>
    <cellStyle name="Финансовый 2 17 3 3 2" xfId="36645" xr:uid="{00000000-0005-0000-0000-0000731C0000}"/>
    <cellStyle name="Финансовый 2 17 3 4" xfId="24668" xr:uid="{00000000-0005-0000-0000-0000741C0000}"/>
    <cellStyle name="Финансовый 2 17 4" xfId="2886" xr:uid="{00000000-0005-0000-0000-0000751C0000}"/>
    <cellStyle name="Финансовый 2 17 4 2" xfId="14865" xr:uid="{00000000-0005-0000-0000-0000761C0000}"/>
    <cellStyle name="Финансовый 2 17 4 2 2" xfId="38820" xr:uid="{00000000-0005-0000-0000-0000771C0000}"/>
    <cellStyle name="Финансовый 2 17 4 3" xfId="26843" xr:uid="{00000000-0005-0000-0000-0000781C0000}"/>
    <cellStyle name="Финансовый 2 17 5" xfId="4530" xr:uid="{00000000-0005-0000-0000-0000791C0000}"/>
    <cellStyle name="Финансовый 2 17 5 2" xfId="16509" xr:uid="{00000000-0005-0000-0000-00007A1C0000}"/>
    <cellStyle name="Финансовый 2 17 5 2 2" xfId="40464" xr:uid="{00000000-0005-0000-0000-00007B1C0000}"/>
    <cellStyle name="Финансовый 2 17 5 3" xfId="28487" xr:uid="{00000000-0005-0000-0000-00007C1C0000}"/>
    <cellStyle name="Финансовый 2 17 6" xfId="6329" xr:uid="{00000000-0005-0000-0000-00007D1C0000}"/>
    <cellStyle name="Финансовый 2 17 6 2" xfId="18307" xr:uid="{00000000-0005-0000-0000-00007E1C0000}"/>
    <cellStyle name="Финансовый 2 17 6 2 2" xfId="42262" xr:uid="{00000000-0005-0000-0000-00007F1C0000}"/>
    <cellStyle name="Финансовый 2 17 6 3" xfId="30284" xr:uid="{00000000-0005-0000-0000-0000801C0000}"/>
    <cellStyle name="Финансовый 2 17 7" xfId="8924" xr:uid="{00000000-0005-0000-0000-0000811C0000}"/>
    <cellStyle name="Финансовый 2 17 7 2" xfId="20902" xr:uid="{00000000-0005-0000-0000-0000821C0000}"/>
    <cellStyle name="Финансовый 2 17 7 2 2" xfId="44857" xr:uid="{00000000-0005-0000-0000-0000831C0000}"/>
    <cellStyle name="Финансовый 2 17 7 3" xfId="32879" xr:uid="{00000000-0005-0000-0000-0000841C0000}"/>
    <cellStyle name="Финансовый 2 17 8" xfId="12270" xr:uid="{00000000-0005-0000-0000-0000851C0000}"/>
    <cellStyle name="Финансовый 2 17 8 2" xfId="36225" xr:uid="{00000000-0005-0000-0000-0000861C0000}"/>
    <cellStyle name="Финансовый 2 17 9" xfId="24248" xr:uid="{00000000-0005-0000-0000-0000871C0000}"/>
    <cellStyle name="Финансовый 2 18" xfId="1445" xr:uid="{00000000-0005-0000-0000-0000881C0000}"/>
    <cellStyle name="Финансовый 2 18 2" xfId="1696" xr:uid="{00000000-0005-0000-0000-0000891C0000}"/>
    <cellStyle name="Финансовый 2 18 2 2" xfId="3341" xr:uid="{00000000-0005-0000-0000-00008A1C0000}"/>
    <cellStyle name="Финансовый 2 18 2 2 2" xfId="11089" xr:uid="{00000000-0005-0000-0000-00008B1C0000}"/>
    <cellStyle name="Финансовый 2 18 2 2 2 2" xfId="23067" xr:uid="{00000000-0005-0000-0000-00008C1C0000}"/>
    <cellStyle name="Финансовый 2 18 2 2 2 2 2" xfId="47022" xr:uid="{00000000-0005-0000-0000-00008D1C0000}"/>
    <cellStyle name="Финансовый 2 18 2 2 2 3" xfId="35044" xr:uid="{00000000-0005-0000-0000-00008E1C0000}"/>
    <cellStyle name="Финансовый 2 18 2 2 3" xfId="15320" xr:uid="{00000000-0005-0000-0000-00008F1C0000}"/>
    <cellStyle name="Финансовый 2 18 2 2 3 2" xfId="39275" xr:uid="{00000000-0005-0000-0000-0000901C0000}"/>
    <cellStyle name="Финансовый 2 18 2 2 4" xfId="27298" xr:uid="{00000000-0005-0000-0000-0000911C0000}"/>
    <cellStyle name="Финансовый 2 18 2 2 5" xfId="50567" xr:uid="{00000000-0005-0000-0000-0000921C0000}"/>
    <cellStyle name="Финансовый 2 18 2 3" xfId="5124" xr:uid="{00000000-0005-0000-0000-0000931C0000}"/>
    <cellStyle name="Финансовый 2 18 2 3 2" xfId="17102" xr:uid="{00000000-0005-0000-0000-0000941C0000}"/>
    <cellStyle name="Финансовый 2 18 2 3 2 2" xfId="41057" xr:uid="{00000000-0005-0000-0000-0000951C0000}"/>
    <cellStyle name="Финансовый 2 18 2 3 3" xfId="29079" xr:uid="{00000000-0005-0000-0000-0000961C0000}"/>
    <cellStyle name="Финансовый 2 18 2 4" xfId="7734" xr:uid="{00000000-0005-0000-0000-0000971C0000}"/>
    <cellStyle name="Финансовый 2 18 2 4 2" xfId="19712" xr:uid="{00000000-0005-0000-0000-0000981C0000}"/>
    <cellStyle name="Финансовый 2 18 2 4 2 2" xfId="43667" xr:uid="{00000000-0005-0000-0000-0000991C0000}"/>
    <cellStyle name="Финансовый 2 18 2 4 3" xfId="31689" xr:uid="{00000000-0005-0000-0000-00009A1C0000}"/>
    <cellStyle name="Финансовый 2 18 2 5" xfId="9517" xr:uid="{00000000-0005-0000-0000-00009B1C0000}"/>
    <cellStyle name="Финансовый 2 18 2 5 2" xfId="21495" xr:uid="{00000000-0005-0000-0000-00009C1C0000}"/>
    <cellStyle name="Финансовый 2 18 2 5 2 2" xfId="45450" xr:uid="{00000000-0005-0000-0000-00009D1C0000}"/>
    <cellStyle name="Финансовый 2 18 2 5 3" xfId="33472" xr:uid="{00000000-0005-0000-0000-00009E1C0000}"/>
    <cellStyle name="Финансовый 2 18 2 6" xfId="13675" xr:uid="{00000000-0005-0000-0000-00009F1C0000}"/>
    <cellStyle name="Финансовый 2 18 2 6 2" xfId="37630" xr:uid="{00000000-0005-0000-0000-0000A01C0000}"/>
    <cellStyle name="Финансовый 2 18 2 7" xfId="25653" xr:uid="{00000000-0005-0000-0000-0000A11C0000}"/>
    <cellStyle name="Финансовый 2 18 2 8" xfId="48786" xr:uid="{00000000-0005-0000-0000-0000A21C0000}"/>
    <cellStyle name="Финансовый 2 18 3" xfId="4873" xr:uid="{00000000-0005-0000-0000-0000A31C0000}"/>
    <cellStyle name="Финансовый 2 18 3 2" xfId="16851" xr:uid="{00000000-0005-0000-0000-0000A41C0000}"/>
    <cellStyle name="Финансовый 2 18 3 2 2" xfId="40806" xr:uid="{00000000-0005-0000-0000-0000A51C0000}"/>
    <cellStyle name="Финансовый 2 18 3 3" xfId="28828" xr:uid="{00000000-0005-0000-0000-0000A61C0000}"/>
    <cellStyle name="Финансовый 2 18 3 4" xfId="50316" xr:uid="{00000000-0005-0000-0000-0000A71C0000}"/>
    <cellStyle name="Финансовый 2 18 4" xfId="7483" xr:uid="{00000000-0005-0000-0000-0000A81C0000}"/>
    <cellStyle name="Финансовый 2 18 4 2" xfId="19461" xr:uid="{00000000-0005-0000-0000-0000A91C0000}"/>
    <cellStyle name="Финансовый 2 18 4 2 2" xfId="43416" xr:uid="{00000000-0005-0000-0000-0000AA1C0000}"/>
    <cellStyle name="Финансовый 2 18 4 3" xfId="31438" xr:uid="{00000000-0005-0000-0000-0000AB1C0000}"/>
    <cellStyle name="Финансовый 2 18 5" xfId="9266" xr:uid="{00000000-0005-0000-0000-0000AC1C0000}"/>
    <cellStyle name="Финансовый 2 18 5 2" xfId="21244" xr:uid="{00000000-0005-0000-0000-0000AD1C0000}"/>
    <cellStyle name="Финансовый 2 18 5 2 2" xfId="45199" xr:uid="{00000000-0005-0000-0000-0000AE1C0000}"/>
    <cellStyle name="Финансовый 2 18 5 3" xfId="33221" xr:uid="{00000000-0005-0000-0000-0000AF1C0000}"/>
    <cellStyle name="Финансовый 2 18 6" xfId="13424" xr:uid="{00000000-0005-0000-0000-0000B01C0000}"/>
    <cellStyle name="Финансовый 2 18 6 2" xfId="37379" xr:uid="{00000000-0005-0000-0000-0000B11C0000}"/>
    <cellStyle name="Финансовый 2 18 7" xfId="25402" xr:uid="{00000000-0005-0000-0000-0000B21C0000}"/>
    <cellStyle name="Финансовый 2 18 8" xfId="48535" xr:uid="{00000000-0005-0000-0000-0000B31C0000}"/>
    <cellStyle name="Финансовый 2 19" xfId="2332" xr:uid="{00000000-0005-0000-0000-0000B41C0000}"/>
    <cellStyle name="Финансовый 2 19 2" xfId="3977" xr:uid="{00000000-0005-0000-0000-0000B51C0000}"/>
    <cellStyle name="Финансовый 2 19 2 2" xfId="11717" xr:uid="{00000000-0005-0000-0000-0000B61C0000}"/>
    <cellStyle name="Финансовый 2 19 2 2 2" xfId="23695" xr:uid="{00000000-0005-0000-0000-0000B71C0000}"/>
    <cellStyle name="Финансовый 2 19 2 2 2 2" xfId="47650" xr:uid="{00000000-0005-0000-0000-0000B81C0000}"/>
    <cellStyle name="Финансовый 2 19 2 2 3" xfId="35672" xr:uid="{00000000-0005-0000-0000-0000B91C0000}"/>
    <cellStyle name="Финансовый 2 19 2 3" xfId="15956" xr:uid="{00000000-0005-0000-0000-0000BA1C0000}"/>
    <cellStyle name="Финансовый 2 19 2 3 2" xfId="39911" xr:uid="{00000000-0005-0000-0000-0000BB1C0000}"/>
    <cellStyle name="Финансовый 2 19 2 4" xfId="27934" xr:uid="{00000000-0005-0000-0000-0000BC1C0000}"/>
    <cellStyle name="Финансовый 2 19 2 5" xfId="51203" xr:uid="{00000000-0005-0000-0000-0000BD1C0000}"/>
    <cellStyle name="Финансовый 2 19 3" xfId="5760" xr:uid="{00000000-0005-0000-0000-0000BE1C0000}"/>
    <cellStyle name="Финансовый 2 19 3 2" xfId="17738" xr:uid="{00000000-0005-0000-0000-0000BF1C0000}"/>
    <cellStyle name="Финансовый 2 19 3 2 2" xfId="41693" xr:uid="{00000000-0005-0000-0000-0000C01C0000}"/>
    <cellStyle name="Финансовый 2 19 3 3" xfId="29715" xr:uid="{00000000-0005-0000-0000-0000C11C0000}"/>
    <cellStyle name="Финансовый 2 19 4" xfId="8370" xr:uid="{00000000-0005-0000-0000-0000C21C0000}"/>
    <cellStyle name="Финансовый 2 19 4 2" xfId="20348" xr:uid="{00000000-0005-0000-0000-0000C31C0000}"/>
    <cellStyle name="Финансовый 2 19 4 2 2" xfId="44303" xr:uid="{00000000-0005-0000-0000-0000C41C0000}"/>
    <cellStyle name="Финансовый 2 19 4 3" xfId="32325" xr:uid="{00000000-0005-0000-0000-0000C51C0000}"/>
    <cellStyle name="Финансовый 2 19 5" xfId="10153" xr:uid="{00000000-0005-0000-0000-0000C61C0000}"/>
    <cellStyle name="Финансовый 2 19 5 2" xfId="22131" xr:uid="{00000000-0005-0000-0000-0000C71C0000}"/>
    <cellStyle name="Финансовый 2 19 5 2 2" xfId="46086" xr:uid="{00000000-0005-0000-0000-0000C81C0000}"/>
    <cellStyle name="Финансовый 2 19 5 3" xfId="34108" xr:uid="{00000000-0005-0000-0000-0000C91C0000}"/>
    <cellStyle name="Финансовый 2 19 6" xfId="14311" xr:uid="{00000000-0005-0000-0000-0000CA1C0000}"/>
    <cellStyle name="Финансовый 2 19 6 2" xfId="38266" xr:uid="{00000000-0005-0000-0000-0000CB1C0000}"/>
    <cellStyle name="Финансовый 2 19 7" xfId="26289" xr:uid="{00000000-0005-0000-0000-0000CC1C0000}"/>
    <cellStyle name="Финансовый 2 19 8" xfId="49422" xr:uid="{00000000-0005-0000-0000-0000CD1C0000}"/>
    <cellStyle name="Финансовый 2 2" xfId="4" xr:uid="{00000000-0005-0000-0000-0000CE1C0000}"/>
    <cellStyle name="Финансовый 2 2 10" xfId="28" xr:uid="{00000000-0005-0000-0000-0000CF1C0000}"/>
    <cellStyle name="Финансовый 2 2 10 10" xfId="2640" xr:uid="{00000000-0005-0000-0000-0000D01C0000}"/>
    <cellStyle name="Финансовый 2 2 10 10 2" xfId="14619" xr:uid="{00000000-0005-0000-0000-0000D11C0000}"/>
    <cellStyle name="Финансовый 2 2 10 10 2 2" xfId="38574" xr:uid="{00000000-0005-0000-0000-0000D21C0000}"/>
    <cellStyle name="Финансовый 2 2 10 10 3" xfId="26597" xr:uid="{00000000-0005-0000-0000-0000D31C0000}"/>
    <cellStyle name="Финансовый 2 2 10 11" xfId="4283" xr:uid="{00000000-0005-0000-0000-0000D41C0000}"/>
    <cellStyle name="Финансовый 2 2 10 11 2" xfId="16262" xr:uid="{00000000-0005-0000-0000-0000D51C0000}"/>
    <cellStyle name="Финансовый 2 2 10 11 2 2" xfId="40217" xr:uid="{00000000-0005-0000-0000-0000D61C0000}"/>
    <cellStyle name="Финансовый 2 2 10 11 3" xfId="28240" xr:uid="{00000000-0005-0000-0000-0000D71C0000}"/>
    <cellStyle name="Финансовый 2 2 10 12" xfId="6071" xr:uid="{00000000-0005-0000-0000-0000D81C0000}"/>
    <cellStyle name="Финансовый 2 2 10 12 2" xfId="18049" xr:uid="{00000000-0005-0000-0000-0000D91C0000}"/>
    <cellStyle name="Финансовый 2 2 10 12 2 2" xfId="42004" xr:uid="{00000000-0005-0000-0000-0000DA1C0000}"/>
    <cellStyle name="Финансовый 2 2 10 12 3" xfId="30026" xr:uid="{00000000-0005-0000-0000-0000DB1C0000}"/>
    <cellStyle name="Финансовый 2 2 10 13" xfId="8678" xr:uid="{00000000-0005-0000-0000-0000DC1C0000}"/>
    <cellStyle name="Финансовый 2 2 10 13 2" xfId="20656" xr:uid="{00000000-0005-0000-0000-0000DD1C0000}"/>
    <cellStyle name="Финансовый 2 2 10 13 2 2" xfId="44611" xr:uid="{00000000-0005-0000-0000-0000DE1C0000}"/>
    <cellStyle name="Финансовый 2 2 10 13 3" xfId="32633" xr:uid="{00000000-0005-0000-0000-0000DF1C0000}"/>
    <cellStyle name="Финансовый 2 2 10 14" xfId="12012" xr:uid="{00000000-0005-0000-0000-0000E01C0000}"/>
    <cellStyle name="Финансовый 2 2 10 14 2" xfId="35967" xr:uid="{00000000-0005-0000-0000-0000E11C0000}"/>
    <cellStyle name="Финансовый 2 2 10 15" xfId="23990" xr:uid="{00000000-0005-0000-0000-0000E21C0000}"/>
    <cellStyle name="Финансовый 2 2 10 16" xfId="47948" xr:uid="{00000000-0005-0000-0000-0000E31C0000}"/>
    <cellStyle name="Финансовый 2 2 10 2" xfId="166" xr:uid="{00000000-0005-0000-0000-0000E41C0000}"/>
    <cellStyle name="Финансовый 2 2 10 2 10" xfId="8814" xr:uid="{00000000-0005-0000-0000-0000E51C0000}"/>
    <cellStyle name="Финансовый 2 2 10 2 10 2" xfId="20792" xr:uid="{00000000-0005-0000-0000-0000E61C0000}"/>
    <cellStyle name="Финансовый 2 2 10 2 10 2 2" xfId="44747" xr:uid="{00000000-0005-0000-0000-0000E71C0000}"/>
    <cellStyle name="Финансовый 2 2 10 2 10 3" xfId="32769" xr:uid="{00000000-0005-0000-0000-0000E81C0000}"/>
    <cellStyle name="Финансовый 2 2 10 2 11" xfId="12148" xr:uid="{00000000-0005-0000-0000-0000E91C0000}"/>
    <cellStyle name="Финансовый 2 2 10 2 11 2" xfId="36103" xr:uid="{00000000-0005-0000-0000-0000EA1C0000}"/>
    <cellStyle name="Финансовый 2 2 10 2 12" xfId="24126" xr:uid="{00000000-0005-0000-0000-0000EB1C0000}"/>
    <cellStyle name="Финансовый 2 2 10 2 13" xfId="48084" xr:uid="{00000000-0005-0000-0000-0000EC1C0000}"/>
    <cellStyle name="Финансовый 2 2 10 2 2" xfId="1264" xr:uid="{00000000-0005-0000-0000-0000ED1C0000}"/>
    <cellStyle name="Финансовый 2 2 10 2 2 2" xfId="2230" xr:uid="{00000000-0005-0000-0000-0000EE1C0000}"/>
    <cellStyle name="Финансовый 2 2 10 2 2 2 2" xfId="3875" xr:uid="{00000000-0005-0000-0000-0000EF1C0000}"/>
    <cellStyle name="Финансовый 2 2 10 2 2 2 2 2" xfId="11615" xr:uid="{00000000-0005-0000-0000-0000F01C0000}"/>
    <cellStyle name="Финансовый 2 2 10 2 2 2 2 2 2" xfId="23593" xr:uid="{00000000-0005-0000-0000-0000F11C0000}"/>
    <cellStyle name="Финансовый 2 2 10 2 2 2 2 2 2 2" xfId="47548" xr:uid="{00000000-0005-0000-0000-0000F21C0000}"/>
    <cellStyle name="Финансовый 2 2 10 2 2 2 2 2 3" xfId="35570" xr:uid="{00000000-0005-0000-0000-0000F31C0000}"/>
    <cellStyle name="Финансовый 2 2 10 2 2 2 2 3" xfId="15854" xr:uid="{00000000-0005-0000-0000-0000F41C0000}"/>
    <cellStyle name="Финансовый 2 2 10 2 2 2 2 3 2" xfId="39809" xr:uid="{00000000-0005-0000-0000-0000F51C0000}"/>
    <cellStyle name="Финансовый 2 2 10 2 2 2 2 4" xfId="27832" xr:uid="{00000000-0005-0000-0000-0000F61C0000}"/>
    <cellStyle name="Финансовый 2 2 10 2 2 2 2 5" xfId="51101" xr:uid="{00000000-0005-0000-0000-0000F71C0000}"/>
    <cellStyle name="Финансовый 2 2 10 2 2 2 3" xfId="5658" xr:uid="{00000000-0005-0000-0000-0000F81C0000}"/>
    <cellStyle name="Финансовый 2 2 10 2 2 2 3 2" xfId="17636" xr:uid="{00000000-0005-0000-0000-0000F91C0000}"/>
    <cellStyle name="Финансовый 2 2 10 2 2 2 3 2 2" xfId="41591" xr:uid="{00000000-0005-0000-0000-0000FA1C0000}"/>
    <cellStyle name="Финансовый 2 2 10 2 2 2 3 3" xfId="29613" xr:uid="{00000000-0005-0000-0000-0000FB1C0000}"/>
    <cellStyle name="Финансовый 2 2 10 2 2 2 4" xfId="8268" xr:uid="{00000000-0005-0000-0000-0000FC1C0000}"/>
    <cellStyle name="Финансовый 2 2 10 2 2 2 4 2" xfId="20246" xr:uid="{00000000-0005-0000-0000-0000FD1C0000}"/>
    <cellStyle name="Финансовый 2 2 10 2 2 2 4 2 2" xfId="44201" xr:uid="{00000000-0005-0000-0000-0000FE1C0000}"/>
    <cellStyle name="Финансовый 2 2 10 2 2 2 4 3" xfId="32223" xr:uid="{00000000-0005-0000-0000-0000FF1C0000}"/>
    <cellStyle name="Финансовый 2 2 10 2 2 2 5" xfId="10051" xr:uid="{00000000-0005-0000-0000-0000001D0000}"/>
    <cellStyle name="Финансовый 2 2 10 2 2 2 5 2" xfId="22029" xr:uid="{00000000-0005-0000-0000-0000011D0000}"/>
    <cellStyle name="Финансовый 2 2 10 2 2 2 5 2 2" xfId="45984" xr:uid="{00000000-0005-0000-0000-0000021D0000}"/>
    <cellStyle name="Финансовый 2 2 10 2 2 2 5 3" xfId="34006" xr:uid="{00000000-0005-0000-0000-0000031D0000}"/>
    <cellStyle name="Финансовый 2 2 10 2 2 2 6" xfId="14209" xr:uid="{00000000-0005-0000-0000-0000041D0000}"/>
    <cellStyle name="Финансовый 2 2 10 2 2 2 6 2" xfId="38164" xr:uid="{00000000-0005-0000-0000-0000051D0000}"/>
    <cellStyle name="Финансовый 2 2 10 2 2 2 7" xfId="26187" xr:uid="{00000000-0005-0000-0000-0000061D0000}"/>
    <cellStyle name="Финансовый 2 2 10 2 2 2 8" xfId="49320" xr:uid="{00000000-0005-0000-0000-0000071D0000}"/>
    <cellStyle name="Финансовый 2 2 10 2 2 3" xfId="3048" xr:uid="{00000000-0005-0000-0000-0000081D0000}"/>
    <cellStyle name="Финансовый 2 2 10 2 2 3 2" xfId="10843" xr:uid="{00000000-0005-0000-0000-0000091D0000}"/>
    <cellStyle name="Финансовый 2 2 10 2 2 3 2 2" xfId="22821" xr:uid="{00000000-0005-0000-0000-00000A1D0000}"/>
    <cellStyle name="Финансовый 2 2 10 2 2 3 2 2 2" xfId="46776" xr:uid="{00000000-0005-0000-0000-00000B1D0000}"/>
    <cellStyle name="Финансовый 2 2 10 2 2 3 2 3" xfId="34798" xr:uid="{00000000-0005-0000-0000-00000C1D0000}"/>
    <cellStyle name="Финансовый 2 2 10 2 2 3 3" xfId="15027" xr:uid="{00000000-0005-0000-0000-00000D1D0000}"/>
    <cellStyle name="Финансовый 2 2 10 2 2 3 3 2" xfId="38982" xr:uid="{00000000-0005-0000-0000-00000E1D0000}"/>
    <cellStyle name="Финансовый 2 2 10 2 2 3 4" xfId="27005" xr:uid="{00000000-0005-0000-0000-00000F1D0000}"/>
    <cellStyle name="Финансовый 2 2 10 2 2 3 5" xfId="50136" xr:uid="{00000000-0005-0000-0000-0000101D0000}"/>
    <cellStyle name="Финансовый 2 2 10 2 2 4" xfId="4692" xr:uid="{00000000-0005-0000-0000-0000111D0000}"/>
    <cellStyle name="Финансовый 2 2 10 2 2 4 2" xfId="16671" xr:uid="{00000000-0005-0000-0000-0000121D0000}"/>
    <cellStyle name="Финансовый 2 2 10 2 2 4 2 2" xfId="40626" xr:uid="{00000000-0005-0000-0000-0000131D0000}"/>
    <cellStyle name="Финансовый 2 2 10 2 2 4 3" xfId="28649" xr:uid="{00000000-0005-0000-0000-0000141D0000}"/>
    <cellStyle name="Финансовый 2 2 10 2 2 5" xfId="7304" xr:uid="{00000000-0005-0000-0000-0000151D0000}"/>
    <cellStyle name="Финансовый 2 2 10 2 2 5 2" xfId="19282" xr:uid="{00000000-0005-0000-0000-0000161D0000}"/>
    <cellStyle name="Финансовый 2 2 10 2 2 5 2 2" xfId="43237" xr:uid="{00000000-0005-0000-0000-0000171D0000}"/>
    <cellStyle name="Финансовый 2 2 10 2 2 5 3" xfId="31259" xr:uid="{00000000-0005-0000-0000-0000181D0000}"/>
    <cellStyle name="Финансовый 2 2 10 2 2 6" xfId="9086" xr:uid="{00000000-0005-0000-0000-0000191D0000}"/>
    <cellStyle name="Финансовый 2 2 10 2 2 6 2" xfId="21064" xr:uid="{00000000-0005-0000-0000-00001A1D0000}"/>
    <cellStyle name="Финансовый 2 2 10 2 2 6 2 2" xfId="45019" xr:uid="{00000000-0005-0000-0000-00001B1D0000}"/>
    <cellStyle name="Финансовый 2 2 10 2 2 6 3" xfId="33041" xr:uid="{00000000-0005-0000-0000-00001C1D0000}"/>
    <cellStyle name="Финансовый 2 2 10 2 2 7" xfId="13245" xr:uid="{00000000-0005-0000-0000-00001D1D0000}"/>
    <cellStyle name="Финансовый 2 2 10 2 2 7 2" xfId="37200" xr:uid="{00000000-0005-0000-0000-00001E1D0000}"/>
    <cellStyle name="Финансовый 2 2 10 2 2 8" xfId="25223" xr:uid="{00000000-0005-0000-0000-00001F1D0000}"/>
    <cellStyle name="Финансовый 2 2 10 2 2 9" xfId="48356" xr:uid="{00000000-0005-0000-0000-0000201D0000}"/>
    <cellStyle name="Финансовый 2 2 10 2 3" xfId="1974" xr:uid="{00000000-0005-0000-0000-0000211D0000}"/>
    <cellStyle name="Финансовый 2 2 10 2 3 2" xfId="3619" xr:uid="{00000000-0005-0000-0000-0000221D0000}"/>
    <cellStyle name="Финансовый 2 2 10 2 3 2 2" xfId="11359" xr:uid="{00000000-0005-0000-0000-0000231D0000}"/>
    <cellStyle name="Финансовый 2 2 10 2 3 2 2 2" xfId="23337" xr:uid="{00000000-0005-0000-0000-0000241D0000}"/>
    <cellStyle name="Финансовый 2 2 10 2 3 2 2 2 2" xfId="47292" xr:uid="{00000000-0005-0000-0000-0000251D0000}"/>
    <cellStyle name="Финансовый 2 2 10 2 3 2 2 3" xfId="35314" xr:uid="{00000000-0005-0000-0000-0000261D0000}"/>
    <cellStyle name="Финансовый 2 2 10 2 3 2 3" xfId="15598" xr:uid="{00000000-0005-0000-0000-0000271D0000}"/>
    <cellStyle name="Финансовый 2 2 10 2 3 2 3 2" xfId="39553" xr:uid="{00000000-0005-0000-0000-0000281D0000}"/>
    <cellStyle name="Финансовый 2 2 10 2 3 2 4" xfId="27576" xr:uid="{00000000-0005-0000-0000-0000291D0000}"/>
    <cellStyle name="Финансовый 2 2 10 2 3 2 5" xfId="50845" xr:uid="{00000000-0005-0000-0000-00002A1D0000}"/>
    <cellStyle name="Финансовый 2 2 10 2 3 3" xfId="5402" xr:uid="{00000000-0005-0000-0000-00002B1D0000}"/>
    <cellStyle name="Финансовый 2 2 10 2 3 3 2" xfId="17380" xr:uid="{00000000-0005-0000-0000-00002C1D0000}"/>
    <cellStyle name="Финансовый 2 2 10 2 3 3 2 2" xfId="41335" xr:uid="{00000000-0005-0000-0000-00002D1D0000}"/>
    <cellStyle name="Финансовый 2 2 10 2 3 3 3" xfId="29357" xr:uid="{00000000-0005-0000-0000-00002E1D0000}"/>
    <cellStyle name="Финансовый 2 2 10 2 3 4" xfId="8012" xr:uid="{00000000-0005-0000-0000-00002F1D0000}"/>
    <cellStyle name="Финансовый 2 2 10 2 3 4 2" xfId="19990" xr:uid="{00000000-0005-0000-0000-0000301D0000}"/>
    <cellStyle name="Финансовый 2 2 10 2 3 4 2 2" xfId="43945" xr:uid="{00000000-0005-0000-0000-0000311D0000}"/>
    <cellStyle name="Финансовый 2 2 10 2 3 4 3" xfId="31967" xr:uid="{00000000-0005-0000-0000-0000321D0000}"/>
    <cellStyle name="Финансовый 2 2 10 2 3 5" xfId="9795" xr:uid="{00000000-0005-0000-0000-0000331D0000}"/>
    <cellStyle name="Финансовый 2 2 10 2 3 5 2" xfId="21773" xr:uid="{00000000-0005-0000-0000-0000341D0000}"/>
    <cellStyle name="Финансовый 2 2 10 2 3 5 2 2" xfId="45728" xr:uid="{00000000-0005-0000-0000-0000351D0000}"/>
    <cellStyle name="Финансовый 2 2 10 2 3 5 3" xfId="33750" xr:uid="{00000000-0005-0000-0000-0000361D0000}"/>
    <cellStyle name="Финансовый 2 2 10 2 3 6" xfId="13953" xr:uid="{00000000-0005-0000-0000-0000371D0000}"/>
    <cellStyle name="Финансовый 2 2 10 2 3 6 2" xfId="37908" xr:uid="{00000000-0005-0000-0000-0000381D0000}"/>
    <cellStyle name="Финансовый 2 2 10 2 3 7" xfId="25931" xr:uid="{00000000-0005-0000-0000-0000391D0000}"/>
    <cellStyle name="Финансовый 2 2 10 2 3 8" xfId="49064" xr:uid="{00000000-0005-0000-0000-00003A1D0000}"/>
    <cellStyle name="Финансовый 2 2 10 2 4" xfId="2495" xr:uid="{00000000-0005-0000-0000-00003B1D0000}"/>
    <cellStyle name="Финансовый 2 2 10 2 4 2" xfId="4140" xr:uid="{00000000-0005-0000-0000-00003C1D0000}"/>
    <cellStyle name="Финансовый 2 2 10 2 4 2 2" xfId="11872" xr:uid="{00000000-0005-0000-0000-00003D1D0000}"/>
    <cellStyle name="Финансовый 2 2 10 2 4 2 2 2" xfId="23850" xr:uid="{00000000-0005-0000-0000-00003E1D0000}"/>
    <cellStyle name="Финансовый 2 2 10 2 4 2 2 2 2" xfId="47805" xr:uid="{00000000-0005-0000-0000-00003F1D0000}"/>
    <cellStyle name="Финансовый 2 2 10 2 4 2 2 3" xfId="35827" xr:uid="{00000000-0005-0000-0000-0000401D0000}"/>
    <cellStyle name="Финансовый 2 2 10 2 4 2 3" xfId="16119" xr:uid="{00000000-0005-0000-0000-0000411D0000}"/>
    <cellStyle name="Финансовый 2 2 10 2 4 2 3 2" xfId="40074" xr:uid="{00000000-0005-0000-0000-0000421D0000}"/>
    <cellStyle name="Финансовый 2 2 10 2 4 2 4" xfId="28097" xr:uid="{00000000-0005-0000-0000-0000431D0000}"/>
    <cellStyle name="Финансовый 2 2 10 2 4 2 5" xfId="51366" xr:uid="{00000000-0005-0000-0000-0000441D0000}"/>
    <cellStyle name="Финансовый 2 2 10 2 4 3" xfId="5923" xr:uid="{00000000-0005-0000-0000-0000451D0000}"/>
    <cellStyle name="Финансовый 2 2 10 2 4 3 2" xfId="17901" xr:uid="{00000000-0005-0000-0000-0000461D0000}"/>
    <cellStyle name="Финансовый 2 2 10 2 4 3 2 2" xfId="41856" xr:uid="{00000000-0005-0000-0000-0000471D0000}"/>
    <cellStyle name="Финансовый 2 2 10 2 4 3 3" xfId="29878" xr:uid="{00000000-0005-0000-0000-0000481D0000}"/>
    <cellStyle name="Финансовый 2 2 10 2 4 4" xfId="8533" xr:uid="{00000000-0005-0000-0000-0000491D0000}"/>
    <cellStyle name="Финансовый 2 2 10 2 4 4 2" xfId="20511" xr:uid="{00000000-0005-0000-0000-00004A1D0000}"/>
    <cellStyle name="Финансовый 2 2 10 2 4 4 2 2" xfId="44466" xr:uid="{00000000-0005-0000-0000-00004B1D0000}"/>
    <cellStyle name="Финансовый 2 2 10 2 4 4 3" xfId="32488" xr:uid="{00000000-0005-0000-0000-00004C1D0000}"/>
    <cellStyle name="Финансовый 2 2 10 2 4 5" xfId="10316" xr:uid="{00000000-0005-0000-0000-00004D1D0000}"/>
    <cellStyle name="Финансовый 2 2 10 2 4 5 2" xfId="22294" xr:uid="{00000000-0005-0000-0000-00004E1D0000}"/>
    <cellStyle name="Финансовый 2 2 10 2 4 5 2 2" xfId="46249" xr:uid="{00000000-0005-0000-0000-00004F1D0000}"/>
    <cellStyle name="Финансовый 2 2 10 2 4 5 3" xfId="34271" xr:uid="{00000000-0005-0000-0000-0000501D0000}"/>
    <cellStyle name="Финансовый 2 2 10 2 4 6" xfId="14474" xr:uid="{00000000-0005-0000-0000-0000511D0000}"/>
    <cellStyle name="Финансовый 2 2 10 2 4 6 2" xfId="38429" xr:uid="{00000000-0005-0000-0000-0000521D0000}"/>
    <cellStyle name="Финансовый 2 2 10 2 4 7" xfId="26452" xr:uid="{00000000-0005-0000-0000-0000531D0000}"/>
    <cellStyle name="Финансовый 2 2 10 2 4 8" xfId="49585" xr:uid="{00000000-0005-0000-0000-0000541D0000}"/>
    <cellStyle name="Финансовый 2 2 10 2 5" xfId="999" xr:uid="{00000000-0005-0000-0000-0000551D0000}"/>
    <cellStyle name="Финансовый 2 2 10 2 5 2" xfId="7039" xr:uid="{00000000-0005-0000-0000-0000561D0000}"/>
    <cellStyle name="Финансовый 2 2 10 2 5 2 2" xfId="19017" xr:uid="{00000000-0005-0000-0000-0000571D0000}"/>
    <cellStyle name="Финансовый 2 2 10 2 5 2 2 2" xfId="42972" xr:uid="{00000000-0005-0000-0000-0000581D0000}"/>
    <cellStyle name="Финансовый 2 2 10 2 5 2 3" xfId="30994" xr:uid="{00000000-0005-0000-0000-0000591D0000}"/>
    <cellStyle name="Финансовый 2 2 10 2 5 3" xfId="10587" xr:uid="{00000000-0005-0000-0000-00005A1D0000}"/>
    <cellStyle name="Финансовый 2 2 10 2 5 3 2" xfId="22565" xr:uid="{00000000-0005-0000-0000-00005B1D0000}"/>
    <cellStyle name="Финансовый 2 2 10 2 5 3 2 2" xfId="46520" xr:uid="{00000000-0005-0000-0000-00005C1D0000}"/>
    <cellStyle name="Финансовый 2 2 10 2 5 3 3" xfId="34542" xr:uid="{00000000-0005-0000-0000-00005D1D0000}"/>
    <cellStyle name="Финансовый 2 2 10 2 5 4" xfId="12980" xr:uid="{00000000-0005-0000-0000-00005E1D0000}"/>
    <cellStyle name="Финансовый 2 2 10 2 5 4 2" xfId="36935" xr:uid="{00000000-0005-0000-0000-00005F1D0000}"/>
    <cellStyle name="Финансовый 2 2 10 2 5 5" xfId="24958" xr:uid="{00000000-0005-0000-0000-0000601D0000}"/>
    <cellStyle name="Финансовый 2 2 10 2 5 6" xfId="49864" xr:uid="{00000000-0005-0000-0000-0000611D0000}"/>
    <cellStyle name="Финансовый 2 2 10 2 6" xfId="587" xr:uid="{00000000-0005-0000-0000-0000621D0000}"/>
    <cellStyle name="Финансовый 2 2 10 2 6 2" xfId="6627" xr:uid="{00000000-0005-0000-0000-0000631D0000}"/>
    <cellStyle name="Финансовый 2 2 10 2 6 2 2" xfId="18605" xr:uid="{00000000-0005-0000-0000-0000641D0000}"/>
    <cellStyle name="Финансовый 2 2 10 2 6 2 2 2" xfId="42560" xr:uid="{00000000-0005-0000-0000-0000651D0000}"/>
    <cellStyle name="Финансовый 2 2 10 2 6 2 3" xfId="30582" xr:uid="{00000000-0005-0000-0000-0000661D0000}"/>
    <cellStyle name="Финансовый 2 2 10 2 6 3" xfId="12568" xr:uid="{00000000-0005-0000-0000-0000671D0000}"/>
    <cellStyle name="Финансовый 2 2 10 2 6 3 2" xfId="36523" xr:uid="{00000000-0005-0000-0000-0000681D0000}"/>
    <cellStyle name="Финансовый 2 2 10 2 6 4" xfId="24546" xr:uid="{00000000-0005-0000-0000-0000691D0000}"/>
    <cellStyle name="Финансовый 2 2 10 2 7" xfId="2776" xr:uid="{00000000-0005-0000-0000-00006A1D0000}"/>
    <cellStyle name="Финансовый 2 2 10 2 7 2" xfId="14755" xr:uid="{00000000-0005-0000-0000-00006B1D0000}"/>
    <cellStyle name="Финансовый 2 2 10 2 7 2 2" xfId="38710" xr:uid="{00000000-0005-0000-0000-00006C1D0000}"/>
    <cellStyle name="Финансовый 2 2 10 2 7 3" xfId="26733" xr:uid="{00000000-0005-0000-0000-00006D1D0000}"/>
    <cellStyle name="Финансовый 2 2 10 2 8" xfId="4420" xr:uid="{00000000-0005-0000-0000-00006E1D0000}"/>
    <cellStyle name="Финансовый 2 2 10 2 8 2" xfId="16399" xr:uid="{00000000-0005-0000-0000-00006F1D0000}"/>
    <cellStyle name="Финансовый 2 2 10 2 8 2 2" xfId="40354" xr:uid="{00000000-0005-0000-0000-0000701D0000}"/>
    <cellStyle name="Финансовый 2 2 10 2 8 3" xfId="28377" xr:uid="{00000000-0005-0000-0000-0000711D0000}"/>
    <cellStyle name="Финансовый 2 2 10 2 9" xfId="6207" xr:uid="{00000000-0005-0000-0000-0000721D0000}"/>
    <cellStyle name="Финансовый 2 2 10 2 9 2" xfId="18185" xr:uid="{00000000-0005-0000-0000-0000731D0000}"/>
    <cellStyle name="Финансовый 2 2 10 2 9 2 2" xfId="42140" xr:uid="{00000000-0005-0000-0000-0000741D0000}"/>
    <cellStyle name="Финансовый 2 2 10 2 9 3" xfId="30162" xr:uid="{00000000-0005-0000-0000-0000751D0000}"/>
    <cellStyle name="Финансовый 2 2 10 3" xfId="315" xr:uid="{00000000-0005-0000-0000-0000761D0000}"/>
    <cellStyle name="Финансовый 2 2 10 3 10" xfId="24274" xr:uid="{00000000-0005-0000-0000-0000771D0000}"/>
    <cellStyle name="Финансовый 2 2 10 3 11" xfId="48220" xr:uid="{00000000-0005-0000-0000-0000781D0000}"/>
    <cellStyle name="Финансовый 2 2 10 3 2" xfId="2102" xr:uid="{00000000-0005-0000-0000-0000791D0000}"/>
    <cellStyle name="Финансовый 2 2 10 3 2 2" xfId="3747" xr:uid="{00000000-0005-0000-0000-00007A1D0000}"/>
    <cellStyle name="Финансовый 2 2 10 3 2 2 2" xfId="11487" xr:uid="{00000000-0005-0000-0000-00007B1D0000}"/>
    <cellStyle name="Финансовый 2 2 10 3 2 2 2 2" xfId="23465" xr:uid="{00000000-0005-0000-0000-00007C1D0000}"/>
    <cellStyle name="Финансовый 2 2 10 3 2 2 2 2 2" xfId="47420" xr:uid="{00000000-0005-0000-0000-00007D1D0000}"/>
    <cellStyle name="Финансовый 2 2 10 3 2 2 2 3" xfId="35442" xr:uid="{00000000-0005-0000-0000-00007E1D0000}"/>
    <cellStyle name="Финансовый 2 2 10 3 2 2 3" xfId="15726" xr:uid="{00000000-0005-0000-0000-00007F1D0000}"/>
    <cellStyle name="Финансовый 2 2 10 3 2 2 3 2" xfId="39681" xr:uid="{00000000-0005-0000-0000-0000801D0000}"/>
    <cellStyle name="Финансовый 2 2 10 3 2 2 4" xfId="27704" xr:uid="{00000000-0005-0000-0000-0000811D0000}"/>
    <cellStyle name="Финансовый 2 2 10 3 2 2 5" xfId="50973" xr:uid="{00000000-0005-0000-0000-0000821D0000}"/>
    <cellStyle name="Финансовый 2 2 10 3 2 3" xfId="5530" xr:uid="{00000000-0005-0000-0000-0000831D0000}"/>
    <cellStyle name="Финансовый 2 2 10 3 2 3 2" xfId="17508" xr:uid="{00000000-0005-0000-0000-0000841D0000}"/>
    <cellStyle name="Финансовый 2 2 10 3 2 3 2 2" xfId="41463" xr:uid="{00000000-0005-0000-0000-0000851D0000}"/>
    <cellStyle name="Финансовый 2 2 10 3 2 3 3" xfId="29485" xr:uid="{00000000-0005-0000-0000-0000861D0000}"/>
    <cellStyle name="Финансовый 2 2 10 3 2 4" xfId="8140" xr:uid="{00000000-0005-0000-0000-0000871D0000}"/>
    <cellStyle name="Финансовый 2 2 10 3 2 4 2" xfId="20118" xr:uid="{00000000-0005-0000-0000-0000881D0000}"/>
    <cellStyle name="Финансовый 2 2 10 3 2 4 2 2" xfId="44073" xr:uid="{00000000-0005-0000-0000-0000891D0000}"/>
    <cellStyle name="Финансовый 2 2 10 3 2 4 3" xfId="32095" xr:uid="{00000000-0005-0000-0000-00008A1D0000}"/>
    <cellStyle name="Финансовый 2 2 10 3 2 5" xfId="9923" xr:uid="{00000000-0005-0000-0000-00008B1D0000}"/>
    <cellStyle name="Финансовый 2 2 10 3 2 5 2" xfId="21901" xr:uid="{00000000-0005-0000-0000-00008C1D0000}"/>
    <cellStyle name="Финансовый 2 2 10 3 2 5 2 2" xfId="45856" xr:uid="{00000000-0005-0000-0000-00008D1D0000}"/>
    <cellStyle name="Финансовый 2 2 10 3 2 5 3" xfId="33878" xr:uid="{00000000-0005-0000-0000-00008E1D0000}"/>
    <cellStyle name="Финансовый 2 2 10 3 2 6" xfId="14081" xr:uid="{00000000-0005-0000-0000-00008F1D0000}"/>
    <cellStyle name="Финансовый 2 2 10 3 2 6 2" xfId="38036" xr:uid="{00000000-0005-0000-0000-0000901D0000}"/>
    <cellStyle name="Финансовый 2 2 10 3 2 7" xfId="26059" xr:uid="{00000000-0005-0000-0000-0000911D0000}"/>
    <cellStyle name="Финансовый 2 2 10 3 2 8" xfId="49192" xr:uid="{00000000-0005-0000-0000-0000921D0000}"/>
    <cellStyle name="Финансовый 2 2 10 3 3" xfId="1135" xr:uid="{00000000-0005-0000-0000-0000931D0000}"/>
    <cellStyle name="Финансовый 2 2 10 3 3 2" xfId="7175" xr:uid="{00000000-0005-0000-0000-0000941D0000}"/>
    <cellStyle name="Финансовый 2 2 10 3 3 2 2" xfId="19153" xr:uid="{00000000-0005-0000-0000-0000951D0000}"/>
    <cellStyle name="Финансовый 2 2 10 3 3 2 2 2" xfId="43108" xr:uid="{00000000-0005-0000-0000-0000961D0000}"/>
    <cellStyle name="Финансовый 2 2 10 3 3 2 3" xfId="31130" xr:uid="{00000000-0005-0000-0000-0000971D0000}"/>
    <cellStyle name="Финансовый 2 2 10 3 3 3" xfId="10715" xr:uid="{00000000-0005-0000-0000-0000981D0000}"/>
    <cellStyle name="Финансовый 2 2 10 3 3 3 2" xfId="22693" xr:uid="{00000000-0005-0000-0000-0000991D0000}"/>
    <cellStyle name="Финансовый 2 2 10 3 3 3 2 2" xfId="46648" xr:uid="{00000000-0005-0000-0000-00009A1D0000}"/>
    <cellStyle name="Финансовый 2 2 10 3 3 3 3" xfId="34670" xr:uid="{00000000-0005-0000-0000-00009B1D0000}"/>
    <cellStyle name="Финансовый 2 2 10 3 3 4" xfId="13116" xr:uid="{00000000-0005-0000-0000-00009C1D0000}"/>
    <cellStyle name="Финансовый 2 2 10 3 3 4 2" xfId="37071" xr:uid="{00000000-0005-0000-0000-00009D1D0000}"/>
    <cellStyle name="Финансовый 2 2 10 3 3 5" xfId="25094" xr:uid="{00000000-0005-0000-0000-00009E1D0000}"/>
    <cellStyle name="Финансовый 2 2 10 3 3 6" xfId="50000" xr:uid="{00000000-0005-0000-0000-00009F1D0000}"/>
    <cellStyle name="Финансовый 2 2 10 3 4" xfId="735" xr:uid="{00000000-0005-0000-0000-0000A01D0000}"/>
    <cellStyle name="Финансовый 2 2 10 3 4 2" xfId="6775" xr:uid="{00000000-0005-0000-0000-0000A11D0000}"/>
    <cellStyle name="Финансовый 2 2 10 3 4 2 2" xfId="18753" xr:uid="{00000000-0005-0000-0000-0000A21D0000}"/>
    <cellStyle name="Финансовый 2 2 10 3 4 2 2 2" xfId="42708" xr:uid="{00000000-0005-0000-0000-0000A31D0000}"/>
    <cellStyle name="Финансовый 2 2 10 3 4 2 3" xfId="30730" xr:uid="{00000000-0005-0000-0000-0000A41D0000}"/>
    <cellStyle name="Финансовый 2 2 10 3 4 3" xfId="12716" xr:uid="{00000000-0005-0000-0000-0000A51D0000}"/>
    <cellStyle name="Финансовый 2 2 10 3 4 3 2" xfId="36671" xr:uid="{00000000-0005-0000-0000-0000A61D0000}"/>
    <cellStyle name="Финансовый 2 2 10 3 4 4" xfId="24694" xr:uid="{00000000-0005-0000-0000-0000A71D0000}"/>
    <cellStyle name="Финансовый 2 2 10 3 5" xfId="2912" xr:uid="{00000000-0005-0000-0000-0000A81D0000}"/>
    <cellStyle name="Финансовый 2 2 10 3 5 2" xfId="14891" xr:uid="{00000000-0005-0000-0000-0000A91D0000}"/>
    <cellStyle name="Финансовый 2 2 10 3 5 2 2" xfId="38846" xr:uid="{00000000-0005-0000-0000-0000AA1D0000}"/>
    <cellStyle name="Финансовый 2 2 10 3 5 3" xfId="26869" xr:uid="{00000000-0005-0000-0000-0000AB1D0000}"/>
    <cellStyle name="Финансовый 2 2 10 3 6" xfId="4556" xr:uid="{00000000-0005-0000-0000-0000AC1D0000}"/>
    <cellStyle name="Финансовый 2 2 10 3 6 2" xfId="16535" xr:uid="{00000000-0005-0000-0000-0000AD1D0000}"/>
    <cellStyle name="Финансовый 2 2 10 3 6 2 2" xfId="40490" xr:uid="{00000000-0005-0000-0000-0000AE1D0000}"/>
    <cellStyle name="Финансовый 2 2 10 3 6 3" xfId="28513" xr:uid="{00000000-0005-0000-0000-0000AF1D0000}"/>
    <cellStyle name="Финансовый 2 2 10 3 7" xfId="6355" xr:uid="{00000000-0005-0000-0000-0000B01D0000}"/>
    <cellStyle name="Финансовый 2 2 10 3 7 2" xfId="18333" xr:uid="{00000000-0005-0000-0000-0000B11D0000}"/>
    <cellStyle name="Финансовый 2 2 10 3 7 2 2" xfId="42288" xr:uid="{00000000-0005-0000-0000-0000B21D0000}"/>
    <cellStyle name="Финансовый 2 2 10 3 7 3" xfId="30310" xr:uid="{00000000-0005-0000-0000-0000B31D0000}"/>
    <cellStyle name="Финансовый 2 2 10 3 8" xfId="8950" xr:uid="{00000000-0005-0000-0000-0000B41D0000}"/>
    <cellStyle name="Финансовый 2 2 10 3 8 2" xfId="20928" xr:uid="{00000000-0005-0000-0000-0000B51D0000}"/>
    <cellStyle name="Финансовый 2 2 10 3 8 2 2" xfId="44883" xr:uid="{00000000-0005-0000-0000-0000B61D0000}"/>
    <cellStyle name="Финансовый 2 2 10 3 8 3" xfId="32905" xr:uid="{00000000-0005-0000-0000-0000B71D0000}"/>
    <cellStyle name="Финансовый 2 2 10 3 9" xfId="12296" xr:uid="{00000000-0005-0000-0000-0000B81D0000}"/>
    <cellStyle name="Финансовый 2 2 10 3 9 2" xfId="36251" xr:uid="{00000000-0005-0000-0000-0000B91D0000}"/>
    <cellStyle name="Финансовый 2 2 10 4" xfId="1455" xr:uid="{00000000-0005-0000-0000-0000BA1D0000}"/>
    <cellStyle name="Финансовый 2 2 10 4 2" xfId="1838" xr:uid="{00000000-0005-0000-0000-0000BB1D0000}"/>
    <cellStyle name="Финансовый 2 2 10 4 2 2" xfId="3483" xr:uid="{00000000-0005-0000-0000-0000BC1D0000}"/>
    <cellStyle name="Финансовый 2 2 10 4 2 2 2" xfId="11231" xr:uid="{00000000-0005-0000-0000-0000BD1D0000}"/>
    <cellStyle name="Финансовый 2 2 10 4 2 2 2 2" xfId="23209" xr:uid="{00000000-0005-0000-0000-0000BE1D0000}"/>
    <cellStyle name="Финансовый 2 2 10 4 2 2 2 2 2" xfId="47164" xr:uid="{00000000-0005-0000-0000-0000BF1D0000}"/>
    <cellStyle name="Финансовый 2 2 10 4 2 2 2 3" xfId="35186" xr:uid="{00000000-0005-0000-0000-0000C01D0000}"/>
    <cellStyle name="Финансовый 2 2 10 4 2 2 3" xfId="15462" xr:uid="{00000000-0005-0000-0000-0000C11D0000}"/>
    <cellStyle name="Финансовый 2 2 10 4 2 2 3 2" xfId="39417" xr:uid="{00000000-0005-0000-0000-0000C21D0000}"/>
    <cellStyle name="Финансовый 2 2 10 4 2 2 4" xfId="27440" xr:uid="{00000000-0005-0000-0000-0000C31D0000}"/>
    <cellStyle name="Финансовый 2 2 10 4 2 2 5" xfId="50709" xr:uid="{00000000-0005-0000-0000-0000C41D0000}"/>
    <cellStyle name="Финансовый 2 2 10 4 2 3" xfId="5266" xr:uid="{00000000-0005-0000-0000-0000C51D0000}"/>
    <cellStyle name="Финансовый 2 2 10 4 2 3 2" xfId="17244" xr:uid="{00000000-0005-0000-0000-0000C61D0000}"/>
    <cellStyle name="Финансовый 2 2 10 4 2 3 2 2" xfId="41199" xr:uid="{00000000-0005-0000-0000-0000C71D0000}"/>
    <cellStyle name="Финансовый 2 2 10 4 2 3 3" xfId="29221" xr:uid="{00000000-0005-0000-0000-0000C81D0000}"/>
    <cellStyle name="Финансовый 2 2 10 4 2 4" xfId="7876" xr:uid="{00000000-0005-0000-0000-0000C91D0000}"/>
    <cellStyle name="Финансовый 2 2 10 4 2 4 2" xfId="19854" xr:uid="{00000000-0005-0000-0000-0000CA1D0000}"/>
    <cellStyle name="Финансовый 2 2 10 4 2 4 2 2" xfId="43809" xr:uid="{00000000-0005-0000-0000-0000CB1D0000}"/>
    <cellStyle name="Финансовый 2 2 10 4 2 4 3" xfId="31831" xr:uid="{00000000-0005-0000-0000-0000CC1D0000}"/>
    <cellStyle name="Финансовый 2 2 10 4 2 5" xfId="9659" xr:uid="{00000000-0005-0000-0000-0000CD1D0000}"/>
    <cellStyle name="Финансовый 2 2 10 4 2 5 2" xfId="21637" xr:uid="{00000000-0005-0000-0000-0000CE1D0000}"/>
    <cellStyle name="Финансовый 2 2 10 4 2 5 2 2" xfId="45592" xr:uid="{00000000-0005-0000-0000-0000CF1D0000}"/>
    <cellStyle name="Финансовый 2 2 10 4 2 5 3" xfId="33614" xr:uid="{00000000-0005-0000-0000-0000D01D0000}"/>
    <cellStyle name="Финансовый 2 2 10 4 2 6" xfId="13817" xr:uid="{00000000-0005-0000-0000-0000D11D0000}"/>
    <cellStyle name="Финансовый 2 2 10 4 2 6 2" xfId="37772" xr:uid="{00000000-0005-0000-0000-0000D21D0000}"/>
    <cellStyle name="Финансовый 2 2 10 4 2 7" xfId="25795" xr:uid="{00000000-0005-0000-0000-0000D31D0000}"/>
    <cellStyle name="Финансовый 2 2 10 4 2 8" xfId="48928" xr:uid="{00000000-0005-0000-0000-0000D41D0000}"/>
    <cellStyle name="Финансовый 2 2 10 4 3" xfId="4883" xr:uid="{00000000-0005-0000-0000-0000D51D0000}"/>
    <cellStyle name="Финансовый 2 2 10 4 3 2" xfId="16861" xr:uid="{00000000-0005-0000-0000-0000D61D0000}"/>
    <cellStyle name="Финансовый 2 2 10 4 3 2 2" xfId="40816" xr:uid="{00000000-0005-0000-0000-0000D71D0000}"/>
    <cellStyle name="Финансовый 2 2 10 4 3 3" xfId="28838" xr:uid="{00000000-0005-0000-0000-0000D81D0000}"/>
    <cellStyle name="Финансовый 2 2 10 4 3 4" xfId="50326" xr:uid="{00000000-0005-0000-0000-0000D91D0000}"/>
    <cellStyle name="Финансовый 2 2 10 4 4" xfId="7493" xr:uid="{00000000-0005-0000-0000-0000DA1D0000}"/>
    <cellStyle name="Финансовый 2 2 10 4 4 2" xfId="19471" xr:uid="{00000000-0005-0000-0000-0000DB1D0000}"/>
    <cellStyle name="Финансовый 2 2 10 4 4 2 2" xfId="43426" xr:uid="{00000000-0005-0000-0000-0000DC1D0000}"/>
    <cellStyle name="Финансовый 2 2 10 4 4 3" xfId="31448" xr:uid="{00000000-0005-0000-0000-0000DD1D0000}"/>
    <cellStyle name="Финансовый 2 2 10 4 5" xfId="9276" xr:uid="{00000000-0005-0000-0000-0000DE1D0000}"/>
    <cellStyle name="Финансовый 2 2 10 4 5 2" xfId="21254" xr:uid="{00000000-0005-0000-0000-0000DF1D0000}"/>
    <cellStyle name="Финансовый 2 2 10 4 5 2 2" xfId="45209" xr:uid="{00000000-0005-0000-0000-0000E01D0000}"/>
    <cellStyle name="Финансовый 2 2 10 4 5 3" xfId="33231" xr:uid="{00000000-0005-0000-0000-0000E11D0000}"/>
    <cellStyle name="Финансовый 2 2 10 4 6" xfId="13434" xr:uid="{00000000-0005-0000-0000-0000E21D0000}"/>
    <cellStyle name="Финансовый 2 2 10 4 6 2" xfId="37389" xr:uid="{00000000-0005-0000-0000-0000E31D0000}"/>
    <cellStyle name="Финансовый 2 2 10 4 7" xfId="25412" xr:uid="{00000000-0005-0000-0000-0000E41D0000}"/>
    <cellStyle name="Финансовый 2 2 10 4 8" xfId="48545" xr:uid="{00000000-0005-0000-0000-0000E51D0000}"/>
    <cellStyle name="Финансовый 2 2 10 5" xfId="1722" xr:uid="{00000000-0005-0000-0000-0000E61D0000}"/>
    <cellStyle name="Финансовый 2 2 10 5 2" xfId="3367" xr:uid="{00000000-0005-0000-0000-0000E71D0000}"/>
    <cellStyle name="Финансовый 2 2 10 5 2 2" xfId="11115" xr:uid="{00000000-0005-0000-0000-0000E81D0000}"/>
    <cellStyle name="Финансовый 2 2 10 5 2 2 2" xfId="23093" xr:uid="{00000000-0005-0000-0000-0000E91D0000}"/>
    <cellStyle name="Финансовый 2 2 10 5 2 2 2 2" xfId="47048" xr:uid="{00000000-0005-0000-0000-0000EA1D0000}"/>
    <cellStyle name="Финансовый 2 2 10 5 2 2 3" xfId="35070" xr:uid="{00000000-0005-0000-0000-0000EB1D0000}"/>
    <cellStyle name="Финансовый 2 2 10 5 2 3" xfId="15346" xr:uid="{00000000-0005-0000-0000-0000EC1D0000}"/>
    <cellStyle name="Финансовый 2 2 10 5 2 3 2" xfId="39301" xr:uid="{00000000-0005-0000-0000-0000ED1D0000}"/>
    <cellStyle name="Финансовый 2 2 10 5 2 4" xfId="27324" xr:uid="{00000000-0005-0000-0000-0000EE1D0000}"/>
    <cellStyle name="Финансовый 2 2 10 5 2 5" xfId="50593" xr:uid="{00000000-0005-0000-0000-0000EF1D0000}"/>
    <cellStyle name="Финансовый 2 2 10 5 3" xfId="5150" xr:uid="{00000000-0005-0000-0000-0000F01D0000}"/>
    <cellStyle name="Финансовый 2 2 10 5 3 2" xfId="17128" xr:uid="{00000000-0005-0000-0000-0000F11D0000}"/>
    <cellStyle name="Финансовый 2 2 10 5 3 2 2" xfId="41083" xr:uid="{00000000-0005-0000-0000-0000F21D0000}"/>
    <cellStyle name="Финансовый 2 2 10 5 3 3" xfId="29105" xr:uid="{00000000-0005-0000-0000-0000F31D0000}"/>
    <cellStyle name="Финансовый 2 2 10 5 4" xfId="7760" xr:uid="{00000000-0005-0000-0000-0000F41D0000}"/>
    <cellStyle name="Финансовый 2 2 10 5 4 2" xfId="19738" xr:uid="{00000000-0005-0000-0000-0000F51D0000}"/>
    <cellStyle name="Финансовый 2 2 10 5 4 2 2" xfId="43693" xr:uid="{00000000-0005-0000-0000-0000F61D0000}"/>
    <cellStyle name="Финансовый 2 2 10 5 4 3" xfId="31715" xr:uid="{00000000-0005-0000-0000-0000F71D0000}"/>
    <cellStyle name="Финансовый 2 2 10 5 5" xfId="9543" xr:uid="{00000000-0005-0000-0000-0000F81D0000}"/>
    <cellStyle name="Финансовый 2 2 10 5 5 2" xfId="21521" xr:uid="{00000000-0005-0000-0000-0000F91D0000}"/>
    <cellStyle name="Финансовый 2 2 10 5 5 2 2" xfId="45476" xr:uid="{00000000-0005-0000-0000-0000FA1D0000}"/>
    <cellStyle name="Финансовый 2 2 10 5 5 3" xfId="33498" xr:uid="{00000000-0005-0000-0000-0000FB1D0000}"/>
    <cellStyle name="Финансовый 2 2 10 5 6" xfId="13701" xr:uid="{00000000-0005-0000-0000-0000FC1D0000}"/>
    <cellStyle name="Финансовый 2 2 10 5 6 2" xfId="37656" xr:uid="{00000000-0005-0000-0000-0000FD1D0000}"/>
    <cellStyle name="Финансовый 2 2 10 5 7" xfId="25679" xr:uid="{00000000-0005-0000-0000-0000FE1D0000}"/>
    <cellStyle name="Финансовый 2 2 10 5 8" xfId="48812" xr:uid="{00000000-0005-0000-0000-0000FF1D0000}"/>
    <cellStyle name="Финансовый 2 2 10 6" xfId="2358" xr:uid="{00000000-0005-0000-0000-0000001E0000}"/>
    <cellStyle name="Финансовый 2 2 10 6 2" xfId="4003" xr:uid="{00000000-0005-0000-0000-0000011E0000}"/>
    <cellStyle name="Финансовый 2 2 10 6 2 2" xfId="11743" xr:uid="{00000000-0005-0000-0000-0000021E0000}"/>
    <cellStyle name="Финансовый 2 2 10 6 2 2 2" xfId="23721" xr:uid="{00000000-0005-0000-0000-0000031E0000}"/>
    <cellStyle name="Финансовый 2 2 10 6 2 2 2 2" xfId="47676" xr:uid="{00000000-0005-0000-0000-0000041E0000}"/>
    <cellStyle name="Финансовый 2 2 10 6 2 2 3" xfId="35698" xr:uid="{00000000-0005-0000-0000-0000051E0000}"/>
    <cellStyle name="Финансовый 2 2 10 6 2 3" xfId="15982" xr:uid="{00000000-0005-0000-0000-0000061E0000}"/>
    <cellStyle name="Финансовый 2 2 10 6 2 3 2" xfId="39937" xr:uid="{00000000-0005-0000-0000-0000071E0000}"/>
    <cellStyle name="Финансовый 2 2 10 6 2 4" xfId="27960" xr:uid="{00000000-0005-0000-0000-0000081E0000}"/>
    <cellStyle name="Финансовый 2 2 10 6 2 5" xfId="51229" xr:uid="{00000000-0005-0000-0000-0000091E0000}"/>
    <cellStyle name="Финансовый 2 2 10 6 3" xfId="5786" xr:uid="{00000000-0005-0000-0000-00000A1E0000}"/>
    <cellStyle name="Финансовый 2 2 10 6 3 2" xfId="17764" xr:uid="{00000000-0005-0000-0000-00000B1E0000}"/>
    <cellStyle name="Финансовый 2 2 10 6 3 2 2" xfId="41719" xr:uid="{00000000-0005-0000-0000-00000C1E0000}"/>
    <cellStyle name="Финансовый 2 2 10 6 3 3" xfId="29741" xr:uid="{00000000-0005-0000-0000-00000D1E0000}"/>
    <cellStyle name="Финансовый 2 2 10 6 4" xfId="8396" xr:uid="{00000000-0005-0000-0000-00000E1E0000}"/>
    <cellStyle name="Финансовый 2 2 10 6 4 2" xfId="20374" xr:uid="{00000000-0005-0000-0000-00000F1E0000}"/>
    <cellStyle name="Финансовый 2 2 10 6 4 2 2" xfId="44329" xr:uid="{00000000-0005-0000-0000-0000101E0000}"/>
    <cellStyle name="Финансовый 2 2 10 6 4 3" xfId="32351" xr:uid="{00000000-0005-0000-0000-0000111E0000}"/>
    <cellStyle name="Финансовый 2 2 10 6 5" xfId="10179" xr:uid="{00000000-0005-0000-0000-0000121E0000}"/>
    <cellStyle name="Финансовый 2 2 10 6 5 2" xfId="22157" xr:uid="{00000000-0005-0000-0000-0000131E0000}"/>
    <cellStyle name="Финансовый 2 2 10 6 5 2 2" xfId="46112" xr:uid="{00000000-0005-0000-0000-0000141E0000}"/>
    <cellStyle name="Финансовый 2 2 10 6 5 3" xfId="34134" xr:uid="{00000000-0005-0000-0000-0000151E0000}"/>
    <cellStyle name="Финансовый 2 2 10 6 6" xfId="14337" xr:uid="{00000000-0005-0000-0000-0000161E0000}"/>
    <cellStyle name="Финансовый 2 2 10 6 6 2" xfId="38292" xr:uid="{00000000-0005-0000-0000-0000171E0000}"/>
    <cellStyle name="Финансовый 2 2 10 6 7" xfId="26315" xr:uid="{00000000-0005-0000-0000-0000181E0000}"/>
    <cellStyle name="Финансовый 2 2 10 6 8" xfId="49448" xr:uid="{00000000-0005-0000-0000-0000191E0000}"/>
    <cellStyle name="Финансовый 2 2 10 7" xfId="1585" xr:uid="{00000000-0005-0000-0000-00001A1E0000}"/>
    <cellStyle name="Финансовый 2 2 10 7 2" xfId="3230" xr:uid="{00000000-0005-0000-0000-00001B1E0000}"/>
    <cellStyle name="Финансовый 2 2 10 7 2 2" xfId="10986" xr:uid="{00000000-0005-0000-0000-00001C1E0000}"/>
    <cellStyle name="Финансовый 2 2 10 7 2 2 2" xfId="22964" xr:uid="{00000000-0005-0000-0000-00001D1E0000}"/>
    <cellStyle name="Финансовый 2 2 10 7 2 2 2 2" xfId="46919" xr:uid="{00000000-0005-0000-0000-00001E1E0000}"/>
    <cellStyle name="Финансовый 2 2 10 7 2 2 3" xfId="34941" xr:uid="{00000000-0005-0000-0000-00001F1E0000}"/>
    <cellStyle name="Финансовый 2 2 10 7 2 3" xfId="15209" xr:uid="{00000000-0005-0000-0000-0000201E0000}"/>
    <cellStyle name="Финансовый 2 2 10 7 2 3 2" xfId="39164" xr:uid="{00000000-0005-0000-0000-0000211E0000}"/>
    <cellStyle name="Финансовый 2 2 10 7 2 4" xfId="27187" xr:uid="{00000000-0005-0000-0000-0000221E0000}"/>
    <cellStyle name="Финансовый 2 2 10 7 2 5" xfId="50456" xr:uid="{00000000-0005-0000-0000-0000231E0000}"/>
    <cellStyle name="Финансовый 2 2 10 7 3" xfId="5013" xr:uid="{00000000-0005-0000-0000-0000241E0000}"/>
    <cellStyle name="Финансовый 2 2 10 7 3 2" xfId="16991" xr:uid="{00000000-0005-0000-0000-0000251E0000}"/>
    <cellStyle name="Финансовый 2 2 10 7 3 2 2" xfId="40946" xr:uid="{00000000-0005-0000-0000-0000261E0000}"/>
    <cellStyle name="Финансовый 2 2 10 7 3 3" xfId="28968" xr:uid="{00000000-0005-0000-0000-0000271E0000}"/>
    <cellStyle name="Финансовый 2 2 10 7 4" xfId="7623" xr:uid="{00000000-0005-0000-0000-0000281E0000}"/>
    <cellStyle name="Финансовый 2 2 10 7 4 2" xfId="19601" xr:uid="{00000000-0005-0000-0000-0000291E0000}"/>
    <cellStyle name="Финансовый 2 2 10 7 4 2 2" xfId="43556" xr:uid="{00000000-0005-0000-0000-00002A1E0000}"/>
    <cellStyle name="Финансовый 2 2 10 7 4 3" xfId="31578" xr:uid="{00000000-0005-0000-0000-00002B1E0000}"/>
    <cellStyle name="Финансовый 2 2 10 7 5" xfId="9406" xr:uid="{00000000-0005-0000-0000-00002C1E0000}"/>
    <cellStyle name="Финансовый 2 2 10 7 5 2" xfId="21384" xr:uid="{00000000-0005-0000-0000-00002D1E0000}"/>
    <cellStyle name="Финансовый 2 2 10 7 5 2 2" xfId="45339" xr:uid="{00000000-0005-0000-0000-00002E1E0000}"/>
    <cellStyle name="Финансовый 2 2 10 7 5 3" xfId="33361" xr:uid="{00000000-0005-0000-0000-00002F1E0000}"/>
    <cellStyle name="Финансовый 2 2 10 7 6" xfId="13564" xr:uid="{00000000-0005-0000-0000-0000301E0000}"/>
    <cellStyle name="Финансовый 2 2 10 7 6 2" xfId="37519" xr:uid="{00000000-0005-0000-0000-0000311E0000}"/>
    <cellStyle name="Финансовый 2 2 10 7 7" xfId="25542" xr:uid="{00000000-0005-0000-0000-0000321E0000}"/>
    <cellStyle name="Финансовый 2 2 10 7 8" xfId="48675" xr:uid="{00000000-0005-0000-0000-0000331E0000}"/>
    <cellStyle name="Финансовый 2 2 10 8" xfId="871" xr:uid="{00000000-0005-0000-0000-0000341E0000}"/>
    <cellStyle name="Финансовый 2 2 10 8 2" xfId="6911" xr:uid="{00000000-0005-0000-0000-0000351E0000}"/>
    <cellStyle name="Финансовый 2 2 10 8 2 2" xfId="18889" xr:uid="{00000000-0005-0000-0000-0000361E0000}"/>
    <cellStyle name="Финансовый 2 2 10 8 2 2 2" xfId="42844" xr:uid="{00000000-0005-0000-0000-0000371E0000}"/>
    <cellStyle name="Финансовый 2 2 10 8 2 3" xfId="30866" xr:uid="{00000000-0005-0000-0000-0000381E0000}"/>
    <cellStyle name="Финансовый 2 2 10 8 3" xfId="10459" xr:uid="{00000000-0005-0000-0000-0000391E0000}"/>
    <cellStyle name="Финансовый 2 2 10 8 3 2" xfId="22437" xr:uid="{00000000-0005-0000-0000-00003A1E0000}"/>
    <cellStyle name="Финансовый 2 2 10 8 3 2 2" xfId="46392" xr:uid="{00000000-0005-0000-0000-00003B1E0000}"/>
    <cellStyle name="Финансовый 2 2 10 8 3 3" xfId="34414" xr:uid="{00000000-0005-0000-0000-00003C1E0000}"/>
    <cellStyle name="Финансовый 2 2 10 8 4" xfId="12852" xr:uid="{00000000-0005-0000-0000-00003D1E0000}"/>
    <cellStyle name="Финансовый 2 2 10 8 4 2" xfId="36807" xr:uid="{00000000-0005-0000-0000-00003E1E0000}"/>
    <cellStyle name="Финансовый 2 2 10 8 5" xfId="24830" xr:uid="{00000000-0005-0000-0000-00003F1E0000}"/>
    <cellStyle name="Финансовый 2 2 10 8 6" xfId="49728" xr:uid="{00000000-0005-0000-0000-0000401E0000}"/>
    <cellStyle name="Финансовый 2 2 10 9" xfId="451" xr:uid="{00000000-0005-0000-0000-0000411E0000}"/>
    <cellStyle name="Финансовый 2 2 10 9 2" xfId="6491" xr:uid="{00000000-0005-0000-0000-0000421E0000}"/>
    <cellStyle name="Финансовый 2 2 10 9 2 2" xfId="18469" xr:uid="{00000000-0005-0000-0000-0000431E0000}"/>
    <cellStyle name="Финансовый 2 2 10 9 2 2 2" xfId="42424" xr:uid="{00000000-0005-0000-0000-0000441E0000}"/>
    <cellStyle name="Финансовый 2 2 10 9 2 3" xfId="30446" xr:uid="{00000000-0005-0000-0000-0000451E0000}"/>
    <cellStyle name="Финансовый 2 2 10 9 3" xfId="12432" xr:uid="{00000000-0005-0000-0000-0000461E0000}"/>
    <cellStyle name="Финансовый 2 2 10 9 3 2" xfId="36387" xr:uid="{00000000-0005-0000-0000-0000471E0000}"/>
    <cellStyle name="Финансовый 2 2 10 9 4" xfId="24410" xr:uid="{00000000-0005-0000-0000-0000481E0000}"/>
    <cellStyle name="Финансовый 2 2 11" xfId="16" xr:uid="{00000000-0005-0000-0000-0000491E0000}"/>
    <cellStyle name="Финансовый 2 2 11 10" xfId="2628" xr:uid="{00000000-0005-0000-0000-00004A1E0000}"/>
    <cellStyle name="Финансовый 2 2 11 10 2" xfId="14607" xr:uid="{00000000-0005-0000-0000-00004B1E0000}"/>
    <cellStyle name="Финансовый 2 2 11 10 2 2" xfId="38562" xr:uid="{00000000-0005-0000-0000-00004C1E0000}"/>
    <cellStyle name="Финансовый 2 2 11 10 3" xfId="26585" xr:uid="{00000000-0005-0000-0000-00004D1E0000}"/>
    <cellStyle name="Финансовый 2 2 11 11" xfId="4271" xr:uid="{00000000-0005-0000-0000-00004E1E0000}"/>
    <cellStyle name="Финансовый 2 2 11 11 2" xfId="16250" xr:uid="{00000000-0005-0000-0000-00004F1E0000}"/>
    <cellStyle name="Финансовый 2 2 11 11 2 2" xfId="40205" xr:uid="{00000000-0005-0000-0000-0000501E0000}"/>
    <cellStyle name="Финансовый 2 2 11 11 3" xfId="28228" xr:uid="{00000000-0005-0000-0000-0000511E0000}"/>
    <cellStyle name="Финансовый 2 2 11 12" xfId="6059" xr:uid="{00000000-0005-0000-0000-0000521E0000}"/>
    <cellStyle name="Финансовый 2 2 11 12 2" xfId="18037" xr:uid="{00000000-0005-0000-0000-0000531E0000}"/>
    <cellStyle name="Финансовый 2 2 11 12 2 2" xfId="41992" xr:uid="{00000000-0005-0000-0000-0000541E0000}"/>
    <cellStyle name="Финансовый 2 2 11 12 3" xfId="30014" xr:uid="{00000000-0005-0000-0000-0000551E0000}"/>
    <cellStyle name="Финансовый 2 2 11 13" xfId="8666" xr:uid="{00000000-0005-0000-0000-0000561E0000}"/>
    <cellStyle name="Финансовый 2 2 11 13 2" xfId="20644" xr:uid="{00000000-0005-0000-0000-0000571E0000}"/>
    <cellStyle name="Финансовый 2 2 11 13 2 2" xfId="44599" xr:uid="{00000000-0005-0000-0000-0000581E0000}"/>
    <cellStyle name="Финансовый 2 2 11 13 3" xfId="32621" xr:uid="{00000000-0005-0000-0000-0000591E0000}"/>
    <cellStyle name="Финансовый 2 2 11 14" xfId="12000" xr:uid="{00000000-0005-0000-0000-00005A1E0000}"/>
    <cellStyle name="Финансовый 2 2 11 14 2" xfId="35955" xr:uid="{00000000-0005-0000-0000-00005B1E0000}"/>
    <cellStyle name="Финансовый 2 2 11 15" xfId="23978" xr:uid="{00000000-0005-0000-0000-00005C1E0000}"/>
    <cellStyle name="Финансовый 2 2 11 16" xfId="47936" xr:uid="{00000000-0005-0000-0000-00005D1E0000}"/>
    <cellStyle name="Финансовый 2 2 11 2" xfId="154" xr:uid="{00000000-0005-0000-0000-00005E1E0000}"/>
    <cellStyle name="Финансовый 2 2 11 2 10" xfId="8802" xr:uid="{00000000-0005-0000-0000-00005F1E0000}"/>
    <cellStyle name="Финансовый 2 2 11 2 10 2" xfId="20780" xr:uid="{00000000-0005-0000-0000-0000601E0000}"/>
    <cellStyle name="Финансовый 2 2 11 2 10 2 2" xfId="44735" xr:uid="{00000000-0005-0000-0000-0000611E0000}"/>
    <cellStyle name="Финансовый 2 2 11 2 10 3" xfId="32757" xr:uid="{00000000-0005-0000-0000-0000621E0000}"/>
    <cellStyle name="Финансовый 2 2 11 2 11" xfId="12136" xr:uid="{00000000-0005-0000-0000-0000631E0000}"/>
    <cellStyle name="Финансовый 2 2 11 2 11 2" xfId="36091" xr:uid="{00000000-0005-0000-0000-0000641E0000}"/>
    <cellStyle name="Финансовый 2 2 11 2 12" xfId="24114" xr:uid="{00000000-0005-0000-0000-0000651E0000}"/>
    <cellStyle name="Финансовый 2 2 11 2 13" xfId="48072" xr:uid="{00000000-0005-0000-0000-0000661E0000}"/>
    <cellStyle name="Финансовый 2 2 11 2 2" xfId="1252" xr:uid="{00000000-0005-0000-0000-0000671E0000}"/>
    <cellStyle name="Финансовый 2 2 11 2 2 2" xfId="2218" xr:uid="{00000000-0005-0000-0000-0000681E0000}"/>
    <cellStyle name="Финансовый 2 2 11 2 2 2 2" xfId="3863" xr:uid="{00000000-0005-0000-0000-0000691E0000}"/>
    <cellStyle name="Финансовый 2 2 11 2 2 2 2 2" xfId="11603" xr:uid="{00000000-0005-0000-0000-00006A1E0000}"/>
    <cellStyle name="Финансовый 2 2 11 2 2 2 2 2 2" xfId="23581" xr:uid="{00000000-0005-0000-0000-00006B1E0000}"/>
    <cellStyle name="Финансовый 2 2 11 2 2 2 2 2 2 2" xfId="47536" xr:uid="{00000000-0005-0000-0000-00006C1E0000}"/>
    <cellStyle name="Финансовый 2 2 11 2 2 2 2 2 3" xfId="35558" xr:uid="{00000000-0005-0000-0000-00006D1E0000}"/>
    <cellStyle name="Финансовый 2 2 11 2 2 2 2 3" xfId="15842" xr:uid="{00000000-0005-0000-0000-00006E1E0000}"/>
    <cellStyle name="Финансовый 2 2 11 2 2 2 2 3 2" xfId="39797" xr:uid="{00000000-0005-0000-0000-00006F1E0000}"/>
    <cellStyle name="Финансовый 2 2 11 2 2 2 2 4" xfId="27820" xr:uid="{00000000-0005-0000-0000-0000701E0000}"/>
    <cellStyle name="Финансовый 2 2 11 2 2 2 2 5" xfId="51089" xr:uid="{00000000-0005-0000-0000-0000711E0000}"/>
    <cellStyle name="Финансовый 2 2 11 2 2 2 3" xfId="5646" xr:uid="{00000000-0005-0000-0000-0000721E0000}"/>
    <cellStyle name="Финансовый 2 2 11 2 2 2 3 2" xfId="17624" xr:uid="{00000000-0005-0000-0000-0000731E0000}"/>
    <cellStyle name="Финансовый 2 2 11 2 2 2 3 2 2" xfId="41579" xr:uid="{00000000-0005-0000-0000-0000741E0000}"/>
    <cellStyle name="Финансовый 2 2 11 2 2 2 3 3" xfId="29601" xr:uid="{00000000-0005-0000-0000-0000751E0000}"/>
    <cellStyle name="Финансовый 2 2 11 2 2 2 4" xfId="8256" xr:uid="{00000000-0005-0000-0000-0000761E0000}"/>
    <cellStyle name="Финансовый 2 2 11 2 2 2 4 2" xfId="20234" xr:uid="{00000000-0005-0000-0000-0000771E0000}"/>
    <cellStyle name="Финансовый 2 2 11 2 2 2 4 2 2" xfId="44189" xr:uid="{00000000-0005-0000-0000-0000781E0000}"/>
    <cellStyle name="Финансовый 2 2 11 2 2 2 4 3" xfId="32211" xr:uid="{00000000-0005-0000-0000-0000791E0000}"/>
    <cellStyle name="Финансовый 2 2 11 2 2 2 5" xfId="10039" xr:uid="{00000000-0005-0000-0000-00007A1E0000}"/>
    <cellStyle name="Финансовый 2 2 11 2 2 2 5 2" xfId="22017" xr:uid="{00000000-0005-0000-0000-00007B1E0000}"/>
    <cellStyle name="Финансовый 2 2 11 2 2 2 5 2 2" xfId="45972" xr:uid="{00000000-0005-0000-0000-00007C1E0000}"/>
    <cellStyle name="Финансовый 2 2 11 2 2 2 5 3" xfId="33994" xr:uid="{00000000-0005-0000-0000-00007D1E0000}"/>
    <cellStyle name="Финансовый 2 2 11 2 2 2 6" xfId="14197" xr:uid="{00000000-0005-0000-0000-00007E1E0000}"/>
    <cellStyle name="Финансовый 2 2 11 2 2 2 6 2" xfId="38152" xr:uid="{00000000-0005-0000-0000-00007F1E0000}"/>
    <cellStyle name="Финансовый 2 2 11 2 2 2 7" xfId="26175" xr:uid="{00000000-0005-0000-0000-0000801E0000}"/>
    <cellStyle name="Финансовый 2 2 11 2 2 2 8" xfId="49308" xr:uid="{00000000-0005-0000-0000-0000811E0000}"/>
    <cellStyle name="Финансовый 2 2 11 2 2 3" xfId="3036" xr:uid="{00000000-0005-0000-0000-0000821E0000}"/>
    <cellStyle name="Финансовый 2 2 11 2 2 3 2" xfId="10831" xr:uid="{00000000-0005-0000-0000-0000831E0000}"/>
    <cellStyle name="Финансовый 2 2 11 2 2 3 2 2" xfId="22809" xr:uid="{00000000-0005-0000-0000-0000841E0000}"/>
    <cellStyle name="Финансовый 2 2 11 2 2 3 2 2 2" xfId="46764" xr:uid="{00000000-0005-0000-0000-0000851E0000}"/>
    <cellStyle name="Финансовый 2 2 11 2 2 3 2 3" xfId="34786" xr:uid="{00000000-0005-0000-0000-0000861E0000}"/>
    <cellStyle name="Финансовый 2 2 11 2 2 3 3" xfId="15015" xr:uid="{00000000-0005-0000-0000-0000871E0000}"/>
    <cellStyle name="Финансовый 2 2 11 2 2 3 3 2" xfId="38970" xr:uid="{00000000-0005-0000-0000-0000881E0000}"/>
    <cellStyle name="Финансовый 2 2 11 2 2 3 4" xfId="26993" xr:uid="{00000000-0005-0000-0000-0000891E0000}"/>
    <cellStyle name="Финансовый 2 2 11 2 2 3 5" xfId="50124" xr:uid="{00000000-0005-0000-0000-00008A1E0000}"/>
    <cellStyle name="Финансовый 2 2 11 2 2 4" xfId="4680" xr:uid="{00000000-0005-0000-0000-00008B1E0000}"/>
    <cellStyle name="Финансовый 2 2 11 2 2 4 2" xfId="16659" xr:uid="{00000000-0005-0000-0000-00008C1E0000}"/>
    <cellStyle name="Финансовый 2 2 11 2 2 4 2 2" xfId="40614" xr:uid="{00000000-0005-0000-0000-00008D1E0000}"/>
    <cellStyle name="Финансовый 2 2 11 2 2 4 3" xfId="28637" xr:uid="{00000000-0005-0000-0000-00008E1E0000}"/>
    <cellStyle name="Финансовый 2 2 11 2 2 5" xfId="7292" xr:uid="{00000000-0005-0000-0000-00008F1E0000}"/>
    <cellStyle name="Финансовый 2 2 11 2 2 5 2" xfId="19270" xr:uid="{00000000-0005-0000-0000-0000901E0000}"/>
    <cellStyle name="Финансовый 2 2 11 2 2 5 2 2" xfId="43225" xr:uid="{00000000-0005-0000-0000-0000911E0000}"/>
    <cellStyle name="Финансовый 2 2 11 2 2 5 3" xfId="31247" xr:uid="{00000000-0005-0000-0000-0000921E0000}"/>
    <cellStyle name="Финансовый 2 2 11 2 2 6" xfId="9074" xr:uid="{00000000-0005-0000-0000-0000931E0000}"/>
    <cellStyle name="Финансовый 2 2 11 2 2 6 2" xfId="21052" xr:uid="{00000000-0005-0000-0000-0000941E0000}"/>
    <cellStyle name="Финансовый 2 2 11 2 2 6 2 2" xfId="45007" xr:uid="{00000000-0005-0000-0000-0000951E0000}"/>
    <cellStyle name="Финансовый 2 2 11 2 2 6 3" xfId="33029" xr:uid="{00000000-0005-0000-0000-0000961E0000}"/>
    <cellStyle name="Финансовый 2 2 11 2 2 7" xfId="13233" xr:uid="{00000000-0005-0000-0000-0000971E0000}"/>
    <cellStyle name="Финансовый 2 2 11 2 2 7 2" xfId="37188" xr:uid="{00000000-0005-0000-0000-0000981E0000}"/>
    <cellStyle name="Финансовый 2 2 11 2 2 8" xfId="25211" xr:uid="{00000000-0005-0000-0000-0000991E0000}"/>
    <cellStyle name="Финансовый 2 2 11 2 2 9" xfId="48344" xr:uid="{00000000-0005-0000-0000-00009A1E0000}"/>
    <cellStyle name="Финансовый 2 2 11 2 3" xfId="1962" xr:uid="{00000000-0005-0000-0000-00009B1E0000}"/>
    <cellStyle name="Финансовый 2 2 11 2 3 2" xfId="3607" xr:uid="{00000000-0005-0000-0000-00009C1E0000}"/>
    <cellStyle name="Финансовый 2 2 11 2 3 2 2" xfId="11347" xr:uid="{00000000-0005-0000-0000-00009D1E0000}"/>
    <cellStyle name="Финансовый 2 2 11 2 3 2 2 2" xfId="23325" xr:uid="{00000000-0005-0000-0000-00009E1E0000}"/>
    <cellStyle name="Финансовый 2 2 11 2 3 2 2 2 2" xfId="47280" xr:uid="{00000000-0005-0000-0000-00009F1E0000}"/>
    <cellStyle name="Финансовый 2 2 11 2 3 2 2 3" xfId="35302" xr:uid="{00000000-0005-0000-0000-0000A01E0000}"/>
    <cellStyle name="Финансовый 2 2 11 2 3 2 3" xfId="15586" xr:uid="{00000000-0005-0000-0000-0000A11E0000}"/>
    <cellStyle name="Финансовый 2 2 11 2 3 2 3 2" xfId="39541" xr:uid="{00000000-0005-0000-0000-0000A21E0000}"/>
    <cellStyle name="Финансовый 2 2 11 2 3 2 4" xfId="27564" xr:uid="{00000000-0005-0000-0000-0000A31E0000}"/>
    <cellStyle name="Финансовый 2 2 11 2 3 2 5" xfId="50833" xr:uid="{00000000-0005-0000-0000-0000A41E0000}"/>
    <cellStyle name="Финансовый 2 2 11 2 3 3" xfId="5390" xr:uid="{00000000-0005-0000-0000-0000A51E0000}"/>
    <cellStyle name="Финансовый 2 2 11 2 3 3 2" xfId="17368" xr:uid="{00000000-0005-0000-0000-0000A61E0000}"/>
    <cellStyle name="Финансовый 2 2 11 2 3 3 2 2" xfId="41323" xr:uid="{00000000-0005-0000-0000-0000A71E0000}"/>
    <cellStyle name="Финансовый 2 2 11 2 3 3 3" xfId="29345" xr:uid="{00000000-0005-0000-0000-0000A81E0000}"/>
    <cellStyle name="Финансовый 2 2 11 2 3 4" xfId="8000" xr:uid="{00000000-0005-0000-0000-0000A91E0000}"/>
    <cellStyle name="Финансовый 2 2 11 2 3 4 2" xfId="19978" xr:uid="{00000000-0005-0000-0000-0000AA1E0000}"/>
    <cellStyle name="Финансовый 2 2 11 2 3 4 2 2" xfId="43933" xr:uid="{00000000-0005-0000-0000-0000AB1E0000}"/>
    <cellStyle name="Финансовый 2 2 11 2 3 4 3" xfId="31955" xr:uid="{00000000-0005-0000-0000-0000AC1E0000}"/>
    <cellStyle name="Финансовый 2 2 11 2 3 5" xfId="9783" xr:uid="{00000000-0005-0000-0000-0000AD1E0000}"/>
    <cellStyle name="Финансовый 2 2 11 2 3 5 2" xfId="21761" xr:uid="{00000000-0005-0000-0000-0000AE1E0000}"/>
    <cellStyle name="Финансовый 2 2 11 2 3 5 2 2" xfId="45716" xr:uid="{00000000-0005-0000-0000-0000AF1E0000}"/>
    <cellStyle name="Финансовый 2 2 11 2 3 5 3" xfId="33738" xr:uid="{00000000-0005-0000-0000-0000B01E0000}"/>
    <cellStyle name="Финансовый 2 2 11 2 3 6" xfId="13941" xr:uid="{00000000-0005-0000-0000-0000B11E0000}"/>
    <cellStyle name="Финансовый 2 2 11 2 3 6 2" xfId="37896" xr:uid="{00000000-0005-0000-0000-0000B21E0000}"/>
    <cellStyle name="Финансовый 2 2 11 2 3 7" xfId="25919" xr:uid="{00000000-0005-0000-0000-0000B31E0000}"/>
    <cellStyle name="Финансовый 2 2 11 2 3 8" xfId="49052" xr:uid="{00000000-0005-0000-0000-0000B41E0000}"/>
    <cellStyle name="Финансовый 2 2 11 2 4" xfId="2483" xr:uid="{00000000-0005-0000-0000-0000B51E0000}"/>
    <cellStyle name="Финансовый 2 2 11 2 4 2" xfId="4128" xr:uid="{00000000-0005-0000-0000-0000B61E0000}"/>
    <cellStyle name="Финансовый 2 2 11 2 4 2 2" xfId="11860" xr:uid="{00000000-0005-0000-0000-0000B71E0000}"/>
    <cellStyle name="Финансовый 2 2 11 2 4 2 2 2" xfId="23838" xr:uid="{00000000-0005-0000-0000-0000B81E0000}"/>
    <cellStyle name="Финансовый 2 2 11 2 4 2 2 2 2" xfId="47793" xr:uid="{00000000-0005-0000-0000-0000B91E0000}"/>
    <cellStyle name="Финансовый 2 2 11 2 4 2 2 3" xfId="35815" xr:uid="{00000000-0005-0000-0000-0000BA1E0000}"/>
    <cellStyle name="Финансовый 2 2 11 2 4 2 3" xfId="16107" xr:uid="{00000000-0005-0000-0000-0000BB1E0000}"/>
    <cellStyle name="Финансовый 2 2 11 2 4 2 3 2" xfId="40062" xr:uid="{00000000-0005-0000-0000-0000BC1E0000}"/>
    <cellStyle name="Финансовый 2 2 11 2 4 2 4" xfId="28085" xr:uid="{00000000-0005-0000-0000-0000BD1E0000}"/>
    <cellStyle name="Финансовый 2 2 11 2 4 2 5" xfId="51354" xr:uid="{00000000-0005-0000-0000-0000BE1E0000}"/>
    <cellStyle name="Финансовый 2 2 11 2 4 3" xfId="5911" xr:uid="{00000000-0005-0000-0000-0000BF1E0000}"/>
    <cellStyle name="Финансовый 2 2 11 2 4 3 2" xfId="17889" xr:uid="{00000000-0005-0000-0000-0000C01E0000}"/>
    <cellStyle name="Финансовый 2 2 11 2 4 3 2 2" xfId="41844" xr:uid="{00000000-0005-0000-0000-0000C11E0000}"/>
    <cellStyle name="Финансовый 2 2 11 2 4 3 3" xfId="29866" xr:uid="{00000000-0005-0000-0000-0000C21E0000}"/>
    <cellStyle name="Финансовый 2 2 11 2 4 4" xfId="8521" xr:uid="{00000000-0005-0000-0000-0000C31E0000}"/>
    <cellStyle name="Финансовый 2 2 11 2 4 4 2" xfId="20499" xr:uid="{00000000-0005-0000-0000-0000C41E0000}"/>
    <cellStyle name="Финансовый 2 2 11 2 4 4 2 2" xfId="44454" xr:uid="{00000000-0005-0000-0000-0000C51E0000}"/>
    <cellStyle name="Финансовый 2 2 11 2 4 4 3" xfId="32476" xr:uid="{00000000-0005-0000-0000-0000C61E0000}"/>
    <cellStyle name="Финансовый 2 2 11 2 4 5" xfId="10304" xr:uid="{00000000-0005-0000-0000-0000C71E0000}"/>
    <cellStyle name="Финансовый 2 2 11 2 4 5 2" xfId="22282" xr:uid="{00000000-0005-0000-0000-0000C81E0000}"/>
    <cellStyle name="Финансовый 2 2 11 2 4 5 2 2" xfId="46237" xr:uid="{00000000-0005-0000-0000-0000C91E0000}"/>
    <cellStyle name="Финансовый 2 2 11 2 4 5 3" xfId="34259" xr:uid="{00000000-0005-0000-0000-0000CA1E0000}"/>
    <cellStyle name="Финансовый 2 2 11 2 4 6" xfId="14462" xr:uid="{00000000-0005-0000-0000-0000CB1E0000}"/>
    <cellStyle name="Финансовый 2 2 11 2 4 6 2" xfId="38417" xr:uid="{00000000-0005-0000-0000-0000CC1E0000}"/>
    <cellStyle name="Финансовый 2 2 11 2 4 7" xfId="26440" xr:uid="{00000000-0005-0000-0000-0000CD1E0000}"/>
    <cellStyle name="Финансовый 2 2 11 2 4 8" xfId="49573" xr:uid="{00000000-0005-0000-0000-0000CE1E0000}"/>
    <cellStyle name="Финансовый 2 2 11 2 5" xfId="987" xr:uid="{00000000-0005-0000-0000-0000CF1E0000}"/>
    <cellStyle name="Финансовый 2 2 11 2 5 2" xfId="7027" xr:uid="{00000000-0005-0000-0000-0000D01E0000}"/>
    <cellStyle name="Финансовый 2 2 11 2 5 2 2" xfId="19005" xr:uid="{00000000-0005-0000-0000-0000D11E0000}"/>
    <cellStyle name="Финансовый 2 2 11 2 5 2 2 2" xfId="42960" xr:uid="{00000000-0005-0000-0000-0000D21E0000}"/>
    <cellStyle name="Финансовый 2 2 11 2 5 2 3" xfId="30982" xr:uid="{00000000-0005-0000-0000-0000D31E0000}"/>
    <cellStyle name="Финансовый 2 2 11 2 5 3" xfId="10575" xr:uid="{00000000-0005-0000-0000-0000D41E0000}"/>
    <cellStyle name="Финансовый 2 2 11 2 5 3 2" xfId="22553" xr:uid="{00000000-0005-0000-0000-0000D51E0000}"/>
    <cellStyle name="Финансовый 2 2 11 2 5 3 2 2" xfId="46508" xr:uid="{00000000-0005-0000-0000-0000D61E0000}"/>
    <cellStyle name="Финансовый 2 2 11 2 5 3 3" xfId="34530" xr:uid="{00000000-0005-0000-0000-0000D71E0000}"/>
    <cellStyle name="Финансовый 2 2 11 2 5 4" xfId="12968" xr:uid="{00000000-0005-0000-0000-0000D81E0000}"/>
    <cellStyle name="Финансовый 2 2 11 2 5 4 2" xfId="36923" xr:uid="{00000000-0005-0000-0000-0000D91E0000}"/>
    <cellStyle name="Финансовый 2 2 11 2 5 5" xfId="24946" xr:uid="{00000000-0005-0000-0000-0000DA1E0000}"/>
    <cellStyle name="Финансовый 2 2 11 2 5 6" xfId="49852" xr:uid="{00000000-0005-0000-0000-0000DB1E0000}"/>
    <cellStyle name="Финансовый 2 2 11 2 6" xfId="575" xr:uid="{00000000-0005-0000-0000-0000DC1E0000}"/>
    <cellStyle name="Финансовый 2 2 11 2 6 2" xfId="6615" xr:uid="{00000000-0005-0000-0000-0000DD1E0000}"/>
    <cellStyle name="Финансовый 2 2 11 2 6 2 2" xfId="18593" xr:uid="{00000000-0005-0000-0000-0000DE1E0000}"/>
    <cellStyle name="Финансовый 2 2 11 2 6 2 2 2" xfId="42548" xr:uid="{00000000-0005-0000-0000-0000DF1E0000}"/>
    <cellStyle name="Финансовый 2 2 11 2 6 2 3" xfId="30570" xr:uid="{00000000-0005-0000-0000-0000E01E0000}"/>
    <cellStyle name="Финансовый 2 2 11 2 6 3" xfId="12556" xr:uid="{00000000-0005-0000-0000-0000E11E0000}"/>
    <cellStyle name="Финансовый 2 2 11 2 6 3 2" xfId="36511" xr:uid="{00000000-0005-0000-0000-0000E21E0000}"/>
    <cellStyle name="Финансовый 2 2 11 2 6 4" xfId="24534" xr:uid="{00000000-0005-0000-0000-0000E31E0000}"/>
    <cellStyle name="Финансовый 2 2 11 2 7" xfId="2764" xr:uid="{00000000-0005-0000-0000-0000E41E0000}"/>
    <cellStyle name="Финансовый 2 2 11 2 7 2" xfId="14743" xr:uid="{00000000-0005-0000-0000-0000E51E0000}"/>
    <cellStyle name="Финансовый 2 2 11 2 7 2 2" xfId="38698" xr:uid="{00000000-0005-0000-0000-0000E61E0000}"/>
    <cellStyle name="Финансовый 2 2 11 2 7 3" xfId="26721" xr:uid="{00000000-0005-0000-0000-0000E71E0000}"/>
    <cellStyle name="Финансовый 2 2 11 2 8" xfId="4408" xr:uid="{00000000-0005-0000-0000-0000E81E0000}"/>
    <cellStyle name="Финансовый 2 2 11 2 8 2" xfId="16387" xr:uid="{00000000-0005-0000-0000-0000E91E0000}"/>
    <cellStyle name="Финансовый 2 2 11 2 8 2 2" xfId="40342" xr:uid="{00000000-0005-0000-0000-0000EA1E0000}"/>
    <cellStyle name="Финансовый 2 2 11 2 8 3" xfId="28365" xr:uid="{00000000-0005-0000-0000-0000EB1E0000}"/>
    <cellStyle name="Финансовый 2 2 11 2 9" xfId="6195" xr:uid="{00000000-0005-0000-0000-0000EC1E0000}"/>
    <cellStyle name="Финансовый 2 2 11 2 9 2" xfId="18173" xr:uid="{00000000-0005-0000-0000-0000ED1E0000}"/>
    <cellStyle name="Финансовый 2 2 11 2 9 2 2" xfId="42128" xr:uid="{00000000-0005-0000-0000-0000EE1E0000}"/>
    <cellStyle name="Финансовый 2 2 11 2 9 3" xfId="30150" xr:uid="{00000000-0005-0000-0000-0000EF1E0000}"/>
    <cellStyle name="Финансовый 2 2 11 3" xfId="303" xr:uid="{00000000-0005-0000-0000-0000F01E0000}"/>
    <cellStyle name="Финансовый 2 2 11 3 10" xfId="24262" xr:uid="{00000000-0005-0000-0000-0000F11E0000}"/>
    <cellStyle name="Финансовый 2 2 11 3 11" xfId="48208" xr:uid="{00000000-0005-0000-0000-0000F21E0000}"/>
    <cellStyle name="Финансовый 2 2 11 3 2" xfId="2090" xr:uid="{00000000-0005-0000-0000-0000F31E0000}"/>
    <cellStyle name="Финансовый 2 2 11 3 2 2" xfId="3735" xr:uid="{00000000-0005-0000-0000-0000F41E0000}"/>
    <cellStyle name="Финансовый 2 2 11 3 2 2 2" xfId="11475" xr:uid="{00000000-0005-0000-0000-0000F51E0000}"/>
    <cellStyle name="Финансовый 2 2 11 3 2 2 2 2" xfId="23453" xr:uid="{00000000-0005-0000-0000-0000F61E0000}"/>
    <cellStyle name="Финансовый 2 2 11 3 2 2 2 2 2" xfId="47408" xr:uid="{00000000-0005-0000-0000-0000F71E0000}"/>
    <cellStyle name="Финансовый 2 2 11 3 2 2 2 3" xfId="35430" xr:uid="{00000000-0005-0000-0000-0000F81E0000}"/>
    <cellStyle name="Финансовый 2 2 11 3 2 2 3" xfId="15714" xr:uid="{00000000-0005-0000-0000-0000F91E0000}"/>
    <cellStyle name="Финансовый 2 2 11 3 2 2 3 2" xfId="39669" xr:uid="{00000000-0005-0000-0000-0000FA1E0000}"/>
    <cellStyle name="Финансовый 2 2 11 3 2 2 4" xfId="27692" xr:uid="{00000000-0005-0000-0000-0000FB1E0000}"/>
    <cellStyle name="Финансовый 2 2 11 3 2 2 5" xfId="50961" xr:uid="{00000000-0005-0000-0000-0000FC1E0000}"/>
    <cellStyle name="Финансовый 2 2 11 3 2 3" xfId="5518" xr:uid="{00000000-0005-0000-0000-0000FD1E0000}"/>
    <cellStyle name="Финансовый 2 2 11 3 2 3 2" xfId="17496" xr:uid="{00000000-0005-0000-0000-0000FE1E0000}"/>
    <cellStyle name="Финансовый 2 2 11 3 2 3 2 2" xfId="41451" xr:uid="{00000000-0005-0000-0000-0000FF1E0000}"/>
    <cellStyle name="Финансовый 2 2 11 3 2 3 3" xfId="29473" xr:uid="{00000000-0005-0000-0000-0000001F0000}"/>
    <cellStyle name="Финансовый 2 2 11 3 2 4" xfId="8128" xr:uid="{00000000-0005-0000-0000-0000011F0000}"/>
    <cellStyle name="Финансовый 2 2 11 3 2 4 2" xfId="20106" xr:uid="{00000000-0005-0000-0000-0000021F0000}"/>
    <cellStyle name="Финансовый 2 2 11 3 2 4 2 2" xfId="44061" xr:uid="{00000000-0005-0000-0000-0000031F0000}"/>
    <cellStyle name="Финансовый 2 2 11 3 2 4 3" xfId="32083" xr:uid="{00000000-0005-0000-0000-0000041F0000}"/>
    <cellStyle name="Финансовый 2 2 11 3 2 5" xfId="9911" xr:uid="{00000000-0005-0000-0000-0000051F0000}"/>
    <cellStyle name="Финансовый 2 2 11 3 2 5 2" xfId="21889" xr:uid="{00000000-0005-0000-0000-0000061F0000}"/>
    <cellStyle name="Финансовый 2 2 11 3 2 5 2 2" xfId="45844" xr:uid="{00000000-0005-0000-0000-0000071F0000}"/>
    <cellStyle name="Финансовый 2 2 11 3 2 5 3" xfId="33866" xr:uid="{00000000-0005-0000-0000-0000081F0000}"/>
    <cellStyle name="Финансовый 2 2 11 3 2 6" xfId="14069" xr:uid="{00000000-0005-0000-0000-0000091F0000}"/>
    <cellStyle name="Финансовый 2 2 11 3 2 6 2" xfId="38024" xr:uid="{00000000-0005-0000-0000-00000A1F0000}"/>
    <cellStyle name="Финансовый 2 2 11 3 2 7" xfId="26047" xr:uid="{00000000-0005-0000-0000-00000B1F0000}"/>
    <cellStyle name="Финансовый 2 2 11 3 2 8" xfId="49180" xr:uid="{00000000-0005-0000-0000-00000C1F0000}"/>
    <cellStyle name="Финансовый 2 2 11 3 3" xfId="1123" xr:uid="{00000000-0005-0000-0000-00000D1F0000}"/>
    <cellStyle name="Финансовый 2 2 11 3 3 2" xfId="7163" xr:uid="{00000000-0005-0000-0000-00000E1F0000}"/>
    <cellStyle name="Финансовый 2 2 11 3 3 2 2" xfId="19141" xr:uid="{00000000-0005-0000-0000-00000F1F0000}"/>
    <cellStyle name="Финансовый 2 2 11 3 3 2 2 2" xfId="43096" xr:uid="{00000000-0005-0000-0000-0000101F0000}"/>
    <cellStyle name="Финансовый 2 2 11 3 3 2 3" xfId="31118" xr:uid="{00000000-0005-0000-0000-0000111F0000}"/>
    <cellStyle name="Финансовый 2 2 11 3 3 3" xfId="10703" xr:uid="{00000000-0005-0000-0000-0000121F0000}"/>
    <cellStyle name="Финансовый 2 2 11 3 3 3 2" xfId="22681" xr:uid="{00000000-0005-0000-0000-0000131F0000}"/>
    <cellStyle name="Финансовый 2 2 11 3 3 3 2 2" xfId="46636" xr:uid="{00000000-0005-0000-0000-0000141F0000}"/>
    <cellStyle name="Финансовый 2 2 11 3 3 3 3" xfId="34658" xr:uid="{00000000-0005-0000-0000-0000151F0000}"/>
    <cellStyle name="Финансовый 2 2 11 3 3 4" xfId="13104" xr:uid="{00000000-0005-0000-0000-0000161F0000}"/>
    <cellStyle name="Финансовый 2 2 11 3 3 4 2" xfId="37059" xr:uid="{00000000-0005-0000-0000-0000171F0000}"/>
    <cellStyle name="Финансовый 2 2 11 3 3 5" xfId="25082" xr:uid="{00000000-0005-0000-0000-0000181F0000}"/>
    <cellStyle name="Финансовый 2 2 11 3 3 6" xfId="49988" xr:uid="{00000000-0005-0000-0000-0000191F0000}"/>
    <cellStyle name="Финансовый 2 2 11 3 4" xfId="723" xr:uid="{00000000-0005-0000-0000-00001A1F0000}"/>
    <cellStyle name="Финансовый 2 2 11 3 4 2" xfId="6763" xr:uid="{00000000-0005-0000-0000-00001B1F0000}"/>
    <cellStyle name="Финансовый 2 2 11 3 4 2 2" xfId="18741" xr:uid="{00000000-0005-0000-0000-00001C1F0000}"/>
    <cellStyle name="Финансовый 2 2 11 3 4 2 2 2" xfId="42696" xr:uid="{00000000-0005-0000-0000-00001D1F0000}"/>
    <cellStyle name="Финансовый 2 2 11 3 4 2 3" xfId="30718" xr:uid="{00000000-0005-0000-0000-00001E1F0000}"/>
    <cellStyle name="Финансовый 2 2 11 3 4 3" xfId="12704" xr:uid="{00000000-0005-0000-0000-00001F1F0000}"/>
    <cellStyle name="Финансовый 2 2 11 3 4 3 2" xfId="36659" xr:uid="{00000000-0005-0000-0000-0000201F0000}"/>
    <cellStyle name="Финансовый 2 2 11 3 4 4" xfId="24682" xr:uid="{00000000-0005-0000-0000-0000211F0000}"/>
    <cellStyle name="Финансовый 2 2 11 3 5" xfId="2900" xr:uid="{00000000-0005-0000-0000-0000221F0000}"/>
    <cellStyle name="Финансовый 2 2 11 3 5 2" xfId="14879" xr:uid="{00000000-0005-0000-0000-0000231F0000}"/>
    <cellStyle name="Финансовый 2 2 11 3 5 2 2" xfId="38834" xr:uid="{00000000-0005-0000-0000-0000241F0000}"/>
    <cellStyle name="Финансовый 2 2 11 3 5 3" xfId="26857" xr:uid="{00000000-0005-0000-0000-0000251F0000}"/>
    <cellStyle name="Финансовый 2 2 11 3 6" xfId="4544" xr:uid="{00000000-0005-0000-0000-0000261F0000}"/>
    <cellStyle name="Финансовый 2 2 11 3 6 2" xfId="16523" xr:uid="{00000000-0005-0000-0000-0000271F0000}"/>
    <cellStyle name="Финансовый 2 2 11 3 6 2 2" xfId="40478" xr:uid="{00000000-0005-0000-0000-0000281F0000}"/>
    <cellStyle name="Финансовый 2 2 11 3 6 3" xfId="28501" xr:uid="{00000000-0005-0000-0000-0000291F0000}"/>
    <cellStyle name="Финансовый 2 2 11 3 7" xfId="6343" xr:uid="{00000000-0005-0000-0000-00002A1F0000}"/>
    <cellStyle name="Финансовый 2 2 11 3 7 2" xfId="18321" xr:uid="{00000000-0005-0000-0000-00002B1F0000}"/>
    <cellStyle name="Финансовый 2 2 11 3 7 2 2" xfId="42276" xr:uid="{00000000-0005-0000-0000-00002C1F0000}"/>
    <cellStyle name="Финансовый 2 2 11 3 7 3" xfId="30298" xr:uid="{00000000-0005-0000-0000-00002D1F0000}"/>
    <cellStyle name="Финансовый 2 2 11 3 8" xfId="8938" xr:uid="{00000000-0005-0000-0000-00002E1F0000}"/>
    <cellStyle name="Финансовый 2 2 11 3 8 2" xfId="20916" xr:uid="{00000000-0005-0000-0000-00002F1F0000}"/>
    <cellStyle name="Финансовый 2 2 11 3 8 2 2" xfId="44871" xr:uid="{00000000-0005-0000-0000-0000301F0000}"/>
    <cellStyle name="Финансовый 2 2 11 3 8 3" xfId="32893" xr:uid="{00000000-0005-0000-0000-0000311F0000}"/>
    <cellStyle name="Финансовый 2 2 11 3 9" xfId="12284" xr:uid="{00000000-0005-0000-0000-0000321F0000}"/>
    <cellStyle name="Финансовый 2 2 11 3 9 2" xfId="36239" xr:uid="{00000000-0005-0000-0000-0000331F0000}"/>
    <cellStyle name="Финансовый 2 2 11 4" xfId="1424" xr:uid="{00000000-0005-0000-0000-0000341F0000}"/>
    <cellStyle name="Финансовый 2 2 11 4 2" xfId="1826" xr:uid="{00000000-0005-0000-0000-0000351F0000}"/>
    <cellStyle name="Финансовый 2 2 11 4 2 2" xfId="3471" xr:uid="{00000000-0005-0000-0000-0000361F0000}"/>
    <cellStyle name="Финансовый 2 2 11 4 2 2 2" xfId="11219" xr:uid="{00000000-0005-0000-0000-0000371F0000}"/>
    <cellStyle name="Финансовый 2 2 11 4 2 2 2 2" xfId="23197" xr:uid="{00000000-0005-0000-0000-0000381F0000}"/>
    <cellStyle name="Финансовый 2 2 11 4 2 2 2 2 2" xfId="47152" xr:uid="{00000000-0005-0000-0000-0000391F0000}"/>
    <cellStyle name="Финансовый 2 2 11 4 2 2 2 3" xfId="35174" xr:uid="{00000000-0005-0000-0000-00003A1F0000}"/>
    <cellStyle name="Финансовый 2 2 11 4 2 2 3" xfId="15450" xr:uid="{00000000-0005-0000-0000-00003B1F0000}"/>
    <cellStyle name="Финансовый 2 2 11 4 2 2 3 2" xfId="39405" xr:uid="{00000000-0005-0000-0000-00003C1F0000}"/>
    <cellStyle name="Финансовый 2 2 11 4 2 2 4" xfId="27428" xr:uid="{00000000-0005-0000-0000-00003D1F0000}"/>
    <cellStyle name="Финансовый 2 2 11 4 2 2 5" xfId="50697" xr:uid="{00000000-0005-0000-0000-00003E1F0000}"/>
    <cellStyle name="Финансовый 2 2 11 4 2 3" xfId="5254" xr:uid="{00000000-0005-0000-0000-00003F1F0000}"/>
    <cellStyle name="Финансовый 2 2 11 4 2 3 2" xfId="17232" xr:uid="{00000000-0005-0000-0000-0000401F0000}"/>
    <cellStyle name="Финансовый 2 2 11 4 2 3 2 2" xfId="41187" xr:uid="{00000000-0005-0000-0000-0000411F0000}"/>
    <cellStyle name="Финансовый 2 2 11 4 2 3 3" xfId="29209" xr:uid="{00000000-0005-0000-0000-0000421F0000}"/>
    <cellStyle name="Финансовый 2 2 11 4 2 4" xfId="7864" xr:uid="{00000000-0005-0000-0000-0000431F0000}"/>
    <cellStyle name="Финансовый 2 2 11 4 2 4 2" xfId="19842" xr:uid="{00000000-0005-0000-0000-0000441F0000}"/>
    <cellStyle name="Финансовый 2 2 11 4 2 4 2 2" xfId="43797" xr:uid="{00000000-0005-0000-0000-0000451F0000}"/>
    <cellStyle name="Финансовый 2 2 11 4 2 4 3" xfId="31819" xr:uid="{00000000-0005-0000-0000-0000461F0000}"/>
    <cellStyle name="Финансовый 2 2 11 4 2 5" xfId="9647" xr:uid="{00000000-0005-0000-0000-0000471F0000}"/>
    <cellStyle name="Финансовый 2 2 11 4 2 5 2" xfId="21625" xr:uid="{00000000-0005-0000-0000-0000481F0000}"/>
    <cellStyle name="Финансовый 2 2 11 4 2 5 2 2" xfId="45580" xr:uid="{00000000-0005-0000-0000-0000491F0000}"/>
    <cellStyle name="Финансовый 2 2 11 4 2 5 3" xfId="33602" xr:uid="{00000000-0005-0000-0000-00004A1F0000}"/>
    <cellStyle name="Финансовый 2 2 11 4 2 6" xfId="13805" xr:uid="{00000000-0005-0000-0000-00004B1F0000}"/>
    <cellStyle name="Финансовый 2 2 11 4 2 6 2" xfId="37760" xr:uid="{00000000-0005-0000-0000-00004C1F0000}"/>
    <cellStyle name="Финансовый 2 2 11 4 2 7" xfId="25783" xr:uid="{00000000-0005-0000-0000-00004D1F0000}"/>
    <cellStyle name="Финансовый 2 2 11 4 2 8" xfId="48916" xr:uid="{00000000-0005-0000-0000-00004E1F0000}"/>
    <cellStyle name="Финансовый 2 2 11 4 3" xfId="4852" xr:uid="{00000000-0005-0000-0000-00004F1F0000}"/>
    <cellStyle name="Финансовый 2 2 11 4 3 2" xfId="16831" xr:uid="{00000000-0005-0000-0000-0000501F0000}"/>
    <cellStyle name="Финансовый 2 2 11 4 3 2 2" xfId="40786" xr:uid="{00000000-0005-0000-0000-0000511F0000}"/>
    <cellStyle name="Финансовый 2 2 11 4 3 3" xfId="28809" xr:uid="{00000000-0005-0000-0000-0000521F0000}"/>
    <cellStyle name="Финансовый 2 2 11 4 3 4" xfId="50296" xr:uid="{00000000-0005-0000-0000-0000531F0000}"/>
    <cellStyle name="Финансовый 2 2 11 4 4" xfId="7464" xr:uid="{00000000-0005-0000-0000-0000541F0000}"/>
    <cellStyle name="Финансовый 2 2 11 4 4 2" xfId="19442" xr:uid="{00000000-0005-0000-0000-0000551F0000}"/>
    <cellStyle name="Финансовый 2 2 11 4 4 2 2" xfId="43397" xr:uid="{00000000-0005-0000-0000-0000561F0000}"/>
    <cellStyle name="Финансовый 2 2 11 4 4 3" xfId="31419" xr:uid="{00000000-0005-0000-0000-0000571F0000}"/>
    <cellStyle name="Финансовый 2 2 11 4 5" xfId="9246" xr:uid="{00000000-0005-0000-0000-0000581F0000}"/>
    <cellStyle name="Финансовый 2 2 11 4 5 2" xfId="21224" xr:uid="{00000000-0005-0000-0000-0000591F0000}"/>
    <cellStyle name="Финансовый 2 2 11 4 5 2 2" xfId="45179" xr:uid="{00000000-0005-0000-0000-00005A1F0000}"/>
    <cellStyle name="Финансовый 2 2 11 4 5 3" xfId="33201" xr:uid="{00000000-0005-0000-0000-00005B1F0000}"/>
    <cellStyle name="Финансовый 2 2 11 4 6" xfId="13405" xr:uid="{00000000-0005-0000-0000-00005C1F0000}"/>
    <cellStyle name="Финансовый 2 2 11 4 6 2" xfId="37360" xr:uid="{00000000-0005-0000-0000-00005D1F0000}"/>
    <cellStyle name="Финансовый 2 2 11 4 7" xfId="25383" xr:uid="{00000000-0005-0000-0000-00005E1F0000}"/>
    <cellStyle name="Финансовый 2 2 11 4 8" xfId="48516" xr:uid="{00000000-0005-0000-0000-00005F1F0000}"/>
    <cellStyle name="Финансовый 2 2 11 5" xfId="1710" xr:uid="{00000000-0005-0000-0000-0000601F0000}"/>
    <cellStyle name="Финансовый 2 2 11 5 2" xfId="3355" xr:uid="{00000000-0005-0000-0000-0000611F0000}"/>
    <cellStyle name="Финансовый 2 2 11 5 2 2" xfId="11103" xr:uid="{00000000-0005-0000-0000-0000621F0000}"/>
    <cellStyle name="Финансовый 2 2 11 5 2 2 2" xfId="23081" xr:uid="{00000000-0005-0000-0000-0000631F0000}"/>
    <cellStyle name="Финансовый 2 2 11 5 2 2 2 2" xfId="47036" xr:uid="{00000000-0005-0000-0000-0000641F0000}"/>
    <cellStyle name="Финансовый 2 2 11 5 2 2 3" xfId="35058" xr:uid="{00000000-0005-0000-0000-0000651F0000}"/>
    <cellStyle name="Финансовый 2 2 11 5 2 3" xfId="15334" xr:uid="{00000000-0005-0000-0000-0000661F0000}"/>
    <cellStyle name="Финансовый 2 2 11 5 2 3 2" xfId="39289" xr:uid="{00000000-0005-0000-0000-0000671F0000}"/>
    <cellStyle name="Финансовый 2 2 11 5 2 4" xfId="27312" xr:uid="{00000000-0005-0000-0000-0000681F0000}"/>
    <cellStyle name="Финансовый 2 2 11 5 2 5" xfId="50581" xr:uid="{00000000-0005-0000-0000-0000691F0000}"/>
    <cellStyle name="Финансовый 2 2 11 5 3" xfId="5138" xr:uid="{00000000-0005-0000-0000-00006A1F0000}"/>
    <cellStyle name="Финансовый 2 2 11 5 3 2" xfId="17116" xr:uid="{00000000-0005-0000-0000-00006B1F0000}"/>
    <cellStyle name="Финансовый 2 2 11 5 3 2 2" xfId="41071" xr:uid="{00000000-0005-0000-0000-00006C1F0000}"/>
    <cellStyle name="Финансовый 2 2 11 5 3 3" xfId="29093" xr:uid="{00000000-0005-0000-0000-00006D1F0000}"/>
    <cellStyle name="Финансовый 2 2 11 5 4" xfId="7748" xr:uid="{00000000-0005-0000-0000-00006E1F0000}"/>
    <cellStyle name="Финансовый 2 2 11 5 4 2" xfId="19726" xr:uid="{00000000-0005-0000-0000-00006F1F0000}"/>
    <cellStyle name="Финансовый 2 2 11 5 4 2 2" xfId="43681" xr:uid="{00000000-0005-0000-0000-0000701F0000}"/>
    <cellStyle name="Финансовый 2 2 11 5 4 3" xfId="31703" xr:uid="{00000000-0005-0000-0000-0000711F0000}"/>
    <cellStyle name="Финансовый 2 2 11 5 5" xfId="9531" xr:uid="{00000000-0005-0000-0000-0000721F0000}"/>
    <cellStyle name="Финансовый 2 2 11 5 5 2" xfId="21509" xr:uid="{00000000-0005-0000-0000-0000731F0000}"/>
    <cellStyle name="Финансовый 2 2 11 5 5 2 2" xfId="45464" xr:uid="{00000000-0005-0000-0000-0000741F0000}"/>
    <cellStyle name="Финансовый 2 2 11 5 5 3" xfId="33486" xr:uid="{00000000-0005-0000-0000-0000751F0000}"/>
    <cellStyle name="Финансовый 2 2 11 5 6" xfId="13689" xr:uid="{00000000-0005-0000-0000-0000761F0000}"/>
    <cellStyle name="Финансовый 2 2 11 5 6 2" xfId="37644" xr:uid="{00000000-0005-0000-0000-0000771F0000}"/>
    <cellStyle name="Финансовый 2 2 11 5 7" xfId="25667" xr:uid="{00000000-0005-0000-0000-0000781F0000}"/>
    <cellStyle name="Финансовый 2 2 11 5 8" xfId="48800" xr:uid="{00000000-0005-0000-0000-0000791F0000}"/>
    <cellStyle name="Финансовый 2 2 11 6" xfId="2346" xr:uid="{00000000-0005-0000-0000-00007A1F0000}"/>
    <cellStyle name="Финансовый 2 2 11 6 2" xfId="3991" xr:uid="{00000000-0005-0000-0000-00007B1F0000}"/>
    <cellStyle name="Финансовый 2 2 11 6 2 2" xfId="11731" xr:uid="{00000000-0005-0000-0000-00007C1F0000}"/>
    <cellStyle name="Финансовый 2 2 11 6 2 2 2" xfId="23709" xr:uid="{00000000-0005-0000-0000-00007D1F0000}"/>
    <cellStyle name="Финансовый 2 2 11 6 2 2 2 2" xfId="47664" xr:uid="{00000000-0005-0000-0000-00007E1F0000}"/>
    <cellStyle name="Финансовый 2 2 11 6 2 2 3" xfId="35686" xr:uid="{00000000-0005-0000-0000-00007F1F0000}"/>
    <cellStyle name="Финансовый 2 2 11 6 2 3" xfId="15970" xr:uid="{00000000-0005-0000-0000-0000801F0000}"/>
    <cellStyle name="Финансовый 2 2 11 6 2 3 2" xfId="39925" xr:uid="{00000000-0005-0000-0000-0000811F0000}"/>
    <cellStyle name="Финансовый 2 2 11 6 2 4" xfId="27948" xr:uid="{00000000-0005-0000-0000-0000821F0000}"/>
    <cellStyle name="Финансовый 2 2 11 6 2 5" xfId="51217" xr:uid="{00000000-0005-0000-0000-0000831F0000}"/>
    <cellStyle name="Финансовый 2 2 11 6 3" xfId="5774" xr:uid="{00000000-0005-0000-0000-0000841F0000}"/>
    <cellStyle name="Финансовый 2 2 11 6 3 2" xfId="17752" xr:uid="{00000000-0005-0000-0000-0000851F0000}"/>
    <cellStyle name="Финансовый 2 2 11 6 3 2 2" xfId="41707" xr:uid="{00000000-0005-0000-0000-0000861F0000}"/>
    <cellStyle name="Финансовый 2 2 11 6 3 3" xfId="29729" xr:uid="{00000000-0005-0000-0000-0000871F0000}"/>
    <cellStyle name="Финансовый 2 2 11 6 4" xfId="8384" xr:uid="{00000000-0005-0000-0000-0000881F0000}"/>
    <cellStyle name="Финансовый 2 2 11 6 4 2" xfId="20362" xr:uid="{00000000-0005-0000-0000-0000891F0000}"/>
    <cellStyle name="Финансовый 2 2 11 6 4 2 2" xfId="44317" xr:uid="{00000000-0005-0000-0000-00008A1F0000}"/>
    <cellStyle name="Финансовый 2 2 11 6 4 3" xfId="32339" xr:uid="{00000000-0005-0000-0000-00008B1F0000}"/>
    <cellStyle name="Финансовый 2 2 11 6 5" xfId="10167" xr:uid="{00000000-0005-0000-0000-00008C1F0000}"/>
    <cellStyle name="Финансовый 2 2 11 6 5 2" xfId="22145" xr:uid="{00000000-0005-0000-0000-00008D1F0000}"/>
    <cellStyle name="Финансовый 2 2 11 6 5 2 2" xfId="46100" xr:uid="{00000000-0005-0000-0000-00008E1F0000}"/>
    <cellStyle name="Финансовый 2 2 11 6 5 3" xfId="34122" xr:uid="{00000000-0005-0000-0000-00008F1F0000}"/>
    <cellStyle name="Финансовый 2 2 11 6 6" xfId="14325" xr:uid="{00000000-0005-0000-0000-0000901F0000}"/>
    <cellStyle name="Финансовый 2 2 11 6 6 2" xfId="38280" xr:uid="{00000000-0005-0000-0000-0000911F0000}"/>
    <cellStyle name="Финансовый 2 2 11 6 7" xfId="26303" xr:uid="{00000000-0005-0000-0000-0000921F0000}"/>
    <cellStyle name="Финансовый 2 2 11 6 8" xfId="49436" xr:uid="{00000000-0005-0000-0000-0000931F0000}"/>
    <cellStyle name="Финансовый 2 2 11 7" xfId="1573" xr:uid="{00000000-0005-0000-0000-0000941F0000}"/>
    <cellStyle name="Финансовый 2 2 11 7 2" xfId="3218" xr:uid="{00000000-0005-0000-0000-0000951F0000}"/>
    <cellStyle name="Финансовый 2 2 11 7 2 2" xfId="10974" xr:uid="{00000000-0005-0000-0000-0000961F0000}"/>
    <cellStyle name="Финансовый 2 2 11 7 2 2 2" xfId="22952" xr:uid="{00000000-0005-0000-0000-0000971F0000}"/>
    <cellStyle name="Финансовый 2 2 11 7 2 2 2 2" xfId="46907" xr:uid="{00000000-0005-0000-0000-0000981F0000}"/>
    <cellStyle name="Финансовый 2 2 11 7 2 2 3" xfId="34929" xr:uid="{00000000-0005-0000-0000-0000991F0000}"/>
    <cellStyle name="Финансовый 2 2 11 7 2 3" xfId="15197" xr:uid="{00000000-0005-0000-0000-00009A1F0000}"/>
    <cellStyle name="Финансовый 2 2 11 7 2 3 2" xfId="39152" xr:uid="{00000000-0005-0000-0000-00009B1F0000}"/>
    <cellStyle name="Финансовый 2 2 11 7 2 4" xfId="27175" xr:uid="{00000000-0005-0000-0000-00009C1F0000}"/>
    <cellStyle name="Финансовый 2 2 11 7 2 5" xfId="50444" xr:uid="{00000000-0005-0000-0000-00009D1F0000}"/>
    <cellStyle name="Финансовый 2 2 11 7 3" xfId="5001" xr:uid="{00000000-0005-0000-0000-00009E1F0000}"/>
    <cellStyle name="Финансовый 2 2 11 7 3 2" xfId="16979" xr:uid="{00000000-0005-0000-0000-00009F1F0000}"/>
    <cellStyle name="Финансовый 2 2 11 7 3 2 2" xfId="40934" xr:uid="{00000000-0005-0000-0000-0000A01F0000}"/>
    <cellStyle name="Финансовый 2 2 11 7 3 3" xfId="28956" xr:uid="{00000000-0005-0000-0000-0000A11F0000}"/>
    <cellStyle name="Финансовый 2 2 11 7 4" xfId="7611" xr:uid="{00000000-0005-0000-0000-0000A21F0000}"/>
    <cellStyle name="Финансовый 2 2 11 7 4 2" xfId="19589" xr:uid="{00000000-0005-0000-0000-0000A31F0000}"/>
    <cellStyle name="Финансовый 2 2 11 7 4 2 2" xfId="43544" xr:uid="{00000000-0005-0000-0000-0000A41F0000}"/>
    <cellStyle name="Финансовый 2 2 11 7 4 3" xfId="31566" xr:uid="{00000000-0005-0000-0000-0000A51F0000}"/>
    <cellStyle name="Финансовый 2 2 11 7 5" xfId="9394" xr:uid="{00000000-0005-0000-0000-0000A61F0000}"/>
    <cellStyle name="Финансовый 2 2 11 7 5 2" xfId="21372" xr:uid="{00000000-0005-0000-0000-0000A71F0000}"/>
    <cellStyle name="Финансовый 2 2 11 7 5 2 2" xfId="45327" xr:uid="{00000000-0005-0000-0000-0000A81F0000}"/>
    <cellStyle name="Финансовый 2 2 11 7 5 3" xfId="33349" xr:uid="{00000000-0005-0000-0000-0000A91F0000}"/>
    <cellStyle name="Финансовый 2 2 11 7 6" xfId="13552" xr:uid="{00000000-0005-0000-0000-0000AA1F0000}"/>
    <cellStyle name="Финансовый 2 2 11 7 6 2" xfId="37507" xr:uid="{00000000-0005-0000-0000-0000AB1F0000}"/>
    <cellStyle name="Финансовый 2 2 11 7 7" xfId="25530" xr:uid="{00000000-0005-0000-0000-0000AC1F0000}"/>
    <cellStyle name="Финансовый 2 2 11 7 8" xfId="48663" xr:uid="{00000000-0005-0000-0000-0000AD1F0000}"/>
    <cellStyle name="Финансовый 2 2 11 8" xfId="859" xr:uid="{00000000-0005-0000-0000-0000AE1F0000}"/>
    <cellStyle name="Финансовый 2 2 11 8 2" xfId="6899" xr:uid="{00000000-0005-0000-0000-0000AF1F0000}"/>
    <cellStyle name="Финансовый 2 2 11 8 2 2" xfId="18877" xr:uid="{00000000-0005-0000-0000-0000B01F0000}"/>
    <cellStyle name="Финансовый 2 2 11 8 2 2 2" xfId="42832" xr:uid="{00000000-0005-0000-0000-0000B11F0000}"/>
    <cellStyle name="Финансовый 2 2 11 8 2 3" xfId="30854" xr:uid="{00000000-0005-0000-0000-0000B21F0000}"/>
    <cellStyle name="Финансовый 2 2 11 8 3" xfId="10447" xr:uid="{00000000-0005-0000-0000-0000B31F0000}"/>
    <cellStyle name="Финансовый 2 2 11 8 3 2" xfId="22425" xr:uid="{00000000-0005-0000-0000-0000B41F0000}"/>
    <cellStyle name="Финансовый 2 2 11 8 3 2 2" xfId="46380" xr:uid="{00000000-0005-0000-0000-0000B51F0000}"/>
    <cellStyle name="Финансовый 2 2 11 8 3 3" xfId="34402" xr:uid="{00000000-0005-0000-0000-0000B61F0000}"/>
    <cellStyle name="Финансовый 2 2 11 8 4" xfId="12840" xr:uid="{00000000-0005-0000-0000-0000B71F0000}"/>
    <cellStyle name="Финансовый 2 2 11 8 4 2" xfId="36795" xr:uid="{00000000-0005-0000-0000-0000B81F0000}"/>
    <cellStyle name="Финансовый 2 2 11 8 5" xfId="24818" xr:uid="{00000000-0005-0000-0000-0000B91F0000}"/>
    <cellStyle name="Финансовый 2 2 11 8 6" xfId="49716" xr:uid="{00000000-0005-0000-0000-0000BA1F0000}"/>
    <cellStyle name="Финансовый 2 2 11 9" xfId="439" xr:uid="{00000000-0005-0000-0000-0000BB1F0000}"/>
    <cellStyle name="Финансовый 2 2 11 9 2" xfId="6479" xr:uid="{00000000-0005-0000-0000-0000BC1F0000}"/>
    <cellStyle name="Финансовый 2 2 11 9 2 2" xfId="18457" xr:uid="{00000000-0005-0000-0000-0000BD1F0000}"/>
    <cellStyle name="Финансовый 2 2 11 9 2 2 2" xfId="42412" xr:uid="{00000000-0005-0000-0000-0000BE1F0000}"/>
    <cellStyle name="Финансовый 2 2 11 9 2 3" xfId="30434" xr:uid="{00000000-0005-0000-0000-0000BF1F0000}"/>
    <cellStyle name="Финансовый 2 2 11 9 3" xfId="12420" xr:uid="{00000000-0005-0000-0000-0000C01F0000}"/>
    <cellStyle name="Финансовый 2 2 11 9 3 2" xfId="36375" xr:uid="{00000000-0005-0000-0000-0000C11F0000}"/>
    <cellStyle name="Финансовый 2 2 11 9 4" xfId="24398" xr:uid="{00000000-0005-0000-0000-0000C21F0000}"/>
    <cellStyle name="Финансовый 2 2 12" xfId="142" xr:uid="{00000000-0005-0000-0000-0000C31F0000}"/>
    <cellStyle name="Финансовый 2 2 12 10" xfId="8790" xr:uid="{00000000-0005-0000-0000-0000C41F0000}"/>
    <cellStyle name="Финансовый 2 2 12 10 2" xfId="20768" xr:uid="{00000000-0005-0000-0000-0000C51F0000}"/>
    <cellStyle name="Финансовый 2 2 12 10 2 2" xfId="44723" xr:uid="{00000000-0005-0000-0000-0000C61F0000}"/>
    <cellStyle name="Финансовый 2 2 12 10 3" xfId="32745" xr:uid="{00000000-0005-0000-0000-0000C71F0000}"/>
    <cellStyle name="Финансовый 2 2 12 11" xfId="12124" xr:uid="{00000000-0005-0000-0000-0000C81F0000}"/>
    <cellStyle name="Финансовый 2 2 12 11 2" xfId="36079" xr:uid="{00000000-0005-0000-0000-0000C91F0000}"/>
    <cellStyle name="Финансовый 2 2 12 12" xfId="24102" xr:uid="{00000000-0005-0000-0000-0000CA1F0000}"/>
    <cellStyle name="Финансовый 2 2 12 13" xfId="48060" xr:uid="{00000000-0005-0000-0000-0000CB1F0000}"/>
    <cellStyle name="Финансовый 2 2 12 2" xfId="1240" xr:uid="{00000000-0005-0000-0000-0000CC1F0000}"/>
    <cellStyle name="Финансовый 2 2 12 2 2" xfId="2206" xr:uid="{00000000-0005-0000-0000-0000CD1F0000}"/>
    <cellStyle name="Финансовый 2 2 12 2 2 2" xfId="3851" xr:uid="{00000000-0005-0000-0000-0000CE1F0000}"/>
    <cellStyle name="Финансовый 2 2 12 2 2 2 2" xfId="11591" xr:uid="{00000000-0005-0000-0000-0000CF1F0000}"/>
    <cellStyle name="Финансовый 2 2 12 2 2 2 2 2" xfId="23569" xr:uid="{00000000-0005-0000-0000-0000D01F0000}"/>
    <cellStyle name="Финансовый 2 2 12 2 2 2 2 2 2" xfId="47524" xr:uid="{00000000-0005-0000-0000-0000D11F0000}"/>
    <cellStyle name="Финансовый 2 2 12 2 2 2 2 3" xfId="35546" xr:uid="{00000000-0005-0000-0000-0000D21F0000}"/>
    <cellStyle name="Финансовый 2 2 12 2 2 2 3" xfId="15830" xr:uid="{00000000-0005-0000-0000-0000D31F0000}"/>
    <cellStyle name="Финансовый 2 2 12 2 2 2 3 2" xfId="39785" xr:uid="{00000000-0005-0000-0000-0000D41F0000}"/>
    <cellStyle name="Финансовый 2 2 12 2 2 2 4" xfId="27808" xr:uid="{00000000-0005-0000-0000-0000D51F0000}"/>
    <cellStyle name="Финансовый 2 2 12 2 2 2 5" xfId="51077" xr:uid="{00000000-0005-0000-0000-0000D61F0000}"/>
    <cellStyle name="Финансовый 2 2 12 2 2 3" xfId="5634" xr:uid="{00000000-0005-0000-0000-0000D71F0000}"/>
    <cellStyle name="Финансовый 2 2 12 2 2 3 2" xfId="17612" xr:uid="{00000000-0005-0000-0000-0000D81F0000}"/>
    <cellStyle name="Финансовый 2 2 12 2 2 3 2 2" xfId="41567" xr:uid="{00000000-0005-0000-0000-0000D91F0000}"/>
    <cellStyle name="Финансовый 2 2 12 2 2 3 3" xfId="29589" xr:uid="{00000000-0005-0000-0000-0000DA1F0000}"/>
    <cellStyle name="Финансовый 2 2 12 2 2 4" xfId="8244" xr:uid="{00000000-0005-0000-0000-0000DB1F0000}"/>
    <cellStyle name="Финансовый 2 2 12 2 2 4 2" xfId="20222" xr:uid="{00000000-0005-0000-0000-0000DC1F0000}"/>
    <cellStyle name="Финансовый 2 2 12 2 2 4 2 2" xfId="44177" xr:uid="{00000000-0005-0000-0000-0000DD1F0000}"/>
    <cellStyle name="Финансовый 2 2 12 2 2 4 3" xfId="32199" xr:uid="{00000000-0005-0000-0000-0000DE1F0000}"/>
    <cellStyle name="Финансовый 2 2 12 2 2 5" xfId="10027" xr:uid="{00000000-0005-0000-0000-0000DF1F0000}"/>
    <cellStyle name="Финансовый 2 2 12 2 2 5 2" xfId="22005" xr:uid="{00000000-0005-0000-0000-0000E01F0000}"/>
    <cellStyle name="Финансовый 2 2 12 2 2 5 2 2" xfId="45960" xr:uid="{00000000-0005-0000-0000-0000E11F0000}"/>
    <cellStyle name="Финансовый 2 2 12 2 2 5 3" xfId="33982" xr:uid="{00000000-0005-0000-0000-0000E21F0000}"/>
    <cellStyle name="Финансовый 2 2 12 2 2 6" xfId="14185" xr:uid="{00000000-0005-0000-0000-0000E31F0000}"/>
    <cellStyle name="Финансовый 2 2 12 2 2 6 2" xfId="38140" xr:uid="{00000000-0005-0000-0000-0000E41F0000}"/>
    <cellStyle name="Финансовый 2 2 12 2 2 7" xfId="26163" xr:uid="{00000000-0005-0000-0000-0000E51F0000}"/>
    <cellStyle name="Финансовый 2 2 12 2 2 8" xfId="49296" xr:uid="{00000000-0005-0000-0000-0000E61F0000}"/>
    <cellStyle name="Финансовый 2 2 12 2 3" xfId="3024" xr:uid="{00000000-0005-0000-0000-0000E71F0000}"/>
    <cellStyle name="Финансовый 2 2 12 2 3 2" xfId="10819" xr:uid="{00000000-0005-0000-0000-0000E81F0000}"/>
    <cellStyle name="Финансовый 2 2 12 2 3 2 2" xfId="22797" xr:uid="{00000000-0005-0000-0000-0000E91F0000}"/>
    <cellStyle name="Финансовый 2 2 12 2 3 2 2 2" xfId="46752" xr:uid="{00000000-0005-0000-0000-0000EA1F0000}"/>
    <cellStyle name="Финансовый 2 2 12 2 3 2 3" xfId="34774" xr:uid="{00000000-0005-0000-0000-0000EB1F0000}"/>
    <cellStyle name="Финансовый 2 2 12 2 3 3" xfId="15003" xr:uid="{00000000-0005-0000-0000-0000EC1F0000}"/>
    <cellStyle name="Финансовый 2 2 12 2 3 3 2" xfId="38958" xr:uid="{00000000-0005-0000-0000-0000ED1F0000}"/>
    <cellStyle name="Финансовый 2 2 12 2 3 4" xfId="26981" xr:uid="{00000000-0005-0000-0000-0000EE1F0000}"/>
    <cellStyle name="Финансовый 2 2 12 2 3 5" xfId="50112" xr:uid="{00000000-0005-0000-0000-0000EF1F0000}"/>
    <cellStyle name="Финансовый 2 2 12 2 4" xfId="4668" xr:uid="{00000000-0005-0000-0000-0000F01F0000}"/>
    <cellStyle name="Финансовый 2 2 12 2 4 2" xfId="16647" xr:uid="{00000000-0005-0000-0000-0000F11F0000}"/>
    <cellStyle name="Финансовый 2 2 12 2 4 2 2" xfId="40602" xr:uid="{00000000-0005-0000-0000-0000F21F0000}"/>
    <cellStyle name="Финансовый 2 2 12 2 4 3" xfId="28625" xr:uid="{00000000-0005-0000-0000-0000F31F0000}"/>
    <cellStyle name="Финансовый 2 2 12 2 5" xfId="7280" xr:uid="{00000000-0005-0000-0000-0000F41F0000}"/>
    <cellStyle name="Финансовый 2 2 12 2 5 2" xfId="19258" xr:uid="{00000000-0005-0000-0000-0000F51F0000}"/>
    <cellStyle name="Финансовый 2 2 12 2 5 2 2" xfId="43213" xr:uid="{00000000-0005-0000-0000-0000F61F0000}"/>
    <cellStyle name="Финансовый 2 2 12 2 5 3" xfId="31235" xr:uid="{00000000-0005-0000-0000-0000F71F0000}"/>
    <cellStyle name="Финансовый 2 2 12 2 6" xfId="9062" xr:uid="{00000000-0005-0000-0000-0000F81F0000}"/>
    <cellStyle name="Финансовый 2 2 12 2 6 2" xfId="21040" xr:uid="{00000000-0005-0000-0000-0000F91F0000}"/>
    <cellStyle name="Финансовый 2 2 12 2 6 2 2" xfId="44995" xr:uid="{00000000-0005-0000-0000-0000FA1F0000}"/>
    <cellStyle name="Финансовый 2 2 12 2 6 3" xfId="33017" xr:uid="{00000000-0005-0000-0000-0000FB1F0000}"/>
    <cellStyle name="Финансовый 2 2 12 2 7" xfId="13221" xr:uid="{00000000-0005-0000-0000-0000FC1F0000}"/>
    <cellStyle name="Финансовый 2 2 12 2 7 2" xfId="37176" xr:uid="{00000000-0005-0000-0000-0000FD1F0000}"/>
    <cellStyle name="Финансовый 2 2 12 2 8" xfId="25199" xr:uid="{00000000-0005-0000-0000-0000FE1F0000}"/>
    <cellStyle name="Финансовый 2 2 12 2 9" xfId="48332" xr:uid="{00000000-0005-0000-0000-0000FF1F0000}"/>
    <cellStyle name="Финансовый 2 2 12 3" xfId="1950" xr:uid="{00000000-0005-0000-0000-000000200000}"/>
    <cellStyle name="Финансовый 2 2 12 3 2" xfId="3595" xr:uid="{00000000-0005-0000-0000-000001200000}"/>
    <cellStyle name="Финансовый 2 2 12 3 2 2" xfId="11335" xr:uid="{00000000-0005-0000-0000-000002200000}"/>
    <cellStyle name="Финансовый 2 2 12 3 2 2 2" xfId="23313" xr:uid="{00000000-0005-0000-0000-000003200000}"/>
    <cellStyle name="Финансовый 2 2 12 3 2 2 2 2" xfId="47268" xr:uid="{00000000-0005-0000-0000-000004200000}"/>
    <cellStyle name="Финансовый 2 2 12 3 2 2 3" xfId="35290" xr:uid="{00000000-0005-0000-0000-000005200000}"/>
    <cellStyle name="Финансовый 2 2 12 3 2 3" xfId="15574" xr:uid="{00000000-0005-0000-0000-000006200000}"/>
    <cellStyle name="Финансовый 2 2 12 3 2 3 2" xfId="39529" xr:uid="{00000000-0005-0000-0000-000007200000}"/>
    <cellStyle name="Финансовый 2 2 12 3 2 4" xfId="27552" xr:uid="{00000000-0005-0000-0000-000008200000}"/>
    <cellStyle name="Финансовый 2 2 12 3 2 5" xfId="50821" xr:uid="{00000000-0005-0000-0000-000009200000}"/>
    <cellStyle name="Финансовый 2 2 12 3 3" xfId="5378" xr:uid="{00000000-0005-0000-0000-00000A200000}"/>
    <cellStyle name="Финансовый 2 2 12 3 3 2" xfId="17356" xr:uid="{00000000-0005-0000-0000-00000B200000}"/>
    <cellStyle name="Финансовый 2 2 12 3 3 2 2" xfId="41311" xr:uid="{00000000-0005-0000-0000-00000C200000}"/>
    <cellStyle name="Финансовый 2 2 12 3 3 3" xfId="29333" xr:uid="{00000000-0005-0000-0000-00000D200000}"/>
    <cellStyle name="Финансовый 2 2 12 3 4" xfId="7988" xr:uid="{00000000-0005-0000-0000-00000E200000}"/>
    <cellStyle name="Финансовый 2 2 12 3 4 2" xfId="19966" xr:uid="{00000000-0005-0000-0000-00000F200000}"/>
    <cellStyle name="Финансовый 2 2 12 3 4 2 2" xfId="43921" xr:uid="{00000000-0005-0000-0000-000010200000}"/>
    <cellStyle name="Финансовый 2 2 12 3 4 3" xfId="31943" xr:uid="{00000000-0005-0000-0000-000011200000}"/>
    <cellStyle name="Финансовый 2 2 12 3 5" xfId="9771" xr:uid="{00000000-0005-0000-0000-000012200000}"/>
    <cellStyle name="Финансовый 2 2 12 3 5 2" xfId="21749" xr:uid="{00000000-0005-0000-0000-000013200000}"/>
    <cellStyle name="Финансовый 2 2 12 3 5 2 2" xfId="45704" xr:uid="{00000000-0005-0000-0000-000014200000}"/>
    <cellStyle name="Финансовый 2 2 12 3 5 3" xfId="33726" xr:uid="{00000000-0005-0000-0000-000015200000}"/>
    <cellStyle name="Финансовый 2 2 12 3 6" xfId="13929" xr:uid="{00000000-0005-0000-0000-000016200000}"/>
    <cellStyle name="Финансовый 2 2 12 3 6 2" xfId="37884" xr:uid="{00000000-0005-0000-0000-000017200000}"/>
    <cellStyle name="Финансовый 2 2 12 3 7" xfId="25907" xr:uid="{00000000-0005-0000-0000-000018200000}"/>
    <cellStyle name="Финансовый 2 2 12 3 8" xfId="49040" xr:uid="{00000000-0005-0000-0000-000019200000}"/>
    <cellStyle name="Финансовый 2 2 12 4" xfId="2471" xr:uid="{00000000-0005-0000-0000-00001A200000}"/>
    <cellStyle name="Финансовый 2 2 12 4 2" xfId="4116" xr:uid="{00000000-0005-0000-0000-00001B200000}"/>
    <cellStyle name="Финансовый 2 2 12 4 2 2" xfId="11848" xr:uid="{00000000-0005-0000-0000-00001C200000}"/>
    <cellStyle name="Финансовый 2 2 12 4 2 2 2" xfId="23826" xr:uid="{00000000-0005-0000-0000-00001D200000}"/>
    <cellStyle name="Финансовый 2 2 12 4 2 2 2 2" xfId="47781" xr:uid="{00000000-0005-0000-0000-00001E200000}"/>
    <cellStyle name="Финансовый 2 2 12 4 2 2 3" xfId="35803" xr:uid="{00000000-0005-0000-0000-00001F200000}"/>
    <cellStyle name="Финансовый 2 2 12 4 2 3" xfId="16095" xr:uid="{00000000-0005-0000-0000-000020200000}"/>
    <cellStyle name="Финансовый 2 2 12 4 2 3 2" xfId="40050" xr:uid="{00000000-0005-0000-0000-000021200000}"/>
    <cellStyle name="Финансовый 2 2 12 4 2 4" xfId="28073" xr:uid="{00000000-0005-0000-0000-000022200000}"/>
    <cellStyle name="Финансовый 2 2 12 4 2 5" xfId="51342" xr:uid="{00000000-0005-0000-0000-000023200000}"/>
    <cellStyle name="Финансовый 2 2 12 4 3" xfId="5899" xr:uid="{00000000-0005-0000-0000-000024200000}"/>
    <cellStyle name="Финансовый 2 2 12 4 3 2" xfId="17877" xr:uid="{00000000-0005-0000-0000-000025200000}"/>
    <cellStyle name="Финансовый 2 2 12 4 3 2 2" xfId="41832" xr:uid="{00000000-0005-0000-0000-000026200000}"/>
    <cellStyle name="Финансовый 2 2 12 4 3 3" xfId="29854" xr:uid="{00000000-0005-0000-0000-000027200000}"/>
    <cellStyle name="Финансовый 2 2 12 4 4" xfId="8509" xr:uid="{00000000-0005-0000-0000-000028200000}"/>
    <cellStyle name="Финансовый 2 2 12 4 4 2" xfId="20487" xr:uid="{00000000-0005-0000-0000-000029200000}"/>
    <cellStyle name="Финансовый 2 2 12 4 4 2 2" xfId="44442" xr:uid="{00000000-0005-0000-0000-00002A200000}"/>
    <cellStyle name="Финансовый 2 2 12 4 4 3" xfId="32464" xr:uid="{00000000-0005-0000-0000-00002B200000}"/>
    <cellStyle name="Финансовый 2 2 12 4 5" xfId="10292" xr:uid="{00000000-0005-0000-0000-00002C200000}"/>
    <cellStyle name="Финансовый 2 2 12 4 5 2" xfId="22270" xr:uid="{00000000-0005-0000-0000-00002D200000}"/>
    <cellStyle name="Финансовый 2 2 12 4 5 2 2" xfId="46225" xr:uid="{00000000-0005-0000-0000-00002E200000}"/>
    <cellStyle name="Финансовый 2 2 12 4 5 3" xfId="34247" xr:uid="{00000000-0005-0000-0000-00002F200000}"/>
    <cellStyle name="Финансовый 2 2 12 4 6" xfId="14450" xr:uid="{00000000-0005-0000-0000-000030200000}"/>
    <cellStyle name="Финансовый 2 2 12 4 6 2" xfId="38405" xr:uid="{00000000-0005-0000-0000-000031200000}"/>
    <cellStyle name="Финансовый 2 2 12 4 7" xfId="26428" xr:uid="{00000000-0005-0000-0000-000032200000}"/>
    <cellStyle name="Финансовый 2 2 12 4 8" xfId="49561" xr:uid="{00000000-0005-0000-0000-000033200000}"/>
    <cellStyle name="Финансовый 2 2 12 5" xfId="975" xr:uid="{00000000-0005-0000-0000-000034200000}"/>
    <cellStyle name="Финансовый 2 2 12 5 2" xfId="7015" xr:uid="{00000000-0005-0000-0000-000035200000}"/>
    <cellStyle name="Финансовый 2 2 12 5 2 2" xfId="18993" xr:uid="{00000000-0005-0000-0000-000036200000}"/>
    <cellStyle name="Финансовый 2 2 12 5 2 2 2" xfId="42948" xr:uid="{00000000-0005-0000-0000-000037200000}"/>
    <cellStyle name="Финансовый 2 2 12 5 2 3" xfId="30970" xr:uid="{00000000-0005-0000-0000-000038200000}"/>
    <cellStyle name="Финансовый 2 2 12 5 3" xfId="10563" xr:uid="{00000000-0005-0000-0000-000039200000}"/>
    <cellStyle name="Финансовый 2 2 12 5 3 2" xfId="22541" xr:uid="{00000000-0005-0000-0000-00003A200000}"/>
    <cellStyle name="Финансовый 2 2 12 5 3 2 2" xfId="46496" xr:uid="{00000000-0005-0000-0000-00003B200000}"/>
    <cellStyle name="Финансовый 2 2 12 5 3 3" xfId="34518" xr:uid="{00000000-0005-0000-0000-00003C200000}"/>
    <cellStyle name="Финансовый 2 2 12 5 4" xfId="12956" xr:uid="{00000000-0005-0000-0000-00003D200000}"/>
    <cellStyle name="Финансовый 2 2 12 5 4 2" xfId="36911" xr:uid="{00000000-0005-0000-0000-00003E200000}"/>
    <cellStyle name="Финансовый 2 2 12 5 5" xfId="24934" xr:uid="{00000000-0005-0000-0000-00003F200000}"/>
    <cellStyle name="Финансовый 2 2 12 5 6" xfId="49840" xr:uid="{00000000-0005-0000-0000-000040200000}"/>
    <cellStyle name="Финансовый 2 2 12 6" xfId="563" xr:uid="{00000000-0005-0000-0000-000041200000}"/>
    <cellStyle name="Финансовый 2 2 12 6 2" xfId="6603" xr:uid="{00000000-0005-0000-0000-000042200000}"/>
    <cellStyle name="Финансовый 2 2 12 6 2 2" xfId="18581" xr:uid="{00000000-0005-0000-0000-000043200000}"/>
    <cellStyle name="Финансовый 2 2 12 6 2 2 2" xfId="42536" xr:uid="{00000000-0005-0000-0000-000044200000}"/>
    <cellStyle name="Финансовый 2 2 12 6 2 3" xfId="30558" xr:uid="{00000000-0005-0000-0000-000045200000}"/>
    <cellStyle name="Финансовый 2 2 12 6 3" xfId="12544" xr:uid="{00000000-0005-0000-0000-000046200000}"/>
    <cellStyle name="Финансовый 2 2 12 6 3 2" xfId="36499" xr:uid="{00000000-0005-0000-0000-000047200000}"/>
    <cellStyle name="Финансовый 2 2 12 6 4" xfId="24522" xr:uid="{00000000-0005-0000-0000-000048200000}"/>
    <cellStyle name="Финансовый 2 2 12 7" xfId="2752" xr:uid="{00000000-0005-0000-0000-000049200000}"/>
    <cellStyle name="Финансовый 2 2 12 7 2" xfId="14731" xr:uid="{00000000-0005-0000-0000-00004A200000}"/>
    <cellStyle name="Финансовый 2 2 12 7 2 2" xfId="38686" xr:uid="{00000000-0005-0000-0000-00004B200000}"/>
    <cellStyle name="Финансовый 2 2 12 7 3" xfId="26709" xr:uid="{00000000-0005-0000-0000-00004C200000}"/>
    <cellStyle name="Финансовый 2 2 12 8" xfId="4396" xr:uid="{00000000-0005-0000-0000-00004D200000}"/>
    <cellStyle name="Финансовый 2 2 12 8 2" xfId="16375" xr:uid="{00000000-0005-0000-0000-00004E200000}"/>
    <cellStyle name="Финансовый 2 2 12 8 2 2" xfId="40330" xr:uid="{00000000-0005-0000-0000-00004F200000}"/>
    <cellStyle name="Финансовый 2 2 12 8 3" xfId="28353" xr:uid="{00000000-0005-0000-0000-000050200000}"/>
    <cellStyle name="Финансовый 2 2 12 9" xfId="6183" xr:uid="{00000000-0005-0000-0000-000051200000}"/>
    <cellStyle name="Финансовый 2 2 12 9 2" xfId="18161" xr:uid="{00000000-0005-0000-0000-000052200000}"/>
    <cellStyle name="Финансовый 2 2 12 9 2 2" xfId="42116" xr:uid="{00000000-0005-0000-0000-000053200000}"/>
    <cellStyle name="Финансовый 2 2 12 9 3" xfId="30138" xr:uid="{00000000-0005-0000-0000-000054200000}"/>
    <cellStyle name="Финансовый 2 2 13" xfId="278" xr:uid="{00000000-0005-0000-0000-000055200000}"/>
    <cellStyle name="Финансовый 2 2 13 10" xfId="24238" xr:uid="{00000000-0005-0000-0000-000056200000}"/>
    <cellStyle name="Финансовый 2 2 13 11" xfId="48468" xr:uid="{00000000-0005-0000-0000-000057200000}"/>
    <cellStyle name="Финансовый 2 2 13 2" xfId="2078" xr:uid="{00000000-0005-0000-0000-000058200000}"/>
    <cellStyle name="Финансовый 2 2 13 2 2" xfId="3723" xr:uid="{00000000-0005-0000-0000-000059200000}"/>
    <cellStyle name="Финансовый 2 2 13 2 2 2" xfId="11463" xr:uid="{00000000-0005-0000-0000-00005A200000}"/>
    <cellStyle name="Финансовый 2 2 13 2 2 2 2" xfId="23441" xr:uid="{00000000-0005-0000-0000-00005B200000}"/>
    <cellStyle name="Финансовый 2 2 13 2 2 2 2 2" xfId="47396" xr:uid="{00000000-0005-0000-0000-00005C200000}"/>
    <cellStyle name="Финансовый 2 2 13 2 2 2 3" xfId="35418" xr:uid="{00000000-0005-0000-0000-00005D200000}"/>
    <cellStyle name="Финансовый 2 2 13 2 2 3" xfId="15702" xr:uid="{00000000-0005-0000-0000-00005E200000}"/>
    <cellStyle name="Финансовый 2 2 13 2 2 3 2" xfId="39657" xr:uid="{00000000-0005-0000-0000-00005F200000}"/>
    <cellStyle name="Финансовый 2 2 13 2 2 4" xfId="27680" xr:uid="{00000000-0005-0000-0000-000060200000}"/>
    <cellStyle name="Финансовый 2 2 13 2 2 5" xfId="50949" xr:uid="{00000000-0005-0000-0000-000061200000}"/>
    <cellStyle name="Финансовый 2 2 13 2 3" xfId="5506" xr:uid="{00000000-0005-0000-0000-000062200000}"/>
    <cellStyle name="Финансовый 2 2 13 2 3 2" xfId="17484" xr:uid="{00000000-0005-0000-0000-000063200000}"/>
    <cellStyle name="Финансовый 2 2 13 2 3 2 2" xfId="41439" xr:uid="{00000000-0005-0000-0000-000064200000}"/>
    <cellStyle name="Финансовый 2 2 13 2 3 3" xfId="29461" xr:uid="{00000000-0005-0000-0000-000065200000}"/>
    <cellStyle name="Финансовый 2 2 13 2 4" xfId="8116" xr:uid="{00000000-0005-0000-0000-000066200000}"/>
    <cellStyle name="Финансовый 2 2 13 2 4 2" xfId="20094" xr:uid="{00000000-0005-0000-0000-000067200000}"/>
    <cellStyle name="Финансовый 2 2 13 2 4 2 2" xfId="44049" xr:uid="{00000000-0005-0000-0000-000068200000}"/>
    <cellStyle name="Финансовый 2 2 13 2 4 3" xfId="32071" xr:uid="{00000000-0005-0000-0000-000069200000}"/>
    <cellStyle name="Финансовый 2 2 13 2 5" xfId="9899" xr:uid="{00000000-0005-0000-0000-00006A200000}"/>
    <cellStyle name="Финансовый 2 2 13 2 5 2" xfId="21877" xr:uid="{00000000-0005-0000-0000-00006B200000}"/>
    <cellStyle name="Финансовый 2 2 13 2 5 2 2" xfId="45832" xr:uid="{00000000-0005-0000-0000-00006C200000}"/>
    <cellStyle name="Финансовый 2 2 13 2 5 3" xfId="33854" xr:uid="{00000000-0005-0000-0000-00006D200000}"/>
    <cellStyle name="Финансовый 2 2 13 2 6" xfId="14057" xr:uid="{00000000-0005-0000-0000-00006E200000}"/>
    <cellStyle name="Финансовый 2 2 13 2 6 2" xfId="38012" xr:uid="{00000000-0005-0000-0000-00006F200000}"/>
    <cellStyle name="Финансовый 2 2 13 2 7" xfId="26035" xr:uid="{00000000-0005-0000-0000-000070200000}"/>
    <cellStyle name="Финансовый 2 2 13 2 8" xfId="49168" xr:uid="{00000000-0005-0000-0000-000071200000}"/>
    <cellStyle name="Финансовый 2 2 13 3" xfId="1376" xr:uid="{00000000-0005-0000-0000-000072200000}"/>
    <cellStyle name="Финансовый 2 2 13 3 2" xfId="7416" xr:uid="{00000000-0005-0000-0000-000073200000}"/>
    <cellStyle name="Финансовый 2 2 13 3 2 2" xfId="19394" xr:uid="{00000000-0005-0000-0000-000074200000}"/>
    <cellStyle name="Финансовый 2 2 13 3 2 2 2" xfId="43349" xr:uid="{00000000-0005-0000-0000-000075200000}"/>
    <cellStyle name="Финансовый 2 2 13 3 2 3" xfId="31371" xr:uid="{00000000-0005-0000-0000-000076200000}"/>
    <cellStyle name="Финансовый 2 2 13 3 3" xfId="10947" xr:uid="{00000000-0005-0000-0000-000077200000}"/>
    <cellStyle name="Финансовый 2 2 13 3 3 2" xfId="22925" xr:uid="{00000000-0005-0000-0000-000078200000}"/>
    <cellStyle name="Финансовый 2 2 13 3 3 2 2" xfId="46880" xr:uid="{00000000-0005-0000-0000-000079200000}"/>
    <cellStyle name="Финансовый 2 2 13 3 3 3" xfId="34902" xr:uid="{00000000-0005-0000-0000-00007A200000}"/>
    <cellStyle name="Финансовый 2 2 13 3 4" xfId="13357" xr:uid="{00000000-0005-0000-0000-00007B200000}"/>
    <cellStyle name="Финансовый 2 2 13 3 4 2" xfId="37312" xr:uid="{00000000-0005-0000-0000-00007C200000}"/>
    <cellStyle name="Финансовый 2 2 13 3 5" xfId="25335" xr:uid="{00000000-0005-0000-0000-00007D200000}"/>
    <cellStyle name="Финансовый 2 2 13 3 6" xfId="50248" xr:uid="{00000000-0005-0000-0000-00007E200000}"/>
    <cellStyle name="Финансовый 2 2 13 4" xfId="699" xr:uid="{00000000-0005-0000-0000-00007F200000}"/>
    <cellStyle name="Финансовый 2 2 13 4 2" xfId="6739" xr:uid="{00000000-0005-0000-0000-000080200000}"/>
    <cellStyle name="Финансовый 2 2 13 4 2 2" xfId="18717" xr:uid="{00000000-0005-0000-0000-000081200000}"/>
    <cellStyle name="Финансовый 2 2 13 4 2 2 2" xfId="42672" xr:uid="{00000000-0005-0000-0000-000082200000}"/>
    <cellStyle name="Финансовый 2 2 13 4 2 3" xfId="30694" xr:uid="{00000000-0005-0000-0000-000083200000}"/>
    <cellStyle name="Финансовый 2 2 13 4 3" xfId="12680" xr:uid="{00000000-0005-0000-0000-000084200000}"/>
    <cellStyle name="Финансовый 2 2 13 4 3 2" xfId="36635" xr:uid="{00000000-0005-0000-0000-000085200000}"/>
    <cellStyle name="Финансовый 2 2 13 4 4" xfId="24658" xr:uid="{00000000-0005-0000-0000-000086200000}"/>
    <cellStyle name="Финансовый 2 2 13 5" xfId="3160" xr:uid="{00000000-0005-0000-0000-000087200000}"/>
    <cellStyle name="Финансовый 2 2 13 5 2" xfId="15139" xr:uid="{00000000-0005-0000-0000-000088200000}"/>
    <cellStyle name="Финансовый 2 2 13 5 2 2" xfId="39094" xr:uid="{00000000-0005-0000-0000-000089200000}"/>
    <cellStyle name="Финансовый 2 2 13 5 3" xfId="27117" xr:uid="{00000000-0005-0000-0000-00008A200000}"/>
    <cellStyle name="Финансовый 2 2 13 6" xfId="4804" xr:uid="{00000000-0005-0000-0000-00008B200000}"/>
    <cellStyle name="Финансовый 2 2 13 6 2" xfId="16783" xr:uid="{00000000-0005-0000-0000-00008C200000}"/>
    <cellStyle name="Финансовый 2 2 13 6 2 2" xfId="40738" xr:uid="{00000000-0005-0000-0000-00008D200000}"/>
    <cellStyle name="Финансовый 2 2 13 6 3" xfId="28761" xr:uid="{00000000-0005-0000-0000-00008E200000}"/>
    <cellStyle name="Финансовый 2 2 13 7" xfId="6319" xr:uid="{00000000-0005-0000-0000-00008F200000}"/>
    <cellStyle name="Финансовый 2 2 13 7 2" xfId="18297" xr:uid="{00000000-0005-0000-0000-000090200000}"/>
    <cellStyle name="Финансовый 2 2 13 7 2 2" xfId="42252" xr:uid="{00000000-0005-0000-0000-000091200000}"/>
    <cellStyle name="Финансовый 2 2 13 7 3" xfId="30274" xr:uid="{00000000-0005-0000-0000-000092200000}"/>
    <cellStyle name="Финансовый 2 2 13 8" xfId="9198" xr:uid="{00000000-0005-0000-0000-000093200000}"/>
    <cellStyle name="Финансовый 2 2 13 8 2" xfId="21176" xr:uid="{00000000-0005-0000-0000-000094200000}"/>
    <cellStyle name="Финансовый 2 2 13 8 2 2" xfId="45131" xr:uid="{00000000-0005-0000-0000-000095200000}"/>
    <cellStyle name="Финансовый 2 2 13 8 3" xfId="33153" xr:uid="{00000000-0005-0000-0000-000096200000}"/>
    <cellStyle name="Финансовый 2 2 13 9" xfId="12260" xr:uid="{00000000-0005-0000-0000-000097200000}"/>
    <cellStyle name="Финансовый 2 2 13 9 2" xfId="36215" xr:uid="{00000000-0005-0000-0000-000098200000}"/>
    <cellStyle name="Финансовый 2 2 14" xfId="291" xr:uid="{00000000-0005-0000-0000-000099200000}"/>
    <cellStyle name="Финансовый 2 2 14 10" xfId="48196" xr:uid="{00000000-0005-0000-0000-00009A200000}"/>
    <cellStyle name="Финансовый 2 2 14 2" xfId="1111" xr:uid="{00000000-0005-0000-0000-00009B200000}"/>
    <cellStyle name="Финансовый 2 2 14 2 2" xfId="7151" xr:uid="{00000000-0005-0000-0000-00009C200000}"/>
    <cellStyle name="Финансовый 2 2 14 2 2 2" xfId="19129" xr:uid="{00000000-0005-0000-0000-00009D200000}"/>
    <cellStyle name="Финансовый 2 2 14 2 2 2 2" xfId="43084" xr:uid="{00000000-0005-0000-0000-00009E200000}"/>
    <cellStyle name="Финансовый 2 2 14 2 2 3" xfId="31106" xr:uid="{00000000-0005-0000-0000-00009F200000}"/>
    <cellStyle name="Финансовый 2 2 14 2 3" xfId="10691" xr:uid="{00000000-0005-0000-0000-0000A0200000}"/>
    <cellStyle name="Финансовый 2 2 14 2 3 2" xfId="22669" xr:uid="{00000000-0005-0000-0000-0000A1200000}"/>
    <cellStyle name="Финансовый 2 2 14 2 3 2 2" xfId="46624" xr:uid="{00000000-0005-0000-0000-0000A2200000}"/>
    <cellStyle name="Финансовый 2 2 14 2 3 3" xfId="34646" xr:uid="{00000000-0005-0000-0000-0000A3200000}"/>
    <cellStyle name="Финансовый 2 2 14 2 4" xfId="13092" xr:uid="{00000000-0005-0000-0000-0000A4200000}"/>
    <cellStyle name="Финансовый 2 2 14 2 4 2" xfId="37047" xr:uid="{00000000-0005-0000-0000-0000A5200000}"/>
    <cellStyle name="Финансовый 2 2 14 2 5" xfId="25070" xr:uid="{00000000-0005-0000-0000-0000A6200000}"/>
    <cellStyle name="Финансовый 2 2 14 2 6" xfId="49976" xr:uid="{00000000-0005-0000-0000-0000A7200000}"/>
    <cellStyle name="Финансовый 2 2 14 3" xfId="711" xr:uid="{00000000-0005-0000-0000-0000A8200000}"/>
    <cellStyle name="Финансовый 2 2 14 3 2" xfId="6751" xr:uid="{00000000-0005-0000-0000-0000A9200000}"/>
    <cellStyle name="Финансовый 2 2 14 3 2 2" xfId="18729" xr:uid="{00000000-0005-0000-0000-0000AA200000}"/>
    <cellStyle name="Финансовый 2 2 14 3 2 2 2" xfId="42684" xr:uid="{00000000-0005-0000-0000-0000AB200000}"/>
    <cellStyle name="Финансовый 2 2 14 3 2 3" xfId="30706" xr:uid="{00000000-0005-0000-0000-0000AC200000}"/>
    <cellStyle name="Финансовый 2 2 14 3 3" xfId="12692" xr:uid="{00000000-0005-0000-0000-0000AD200000}"/>
    <cellStyle name="Финансовый 2 2 14 3 3 2" xfId="36647" xr:uid="{00000000-0005-0000-0000-0000AE200000}"/>
    <cellStyle name="Финансовый 2 2 14 3 4" xfId="24670" xr:uid="{00000000-0005-0000-0000-0000AF200000}"/>
    <cellStyle name="Финансовый 2 2 14 4" xfId="2888" xr:uid="{00000000-0005-0000-0000-0000B0200000}"/>
    <cellStyle name="Финансовый 2 2 14 4 2" xfId="14867" xr:uid="{00000000-0005-0000-0000-0000B1200000}"/>
    <cellStyle name="Финансовый 2 2 14 4 2 2" xfId="38822" xr:uid="{00000000-0005-0000-0000-0000B2200000}"/>
    <cellStyle name="Финансовый 2 2 14 4 3" xfId="26845" xr:uid="{00000000-0005-0000-0000-0000B3200000}"/>
    <cellStyle name="Финансовый 2 2 14 5" xfId="4532" xr:uid="{00000000-0005-0000-0000-0000B4200000}"/>
    <cellStyle name="Финансовый 2 2 14 5 2" xfId="16511" xr:uid="{00000000-0005-0000-0000-0000B5200000}"/>
    <cellStyle name="Финансовый 2 2 14 5 2 2" xfId="40466" xr:uid="{00000000-0005-0000-0000-0000B6200000}"/>
    <cellStyle name="Финансовый 2 2 14 5 3" xfId="28489" xr:uid="{00000000-0005-0000-0000-0000B7200000}"/>
    <cellStyle name="Финансовый 2 2 14 6" xfId="6331" xr:uid="{00000000-0005-0000-0000-0000B8200000}"/>
    <cellStyle name="Финансовый 2 2 14 6 2" xfId="18309" xr:uid="{00000000-0005-0000-0000-0000B9200000}"/>
    <cellStyle name="Финансовый 2 2 14 6 2 2" xfId="42264" xr:uid="{00000000-0005-0000-0000-0000BA200000}"/>
    <cellStyle name="Финансовый 2 2 14 6 3" xfId="30286" xr:uid="{00000000-0005-0000-0000-0000BB200000}"/>
    <cellStyle name="Финансовый 2 2 14 7" xfId="8926" xr:uid="{00000000-0005-0000-0000-0000BC200000}"/>
    <cellStyle name="Финансовый 2 2 14 7 2" xfId="20904" xr:uid="{00000000-0005-0000-0000-0000BD200000}"/>
    <cellStyle name="Финансовый 2 2 14 7 2 2" xfId="44859" xr:uid="{00000000-0005-0000-0000-0000BE200000}"/>
    <cellStyle name="Финансовый 2 2 14 7 3" xfId="32881" xr:uid="{00000000-0005-0000-0000-0000BF200000}"/>
    <cellStyle name="Финансовый 2 2 14 8" xfId="12272" xr:uid="{00000000-0005-0000-0000-0000C0200000}"/>
    <cellStyle name="Финансовый 2 2 14 8 2" xfId="36227" xr:uid="{00000000-0005-0000-0000-0000C1200000}"/>
    <cellStyle name="Финансовый 2 2 14 9" xfId="24250" xr:uid="{00000000-0005-0000-0000-0000C2200000}"/>
    <cellStyle name="Финансовый 2 2 15" xfId="1454" xr:uid="{00000000-0005-0000-0000-0000C3200000}"/>
    <cellStyle name="Финансовый 2 2 15 2" xfId="1698" xr:uid="{00000000-0005-0000-0000-0000C4200000}"/>
    <cellStyle name="Финансовый 2 2 15 2 2" xfId="3343" xr:uid="{00000000-0005-0000-0000-0000C5200000}"/>
    <cellStyle name="Финансовый 2 2 15 2 2 2" xfId="11091" xr:uid="{00000000-0005-0000-0000-0000C6200000}"/>
    <cellStyle name="Финансовый 2 2 15 2 2 2 2" xfId="23069" xr:uid="{00000000-0005-0000-0000-0000C7200000}"/>
    <cellStyle name="Финансовый 2 2 15 2 2 2 2 2" xfId="47024" xr:uid="{00000000-0005-0000-0000-0000C8200000}"/>
    <cellStyle name="Финансовый 2 2 15 2 2 2 3" xfId="35046" xr:uid="{00000000-0005-0000-0000-0000C9200000}"/>
    <cellStyle name="Финансовый 2 2 15 2 2 3" xfId="15322" xr:uid="{00000000-0005-0000-0000-0000CA200000}"/>
    <cellStyle name="Финансовый 2 2 15 2 2 3 2" xfId="39277" xr:uid="{00000000-0005-0000-0000-0000CB200000}"/>
    <cellStyle name="Финансовый 2 2 15 2 2 4" xfId="27300" xr:uid="{00000000-0005-0000-0000-0000CC200000}"/>
    <cellStyle name="Финансовый 2 2 15 2 2 5" xfId="50569" xr:uid="{00000000-0005-0000-0000-0000CD200000}"/>
    <cellStyle name="Финансовый 2 2 15 2 3" xfId="5126" xr:uid="{00000000-0005-0000-0000-0000CE200000}"/>
    <cellStyle name="Финансовый 2 2 15 2 3 2" xfId="17104" xr:uid="{00000000-0005-0000-0000-0000CF200000}"/>
    <cellStyle name="Финансовый 2 2 15 2 3 2 2" xfId="41059" xr:uid="{00000000-0005-0000-0000-0000D0200000}"/>
    <cellStyle name="Финансовый 2 2 15 2 3 3" xfId="29081" xr:uid="{00000000-0005-0000-0000-0000D1200000}"/>
    <cellStyle name="Финансовый 2 2 15 2 4" xfId="7736" xr:uid="{00000000-0005-0000-0000-0000D2200000}"/>
    <cellStyle name="Финансовый 2 2 15 2 4 2" xfId="19714" xr:uid="{00000000-0005-0000-0000-0000D3200000}"/>
    <cellStyle name="Финансовый 2 2 15 2 4 2 2" xfId="43669" xr:uid="{00000000-0005-0000-0000-0000D4200000}"/>
    <cellStyle name="Финансовый 2 2 15 2 4 3" xfId="31691" xr:uid="{00000000-0005-0000-0000-0000D5200000}"/>
    <cellStyle name="Финансовый 2 2 15 2 5" xfId="9519" xr:uid="{00000000-0005-0000-0000-0000D6200000}"/>
    <cellStyle name="Финансовый 2 2 15 2 5 2" xfId="21497" xr:uid="{00000000-0005-0000-0000-0000D7200000}"/>
    <cellStyle name="Финансовый 2 2 15 2 5 2 2" xfId="45452" xr:uid="{00000000-0005-0000-0000-0000D8200000}"/>
    <cellStyle name="Финансовый 2 2 15 2 5 3" xfId="33474" xr:uid="{00000000-0005-0000-0000-0000D9200000}"/>
    <cellStyle name="Финансовый 2 2 15 2 6" xfId="13677" xr:uid="{00000000-0005-0000-0000-0000DA200000}"/>
    <cellStyle name="Финансовый 2 2 15 2 6 2" xfId="37632" xr:uid="{00000000-0005-0000-0000-0000DB200000}"/>
    <cellStyle name="Финансовый 2 2 15 2 7" xfId="25655" xr:uid="{00000000-0005-0000-0000-0000DC200000}"/>
    <cellStyle name="Финансовый 2 2 15 2 8" xfId="48788" xr:uid="{00000000-0005-0000-0000-0000DD200000}"/>
    <cellStyle name="Финансовый 2 2 15 3" xfId="4882" xr:uid="{00000000-0005-0000-0000-0000DE200000}"/>
    <cellStyle name="Финансовый 2 2 15 3 2" xfId="16860" xr:uid="{00000000-0005-0000-0000-0000DF200000}"/>
    <cellStyle name="Финансовый 2 2 15 3 2 2" xfId="40815" xr:uid="{00000000-0005-0000-0000-0000E0200000}"/>
    <cellStyle name="Финансовый 2 2 15 3 3" xfId="28837" xr:uid="{00000000-0005-0000-0000-0000E1200000}"/>
    <cellStyle name="Финансовый 2 2 15 3 4" xfId="50325" xr:uid="{00000000-0005-0000-0000-0000E2200000}"/>
    <cellStyle name="Финансовый 2 2 15 4" xfId="7492" xr:uid="{00000000-0005-0000-0000-0000E3200000}"/>
    <cellStyle name="Финансовый 2 2 15 4 2" xfId="19470" xr:uid="{00000000-0005-0000-0000-0000E4200000}"/>
    <cellStyle name="Финансовый 2 2 15 4 2 2" xfId="43425" xr:uid="{00000000-0005-0000-0000-0000E5200000}"/>
    <cellStyle name="Финансовый 2 2 15 4 3" xfId="31447" xr:uid="{00000000-0005-0000-0000-0000E6200000}"/>
    <cellStyle name="Финансовый 2 2 15 5" xfId="9275" xr:uid="{00000000-0005-0000-0000-0000E7200000}"/>
    <cellStyle name="Финансовый 2 2 15 5 2" xfId="21253" xr:uid="{00000000-0005-0000-0000-0000E8200000}"/>
    <cellStyle name="Финансовый 2 2 15 5 2 2" xfId="45208" xr:uid="{00000000-0005-0000-0000-0000E9200000}"/>
    <cellStyle name="Финансовый 2 2 15 5 3" xfId="33230" xr:uid="{00000000-0005-0000-0000-0000EA200000}"/>
    <cellStyle name="Финансовый 2 2 15 6" xfId="13433" xr:uid="{00000000-0005-0000-0000-0000EB200000}"/>
    <cellStyle name="Финансовый 2 2 15 6 2" xfId="37388" xr:uid="{00000000-0005-0000-0000-0000EC200000}"/>
    <cellStyle name="Финансовый 2 2 15 7" xfId="25411" xr:uid="{00000000-0005-0000-0000-0000ED200000}"/>
    <cellStyle name="Финансовый 2 2 15 8" xfId="48544" xr:uid="{00000000-0005-0000-0000-0000EE200000}"/>
    <cellStyle name="Финансовый 2 2 16" xfId="2334" xr:uid="{00000000-0005-0000-0000-0000EF200000}"/>
    <cellStyle name="Финансовый 2 2 16 2" xfId="3979" xr:uid="{00000000-0005-0000-0000-0000F0200000}"/>
    <cellStyle name="Финансовый 2 2 16 2 2" xfId="11719" xr:uid="{00000000-0005-0000-0000-0000F1200000}"/>
    <cellStyle name="Финансовый 2 2 16 2 2 2" xfId="23697" xr:uid="{00000000-0005-0000-0000-0000F2200000}"/>
    <cellStyle name="Финансовый 2 2 16 2 2 2 2" xfId="47652" xr:uid="{00000000-0005-0000-0000-0000F3200000}"/>
    <cellStyle name="Финансовый 2 2 16 2 2 3" xfId="35674" xr:uid="{00000000-0005-0000-0000-0000F4200000}"/>
    <cellStyle name="Финансовый 2 2 16 2 3" xfId="15958" xr:uid="{00000000-0005-0000-0000-0000F5200000}"/>
    <cellStyle name="Финансовый 2 2 16 2 3 2" xfId="39913" xr:uid="{00000000-0005-0000-0000-0000F6200000}"/>
    <cellStyle name="Финансовый 2 2 16 2 4" xfId="27936" xr:uid="{00000000-0005-0000-0000-0000F7200000}"/>
    <cellStyle name="Финансовый 2 2 16 2 5" xfId="51205" xr:uid="{00000000-0005-0000-0000-0000F8200000}"/>
    <cellStyle name="Финансовый 2 2 16 3" xfId="5762" xr:uid="{00000000-0005-0000-0000-0000F9200000}"/>
    <cellStyle name="Финансовый 2 2 16 3 2" xfId="17740" xr:uid="{00000000-0005-0000-0000-0000FA200000}"/>
    <cellStyle name="Финансовый 2 2 16 3 2 2" xfId="41695" xr:uid="{00000000-0005-0000-0000-0000FB200000}"/>
    <cellStyle name="Финансовый 2 2 16 3 3" xfId="29717" xr:uid="{00000000-0005-0000-0000-0000FC200000}"/>
    <cellStyle name="Финансовый 2 2 16 4" xfId="8372" xr:uid="{00000000-0005-0000-0000-0000FD200000}"/>
    <cellStyle name="Финансовый 2 2 16 4 2" xfId="20350" xr:uid="{00000000-0005-0000-0000-0000FE200000}"/>
    <cellStyle name="Финансовый 2 2 16 4 2 2" xfId="44305" xr:uid="{00000000-0005-0000-0000-0000FF200000}"/>
    <cellStyle name="Финансовый 2 2 16 4 3" xfId="32327" xr:uid="{00000000-0005-0000-0000-000000210000}"/>
    <cellStyle name="Финансовый 2 2 16 5" xfId="10155" xr:uid="{00000000-0005-0000-0000-000001210000}"/>
    <cellStyle name="Финансовый 2 2 16 5 2" xfId="22133" xr:uid="{00000000-0005-0000-0000-000002210000}"/>
    <cellStyle name="Финансовый 2 2 16 5 2 2" xfId="46088" xr:uid="{00000000-0005-0000-0000-000003210000}"/>
    <cellStyle name="Финансовый 2 2 16 5 3" xfId="34110" xr:uid="{00000000-0005-0000-0000-000004210000}"/>
    <cellStyle name="Финансовый 2 2 16 6" xfId="14313" xr:uid="{00000000-0005-0000-0000-000005210000}"/>
    <cellStyle name="Финансовый 2 2 16 6 2" xfId="38268" xr:uid="{00000000-0005-0000-0000-000006210000}"/>
    <cellStyle name="Финансовый 2 2 16 7" xfId="26291" xr:uid="{00000000-0005-0000-0000-000007210000}"/>
    <cellStyle name="Финансовый 2 2 16 8" xfId="49424" xr:uid="{00000000-0005-0000-0000-000008210000}"/>
    <cellStyle name="Финансовый 2 2 17" xfId="1561" xr:uid="{00000000-0005-0000-0000-000009210000}"/>
    <cellStyle name="Финансовый 2 2 17 2" xfId="3206" xr:uid="{00000000-0005-0000-0000-00000A210000}"/>
    <cellStyle name="Финансовый 2 2 17 2 2" xfId="10962" xr:uid="{00000000-0005-0000-0000-00000B210000}"/>
    <cellStyle name="Финансовый 2 2 17 2 2 2" xfId="22940" xr:uid="{00000000-0005-0000-0000-00000C210000}"/>
    <cellStyle name="Финансовый 2 2 17 2 2 2 2" xfId="46895" xr:uid="{00000000-0005-0000-0000-00000D210000}"/>
    <cellStyle name="Финансовый 2 2 17 2 2 3" xfId="34917" xr:uid="{00000000-0005-0000-0000-00000E210000}"/>
    <cellStyle name="Финансовый 2 2 17 2 3" xfId="15185" xr:uid="{00000000-0005-0000-0000-00000F210000}"/>
    <cellStyle name="Финансовый 2 2 17 2 3 2" xfId="39140" xr:uid="{00000000-0005-0000-0000-000010210000}"/>
    <cellStyle name="Финансовый 2 2 17 2 4" xfId="27163" xr:uid="{00000000-0005-0000-0000-000011210000}"/>
    <cellStyle name="Финансовый 2 2 17 2 5" xfId="50432" xr:uid="{00000000-0005-0000-0000-000012210000}"/>
    <cellStyle name="Финансовый 2 2 17 3" xfId="4989" xr:uid="{00000000-0005-0000-0000-000013210000}"/>
    <cellStyle name="Финансовый 2 2 17 3 2" xfId="16967" xr:uid="{00000000-0005-0000-0000-000014210000}"/>
    <cellStyle name="Финансовый 2 2 17 3 2 2" xfId="40922" xr:uid="{00000000-0005-0000-0000-000015210000}"/>
    <cellStyle name="Финансовый 2 2 17 3 3" xfId="28944" xr:uid="{00000000-0005-0000-0000-000016210000}"/>
    <cellStyle name="Финансовый 2 2 17 4" xfId="7599" xr:uid="{00000000-0005-0000-0000-000017210000}"/>
    <cellStyle name="Финансовый 2 2 17 4 2" xfId="19577" xr:uid="{00000000-0005-0000-0000-000018210000}"/>
    <cellStyle name="Финансовый 2 2 17 4 2 2" xfId="43532" xr:uid="{00000000-0005-0000-0000-000019210000}"/>
    <cellStyle name="Финансовый 2 2 17 4 3" xfId="31554" xr:uid="{00000000-0005-0000-0000-00001A210000}"/>
    <cellStyle name="Финансовый 2 2 17 5" xfId="9382" xr:uid="{00000000-0005-0000-0000-00001B210000}"/>
    <cellStyle name="Финансовый 2 2 17 5 2" xfId="21360" xr:uid="{00000000-0005-0000-0000-00001C210000}"/>
    <cellStyle name="Финансовый 2 2 17 5 2 2" xfId="45315" xr:uid="{00000000-0005-0000-0000-00001D210000}"/>
    <cellStyle name="Финансовый 2 2 17 5 3" xfId="33337" xr:uid="{00000000-0005-0000-0000-00001E210000}"/>
    <cellStyle name="Финансовый 2 2 17 6" xfId="13540" xr:uid="{00000000-0005-0000-0000-00001F210000}"/>
    <cellStyle name="Финансовый 2 2 17 6 2" xfId="37495" xr:uid="{00000000-0005-0000-0000-000020210000}"/>
    <cellStyle name="Финансовый 2 2 17 7" xfId="25518" xr:uid="{00000000-0005-0000-0000-000021210000}"/>
    <cellStyle name="Финансовый 2 2 17 8" xfId="48651" xr:uid="{00000000-0005-0000-0000-000022210000}"/>
    <cellStyle name="Финансовый 2 2 18" xfId="847" xr:uid="{00000000-0005-0000-0000-000023210000}"/>
    <cellStyle name="Финансовый 2 2 18 2" xfId="6887" xr:uid="{00000000-0005-0000-0000-000024210000}"/>
    <cellStyle name="Финансовый 2 2 18 2 2" xfId="18865" xr:uid="{00000000-0005-0000-0000-000025210000}"/>
    <cellStyle name="Финансовый 2 2 18 2 2 2" xfId="42820" xr:uid="{00000000-0005-0000-0000-000026210000}"/>
    <cellStyle name="Финансовый 2 2 18 2 3" xfId="30842" xr:uid="{00000000-0005-0000-0000-000027210000}"/>
    <cellStyle name="Финансовый 2 2 18 3" xfId="10435" xr:uid="{00000000-0005-0000-0000-000028210000}"/>
    <cellStyle name="Финансовый 2 2 18 3 2" xfId="22413" xr:uid="{00000000-0005-0000-0000-000029210000}"/>
    <cellStyle name="Финансовый 2 2 18 3 2 2" xfId="46368" xr:uid="{00000000-0005-0000-0000-00002A210000}"/>
    <cellStyle name="Финансовый 2 2 18 3 3" xfId="34390" xr:uid="{00000000-0005-0000-0000-00002B210000}"/>
    <cellStyle name="Финансовый 2 2 18 4" xfId="12828" xr:uid="{00000000-0005-0000-0000-00002C210000}"/>
    <cellStyle name="Финансовый 2 2 18 4 2" xfId="36783" xr:uid="{00000000-0005-0000-0000-00002D210000}"/>
    <cellStyle name="Финансовый 2 2 18 5" xfId="24806" xr:uid="{00000000-0005-0000-0000-00002E210000}"/>
    <cellStyle name="Финансовый 2 2 18 6" xfId="49704" xr:uid="{00000000-0005-0000-0000-00002F210000}"/>
    <cellStyle name="Финансовый 2 2 19" xfId="427" xr:uid="{00000000-0005-0000-0000-000030210000}"/>
    <cellStyle name="Финансовый 2 2 19 2" xfId="6467" xr:uid="{00000000-0005-0000-0000-000031210000}"/>
    <cellStyle name="Финансовый 2 2 19 2 2" xfId="18445" xr:uid="{00000000-0005-0000-0000-000032210000}"/>
    <cellStyle name="Финансовый 2 2 19 2 2 2" xfId="42400" xr:uid="{00000000-0005-0000-0000-000033210000}"/>
    <cellStyle name="Финансовый 2 2 19 2 3" xfId="30422" xr:uid="{00000000-0005-0000-0000-000034210000}"/>
    <cellStyle name="Финансовый 2 2 19 3" xfId="12408" xr:uid="{00000000-0005-0000-0000-000035210000}"/>
    <cellStyle name="Финансовый 2 2 19 3 2" xfId="36363" xr:uid="{00000000-0005-0000-0000-000036210000}"/>
    <cellStyle name="Финансовый 2 2 19 4" xfId="24386" xr:uid="{00000000-0005-0000-0000-000037210000}"/>
    <cellStyle name="Финансовый 2 2 2" xfId="10" xr:uid="{00000000-0005-0000-0000-000038210000}"/>
    <cellStyle name="Финансовый 2 2 2 10" xfId="284" xr:uid="{00000000-0005-0000-0000-000039210000}"/>
    <cellStyle name="Финансовый 2 2 2 10 10" xfId="24244" xr:uid="{00000000-0005-0000-0000-00003A210000}"/>
    <cellStyle name="Финансовый 2 2 2 10 11" xfId="48474" xr:uid="{00000000-0005-0000-0000-00003B210000}"/>
    <cellStyle name="Финансовый 2 2 2 10 2" xfId="2084" xr:uid="{00000000-0005-0000-0000-00003C210000}"/>
    <cellStyle name="Финансовый 2 2 2 10 2 2" xfId="3729" xr:uid="{00000000-0005-0000-0000-00003D210000}"/>
    <cellStyle name="Финансовый 2 2 2 10 2 2 2" xfId="11469" xr:uid="{00000000-0005-0000-0000-00003E210000}"/>
    <cellStyle name="Финансовый 2 2 2 10 2 2 2 2" xfId="23447" xr:uid="{00000000-0005-0000-0000-00003F210000}"/>
    <cellStyle name="Финансовый 2 2 2 10 2 2 2 2 2" xfId="47402" xr:uid="{00000000-0005-0000-0000-000040210000}"/>
    <cellStyle name="Финансовый 2 2 2 10 2 2 2 3" xfId="35424" xr:uid="{00000000-0005-0000-0000-000041210000}"/>
    <cellStyle name="Финансовый 2 2 2 10 2 2 3" xfId="15708" xr:uid="{00000000-0005-0000-0000-000042210000}"/>
    <cellStyle name="Финансовый 2 2 2 10 2 2 3 2" xfId="39663" xr:uid="{00000000-0005-0000-0000-000043210000}"/>
    <cellStyle name="Финансовый 2 2 2 10 2 2 4" xfId="27686" xr:uid="{00000000-0005-0000-0000-000044210000}"/>
    <cellStyle name="Финансовый 2 2 2 10 2 2 5" xfId="50955" xr:uid="{00000000-0005-0000-0000-000045210000}"/>
    <cellStyle name="Финансовый 2 2 2 10 2 3" xfId="5512" xr:uid="{00000000-0005-0000-0000-000046210000}"/>
    <cellStyle name="Финансовый 2 2 2 10 2 3 2" xfId="17490" xr:uid="{00000000-0005-0000-0000-000047210000}"/>
    <cellStyle name="Финансовый 2 2 2 10 2 3 2 2" xfId="41445" xr:uid="{00000000-0005-0000-0000-000048210000}"/>
    <cellStyle name="Финансовый 2 2 2 10 2 3 3" xfId="29467" xr:uid="{00000000-0005-0000-0000-000049210000}"/>
    <cellStyle name="Финансовый 2 2 2 10 2 4" xfId="8122" xr:uid="{00000000-0005-0000-0000-00004A210000}"/>
    <cellStyle name="Финансовый 2 2 2 10 2 4 2" xfId="20100" xr:uid="{00000000-0005-0000-0000-00004B210000}"/>
    <cellStyle name="Финансовый 2 2 2 10 2 4 2 2" xfId="44055" xr:uid="{00000000-0005-0000-0000-00004C210000}"/>
    <cellStyle name="Финансовый 2 2 2 10 2 4 3" xfId="32077" xr:uid="{00000000-0005-0000-0000-00004D210000}"/>
    <cellStyle name="Финансовый 2 2 2 10 2 5" xfId="9905" xr:uid="{00000000-0005-0000-0000-00004E210000}"/>
    <cellStyle name="Финансовый 2 2 2 10 2 5 2" xfId="21883" xr:uid="{00000000-0005-0000-0000-00004F210000}"/>
    <cellStyle name="Финансовый 2 2 2 10 2 5 2 2" xfId="45838" xr:uid="{00000000-0005-0000-0000-000050210000}"/>
    <cellStyle name="Финансовый 2 2 2 10 2 5 3" xfId="33860" xr:uid="{00000000-0005-0000-0000-000051210000}"/>
    <cellStyle name="Финансовый 2 2 2 10 2 6" xfId="14063" xr:uid="{00000000-0005-0000-0000-000052210000}"/>
    <cellStyle name="Финансовый 2 2 2 10 2 6 2" xfId="38018" xr:uid="{00000000-0005-0000-0000-000053210000}"/>
    <cellStyle name="Финансовый 2 2 2 10 2 7" xfId="26041" xr:uid="{00000000-0005-0000-0000-000054210000}"/>
    <cellStyle name="Финансовый 2 2 2 10 2 8" xfId="49174" xr:uid="{00000000-0005-0000-0000-000055210000}"/>
    <cellStyle name="Финансовый 2 2 2 10 3" xfId="1382" xr:uid="{00000000-0005-0000-0000-000056210000}"/>
    <cellStyle name="Финансовый 2 2 2 10 3 2" xfId="7422" xr:uid="{00000000-0005-0000-0000-000057210000}"/>
    <cellStyle name="Финансовый 2 2 2 10 3 2 2" xfId="19400" xr:uid="{00000000-0005-0000-0000-000058210000}"/>
    <cellStyle name="Финансовый 2 2 2 10 3 2 2 2" xfId="43355" xr:uid="{00000000-0005-0000-0000-000059210000}"/>
    <cellStyle name="Финансовый 2 2 2 10 3 2 3" xfId="31377" xr:uid="{00000000-0005-0000-0000-00005A210000}"/>
    <cellStyle name="Финансовый 2 2 2 10 3 3" xfId="10953" xr:uid="{00000000-0005-0000-0000-00005B210000}"/>
    <cellStyle name="Финансовый 2 2 2 10 3 3 2" xfId="22931" xr:uid="{00000000-0005-0000-0000-00005C210000}"/>
    <cellStyle name="Финансовый 2 2 2 10 3 3 2 2" xfId="46886" xr:uid="{00000000-0005-0000-0000-00005D210000}"/>
    <cellStyle name="Финансовый 2 2 2 10 3 3 3" xfId="34908" xr:uid="{00000000-0005-0000-0000-00005E210000}"/>
    <cellStyle name="Финансовый 2 2 2 10 3 4" xfId="13363" xr:uid="{00000000-0005-0000-0000-00005F210000}"/>
    <cellStyle name="Финансовый 2 2 2 10 3 4 2" xfId="37318" xr:uid="{00000000-0005-0000-0000-000060210000}"/>
    <cellStyle name="Финансовый 2 2 2 10 3 5" xfId="25341" xr:uid="{00000000-0005-0000-0000-000061210000}"/>
    <cellStyle name="Финансовый 2 2 2 10 3 6" xfId="50254" xr:uid="{00000000-0005-0000-0000-000062210000}"/>
    <cellStyle name="Финансовый 2 2 2 10 4" xfId="705" xr:uid="{00000000-0005-0000-0000-000063210000}"/>
    <cellStyle name="Финансовый 2 2 2 10 4 2" xfId="6745" xr:uid="{00000000-0005-0000-0000-000064210000}"/>
    <cellStyle name="Финансовый 2 2 2 10 4 2 2" xfId="18723" xr:uid="{00000000-0005-0000-0000-000065210000}"/>
    <cellStyle name="Финансовый 2 2 2 10 4 2 2 2" xfId="42678" xr:uid="{00000000-0005-0000-0000-000066210000}"/>
    <cellStyle name="Финансовый 2 2 2 10 4 2 3" xfId="30700" xr:uid="{00000000-0005-0000-0000-000067210000}"/>
    <cellStyle name="Финансовый 2 2 2 10 4 3" xfId="12686" xr:uid="{00000000-0005-0000-0000-000068210000}"/>
    <cellStyle name="Финансовый 2 2 2 10 4 3 2" xfId="36641" xr:uid="{00000000-0005-0000-0000-000069210000}"/>
    <cellStyle name="Финансовый 2 2 2 10 4 4" xfId="24664" xr:uid="{00000000-0005-0000-0000-00006A210000}"/>
    <cellStyle name="Финансовый 2 2 2 10 5" xfId="3166" xr:uid="{00000000-0005-0000-0000-00006B210000}"/>
    <cellStyle name="Финансовый 2 2 2 10 5 2" xfId="15145" xr:uid="{00000000-0005-0000-0000-00006C210000}"/>
    <cellStyle name="Финансовый 2 2 2 10 5 2 2" xfId="39100" xr:uid="{00000000-0005-0000-0000-00006D210000}"/>
    <cellStyle name="Финансовый 2 2 2 10 5 3" xfId="27123" xr:uid="{00000000-0005-0000-0000-00006E210000}"/>
    <cellStyle name="Финансовый 2 2 2 10 6" xfId="4810" xr:uid="{00000000-0005-0000-0000-00006F210000}"/>
    <cellStyle name="Финансовый 2 2 2 10 6 2" xfId="16789" xr:uid="{00000000-0005-0000-0000-000070210000}"/>
    <cellStyle name="Финансовый 2 2 2 10 6 2 2" xfId="40744" xr:uid="{00000000-0005-0000-0000-000071210000}"/>
    <cellStyle name="Финансовый 2 2 2 10 6 3" xfId="28767" xr:uid="{00000000-0005-0000-0000-000072210000}"/>
    <cellStyle name="Финансовый 2 2 2 10 7" xfId="6325" xr:uid="{00000000-0005-0000-0000-000073210000}"/>
    <cellStyle name="Финансовый 2 2 2 10 7 2" xfId="18303" xr:uid="{00000000-0005-0000-0000-000074210000}"/>
    <cellStyle name="Финансовый 2 2 2 10 7 2 2" xfId="42258" xr:uid="{00000000-0005-0000-0000-000075210000}"/>
    <cellStyle name="Финансовый 2 2 2 10 7 3" xfId="30280" xr:uid="{00000000-0005-0000-0000-000076210000}"/>
    <cellStyle name="Финансовый 2 2 2 10 8" xfId="9204" xr:uid="{00000000-0005-0000-0000-000077210000}"/>
    <cellStyle name="Финансовый 2 2 2 10 8 2" xfId="21182" xr:uid="{00000000-0005-0000-0000-000078210000}"/>
    <cellStyle name="Финансовый 2 2 2 10 8 2 2" xfId="45137" xr:uid="{00000000-0005-0000-0000-000079210000}"/>
    <cellStyle name="Финансовый 2 2 2 10 8 3" xfId="33159" xr:uid="{00000000-0005-0000-0000-00007A210000}"/>
    <cellStyle name="Финансовый 2 2 2 10 9" xfId="12266" xr:uid="{00000000-0005-0000-0000-00007B210000}"/>
    <cellStyle name="Финансовый 2 2 2 10 9 2" xfId="36221" xr:uid="{00000000-0005-0000-0000-00007C210000}"/>
    <cellStyle name="Финансовый 2 2 2 11" xfId="297" xr:uid="{00000000-0005-0000-0000-00007D210000}"/>
    <cellStyle name="Финансовый 2 2 2 11 10" xfId="48202" xr:uid="{00000000-0005-0000-0000-00007E210000}"/>
    <cellStyle name="Финансовый 2 2 2 11 2" xfId="1117" xr:uid="{00000000-0005-0000-0000-00007F210000}"/>
    <cellStyle name="Финансовый 2 2 2 11 2 2" xfId="7157" xr:uid="{00000000-0005-0000-0000-000080210000}"/>
    <cellStyle name="Финансовый 2 2 2 11 2 2 2" xfId="19135" xr:uid="{00000000-0005-0000-0000-000081210000}"/>
    <cellStyle name="Финансовый 2 2 2 11 2 2 2 2" xfId="43090" xr:uid="{00000000-0005-0000-0000-000082210000}"/>
    <cellStyle name="Финансовый 2 2 2 11 2 2 3" xfId="31112" xr:uid="{00000000-0005-0000-0000-000083210000}"/>
    <cellStyle name="Финансовый 2 2 2 11 2 3" xfId="10697" xr:uid="{00000000-0005-0000-0000-000084210000}"/>
    <cellStyle name="Финансовый 2 2 2 11 2 3 2" xfId="22675" xr:uid="{00000000-0005-0000-0000-000085210000}"/>
    <cellStyle name="Финансовый 2 2 2 11 2 3 2 2" xfId="46630" xr:uid="{00000000-0005-0000-0000-000086210000}"/>
    <cellStyle name="Финансовый 2 2 2 11 2 3 3" xfId="34652" xr:uid="{00000000-0005-0000-0000-000087210000}"/>
    <cellStyle name="Финансовый 2 2 2 11 2 4" xfId="13098" xr:uid="{00000000-0005-0000-0000-000088210000}"/>
    <cellStyle name="Финансовый 2 2 2 11 2 4 2" xfId="37053" xr:uid="{00000000-0005-0000-0000-000089210000}"/>
    <cellStyle name="Финансовый 2 2 2 11 2 5" xfId="25076" xr:uid="{00000000-0005-0000-0000-00008A210000}"/>
    <cellStyle name="Финансовый 2 2 2 11 2 6" xfId="49982" xr:uid="{00000000-0005-0000-0000-00008B210000}"/>
    <cellStyle name="Финансовый 2 2 2 11 3" xfId="717" xr:uid="{00000000-0005-0000-0000-00008C210000}"/>
    <cellStyle name="Финансовый 2 2 2 11 3 2" xfId="6757" xr:uid="{00000000-0005-0000-0000-00008D210000}"/>
    <cellStyle name="Финансовый 2 2 2 11 3 2 2" xfId="18735" xr:uid="{00000000-0005-0000-0000-00008E210000}"/>
    <cellStyle name="Финансовый 2 2 2 11 3 2 2 2" xfId="42690" xr:uid="{00000000-0005-0000-0000-00008F210000}"/>
    <cellStyle name="Финансовый 2 2 2 11 3 2 3" xfId="30712" xr:uid="{00000000-0005-0000-0000-000090210000}"/>
    <cellStyle name="Финансовый 2 2 2 11 3 3" xfId="12698" xr:uid="{00000000-0005-0000-0000-000091210000}"/>
    <cellStyle name="Финансовый 2 2 2 11 3 3 2" xfId="36653" xr:uid="{00000000-0005-0000-0000-000092210000}"/>
    <cellStyle name="Финансовый 2 2 2 11 3 4" xfId="24676" xr:uid="{00000000-0005-0000-0000-000093210000}"/>
    <cellStyle name="Финансовый 2 2 2 11 4" xfId="2894" xr:uid="{00000000-0005-0000-0000-000094210000}"/>
    <cellStyle name="Финансовый 2 2 2 11 4 2" xfId="14873" xr:uid="{00000000-0005-0000-0000-000095210000}"/>
    <cellStyle name="Финансовый 2 2 2 11 4 2 2" xfId="38828" xr:uid="{00000000-0005-0000-0000-000096210000}"/>
    <cellStyle name="Финансовый 2 2 2 11 4 3" xfId="26851" xr:uid="{00000000-0005-0000-0000-000097210000}"/>
    <cellStyle name="Финансовый 2 2 2 11 5" xfId="4538" xr:uid="{00000000-0005-0000-0000-000098210000}"/>
    <cellStyle name="Финансовый 2 2 2 11 5 2" xfId="16517" xr:uid="{00000000-0005-0000-0000-000099210000}"/>
    <cellStyle name="Финансовый 2 2 2 11 5 2 2" xfId="40472" xr:uid="{00000000-0005-0000-0000-00009A210000}"/>
    <cellStyle name="Финансовый 2 2 2 11 5 3" xfId="28495" xr:uid="{00000000-0005-0000-0000-00009B210000}"/>
    <cellStyle name="Финансовый 2 2 2 11 6" xfId="6337" xr:uid="{00000000-0005-0000-0000-00009C210000}"/>
    <cellStyle name="Финансовый 2 2 2 11 6 2" xfId="18315" xr:uid="{00000000-0005-0000-0000-00009D210000}"/>
    <cellStyle name="Финансовый 2 2 2 11 6 2 2" xfId="42270" xr:uid="{00000000-0005-0000-0000-00009E210000}"/>
    <cellStyle name="Финансовый 2 2 2 11 6 3" xfId="30292" xr:uid="{00000000-0005-0000-0000-00009F210000}"/>
    <cellStyle name="Финансовый 2 2 2 11 7" xfId="8932" xr:uid="{00000000-0005-0000-0000-0000A0210000}"/>
    <cellStyle name="Финансовый 2 2 2 11 7 2" xfId="20910" xr:uid="{00000000-0005-0000-0000-0000A1210000}"/>
    <cellStyle name="Финансовый 2 2 2 11 7 2 2" xfId="44865" xr:uid="{00000000-0005-0000-0000-0000A2210000}"/>
    <cellStyle name="Финансовый 2 2 2 11 7 3" xfId="32887" xr:uid="{00000000-0005-0000-0000-0000A3210000}"/>
    <cellStyle name="Финансовый 2 2 2 11 8" xfId="12278" xr:uid="{00000000-0005-0000-0000-0000A4210000}"/>
    <cellStyle name="Финансовый 2 2 2 11 8 2" xfId="36233" xr:uid="{00000000-0005-0000-0000-0000A5210000}"/>
    <cellStyle name="Финансовый 2 2 2 11 9" xfId="24256" xr:uid="{00000000-0005-0000-0000-0000A6210000}"/>
    <cellStyle name="Финансовый 2 2 2 12" xfId="1457" xr:uid="{00000000-0005-0000-0000-0000A7210000}"/>
    <cellStyle name="Финансовый 2 2 2 12 2" xfId="1704" xr:uid="{00000000-0005-0000-0000-0000A8210000}"/>
    <cellStyle name="Финансовый 2 2 2 12 2 2" xfId="3349" xr:uid="{00000000-0005-0000-0000-0000A9210000}"/>
    <cellStyle name="Финансовый 2 2 2 12 2 2 2" xfId="11097" xr:uid="{00000000-0005-0000-0000-0000AA210000}"/>
    <cellStyle name="Финансовый 2 2 2 12 2 2 2 2" xfId="23075" xr:uid="{00000000-0005-0000-0000-0000AB210000}"/>
    <cellStyle name="Финансовый 2 2 2 12 2 2 2 2 2" xfId="47030" xr:uid="{00000000-0005-0000-0000-0000AC210000}"/>
    <cellStyle name="Финансовый 2 2 2 12 2 2 2 3" xfId="35052" xr:uid="{00000000-0005-0000-0000-0000AD210000}"/>
    <cellStyle name="Финансовый 2 2 2 12 2 2 3" xfId="15328" xr:uid="{00000000-0005-0000-0000-0000AE210000}"/>
    <cellStyle name="Финансовый 2 2 2 12 2 2 3 2" xfId="39283" xr:uid="{00000000-0005-0000-0000-0000AF210000}"/>
    <cellStyle name="Финансовый 2 2 2 12 2 2 4" xfId="27306" xr:uid="{00000000-0005-0000-0000-0000B0210000}"/>
    <cellStyle name="Финансовый 2 2 2 12 2 2 5" xfId="50575" xr:uid="{00000000-0005-0000-0000-0000B1210000}"/>
    <cellStyle name="Финансовый 2 2 2 12 2 3" xfId="5132" xr:uid="{00000000-0005-0000-0000-0000B2210000}"/>
    <cellStyle name="Финансовый 2 2 2 12 2 3 2" xfId="17110" xr:uid="{00000000-0005-0000-0000-0000B3210000}"/>
    <cellStyle name="Финансовый 2 2 2 12 2 3 2 2" xfId="41065" xr:uid="{00000000-0005-0000-0000-0000B4210000}"/>
    <cellStyle name="Финансовый 2 2 2 12 2 3 3" xfId="29087" xr:uid="{00000000-0005-0000-0000-0000B5210000}"/>
    <cellStyle name="Финансовый 2 2 2 12 2 4" xfId="7742" xr:uid="{00000000-0005-0000-0000-0000B6210000}"/>
    <cellStyle name="Финансовый 2 2 2 12 2 4 2" xfId="19720" xr:uid="{00000000-0005-0000-0000-0000B7210000}"/>
    <cellStyle name="Финансовый 2 2 2 12 2 4 2 2" xfId="43675" xr:uid="{00000000-0005-0000-0000-0000B8210000}"/>
    <cellStyle name="Финансовый 2 2 2 12 2 4 3" xfId="31697" xr:uid="{00000000-0005-0000-0000-0000B9210000}"/>
    <cellStyle name="Финансовый 2 2 2 12 2 5" xfId="9525" xr:uid="{00000000-0005-0000-0000-0000BA210000}"/>
    <cellStyle name="Финансовый 2 2 2 12 2 5 2" xfId="21503" xr:uid="{00000000-0005-0000-0000-0000BB210000}"/>
    <cellStyle name="Финансовый 2 2 2 12 2 5 2 2" xfId="45458" xr:uid="{00000000-0005-0000-0000-0000BC210000}"/>
    <cellStyle name="Финансовый 2 2 2 12 2 5 3" xfId="33480" xr:uid="{00000000-0005-0000-0000-0000BD210000}"/>
    <cellStyle name="Финансовый 2 2 2 12 2 6" xfId="13683" xr:uid="{00000000-0005-0000-0000-0000BE210000}"/>
    <cellStyle name="Финансовый 2 2 2 12 2 6 2" xfId="37638" xr:uid="{00000000-0005-0000-0000-0000BF210000}"/>
    <cellStyle name="Финансовый 2 2 2 12 2 7" xfId="25661" xr:uid="{00000000-0005-0000-0000-0000C0210000}"/>
    <cellStyle name="Финансовый 2 2 2 12 2 8" xfId="48794" xr:uid="{00000000-0005-0000-0000-0000C1210000}"/>
    <cellStyle name="Финансовый 2 2 2 12 3" xfId="4885" xr:uid="{00000000-0005-0000-0000-0000C2210000}"/>
    <cellStyle name="Финансовый 2 2 2 12 3 2" xfId="16863" xr:uid="{00000000-0005-0000-0000-0000C3210000}"/>
    <cellStyle name="Финансовый 2 2 2 12 3 2 2" xfId="40818" xr:uid="{00000000-0005-0000-0000-0000C4210000}"/>
    <cellStyle name="Финансовый 2 2 2 12 3 3" xfId="28840" xr:uid="{00000000-0005-0000-0000-0000C5210000}"/>
    <cellStyle name="Финансовый 2 2 2 12 3 4" xfId="50328" xr:uid="{00000000-0005-0000-0000-0000C6210000}"/>
    <cellStyle name="Финансовый 2 2 2 12 4" xfId="7495" xr:uid="{00000000-0005-0000-0000-0000C7210000}"/>
    <cellStyle name="Финансовый 2 2 2 12 4 2" xfId="19473" xr:uid="{00000000-0005-0000-0000-0000C8210000}"/>
    <cellStyle name="Финансовый 2 2 2 12 4 2 2" xfId="43428" xr:uid="{00000000-0005-0000-0000-0000C9210000}"/>
    <cellStyle name="Финансовый 2 2 2 12 4 3" xfId="31450" xr:uid="{00000000-0005-0000-0000-0000CA210000}"/>
    <cellStyle name="Финансовый 2 2 2 12 5" xfId="9278" xr:uid="{00000000-0005-0000-0000-0000CB210000}"/>
    <cellStyle name="Финансовый 2 2 2 12 5 2" xfId="21256" xr:uid="{00000000-0005-0000-0000-0000CC210000}"/>
    <cellStyle name="Финансовый 2 2 2 12 5 2 2" xfId="45211" xr:uid="{00000000-0005-0000-0000-0000CD210000}"/>
    <cellStyle name="Финансовый 2 2 2 12 5 3" xfId="33233" xr:uid="{00000000-0005-0000-0000-0000CE210000}"/>
    <cellStyle name="Финансовый 2 2 2 12 6" xfId="13436" xr:uid="{00000000-0005-0000-0000-0000CF210000}"/>
    <cellStyle name="Финансовый 2 2 2 12 6 2" xfId="37391" xr:uid="{00000000-0005-0000-0000-0000D0210000}"/>
    <cellStyle name="Финансовый 2 2 2 12 7" xfId="25414" xr:uid="{00000000-0005-0000-0000-0000D1210000}"/>
    <cellStyle name="Финансовый 2 2 2 12 8" xfId="48547" xr:uid="{00000000-0005-0000-0000-0000D2210000}"/>
    <cellStyle name="Финансовый 2 2 2 13" xfId="2340" xr:uid="{00000000-0005-0000-0000-0000D3210000}"/>
    <cellStyle name="Финансовый 2 2 2 13 2" xfId="3985" xr:uid="{00000000-0005-0000-0000-0000D4210000}"/>
    <cellStyle name="Финансовый 2 2 2 13 2 2" xfId="11725" xr:uid="{00000000-0005-0000-0000-0000D5210000}"/>
    <cellStyle name="Финансовый 2 2 2 13 2 2 2" xfId="23703" xr:uid="{00000000-0005-0000-0000-0000D6210000}"/>
    <cellStyle name="Финансовый 2 2 2 13 2 2 2 2" xfId="47658" xr:uid="{00000000-0005-0000-0000-0000D7210000}"/>
    <cellStyle name="Финансовый 2 2 2 13 2 2 3" xfId="35680" xr:uid="{00000000-0005-0000-0000-0000D8210000}"/>
    <cellStyle name="Финансовый 2 2 2 13 2 3" xfId="15964" xr:uid="{00000000-0005-0000-0000-0000D9210000}"/>
    <cellStyle name="Финансовый 2 2 2 13 2 3 2" xfId="39919" xr:uid="{00000000-0005-0000-0000-0000DA210000}"/>
    <cellStyle name="Финансовый 2 2 2 13 2 4" xfId="27942" xr:uid="{00000000-0005-0000-0000-0000DB210000}"/>
    <cellStyle name="Финансовый 2 2 2 13 2 5" xfId="51211" xr:uid="{00000000-0005-0000-0000-0000DC210000}"/>
    <cellStyle name="Финансовый 2 2 2 13 3" xfId="5768" xr:uid="{00000000-0005-0000-0000-0000DD210000}"/>
    <cellStyle name="Финансовый 2 2 2 13 3 2" xfId="17746" xr:uid="{00000000-0005-0000-0000-0000DE210000}"/>
    <cellStyle name="Финансовый 2 2 2 13 3 2 2" xfId="41701" xr:uid="{00000000-0005-0000-0000-0000DF210000}"/>
    <cellStyle name="Финансовый 2 2 2 13 3 3" xfId="29723" xr:uid="{00000000-0005-0000-0000-0000E0210000}"/>
    <cellStyle name="Финансовый 2 2 2 13 4" xfId="8378" xr:uid="{00000000-0005-0000-0000-0000E1210000}"/>
    <cellStyle name="Финансовый 2 2 2 13 4 2" xfId="20356" xr:uid="{00000000-0005-0000-0000-0000E2210000}"/>
    <cellStyle name="Финансовый 2 2 2 13 4 2 2" xfId="44311" xr:uid="{00000000-0005-0000-0000-0000E3210000}"/>
    <cellStyle name="Финансовый 2 2 2 13 4 3" xfId="32333" xr:uid="{00000000-0005-0000-0000-0000E4210000}"/>
    <cellStyle name="Финансовый 2 2 2 13 5" xfId="10161" xr:uid="{00000000-0005-0000-0000-0000E5210000}"/>
    <cellStyle name="Финансовый 2 2 2 13 5 2" xfId="22139" xr:uid="{00000000-0005-0000-0000-0000E6210000}"/>
    <cellStyle name="Финансовый 2 2 2 13 5 2 2" xfId="46094" xr:uid="{00000000-0005-0000-0000-0000E7210000}"/>
    <cellStyle name="Финансовый 2 2 2 13 5 3" xfId="34116" xr:uid="{00000000-0005-0000-0000-0000E8210000}"/>
    <cellStyle name="Финансовый 2 2 2 13 6" xfId="14319" xr:uid="{00000000-0005-0000-0000-0000E9210000}"/>
    <cellStyle name="Финансовый 2 2 2 13 6 2" xfId="38274" xr:uid="{00000000-0005-0000-0000-0000EA210000}"/>
    <cellStyle name="Финансовый 2 2 2 13 7" xfId="26297" xr:uid="{00000000-0005-0000-0000-0000EB210000}"/>
    <cellStyle name="Финансовый 2 2 2 13 8" xfId="49430" xr:uid="{00000000-0005-0000-0000-0000EC210000}"/>
    <cellStyle name="Финансовый 2 2 2 14" xfId="1567" xr:uid="{00000000-0005-0000-0000-0000ED210000}"/>
    <cellStyle name="Финансовый 2 2 2 14 2" xfId="3212" xr:uid="{00000000-0005-0000-0000-0000EE210000}"/>
    <cellStyle name="Финансовый 2 2 2 14 2 2" xfId="10968" xr:uid="{00000000-0005-0000-0000-0000EF210000}"/>
    <cellStyle name="Финансовый 2 2 2 14 2 2 2" xfId="22946" xr:uid="{00000000-0005-0000-0000-0000F0210000}"/>
    <cellStyle name="Финансовый 2 2 2 14 2 2 2 2" xfId="46901" xr:uid="{00000000-0005-0000-0000-0000F1210000}"/>
    <cellStyle name="Финансовый 2 2 2 14 2 2 3" xfId="34923" xr:uid="{00000000-0005-0000-0000-0000F2210000}"/>
    <cellStyle name="Финансовый 2 2 2 14 2 3" xfId="15191" xr:uid="{00000000-0005-0000-0000-0000F3210000}"/>
    <cellStyle name="Финансовый 2 2 2 14 2 3 2" xfId="39146" xr:uid="{00000000-0005-0000-0000-0000F4210000}"/>
    <cellStyle name="Финансовый 2 2 2 14 2 4" xfId="27169" xr:uid="{00000000-0005-0000-0000-0000F5210000}"/>
    <cellStyle name="Финансовый 2 2 2 14 2 5" xfId="50438" xr:uid="{00000000-0005-0000-0000-0000F6210000}"/>
    <cellStyle name="Финансовый 2 2 2 14 3" xfId="4995" xr:uid="{00000000-0005-0000-0000-0000F7210000}"/>
    <cellStyle name="Финансовый 2 2 2 14 3 2" xfId="16973" xr:uid="{00000000-0005-0000-0000-0000F8210000}"/>
    <cellStyle name="Финансовый 2 2 2 14 3 2 2" xfId="40928" xr:uid="{00000000-0005-0000-0000-0000F9210000}"/>
    <cellStyle name="Финансовый 2 2 2 14 3 3" xfId="28950" xr:uid="{00000000-0005-0000-0000-0000FA210000}"/>
    <cellStyle name="Финансовый 2 2 2 14 4" xfId="7605" xr:uid="{00000000-0005-0000-0000-0000FB210000}"/>
    <cellStyle name="Финансовый 2 2 2 14 4 2" xfId="19583" xr:uid="{00000000-0005-0000-0000-0000FC210000}"/>
    <cellStyle name="Финансовый 2 2 2 14 4 2 2" xfId="43538" xr:uid="{00000000-0005-0000-0000-0000FD210000}"/>
    <cellStyle name="Финансовый 2 2 2 14 4 3" xfId="31560" xr:uid="{00000000-0005-0000-0000-0000FE210000}"/>
    <cellStyle name="Финансовый 2 2 2 14 5" xfId="9388" xr:uid="{00000000-0005-0000-0000-0000FF210000}"/>
    <cellStyle name="Финансовый 2 2 2 14 5 2" xfId="21366" xr:uid="{00000000-0005-0000-0000-000000220000}"/>
    <cellStyle name="Финансовый 2 2 2 14 5 2 2" xfId="45321" xr:uid="{00000000-0005-0000-0000-000001220000}"/>
    <cellStyle name="Финансовый 2 2 2 14 5 3" xfId="33343" xr:uid="{00000000-0005-0000-0000-000002220000}"/>
    <cellStyle name="Финансовый 2 2 2 14 6" xfId="13546" xr:uid="{00000000-0005-0000-0000-000003220000}"/>
    <cellStyle name="Финансовый 2 2 2 14 6 2" xfId="37501" xr:uid="{00000000-0005-0000-0000-000004220000}"/>
    <cellStyle name="Финансовый 2 2 2 14 7" xfId="25524" xr:uid="{00000000-0005-0000-0000-000005220000}"/>
    <cellStyle name="Финансовый 2 2 2 14 8" xfId="48657" xr:uid="{00000000-0005-0000-0000-000006220000}"/>
    <cellStyle name="Финансовый 2 2 2 15" xfId="853" xr:uid="{00000000-0005-0000-0000-000007220000}"/>
    <cellStyle name="Финансовый 2 2 2 15 2" xfId="6893" xr:uid="{00000000-0005-0000-0000-000008220000}"/>
    <cellStyle name="Финансовый 2 2 2 15 2 2" xfId="18871" xr:uid="{00000000-0005-0000-0000-000009220000}"/>
    <cellStyle name="Финансовый 2 2 2 15 2 2 2" xfId="42826" xr:uid="{00000000-0005-0000-0000-00000A220000}"/>
    <cellStyle name="Финансовый 2 2 2 15 2 3" xfId="30848" xr:uid="{00000000-0005-0000-0000-00000B220000}"/>
    <cellStyle name="Финансовый 2 2 2 15 3" xfId="10441" xr:uid="{00000000-0005-0000-0000-00000C220000}"/>
    <cellStyle name="Финансовый 2 2 2 15 3 2" xfId="22419" xr:uid="{00000000-0005-0000-0000-00000D220000}"/>
    <cellStyle name="Финансовый 2 2 2 15 3 2 2" xfId="46374" xr:uid="{00000000-0005-0000-0000-00000E220000}"/>
    <cellStyle name="Финансовый 2 2 2 15 3 3" xfId="34396" xr:uid="{00000000-0005-0000-0000-00000F220000}"/>
    <cellStyle name="Финансовый 2 2 2 15 4" xfId="12834" xr:uid="{00000000-0005-0000-0000-000010220000}"/>
    <cellStyle name="Финансовый 2 2 2 15 4 2" xfId="36789" xr:uid="{00000000-0005-0000-0000-000011220000}"/>
    <cellStyle name="Финансовый 2 2 2 15 5" xfId="24812" xr:uid="{00000000-0005-0000-0000-000012220000}"/>
    <cellStyle name="Финансовый 2 2 2 15 6" xfId="49710" xr:uid="{00000000-0005-0000-0000-000013220000}"/>
    <cellStyle name="Финансовый 2 2 2 16" xfId="433" xr:uid="{00000000-0005-0000-0000-000014220000}"/>
    <cellStyle name="Финансовый 2 2 2 16 2" xfId="6473" xr:uid="{00000000-0005-0000-0000-000015220000}"/>
    <cellStyle name="Финансовый 2 2 2 16 2 2" xfId="18451" xr:uid="{00000000-0005-0000-0000-000016220000}"/>
    <cellStyle name="Финансовый 2 2 2 16 2 2 2" xfId="42406" xr:uid="{00000000-0005-0000-0000-000017220000}"/>
    <cellStyle name="Финансовый 2 2 2 16 2 3" xfId="30428" xr:uid="{00000000-0005-0000-0000-000018220000}"/>
    <cellStyle name="Финансовый 2 2 2 16 3" xfId="12414" xr:uid="{00000000-0005-0000-0000-000019220000}"/>
    <cellStyle name="Финансовый 2 2 2 16 3 2" xfId="36369" xr:uid="{00000000-0005-0000-0000-00001A220000}"/>
    <cellStyle name="Финансовый 2 2 2 16 4" xfId="24392" xr:uid="{00000000-0005-0000-0000-00001B220000}"/>
    <cellStyle name="Финансовый 2 2 2 17" xfId="2622" xr:uid="{00000000-0005-0000-0000-00001C220000}"/>
    <cellStyle name="Финансовый 2 2 2 17 2" xfId="14601" xr:uid="{00000000-0005-0000-0000-00001D220000}"/>
    <cellStyle name="Финансовый 2 2 2 17 2 2" xfId="38556" xr:uid="{00000000-0005-0000-0000-00001E220000}"/>
    <cellStyle name="Финансовый 2 2 2 17 3" xfId="26579" xr:uid="{00000000-0005-0000-0000-00001F220000}"/>
    <cellStyle name="Финансовый 2 2 2 18" xfId="4265" xr:uid="{00000000-0005-0000-0000-000020220000}"/>
    <cellStyle name="Финансовый 2 2 2 18 2" xfId="16244" xr:uid="{00000000-0005-0000-0000-000021220000}"/>
    <cellStyle name="Финансовый 2 2 2 18 2 2" xfId="40199" xr:uid="{00000000-0005-0000-0000-000022220000}"/>
    <cellStyle name="Финансовый 2 2 2 18 3" xfId="28222" xr:uid="{00000000-0005-0000-0000-000023220000}"/>
    <cellStyle name="Финансовый 2 2 2 19" xfId="6053" xr:uid="{00000000-0005-0000-0000-000024220000}"/>
    <cellStyle name="Финансовый 2 2 2 19 2" xfId="18031" xr:uid="{00000000-0005-0000-0000-000025220000}"/>
    <cellStyle name="Финансовый 2 2 2 19 2 2" xfId="41986" xr:uid="{00000000-0005-0000-0000-000026220000}"/>
    <cellStyle name="Финансовый 2 2 2 19 3" xfId="30008" xr:uid="{00000000-0005-0000-0000-000027220000}"/>
    <cellStyle name="Финансовый 2 2 2 2" xfId="46" xr:uid="{00000000-0005-0000-0000-000028220000}"/>
    <cellStyle name="Финансовый 2 2 2 2 10" xfId="469" xr:uid="{00000000-0005-0000-0000-000029220000}"/>
    <cellStyle name="Финансовый 2 2 2 2 10 2" xfId="6509" xr:uid="{00000000-0005-0000-0000-00002A220000}"/>
    <cellStyle name="Финансовый 2 2 2 2 10 2 2" xfId="18487" xr:uid="{00000000-0005-0000-0000-00002B220000}"/>
    <cellStyle name="Финансовый 2 2 2 2 10 2 2 2" xfId="42442" xr:uid="{00000000-0005-0000-0000-00002C220000}"/>
    <cellStyle name="Финансовый 2 2 2 2 10 2 3" xfId="30464" xr:uid="{00000000-0005-0000-0000-00002D220000}"/>
    <cellStyle name="Финансовый 2 2 2 2 10 3" xfId="12450" xr:uid="{00000000-0005-0000-0000-00002E220000}"/>
    <cellStyle name="Финансовый 2 2 2 2 10 3 2" xfId="36405" xr:uid="{00000000-0005-0000-0000-00002F220000}"/>
    <cellStyle name="Финансовый 2 2 2 2 10 4" xfId="24428" xr:uid="{00000000-0005-0000-0000-000030220000}"/>
    <cellStyle name="Финансовый 2 2 2 2 11" xfId="2658" xr:uid="{00000000-0005-0000-0000-000031220000}"/>
    <cellStyle name="Финансовый 2 2 2 2 11 2" xfId="14637" xr:uid="{00000000-0005-0000-0000-000032220000}"/>
    <cellStyle name="Финансовый 2 2 2 2 11 2 2" xfId="38592" xr:uid="{00000000-0005-0000-0000-000033220000}"/>
    <cellStyle name="Финансовый 2 2 2 2 11 3" xfId="26615" xr:uid="{00000000-0005-0000-0000-000034220000}"/>
    <cellStyle name="Финансовый 2 2 2 2 12" xfId="4301" xr:uid="{00000000-0005-0000-0000-000035220000}"/>
    <cellStyle name="Финансовый 2 2 2 2 12 2" xfId="16280" xr:uid="{00000000-0005-0000-0000-000036220000}"/>
    <cellStyle name="Финансовый 2 2 2 2 12 2 2" xfId="40235" xr:uid="{00000000-0005-0000-0000-000037220000}"/>
    <cellStyle name="Финансовый 2 2 2 2 12 3" xfId="28258" xr:uid="{00000000-0005-0000-0000-000038220000}"/>
    <cellStyle name="Финансовый 2 2 2 2 13" xfId="6089" xr:uid="{00000000-0005-0000-0000-000039220000}"/>
    <cellStyle name="Финансовый 2 2 2 2 13 2" xfId="18067" xr:uid="{00000000-0005-0000-0000-00003A220000}"/>
    <cellStyle name="Финансовый 2 2 2 2 13 2 2" xfId="42022" xr:uid="{00000000-0005-0000-0000-00003B220000}"/>
    <cellStyle name="Финансовый 2 2 2 2 13 3" xfId="30044" xr:uid="{00000000-0005-0000-0000-00003C220000}"/>
    <cellStyle name="Финансовый 2 2 2 2 14" xfId="8696" xr:uid="{00000000-0005-0000-0000-00003D220000}"/>
    <cellStyle name="Финансовый 2 2 2 2 14 2" xfId="20674" xr:uid="{00000000-0005-0000-0000-00003E220000}"/>
    <cellStyle name="Финансовый 2 2 2 2 14 2 2" xfId="44629" xr:uid="{00000000-0005-0000-0000-00003F220000}"/>
    <cellStyle name="Финансовый 2 2 2 2 14 3" xfId="32651" xr:uid="{00000000-0005-0000-0000-000040220000}"/>
    <cellStyle name="Финансовый 2 2 2 2 15" xfId="12030" xr:uid="{00000000-0005-0000-0000-000041220000}"/>
    <cellStyle name="Финансовый 2 2 2 2 15 2" xfId="35985" xr:uid="{00000000-0005-0000-0000-000042220000}"/>
    <cellStyle name="Финансовый 2 2 2 2 16" xfId="24008" xr:uid="{00000000-0005-0000-0000-000043220000}"/>
    <cellStyle name="Финансовый 2 2 2 2 17" xfId="47966" xr:uid="{00000000-0005-0000-0000-000044220000}"/>
    <cellStyle name="Финансовый 2 2 2 2 2" xfId="104" xr:uid="{00000000-0005-0000-0000-000045220000}"/>
    <cellStyle name="Финансовый 2 2 2 2 2 10" xfId="2714" xr:uid="{00000000-0005-0000-0000-000046220000}"/>
    <cellStyle name="Финансовый 2 2 2 2 2 10 2" xfId="14693" xr:uid="{00000000-0005-0000-0000-000047220000}"/>
    <cellStyle name="Финансовый 2 2 2 2 2 10 2 2" xfId="38648" xr:uid="{00000000-0005-0000-0000-000048220000}"/>
    <cellStyle name="Финансовый 2 2 2 2 2 10 3" xfId="26671" xr:uid="{00000000-0005-0000-0000-000049220000}"/>
    <cellStyle name="Финансовый 2 2 2 2 2 11" xfId="4358" xr:uid="{00000000-0005-0000-0000-00004A220000}"/>
    <cellStyle name="Финансовый 2 2 2 2 2 11 2" xfId="16337" xr:uid="{00000000-0005-0000-0000-00004B220000}"/>
    <cellStyle name="Финансовый 2 2 2 2 2 11 2 2" xfId="40292" xr:uid="{00000000-0005-0000-0000-00004C220000}"/>
    <cellStyle name="Финансовый 2 2 2 2 2 11 3" xfId="28315" xr:uid="{00000000-0005-0000-0000-00004D220000}"/>
    <cellStyle name="Финансовый 2 2 2 2 2 12" xfId="6145" xr:uid="{00000000-0005-0000-0000-00004E220000}"/>
    <cellStyle name="Финансовый 2 2 2 2 2 12 2" xfId="18123" xr:uid="{00000000-0005-0000-0000-00004F220000}"/>
    <cellStyle name="Финансовый 2 2 2 2 2 12 2 2" xfId="42078" xr:uid="{00000000-0005-0000-0000-000050220000}"/>
    <cellStyle name="Финансовый 2 2 2 2 2 12 3" xfId="30100" xr:uid="{00000000-0005-0000-0000-000051220000}"/>
    <cellStyle name="Финансовый 2 2 2 2 2 13" xfId="8752" xr:uid="{00000000-0005-0000-0000-000052220000}"/>
    <cellStyle name="Финансовый 2 2 2 2 2 13 2" xfId="20730" xr:uid="{00000000-0005-0000-0000-000053220000}"/>
    <cellStyle name="Финансовый 2 2 2 2 2 13 2 2" xfId="44685" xr:uid="{00000000-0005-0000-0000-000054220000}"/>
    <cellStyle name="Финансовый 2 2 2 2 2 13 3" xfId="32707" xr:uid="{00000000-0005-0000-0000-000055220000}"/>
    <cellStyle name="Финансовый 2 2 2 2 2 14" xfId="12086" xr:uid="{00000000-0005-0000-0000-000056220000}"/>
    <cellStyle name="Финансовый 2 2 2 2 2 14 2" xfId="36041" xr:uid="{00000000-0005-0000-0000-000057220000}"/>
    <cellStyle name="Финансовый 2 2 2 2 2 15" xfId="24064" xr:uid="{00000000-0005-0000-0000-000058220000}"/>
    <cellStyle name="Финансовый 2 2 2 2 2 16" xfId="48022" xr:uid="{00000000-0005-0000-0000-000059220000}"/>
    <cellStyle name="Финансовый 2 2 2 2 2 2" xfId="240" xr:uid="{00000000-0005-0000-0000-00005A220000}"/>
    <cellStyle name="Финансовый 2 2 2 2 2 2 10" xfId="8888" xr:uid="{00000000-0005-0000-0000-00005B220000}"/>
    <cellStyle name="Финансовый 2 2 2 2 2 2 10 2" xfId="20866" xr:uid="{00000000-0005-0000-0000-00005C220000}"/>
    <cellStyle name="Финансовый 2 2 2 2 2 2 10 2 2" xfId="44821" xr:uid="{00000000-0005-0000-0000-00005D220000}"/>
    <cellStyle name="Финансовый 2 2 2 2 2 2 10 3" xfId="32843" xr:uid="{00000000-0005-0000-0000-00005E220000}"/>
    <cellStyle name="Финансовый 2 2 2 2 2 2 11" xfId="12222" xr:uid="{00000000-0005-0000-0000-00005F220000}"/>
    <cellStyle name="Финансовый 2 2 2 2 2 2 11 2" xfId="36177" xr:uid="{00000000-0005-0000-0000-000060220000}"/>
    <cellStyle name="Финансовый 2 2 2 2 2 2 12" xfId="24200" xr:uid="{00000000-0005-0000-0000-000061220000}"/>
    <cellStyle name="Финансовый 2 2 2 2 2 2 13" xfId="48158" xr:uid="{00000000-0005-0000-0000-000062220000}"/>
    <cellStyle name="Финансовый 2 2 2 2 2 2 2" xfId="1338" xr:uid="{00000000-0005-0000-0000-000063220000}"/>
    <cellStyle name="Финансовый 2 2 2 2 2 2 2 2" xfId="2296" xr:uid="{00000000-0005-0000-0000-000064220000}"/>
    <cellStyle name="Финансовый 2 2 2 2 2 2 2 2 2" xfId="3941" xr:uid="{00000000-0005-0000-0000-000065220000}"/>
    <cellStyle name="Финансовый 2 2 2 2 2 2 2 2 2 2" xfId="11681" xr:uid="{00000000-0005-0000-0000-000066220000}"/>
    <cellStyle name="Финансовый 2 2 2 2 2 2 2 2 2 2 2" xfId="23659" xr:uid="{00000000-0005-0000-0000-000067220000}"/>
    <cellStyle name="Финансовый 2 2 2 2 2 2 2 2 2 2 2 2" xfId="47614" xr:uid="{00000000-0005-0000-0000-000068220000}"/>
    <cellStyle name="Финансовый 2 2 2 2 2 2 2 2 2 2 3" xfId="35636" xr:uid="{00000000-0005-0000-0000-000069220000}"/>
    <cellStyle name="Финансовый 2 2 2 2 2 2 2 2 2 3" xfId="15920" xr:uid="{00000000-0005-0000-0000-00006A220000}"/>
    <cellStyle name="Финансовый 2 2 2 2 2 2 2 2 2 3 2" xfId="39875" xr:uid="{00000000-0005-0000-0000-00006B220000}"/>
    <cellStyle name="Финансовый 2 2 2 2 2 2 2 2 2 4" xfId="27898" xr:uid="{00000000-0005-0000-0000-00006C220000}"/>
    <cellStyle name="Финансовый 2 2 2 2 2 2 2 2 2 5" xfId="51167" xr:uid="{00000000-0005-0000-0000-00006D220000}"/>
    <cellStyle name="Финансовый 2 2 2 2 2 2 2 2 3" xfId="5724" xr:uid="{00000000-0005-0000-0000-00006E220000}"/>
    <cellStyle name="Финансовый 2 2 2 2 2 2 2 2 3 2" xfId="17702" xr:uid="{00000000-0005-0000-0000-00006F220000}"/>
    <cellStyle name="Финансовый 2 2 2 2 2 2 2 2 3 2 2" xfId="41657" xr:uid="{00000000-0005-0000-0000-000070220000}"/>
    <cellStyle name="Финансовый 2 2 2 2 2 2 2 2 3 3" xfId="29679" xr:uid="{00000000-0005-0000-0000-000071220000}"/>
    <cellStyle name="Финансовый 2 2 2 2 2 2 2 2 4" xfId="8334" xr:uid="{00000000-0005-0000-0000-000072220000}"/>
    <cellStyle name="Финансовый 2 2 2 2 2 2 2 2 4 2" xfId="20312" xr:uid="{00000000-0005-0000-0000-000073220000}"/>
    <cellStyle name="Финансовый 2 2 2 2 2 2 2 2 4 2 2" xfId="44267" xr:uid="{00000000-0005-0000-0000-000074220000}"/>
    <cellStyle name="Финансовый 2 2 2 2 2 2 2 2 4 3" xfId="32289" xr:uid="{00000000-0005-0000-0000-000075220000}"/>
    <cellStyle name="Финансовый 2 2 2 2 2 2 2 2 5" xfId="10117" xr:uid="{00000000-0005-0000-0000-000076220000}"/>
    <cellStyle name="Финансовый 2 2 2 2 2 2 2 2 5 2" xfId="22095" xr:uid="{00000000-0005-0000-0000-000077220000}"/>
    <cellStyle name="Финансовый 2 2 2 2 2 2 2 2 5 2 2" xfId="46050" xr:uid="{00000000-0005-0000-0000-000078220000}"/>
    <cellStyle name="Финансовый 2 2 2 2 2 2 2 2 5 3" xfId="34072" xr:uid="{00000000-0005-0000-0000-000079220000}"/>
    <cellStyle name="Финансовый 2 2 2 2 2 2 2 2 6" xfId="14275" xr:uid="{00000000-0005-0000-0000-00007A220000}"/>
    <cellStyle name="Финансовый 2 2 2 2 2 2 2 2 6 2" xfId="38230" xr:uid="{00000000-0005-0000-0000-00007B220000}"/>
    <cellStyle name="Финансовый 2 2 2 2 2 2 2 2 7" xfId="26253" xr:uid="{00000000-0005-0000-0000-00007C220000}"/>
    <cellStyle name="Финансовый 2 2 2 2 2 2 2 2 8" xfId="49386" xr:uid="{00000000-0005-0000-0000-00007D220000}"/>
    <cellStyle name="Финансовый 2 2 2 2 2 2 2 3" xfId="3122" xr:uid="{00000000-0005-0000-0000-00007E220000}"/>
    <cellStyle name="Финансовый 2 2 2 2 2 2 2 3 2" xfId="10909" xr:uid="{00000000-0005-0000-0000-00007F220000}"/>
    <cellStyle name="Финансовый 2 2 2 2 2 2 2 3 2 2" xfId="22887" xr:uid="{00000000-0005-0000-0000-000080220000}"/>
    <cellStyle name="Финансовый 2 2 2 2 2 2 2 3 2 2 2" xfId="46842" xr:uid="{00000000-0005-0000-0000-000081220000}"/>
    <cellStyle name="Финансовый 2 2 2 2 2 2 2 3 2 3" xfId="34864" xr:uid="{00000000-0005-0000-0000-000082220000}"/>
    <cellStyle name="Финансовый 2 2 2 2 2 2 2 3 3" xfId="15101" xr:uid="{00000000-0005-0000-0000-000083220000}"/>
    <cellStyle name="Финансовый 2 2 2 2 2 2 2 3 3 2" xfId="39056" xr:uid="{00000000-0005-0000-0000-000084220000}"/>
    <cellStyle name="Финансовый 2 2 2 2 2 2 2 3 4" xfId="27079" xr:uid="{00000000-0005-0000-0000-000085220000}"/>
    <cellStyle name="Финансовый 2 2 2 2 2 2 2 3 5" xfId="50210" xr:uid="{00000000-0005-0000-0000-000086220000}"/>
    <cellStyle name="Финансовый 2 2 2 2 2 2 2 4" xfId="4766" xr:uid="{00000000-0005-0000-0000-000087220000}"/>
    <cellStyle name="Финансовый 2 2 2 2 2 2 2 4 2" xfId="16745" xr:uid="{00000000-0005-0000-0000-000088220000}"/>
    <cellStyle name="Финансовый 2 2 2 2 2 2 2 4 2 2" xfId="40700" xr:uid="{00000000-0005-0000-0000-000089220000}"/>
    <cellStyle name="Финансовый 2 2 2 2 2 2 2 4 3" xfId="28723" xr:uid="{00000000-0005-0000-0000-00008A220000}"/>
    <cellStyle name="Финансовый 2 2 2 2 2 2 2 5" xfId="7378" xr:uid="{00000000-0005-0000-0000-00008B220000}"/>
    <cellStyle name="Финансовый 2 2 2 2 2 2 2 5 2" xfId="19356" xr:uid="{00000000-0005-0000-0000-00008C220000}"/>
    <cellStyle name="Финансовый 2 2 2 2 2 2 2 5 2 2" xfId="43311" xr:uid="{00000000-0005-0000-0000-00008D220000}"/>
    <cellStyle name="Финансовый 2 2 2 2 2 2 2 5 3" xfId="31333" xr:uid="{00000000-0005-0000-0000-00008E220000}"/>
    <cellStyle name="Финансовый 2 2 2 2 2 2 2 6" xfId="9160" xr:uid="{00000000-0005-0000-0000-00008F220000}"/>
    <cellStyle name="Финансовый 2 2 2 2 2 2 2 6 2" xfId="21138" xr:uid="{00000000-0005-0000-0000-000090220000}"/>
    <cellStyle name="Финансовый 2 2 2 2 2 2 2 6 2 2" xfId="45093" xr:uid="{00000000-0005-0000-0000-000091220000}"/>
    <cellStyle name="Финансовый 2 2 2 2 2 2 2 6 3" xfId="33115" xr:uid="{00000000-0005-0000-0000-000092220000}"/>
    <cellStyle name="Финансовый 2 2 2 2 2 2 2 7" xfId="13319" xr:uid="{00000000-0005-0000-0000-000093220000}"/>
    <cellStyle name="Финансовый 2 2 2 2 2 2 2 7 2" xfId="37274" xr:uid="{00000000-0005-0000-0000-000094220000}"/>
    <cellStyle name="Финансовый 2 2 2 2 2 2 2 8" xfId="25297" xr:uid="{00000000-0005-0000-0000-000095220000}"/>
    <cellStyle name="Финансовый 2 2 2 2 2 2 2 9" xfId="48430" xr:uid="{00000000-0005-0000-0000-000096220000}"/>
    <cellStyle name="Финансовый 2 2 2 2 2 2 3" xfId="2040" xr:uid="{00000000-0005-0000-0000-000097220000}"/>
    <cellStyle name="Финансовый 2 2 2 2 2 2 3 2" xfId="3685" xr:uid="{00000000-0005-0000-0000-000098220000}"/>
    <cellStyle name="Финансовый 2 2 2 2 2 2 3 2 2" xfId="11425" xr:uid="{00000000-0005-0000-0000-000099220000}"/>
    <cellStyle name="Финансовый 2 2 2 2 2 2 3 2 2 2" xfId="23403" xr:uid="{00000000-0005-0000-0000-00009A220000}"/>
    <cellStyle name="Финансовый 2 2 2 2 2 2 3 2 2 2 2" xfId="47358" xr:uid="{00000000-0005-0000-0000-00009B220000}"/>
    <cellStyle name="Финансовый 2 2 2 2 2 2 3 2 2 3" xfId="35380" xr:uid="{00000000-0005-0000-0000-00009C220000}"/>
    <cellStyle name="Финансовый 2 2 2 2 2 2 3 2 3" xfId="15664" xr:uid="{00000000-0005-0000-0000-00009D220000}"/>
    <cellStyle name="Финансовый 2 2 2 2 2 2 3 2 3 2" xfId="39619" xr:uid="{00000000-0005-0000-0000-00009E220000}"/>
    <cellStyle name="Финансовый 2 2 2 2 2 2 3 2 4" xfId="27642" xr:uid="{00000000-0005-0000-0000-00009F220000}"/>
    <cellStyle name="Финансовый 2 2 2 2 2 2 3 2 5" xfId="50911" xr:uid="{00000000-0005-0000-0000-0000A0220000}"/>
    <cellStyle name="Финансовый 2 2 2 2 2 2 3 3" xfId="5468" xr:uid="{00000000-0005-0000-0000-0000A1220000}"/>
    <cellStyle name="Финансовый 2 2 2 2 2 2 3 3 2" xfId="17446" xr:uid="{00000000-0005-0000-0000-0000A2220000}"/>
    <cellStyle name="Финансовый 2 2 2 2 2 2 3 3 2 2" xfId="41401" xr:uid="{00000000-0005-0000-0000-0000A3220000}"/>
    <cellStyle name="Финансовый 2 2 2 2 2 2 3 3 3" xfId="29423" xr:uid="{00000000-0005-0000-0000-0000A4220000}"/>
    <cellStyle name="Финансовый 2 2 2 2 2 2 3 4" xfId="8078" xr:uid="{00000000-0005-0000-0000-0000A5220000}"/>
    <cellStyle name="Финансовый 2 2 2 2 2 2 3 4 2" xfId="20056" xr:uid="{00000000-0005-0000-0000-0000A6220000}"/>
    <cellStyle name="Финансовый 2 2 2 2 2 2 3 4 2 2" xfId="44011" xr:uid="{00000000-0005-0000-0000-0000A7220000}"/>
    <cellStyle name="Финансовый 2 2 2 2 2 2 3 4 3" xfId="32033" xr:uid="{00000000-0005-0000-0000-0000A8220000}"/>
    <cellStyle name="Финансовый 2 2 2 2 2 2 3 5" xfId="9861" xr:uid="{00000000-0005-0000-0000-0000A9220000}"/>
    <cellStyle name="Финансовый 2 2 2 2 2 2 3 5 2" xfId="21839" xr:uid="{00000000-0005-0000-0000-0000AA220000}"/>
    <cellStyle name="Финансовый 2 2 2 2 2 2 3 5 2 2" xfId="45794" xr:uid="{00000000-0005-0000-0000-0000AB220000}"/>
    <cellStyle name="Финансовый 2 2 2 2 2 2 3 5 3" xfId="33816" xr:uid="{00000000-0005-0000-0000-0000AC220000}"/>
    <cellStyle name="Финансовый 2 2 2 2 2 2 3 6" xfId="14019" xr:uid="{00000000-0005-0000-0000-0000AD220000}"/>
    <cellStyle name="Финансовый 2 2 2 2 2 2 3 6 2" xfId="37974" xr:uid="{00000000-0005-0000-0000-0000AE220000}"/>
    <cellStyle name="Финансовый 2 2 2 2 2 2 3 7" xfId="25997" xr:uid="{00000000-0005-0000-0000-0000AF220000}"/>
    <cellStyle name="Финансовый 2 2 2 2 2 2 3 8" xfId="49130" xr:uid="{00000000-0005-0000-0000-0000B0220000}"/>
    <cellStyle name="Финансовый 2 2 2 2 2 2 4" xfId="2569" xr:uid="{00000000-0005-0000-0000-0000B1220000}"/>
    <cellStyle name="Финансовый 2 2 2 2 2 2 4 2" xfId="4214" xr:uid="{00000000-0005-0000-0000-0000B2220000}"/>
    <cellStyle name="Финансовый 2 2 2 2 2 2 4 2 2" xfId="11938" xr:uid="{00000000-0005-0000-0000-0000B3220000}"/>
    <cellStyle name="Финансовый 2 2 2 2 2 2 4 2 2 2" xfId="23916" xr:uid="{00000000-0005-0000-0000-0000B4220000}"/>
    <cellStyle name="Финансовый 2 2 2 2 2 2 4 2 2 2 2" xfId="47871" xr:uid="{00000000-0005-0000-0000-0000B5220000}"/>
    <cellStyle name="Финансовый 2 2 2 2 2 2 4 2 2 3" xfId="35893" xr:uid="{00000000-0005-0000-0000-0000B6220000}"/>
    <cellStyle name="Финансовый 2 2 2 2 2 2 4 2 3" xfId="16193" xr:uid="{00000000-0005-0000-0000-0000B7220000}"/>
    <cellStyle name="Финансовый 2 2 2 2 2 2 4 2 3 2" xfId="40148" xr:uid="{00000000-0005-0000-0000-0000B8220000}"/>
    <cellStyle name="Финансовый 2 2 2 2 2 2 4 2 4" xfId="28171" xr:uid="{00000000-0005-0000-0000-0000B9220000}"/>
    <cellStyle name="Финансовый 2 2 2 2 2 2 4 2 5" xfId="51440" xr:uid="{00000000-0005-0000-0000-0000BA220000}"/>
    <cellStyle name="Финансовый 2 2 2 2 2 2 4 3" xfId="5997" xr:uid="{00000000-0005-0000-0000-0000BB220000}"/>
    <cellStyle name="Финансовый 2 2 2 2 2 2 4 3 2" xfId="17975" xr:uid="{00000000-0005-0000-0000-0000BC220000}"/>
    <cellStyle name="Финансовый 2 2 2 2 2 2 4 3 2 2" xfId="41930" xr:uid="{00000000-0005-0000-0000-0000BD220000}"/>
    <cellStyle name="Финансовый 2 2 2 2 2 2 4 3 3" xfId="29952" xr:uid="{00000000-0005-0000-0000-0000BE220000}"/>
    <cellStyle name="Финансовый 2 2 2 2 2 2 4 4" xfId="8607" xr:uid="{00000000-0005-0000-0000-0000BF220000}"/>
    <cellStyle name="Финансовый 2 2 2 2 2 2 4 4 2" xfId="20585" xr:uid="{00000000-0005-0000-0000-0000C0220000}"/>
    <cellStyle name="Финансовый 2 2 2 2 2 2 4 4 2 2" xfId="44540" xr:uid="{00000000-0005-0000-0000-0000C1220000}"/>
    <cellStyle name="Финансовый 2 2 2 2 2 2 4 4 3" xfId="32562" xr:uid="{00000000-0005-0000-0000-0000C2220000}"/>
    <cellStyle name="Финансовый 2 2 2 2 2 2 4 5" xfId="10390" xr:uid="{00000000-0005-0000-0000-0000C3220000}"/>
    <cellStyle name="Финансовый 2 2 2 2 2 2 4 5 2" xfId="22368" xr:uid="{00000000-0005-0000-0000-0000C4220000}"/>
    <cellStyle name="Финансовый 2 2 2 2 2 2 4 5 2 2" xfId="46323" xr:uid="{00000000-0005-0000-0000-0000C5220000}"/>
    <cellStyle name="Финансовый 2 2 2 2 2 2 4 5 3" xfId="34345" xr:uid="{00000000-0005-0000-0000-0000C6220000}"/>
    <cellStyle name="Финансовый 2 2 2 2 2 2 4 6" xfId="14548" xr:uid="{00000000-0005-0000-0000-0000C7220000}"/>
    <cellStyle name="Финансовый 2 2 2 2 2 2 4 6 2" xfId="38503" xr:uid="{00000000-0005-0000-0000-0000C8220000}"/>
    <cellStyle name="Финансовый 2 2 2 2 2 2 4 7" xfId="26526" xr:uid="{00000000-0005-0000-0000-0000C9220000}"/>
    <cellStyle name="Финансовый 2 2 2 2 2 2 4 8" xfId="49659" xr:uid="{00000000-0005-0000-0000-0000CA220000}"/>
    <cellStyle name="Финансовый 2 2 2 2 2 2 5" xfId="1073" xr:uid="{00000000-0005-0000-0000-0000CB220000}"/>
    <cellStyle name="Финансовый 2 2 2 2 2 2 5 2" xfId="7113" xr:uid="{00000000-0005-0000-0000-0000CC220000}"/>
    <cellStyle name="Финансовый 2 2 2 2 2 2 5 2 2" xfId="19091" xr:uid="{00000000-0005-0000-0000-0000CD220000}"/>
    <cellStyle name="Финансовый 2 2 2 2 2 2 5 2 2 2" xfId="43046" xr:uid="{00000000-0005-0000-0000-0000CE220000}"/>
    <cellStyle name="Финансовый 2 2 2 2 2 2 5 2 3" xfId="31068" xr:uid="{00000000-0005-0000-0000-0000CF220000}"/>
    <cellStyle name="Финансовый 2 2 2 2 2 2 5 3" xfId="10653" xr:uid="{00000000-0005-0000-0000-0000D0220000}"/>
    <cellStyle name="Финансовый 2 2 2 2 2 2 5 3 2" xfId="22631" xr:uid="{00000000-0005-0000-0000-0000D1220000}"/>
    <cellStyle name="Финансовый 2 2 2 2 2 2 5 3 2 2" xfId="46586" xr:uid="{00000000-0005-0000-0000-0000D2220000}"/>
    <cellStyle name="Финансовый 2 2 2 2 2 2 5 3 3" xfId="34608" xr:uid="{00000000-0005-0000-0000-0000D3220000}"/>
    <cellStyle name="Финансовый 2 2 2 2 2 2 5 4" xfId="13054" xr:uid="{00000000-0005-0000-0000-0000D4220000}"/>
    <cellStyle name="Финансовый 2 2 2 2 2 2 5 4 2" xfId="37009" xr:uid="{00000000-0005-0000-0000-0000D5220000}"/>
    <cellStyle name="Финансовый 2 2 2 2 2 2 5 5" xfId="25032" xr:uid="{00000000-0005-0000-0000-0000D6220000}"/>
    <cellStyle name="Финансовый 2 2 2 2 2 2 5 6" xfId="49938" xr:uid="{00000000-0005-0000-0000-0000D7220000}"/>
    <cellStyle name="Финансовый 2 2 2 2 2 2 6" xfId="661" xr:uid="{00000000-0005-0000-0000-0000D8220000}"/>
    <cellStyle name="Финансовый 2 2 2 2 2 2 6 2" xfId="6701" xr:uid="{00000000-0005-0000-0000-0000D9220000}"/>
    <cellStyle name="Финансовый 2 2 2 2 2 2 6 2 2" xfId="18679" xr:uid="{00000000-0005-0000-0000-0000DA220000}"/>
    <cellStyle name="Финансовый 2 2 2 2 2 2 6 2 2 2" xfId="42634" xr:uid="{00000000-0005-0000-0000-0000DB220000}"/>
    <cellStyle name="Финансовый 2 2 2 2 2 2 6 2 3" xfId="30656" xr:uid="{00000000-0005-0000-0000-0000DC220000}"/>
    <cellStyle name="Финансовый 2 2 2 2 2 2 6 3" xfId="12642" xr:uid="{00000000-0005-0000-0000-0000DD220000}"/>
    <cellStyle name="Финансовый 2 2 2 2 2 2 6 3 2" xfId="36597" xr:uid="{00000000-0005-0000-0000-0000DE220000}"/>
    <cellStyle name="Финансовый 2 2 2 2 2 2 6 4" xfId="24620" xr:uid="{00000000-0005-0000-0000-0000DF220000}"/>
    <cellStyle name="Финансовый 2 2 2 2 2 2 7" xfId="2850" xr:uid="{00000000-0005-0000-0000-0000E0220000}"/>
    <cellStyle name="Финансовый 2 2 2 2 2 2 7 2" xfId="14829" xr:uid="{00000000-0005-0000-0000-0000E1220000}"/>
    <cellStyle name="Финансовый 2 2 2 2 2 2 7 2 2" xfId="38784" xr:uid="{00000000-0005-0000-0000-0000E2220000}"/>
    <cellStyle name="Финансовый 2 2 2 2 2 2 7 3" xfId="26807" xr:uid="{00000000-0005-0000-0000-0000E3220000}"/>
    <cellStyle name="Финансовый 2 2 2 2 2 2 8" xfId="4494" xr:uid="{00000000-0005-0000-0000-0000E4220000}"/>
    <cellStyle name="Финансовый 2 2 2 2 2 2 8 2" xfId="16473" xr:uid="{00000000-0005-0000-0000-0000E5220000}"/>
    <cellStyle name="Финансовый 2 2 2 2 2 2 8 2 2" xfId="40428" xr:uid="{00000000-0005-0000-0000-0000E6220000}"/>
    <cellStyle name="Финансовый 2 2 2 2 2 2 8 3" xfId="28451" xr:uid="{00000000-0005-0000-0000-0000E7220000}"/>
    <cellStyle name="Финансовый 2 2 2 2 2 2 9" xfId="6281" xr:uid="{00000000-0005-0000-0000-0000E8220000}"/>
    <cellStyle name="Финансовый 2 2 2 2 2 2 9 2" xfId="18259" xr:uid="{00000000-0005-0000-0000-0000E9220000}"/>
    <cellStyle name="Финансовый 2 2 2 2 2 2 9 2 2" xfId="42214" xr:uid="{00000000-0005-0000-0000-0000EA220000}"/>
    <cellStyle name="Финансовый 2 2 2 2 2 2 9 3" xfId="30236" xr:uid="{00000000-0005-0000-0000-0000EB220000}"/>
    <cellStyle name="Финансовый 2 2 2 2 2 3" xfId="389" xr:uid="{00000000-0005-0000-0000-0000EC220000}"/>
    <cellStyle name="Финансовый 2 2 2 2 2 3 10" xfId="24348" xr:uid="{00000000-0005-0000-0000-0000ED220000}"/>
    <cellStyle name="Финансовый 2 2 2 2 2 3 11" xfId="48294" xr:uid="{00000000-0005-0000-0000-0000EE220000}"/>
    <cellStyle name="Финансовый 2 2 2 2 2 3 2" xfId="2168" xr:uid="{00000000-0005-0000-0000-0000EF220000}"/>
    <cellStyle name="Финансовый 2 2 2 2 2 3 2 2" xfId="3813" xr:uid="{00000000-0005-0000-0000-0000F0220000}"/>
    <cellStyle name="Финансовый 2 2 2 2 2 3 2 2 2" xfId="11553" xr:uid="{00000000-0005-0000-0000-0000F1220000}"/>
    <cellStyle name="Финансовый 2 2 2 2 2 3 2 2 2 2" xfId="23531" xr:uid="{00000000-0005-0000-0000-0000F2220000}"/>
    <cellStyle name="Финансовый 2 2 2 2 2 3 2 2 2 2 2" xfId="47486" xr:uid="{00000000-0005-0000-0000-0000F3220000}"/>
    <cellStyle name="Финансовый 2 2 2 2 2 3 2 2 2 3" xfId="35508" xr:uid="{00000000-0005-0000-0000-0000F4220000}"/>
    <cellStyle name="Финансовый 2 2 2 2 2 3 2 2 3" xfId="15792" xr:uid="{00000000-0005-0000-0000-0000F5220000}"/>
    <cellStyle name="Финансовый 2 2 2 2 2 3 2 2 3 2" xfId="39747" xr:uid="{00000000-0005-0000-0000-0000F6220000}"/>
    <cellStyle name="Финансовый 2 2 2 2 2 3 2 2 4" xfId="27770" xr:uid="{00000000-0005-0000-0000-0000F7220000}"/>
    <cellStyle name="Финансовый 2 2 2 2 2 3 2 2 5" xfId="51039" xr:uid="{00000000-0005-0000-0000-0000F8220000}"/>
    <cellStyle name="Финансовый 2 2 2 2 2 3 2 3" xfId="5596" xr:uid="{00000000-0005-0000-0000-0000F9220000}"/>
    <cellStyle name="Финансовый 2 2 2 2 2 3 2 3 2" xfId="17574" xr:uid="{00000000-0005-0000-0000-0000FA220000}"/>
    <cellStyle name="Финансовый 2 2 2 2 2 3 2 3 2 2" xfId="41529" xr:uid="{00000000-0005-0000-0000-0000FB220000}"/>
    <cellStyle name="Финансовый 2 2 2 2 2 3 2 3 3" xfId="29551" xr:uid="{00000000-0005-0000-0000-0000FC220000}"/>
    <cellStyle name="Финансовый 2 2 2 2 2 3 2 4" xfId="8206" xr:uid="{00000000-0005-0000-0000-0000FD220000}"/>
    <cellStyle name="Финансовый 2 2 2 2 2 3 2 4 2" xfId="20184" xr:uid="{00000000-0005-0000-0000-0000FE220000}"/>
    <cellStyle name="Финансовый 2 2 2 2 2 3 2 4 2 2" xfId="44139" xr:uid="{00000000-0005-0000-0000-0000FF220000}"/>
    <cellStyle name="Финансовый 2 2 2 2 2 3 2 4 3" xfId="32161" xr:uid="{00000000-0005-0000-0000-000000230000}"/>
    <cellStyle name="Финансовый 2 2 2 2 2 3 2 5" xfId="9989" xr:uid="{00000000-0005-0000-0000-000001230000}"/>
    <cellStyle name="Финансовый 2 2 2 2 2 3 2 5 2" xfId="21967" xr:uid="{00000000-0005-0000-0000-000002230000}"/>
    <cellStyle name="Финансовый 2 2 2 2 2 3 2 5 2 2" xfId="45922" xr:uid="{00000000-0005-0000-0000-000003230000}"/>
    <cellStyle name="Финансовый 2 2 2 2 2 3 2 5 3" xfId="33944" xr:uid="{00000000-0005-0000-0000-000004230000}"/>
    <cellStyle name="Финансовый 2 2 2 2 2 3 2 6" xfId="14147" xr:uid="{00000000-0005-0000-0000-000005230000}"/>
    <cellStyle name="Финансовый 2 2 2 2 2 3 2 6 2" xfId="38102" xr:uid="{00000000-0005-0000-0000-000006230000}"/>
    <cellStyle name="Финансовый 2 2 2 2 2 3 2 7" xfId="26125" xr:uid="{00000000-0005-0000-0000-000007230000}"/>
    <cellStyle name="Финансовый 2 2 2 2 2 3 2 8" xfId="49258" xr:uid="{00000000-0005-0000-0000-000008230000}"/>
    <cellStyle name="Финансовый 2 2 2 2 2 3 3" xfId="1202" xr:uid="{00000000-0005-0000-0000-000009230000}"/>
    <cellStyle name="Финансовый 2 2 2 2 2 3 3 2" xfId="7242" xr:uid="{00000000-0005-0000-0000-00000A230000}"/>
    <cellStyle name="Финансовый 2 2 2 2 2 3 3 2 2" xfId="19220" xr:uid="{00000000-0005-0000-0000-00000B230000}"/>
    <cellStyle name="Финансовый 2 2 2 2 2 3 3 2 2 2" xfId="43175" xr:uid="{00000000-0005-0000-0000-00000C230000}"/>
    <cellStyle name="Финансовый 2 2 2 2 2 3 3 2 3" xfId="31197" xr:uid="{00000000-0005-0000-0000-00000D230000}"/>
    <cellStyle name="Финансовый 2 2 2 2 2 3 3 3" xfId="10781" xr:uid="{00000000-0005-0000-0000-00000E230000}"/>
    <cellStyle name="Финансовый 2 2 2 2 2 3 3 3 2" xfId="22759" xr:uid="{00000000-0005-0000-0000-00000F230000}"/>
    <cellStyle name="Финансовый 2 2 2 2 2 3 3 3 2 2" xfId="46714" xr:uid="{00000000-0005-0000-0000-000010230000}"/>
    <cellStyle name="Финансовый 2 2 2 2 2 3 3 3 3" xfId="34736" xr:uid="{00000000-0005-0000-0000-000011230000}"/>
    <cellStyle name="Финансовый 2 2 2 2 2 3 3 4" xfId="13183" xr:uid="{00000000-0005-0000-0000-000012230000}"/>
    <cellStyle name="Финансовый 2 2 2 2 2 3 3 4 2" xfId="37138" xr:uid="{00000000-0005-0000-0000-000013230000}"/>
    <cellStyle name="Финансовый 2 2 2 2 2 3 3 5" xfId="25161" xr:uid="{00000000-0005-0000-0000-000014230000}"/>
    <cellStyle name="Финансовый 2 2 2 2 2 3 3 6" xfId="50074" xr:uid="{00000000-0005-0000-0000-000015230000}"/>
    <cellStyle name="Финансовый 2 2 2 2 2 3 4" xfId="809" xr:uid="{00000000-0005-0000-0000-000016230000}"/>
    <cellStyle name="Финансовый 2 2 2 2 2 3 4 2" xfId="6849" xr:uid="{00000000-0005-0000-0000-000017230000}"/>
    <cellStyle name="Финансовый 2 2 2 2 2 3 4 2 2" xfId="18827" xr:uid="{00000000-0005-0000-0000-000018230000}"/>
    <cellStyle name="Финансовый 2 2 2 2 2 3 4 2 2 2" xfId="42782" xr:uid="{00000000-0005-0000-0000-000019230000}"/>
    <cellStyle name="Финансовый 2 2 2 2 2 3 4 2 3" xfId="30804" xr:uid="{00000000-0005-0000-0000-00001A230000}"/>
    <cellStyle name="Финансовый 2 2 2 2 2 3 4 3" xfId="12790" xr:uid="{00000000-0005-0000-0000-00001B230000}"/>
    <cellStyle name="Финансовый 2 2 2 2 2 3 4 3 2" xfId="36745" xr:uid="{00000000-0005-0000-0000-00001C230000}"/>
    <cellStyle name="Финансовый 2 2 2 2 2 3 4 4" xfId="24768" xr:uid="{00000000-0005-0000-0000-00001D230000}"/>
    <cellStyle name="Финансовый 2 2 2 2 2 3 5" xfId="2986" xr:uid="{00000000-0005-0000-0000-00001E230000}"/>
    <cellStyle name="Финансовый 2 2 2 2 2 3 5 2" xfId="14965" xr:uid="{00000000-0005-0000-0000-00001F230000}"/>
    <cellStyle name="Финансовый 2 2 2 2 2 3 5 2 2" xfId="38920" xr:uid="{00000000-0005-0000-0000-000020230000}"/>
    <cellStyle name="Финансовый 2 2 2 2 2 3 5 3" xfId="26943" xr:uid="{00000000-0005-0000-0000-000021230000}"/>
    <cellStyle name="Финансовый 2 2 2 2 2 3 6" xfId="4630" xr:uid="{00000000-0005-0000-0000-000022230000}"/>
    <cellStyle name="Финансовый 2 2 2 2 2 3 6 2" xfId="16609" xr:uid="{00000000-0005-0000-0000-000023230000}"/>
    <cellStyle name="Финансовый 2 2 2 2 2 3 6 2 2" xfId="40564" xr:uid="{00000000-0005-0000-0000-000024230000}"/>
    <cellStyle name="Финансовый 2 2 2 2 2 3 6 3" xfId="28587" xr:uid="{00000000-0005-0000-0000-000025230000}"/>
    <cellStyle name="Финансовый 2 2 2 2 2 3 7" xfId="6429" xr:uid="{00000000-0005-0000-0000-000026230000}"/>
    <cellStyle name="Финансовый 2 2 2 2 2 3 7 2" xfId="18407" xr:uid="{00000000-0005-0000-0000-000027230000}"/>
    <cellStyle name="Финансовый 2 2 2 2 2 3 7 2 2" xfId="42362" xr:uid="{00000000-0005-0000-0000-000028230000}"/>
    <cellStyle name="Финансовый 2 2 2 2 2 3 7 3" xfId="30384" xr:uid="{00000000-0005-0000-0000-000029230000}"/>
    <cellStyle name="Финансовый 2 2 2 2 2 3 8" xfId="9024" xr:uid="{00000000-0005-0000-0000-00002A230000}"/>
    <cellStyle name="Финансовый 2 2 2 2 2 3 8 2" xfId="21002" xr:uid="{00000000-0005-0000-0000-00002B230000}"/>
    <cellStyle name="Финансовый 2 2 2 2 2 3 8 2 2" xfId="44957" xr:uid="{00000000-0005-0000-0000-00002C230000}"/>
    <cellStyle name="Финансовый 2 2 2 2 2 3 8 3" xfId="32979" xr:uid="{00000000-0005-0000-0000-00002D230000}"/>
    <cellStyle name="Финансовый 2 2 2 2 2 3 9" xfId="12370" xr:uid="{00000000-0005-0000-0000-00002E230000}"/>
    <cellStyle name="Финансовый 2 2 2 2 2 3 9 2" xfId="36325" xr:uid="{00000000-0005-0000-0000-00002F230000}"/>
    <cellStyle name="Финансовый 2 2 2 2 2 4" xfId="1460" xr:uid="{00000000-0005-0000-0000-000030230000}"/>
    <cellStyle name="Финансовый 2 2 2 2 2 4 2" xfId="1912" xr:uid="{00000000-0005-0000-0000-000031230000}"/>
    <cellStyle name="Финансовый 2 2 2 2 2 4 2 2" xfId="3557" xr:uid="{00000000-0005-0000-0000-000032230000}"/>
    <cellStyle name="Финансовый 2 2 2 2 2 4 2 2 2" xfId="11297" xr:uid="{00000000-0005-0000-0000-000033230000}"/>
    <cellStyle name="Финансовый 2 2 2 2 2 4 2 2 2 2" xfId="23275" xr:uid="{00000000-0005-0000-0000-000034230000}"/>
    <cellStyle name="Финансовый 2 2 2 2 2 4 2 2 2 2 2" xfId="47230" xr:uid="{00000000-0005-0000-0000-000035230000}"/>
    <cellStyle name="Финансовый 2 2 2 2 2 4 2 2 2 3" xfId="35252" xr:uid="{00000000-0005-0000-0000-000036230000}"/>
    <cellStyle name="Финансовый 2 2 2 2 2 4 2 2 3" xfId="15536" xr:uid="{00000000-0005-0000-0000-000037230000}"/>
    <cellStyle name="Финансовый 2 2 2 2 2 4 2 2 3 2" xfId="39491" xr:uid="{00000000-0005-0000-0000-000038230000}"/>
    <cellStyle name="Финансовый 2 2 2 2 2 4 2 2 4" xfId="27514" xr:uid="{00000000-0005-0000-0000-000039230000}"/>
    <cellStyle name="Финансовый 2 2 2 2 2 4 2 2 5" xfId="50783" xr:uid="{00000000-0005-0000-0000-00003A230000}"/>
    <cellStyle name="Финансовый 2 2 2 2 2 4 2 3" xfId="5340" xr:uid="{00000000-0005-0000-0000-00003B230000}"/>
    <cellStyle name="Финансовый 2 2 2 2 2 4 2 3 2" xfId="17318" xr:uid="{00000000-0005-0000-0000-00003C230000}"/>
    <cellStyle name="Финансовый 2 2 2 2 2 4 2 3 2 2" xfId="41273" xr:uid="{00000000-0005-0000-0000-00003D230000}"/>
    <cellStyle name="Финансовый 2 2 2 2 2 4 2 3 3" xfId="29295" xr:uid="{00000000-0005-0000-0000-00003E230000}"/>
    <cellStyle name="Финансовый 2 2 2 2 2 4 2 4" xfId="7950" xr:uid="{00000000-0005-0000-0000-00003F230000}"/>
    <cellStyle name="Финансовый 2 2 2 2 2 4 2 4 2" xfId="19928" xr:uid="{00000000-0005-0000-0000-000040230000}"/>
    <cellStyle name="Финансовый 2 2 2 2 2 4 2 4 2 2" xfId="43883" xr:uid="{00000000-0005-0000-0000-000041230000}"/>
    <cellStyle name="Финансовый 2 2 2 2 2 4 2 4 3" xfId="31905" xr:uid="{00000000-0005-0000-0000-000042230000}"/>
    <cellStyle name="Финансовый 2 2 2 2 2 4 2 5" xfId="9733" xr:uid="{00000000-0005-0000-0000-000043230000}"/>
    <cellStyle name="Финансовый 2 2 2 2 2 4 2 5 2" xfId="21711" xr:uid="{00000000-0005-0000-0000-000044230000}"/>
    <cellStyle name="Финансовый 2 2 2 2 2 4 2 5 2 2" xfId="45666" xr:uid="{00000000-0005-0000-0000-000045230000}"/>
    <cellStyle name="Финансовый 2 2 2 2 2 4 2 5 3" xfId="33688" xr:uid="{00000000-0005-0000-0000-000046230000}"/>
    <cellStyle name="Финансовый 2 2 2 2 2 4 2 6" xfId="13891" xr:uid="{00000000-0005-0000-0000-000047230000}"/>
    <cellStyle name="Финансовый 2 2 2 2 2 4 2 6 2" xfId="37846" xr:uid="{00000000-0005-0000-0000-000048230000}"/>
    <cellStyle name="Финансовый 2 2 2 2 2 4 2 7" xfId="25869" xr:uid="{00000000-0005-0000-0000-000049230000}"/>
    <cellStyle name="Финансовый 2 2 2 2 2 4 2 8" xfId="49002" xr:uid="{00000000-0005-0000-0000-00004A230000}"/>
    <cellStyle name="Финансовый 2 2 2 2 2 4 3" xfId="4888" xr:uid="{00000000-0005-0000-0000-00004B230000}"/>
    <cellStyle name="Финансовый 2 2 2 2 2 4 3 2" xfId="16866" xr:uid="{00000000-0005-0000-0000-00004C230000}"/>
    <cellStyle name="Финансовый 2 2 2 2 2 4 3 2 2" xfId="40821" xr:uid="{00000000-0005-0000-0000-00004D230000}"/>
    <cellStyle name="Финансовый 2 2 2 2 2 4 3 3" xfId="28843" xr:uid="{00000000-0005-0000-0000-00004E230000}"/>
    <cellStyle name="Финансовый 2 2 2 2 2 4 3 4" xfId="50331" xr:uid="{00000000-0005-0000-0000-00004F230000}"/>
    <cellStyle name="Финансовый 2 2 2 2 2 4 4" xfId="7498" xr:uid="{00000000-0005-0000-0000-000050230000}"/>
    <cellStyle name="Финансовый 2 2 2 2 2 4 4 2" xfId="19476" xr:uid="{00000000-0005-0000-0000-000051230000}"/>
    <cellStyle name="Финансовый 2 2 2 2 2 4 4 2 2" xfId="43431" xr:uid="{00000000-0005-0000-0000-000052230000}"/>
    <cellStyle name="Финансовый 2 2 2 2 2 4 4 3" xfId="31453" xr:uid="{00000000-0005-0000-0000-000053230000}"/>
    <cellStyle name="Финансовый 2 2 2 2 2 4 5" xfId="9281" xr:uid="{00000000-0005-0000-0000-000054230000}"/>
    <cellStyle name="Финансовый 2 2 2 2 2 4 5 2" xfId="21259" xr:uid="{00000000-0005-0000-0000-000055230000}"/>
    <cellStyle name="Финансовый 2 2 2 2 2 4 5 2 2" xfId="45214" xr:uid="{00000000-0005-0000-0000-000056230000}"/>
    <cellStyle name="Финансовый 2 2 2 2 2 4 5 3" xfId="33236" xr:uid="{00000000-0005-0000-0000-000057230000}"/>
    <cellStyle name="Финансовый 2 2 2 2 2 4 6" xfId="13439" xr:uid="{00000000-0005-0000-0000-000058230000}"/>
    <cellStyle name="Финансовый 2 2 2 2 2 4 6 2" xfId="37394" xr:uid="{00000000-0005-0000-0000-000059230000}"/>
    <cellStyle name="Финансовый 2 2 2 2 2 4 7" xfId="25417" xr:uid="{00000000-0005-0000-0000-00005A230000}"/>
    <cellStyle name="Финансовый 2 2 2 2 2 4 8" xfId="48550" xr:uid="{00000000-0005-0000-0000-00005B230000}"/>
    <cellStyle name="Финансовый 2 2 2 2 2 5" xfId="1788" xr:uid="{00000000-0005-0000-0000-00005C230000}"/>
    <cellStyle name="Финансовый 2 2 2 2 2 5 2" xfId="3433" xr:uid="{00000000-0005-0000-0000-00005D230000}"/>
    <cellStyle name="Финансовый 2 2 2 2 2 5 2 2" xfId="11181" xr:uid="{00000000-0005-0000-0000-00005E230000}"/>
    <cellStyle name="Финансовый 2 2 2 2 2 5 2 2 2" xfId="23159" xr:uid="{00000000-0005-0000-0000-00005F230000}"/>
    <cellStyle name="Финансовый 2 2 2 2 2 5 2 2 2 2" xfId="47114" xr:uid="{00000000-0005-0000-0000-000060230000}"/>
    <cellStyle name="Финансовый 2 2 2 2 2 5 2 2 3" xfId="35136" xr:uid="{00000000-0005-0000-0000-000061230000}"/>
    <cellStyle name="Финансовый 2 2 2 2 2 5 2 3" xfId="15412" xr:uid="{00000000-0005-0000-0000-000062230000}"/>
    <cellStyle name="Финансовый 2 2 2 2 2 5 2 3 2" xfId="39367" xr:uid="{00000000-0005-0000-0000-000063230000}"/>
    <cellStyle name="Финансовый 2 2 2 2 2 5 2 4" xfId="27390" xr:uid="{00000000-0005-0000-0000-000064230000}"/>
    <cellStyle name="Финансовый 2 2 2 2 2 5 2 5" xfId="50659" xr:uid="{00000000-0005-0000-0000-000065230000}"/>
    <cellStyle name="Финансовый 2 2 2 2 2 5 3" xfId="5216" xr:uid="{00000000-0005-0000-0000-000066230000}"/>
    <cellStyle name="Финансовый 2 2 2 2 2 5 3 2" xfId="17194" xr:uid="{00000000-0005-0000-0000-000067230000}"/>
    <cellStyle name="Финансовый 2 2 2 2 2 5 3 2 2" xfId="41149" xr:uid="{00000000-0005-0000-0000-000068230000}"/>
    <cellStyle name="Финансовый 2 2 2 2 2 5 3 3" xfId="29171" xr:uid="{00000000-0005-0000-0000-000069230000}"/>
    <cellStyle name="Финансовый 2 2 2 2 2 5 4" xfId="7826" xr:uid="{00000000-0005-0000-0000-00006A230000}"/>
    <cellStyle name="Финансовый 2 2 2 2 2 5 4 2" xfId="19804" xr:uid="{00000000-0005-0000-0000-00006B230000}"/>
    <cellStyle name="Финансовый 2 2 2 2 2 5 4 2 2" xfId="43759" xr:uid="{00000000-0005-0000-0000-00006C230000}"/>
    <cellStyle name="Финансовый 2 2 2 2 2 5 4 3" xfId="31781" xr:uid="{00000000-0005-0000-0000-00006D230000}"/>
    <cellStyle name="Финансовый 2 2 2 2 2 5 5" xfId="9609" xr:uid="{00000000-0005-0000-0000-00006E230000}"/>
    <cellStyle name="Финансовый 2 2 2 2 2 5 5 2" xfId="21587" xr:uid="{00000000-0005-0000-0000-00006F230000}"/>
    <cellStyle name="Финансовый 2 2 2 2 2 5 5 2 2" xfId="45542" xr:uid="{00000000-0005-0000-0000-000070230000}"/>
    <cellStyle name="Финансовый 2 2 2 2 2 5 5 3" xfId="33564" xr:uid="{00000000-0005-0000-0000-000071230000}"/>
    <cellStyle name="Финансовый 2 2 2 2 2 5 6" xfId="13767" xr:uid="{00000000-0005-0000-0000-000072230000}"/>
    <cellStyle name="Финансовый 2 2 2 2 2 5 6 2" xfId="37722" xr:uid="{00000000-0005-0000-0000-000073230000}"/>
    <cellStyle name="Финансовый 2 2 2 2 2 5 7" xfId="25745" xr:uid="{00000000-0005-0000-0000-000074230000}"/>
    <cellStyle name="Финансовый 2 2 2 2 2 5 8" xfId="48878" xr:uid="{00000000-0005-0000-0000-000075230000}"/>
    <cellStyle name="Финансовый 2 2 2 2 2 6" xfId="2433" xr:uid="{00000000-0005-0000-0000-000076230000}"/>
    <cellStyle name="Финансовый 2 2 2 2 2 6 2" xfId="4078" xr:uid="{00000000-0005-0000-0000-000077230000}"/>
    <cellStyle name="Финансовый 2 2 2 2 2 6 2 2" xfId="11810" xr:uid="{00000000-0005-0000-0000-000078230000}"/>
    <cellStyle name="Финансовый 2 2 2 2 2 6 2 2 2" xfId="23788" xr:uid="{00000000-0005-0000-0000-000079230000}"/>
    <cellStyle name="Финансовый 2 2 2 2 2 6 2 2 2 2" xfId="47743" xr:uid="{00000000-0005-0000-0000-00007A230000}"/>
    <cellStyle name="Финансовый 2 2 2 2 2 6 2 2 3" xfId="35765" xr:uid="{00000000-0005-0000-0000-00007B230000}"/>
    <cellStyle name="Финансовый 2 2 2 2 2 6 2 3" xfId="16057" xr:uid="{00000000-0005-0000-0000-00007C230000}"/>
    <cellStyle name="Финансовый 2 2 2 2 2 6 2 3 2" xfId="40012" xr:uid="{00000000-0005-0000-0000-00007D230000}"/>
    <cellStyle name="Финансовый 2 2 2 2 2 6 2 4" xfId="28035" xr:uid="{00000000-0005-0000-0000-00007E230000}"/>
    <cellStyle name="Финансовый 2 2 2 2 2 6 2 5" xfId="51304" xr:uid="{00000000-0005-0000-0000-00007F230000}"/>
    <cellStyle name="Финансовый 2 2 2 2 2 6 3" xfId="5861" xr:uid="{00000000-0005-0000-0000-000080230000}"/>
    <cellStyle name="Финансовый 2 2 2 2 2 6 3 2" xfId="17839" xr:uid="{00000000-0005-0000-0000-000081230000}"/>
    <cellStyle name="Финансовый 2 2 2 2 2 6 3 2 2" xfId="41794" xr:uid="{00000000-0005-0000-0000-000082230000}"/>
    <cellStyle name="Финансовый 2 2 2 2 2 6 3 3" xfId="29816" xr:uid="{00000000-0005-0000-0000-000083230000}"/>
    <cellStyle name="Финансовый 2 2 2 2 2 6 4" xfId="8471" xr:uid="{00000000-0005-0000-0000-000084230000}"/>
    <cellStyle name="Финансовый 2 2 2 2 2 6 4 2" xfId="20449" xr:uid="{00000000-0005-0000-0000-000085230000}"/>
    <cellStyle name="Финансовый 2 2 2 2 2 6 4 2 2" xfId="44404" xr:uid="{00000000-0005-0000-0000-000086230000}"/>
    <cellStyle name="Финансовый 2 2 2 2 2 6 4 3" xfId="32426" xr:uid="{00000000-0005-0000-0000-000087230000}"/>
    <cellStyle name="Финансовый 2 2 2 2 2 6 5" xfId="10254" xr:uid="{00000000-0005-0000-0000-000088230000}"/>
    <cellStyle name="Финансовый 2 2 2 2 2 6 5 2" xfId="22232" xr:uid="{00000000-0005-0000-0000-000089230000}"/>
    <cellStyle name="Финансовый 2 2 2 2 2 6 5 2 2" xfId="46187" xr:uid="{00000000-0005-0000-0000-00008A230000}"/>
    <cellStyle name="Финансовый 2 2 2 2 2 6 5 3" xfId="34209" xr:uid="{00000000-0005-0000-0000-00008B230000}"/>
    <cellStyle name="Финансовый 2 2 2 2 2 6 6" xfId="14412" xr:uid="{00000000-0005-0000-0000-00008C230000}"/>
    <cellStyle name="Финансовый 2 2 2 2 2 6 6 2" xfId="38367" xr:uid="{00000000-0005-0000-0000-00008D230000}"/>
    <cellStyle name="Финансовый 2 2 2 2 2 6 7" xfId="26390" xr:uid="{00000000-0005-0000-0000-00008E230000}"/>
    <cellStyle name="Финансовый 2 2 2 2 2 6 8" xfId="49523" xr:uid="{00000000-0005-0000-0000-00008F230000}"/>
    <cellStyle name="Финансовый 2 2 2 2 2 7" xfId="1660" xr:uid="{00000000-0005-0000-0000-000090230000}"/>
    <cellStyle name="Финансовый 2 2 2 2 2 7 2" xfId="3305" xr:uid="{00000000-0005-0000-0000-000091230000}"/>
    <cellStyle name="Финансовый 2 2 2 2 2 7 2 2" xfId="11053" xr:uid="{00000000-0005-0000-0000-000092230000}"/>
    <cellStyle name="Финансовый 2 2 2 2 2 7 2 2 2" xfId="23031" xr:uid="{00000000-0005-0000-0000-000093230000}"/>
    <cellStyle name="Финансовый 2 2 2 2 2 7 2 2 2 2" xfId="46986" xr:uid="{00000000-0005-0000-0000-000094230000}"/>
    <cellStyle name="Финансовый 2 2 2 2 2 7 2 2 3" xfId="35008" xr:uid="{00000000-0005-0000-0000-000095230000}"/>
    <cellStyle name="Финансовый 2 2 2 2 2 7 2 3" xfId="15284" xr:uid="{00000000-0005-0000-0000-000096230000}"/>
    <cellStyle name="Финансовый 2 2 2 2 2 7 2 3 2" xfId="39239" xr:uid="{00000000-0005-0000-0000-000097230000}"/>
    <cellStyle name="Финансовый 2 2 2 2 2 7 2 4" xfId="27262" xr:uid="{00000000-0005-0000-0000-000098230000}"/>
    <cellStyle name="Финансовый 2 2 2 2 2 7 2 5" xfId="50531" xr:uid="{00000000-0005-0000-0000-000099230000}"/>
    <cellStyle name="Финансовый 2 2 2 2 2 7 3" xfId="5088" xr:uid="{00000000-0005-0000-0000-00009A230000}"/>
    <cellStyle name="Финансовый 2 2 2 2 2 7 3 2" xfId="17066" xr:uid="{00000000-0005-0000-0000-00009B230000}"/>
    <cellStyle name="Финансовый 2 2 2 2 2 7 3 2 2" xfId="41021" xr:uid="{00000000-0005-0000-0000-00009C230000}"/>
    <cellStyle name="Финансовый 2 2 2 2 2 7 3 3" xfId="29043" xr:uid="{00000000-0005-0000-0000-00009D230000}"/>
    <cellStyle name="Финансовый 2 2 2 2 2 7 4" xfId="7698" xr:uid="{00000000-0005-0000-0000-00009E230000}"/>
    <cellStyle name="Финансовый 2 2 2 2 2 7 4 2" xfId="19676" xr:uid="{00000000-0005-0000-0000-00009F230000}"/>
    <cellStyle name="Финансовый 2 2 2 2 2 7 4 2 2" xfId="43631" xr:uid="{00000000-0005-0000-0000-0000A0230000}"/>
    <cellStyle name="Финансовый 2 2 2 2 2 7 4 3" xfId="31653" xr:uid="{00000000-0005-0000-0000-0000A1230000}"/>
    <cellStyle name="Финансовый 2 2 2 2 2 7 5" xfId="9481" xr:uid="{00000000-0005-0000-0000-0000A2230000}"/>
    <cellStyle name="Финансовый 2 2 2 2 2 7 5 2" xfId="21459" xr:uid="{00000000-0005-0000-0000-0000A3230000}"/>
    <cellStyle name="Финансовый 2 2 2 2 2 7 5 2 2" xfId="45414" xr:uid="{00000000-0005-0000-0000-0000A4230000}"/>
    <cellStyle name="Финансовый 2 2 2 2 2 7 5 3" xfId="33436" xr:uid="{00000000-0005-0000-0000-0000A5230000}"/>
    <cellStyle name="Финансовый 2 2 2 2 2 7 6" xfId="13639" xr:uid="{00000000-0005-0000-0000-0000A6230000}"/>
    <cellStyle name="Финансовый 2 2 2 2 2 7 6 2" xfId="37594" xr:uid="{00000000-0005-0000-0000-0000A7230000}"/>
    <cellStyle name="Финансовый 2 2 2 2 2 7 7" xfId="25617" xr:uid="{00000000-0005-0000-0000-0000A8230000}"/>
    <cellStyle name="Финансовый 2 2 2 2 2 7 8" xfId="48750" xr:uid="{00000000-0005-0000-0000-0000A9230000}"/>
    <cellStyle name="Финансовый 2 2 2 2 2 8" xfId="937" xr:uid="{00000000-0005-0000-0000-0000AA230000}"/>
    <cellStyle name="Финансовый 2 2 2 2 2 8 2" xfId="6977" xr:uid="{00000000-0005-0000-0000-0000AB230000}"/>
    <cellStyle name="Финансовый 2 2 2 2 2 8 2 2" xfId="18955" xr:uid="{00000000-0005-0000-0000-0000AC230000}"/>
    <cellStyle name="Финансовый 2 2 2 2 2 8 2 2 2" xfId="42910" xr:uid="{00000000-0005-0000-0000-0000AD230000}"/>
    <cellStyle name="Финансовый 2 2 2 2 2 8 2 3" xfId="30932" xr:uid="{00000000-0005-0000-0000-0000AE230000}"/>
    <cellStyle name="Финансовый 2 2 2 2 2 8 3" xfId="10525" xr:uid="{00000000-0005-0000-0000-0000AF230000}"/>
    <cellStyle name="Финансовый 2 2 2 2 2 8 3 2" xfId="22503" xr:uid="{00000000-0005-0000-0000-0000B0230000}"/>
    <cellStyle name="Финансовый 2 2 2 2 2 8 3 2 2" xfId="46458" xr:uid="{00000000-0005-0000-0000-0000B1230000}"/>
    <cellStyle name="Финансовый 2 2 2 2 2 8 3 3" xfId="34480" xr:uid="{00000000-0005-0000-0000-0000B2230000}"/>
    <cellStyle name="Финансовый 2 2 2 2 2 8 4" xfId="12918" xr:uid="{00000000-0005-0000-0000-0000B3230000}"/>
    <cellStyle name="Финансовый 2 2 2 2 2 8 4 2" xfId="36873" xr:uid="{00000000-0005-0000-0000-0000B4230000}"/>
    <cellStyle name="Финансовый 2 2 2 2 2 8 5" xfId="24896" xr:uid="{00000000-0005-0000-0000-0000B5230000}"/>
    <cellStyle name="Финансовый 2 2 2 2 2 8 6" xfId="49802" xr:uid="{00000000-0005-0000-0000-0000B6230000}"/>
    <cellStyle name="Финансовый 2 2 2 2 2 9" xfId="525" xr:uid="{00000000-0005-0000-0000-0000B7230000}"/>
    <cellStyle name="Финансовый 2 2 2 2 2 9 2" xfId="6565" xr:uid="{00000000-0005-0000-0000-0000B8230000}"/>
    <cellStyle name="Финансовый 2 2 2 2 2 9 2 2" xfId="18543" xr:uid="{00000000-0005-0000-0000-0000B9230000}"/>
    <cellStyle name="Финансовый 2 2 2 2 2 9 2 2 2" xfId="42498" xr:uid="{00000000-0005-0000-0000-0000BA230000}"/>
    <cellStyle name="Финансовый 2 2 2 2 2 9 2 3" xfId="30520" xr:uid="{00000000-0005-0000-0000-0000BB230000}"/>
    <cellStyle name="Финансовый 2 2 2 2 2 9 3" xfId="12506" xr:uid="{00000000-0005-0000-0000-0000BC230000}"/>
    <cellStyle name="Финансовый 2 2 2 2 2 9 3 2" xfId="36461" xr:uid="{00000000-0005-0000-0000-0000BD230000}"/>
    <cellStyle name="Финансовый 2 2 2 2 2 9 4" xfId="24484" xr:uid="{00000000-0005-0000-0000-0000BE230000}"/>
    <cellStyle name="Финансовый 2 2 2 2 3" xfId="184" xr:uid="{00000000-0005-0000-0000-0000BF230000}"/>
    <cellStyle name="Финансовый 2 2 2 2 3 10" xfId="8832" xr:uid="{00000000-0005-0000-0000-0000C0230000}"/>
    <cellStyle name="Финансовый 2 2 2 2 3 10 2" xfId="20810" xr:uid="{00000000-0005-0000-0000-0000C1230000}"/>
    <cellStyle name="Финансовый 2 2 2 2 3 10 2 2" xfId="44765" xr:uid="{00000000-0005-0000-0000-0000C2230000}"/>
    <cellStyle name="Финансовый 2 2 2 2 3 10 3" xfId="32787" xr:uid="{00000000-0005-0000-0000-0000C3230000}"/>
    <cellStyle name="Финансовый 2 2 2 2 3 11" xfId="12166" xr:uid="{00000000-0005-0000-0000-0000C4230000}"/>
    <cellStyle name="Финансовый 2 2 2 2 3 11 2" xfId="36121" xr:uid="{00000000-0005-0000-0000-0000C5230000}"/>
    <cellStyle name="Финансовый 2 2 2 2 3 12" xfId="24144" xr:uid="{00000000-0005-0000-0000-0000C6230000}"/>
    <cellStyle name="Финансовый 2 2 2 2 3 13" xfId="48102" xr:uid="{00000000-0005-0000-0000-0000C7230000}"/>
    <cellStyle name="Финансовый 2 2 2 2 3 2" xfId="1282" xr:uid="{00000000-0005-0000-0000-0000C8230000}"/>
    <cellStyle name="Финансовый 2 2 2 2 3 2 2" xfId="2248" xr:uid="{00000000-0005-0000-0000-0000C9230000}"/>
    <cellStyle name="Финансовый 2 2 2 2 3 2 2 2" xfId="3893" xr:uid="{00000000-0005-0000-0000-0000CA230000}"/>
    <cellStyle name="Финансовый 2 2 2 2 3 2 2 2 2" xfId="11633" xr:uid="{00000000-0005-0000-0000-0000CB230000}"/>
    <cellStyle name="Финансовый 2 2 2 2 3 2 2 2 2 2" xfId="23611" xr:uid="{00000000-0005-0000-0000-0000CC230000}"/>
    <cellStyle name="Финансовый 2 2 2 2 3 2 2 2 2 2 2" xfId="47566" xr:uid="{00000000-0005-0000-0000-0000CD230000}"/>
    <cellStyle name="Финансовый 2 2 2 2 3 2 2 2 2 3" xfId="35588" xr:uid="{00000000-0005-0000-0000-0000CE230000}"/>
    <cellStyle name="Финансовый 2 2 2 2 3 2 2 2 3" xfId="15872" xr:uid="{00000000-0005-0000-0000-0000CF230000}"/>
    <cellStyle name="Финансовый 2 2 2 2 3 2 2 2 3 2" xfId="39827" xr:uid="{00000000-0005-0000-0000-0000D0230000}"/>
    <cellStyle name="Финансовый 2 2 2 2 3 2 2 2 4" xfId="27850" xr:uid="{00000000-0005-0000-0000-0000D1230000}"/>
    <cellStyle name="Финансовый 2 2 2 2 3 2 2 2 5" xfId="51119" xr:uid="{00000000-0005-0000-0000-0000D2230000}"/>
    <cellStyle name="Финансовый 2 2 2 2 3 2 2 3" xfId="5676" xr:uid="{00000000-0005-0000-0000-0000D3230000}"/>
    <cellStyle name="Финансовый 2 2 2 2 3 2 2 3 2" xfId="17654" xr:uid="{00000000-0005-0000-0000-0000D4230000}"/>
    <cellStyle name="Финансовый 2 2 2 2 3 2 2 3 2 2" xfId="41609" xr:uid="{00000000-0005-0000-0000-0000D5230000}"/>
    <cellStyle name="Финансовый 2 2 2 2 3 2 2 3 3" xfId="29631" xr:uid="{00000000-0005-0000-0000-0000D6230000}"/>
    <cellStyle name="Финансовый 2 2 2 2 3 2 2 4" xfId="8286" xr:uid="{00000000-0005-0000-0000-0000D7230000}"/>
    <cellStyle name="Финансовый 2 2 2 2 3 2 2 4 2" xfId="20264" xr:uid="{00000000-0005-0000-0000-0000D8230000}"/>
    <cellStyle name="Финансовый 2 2 2 2 3 2 2 4 2 2" xfId="44219" xr:uid="{00000000-0005-0000-0000-0000D9230000}"/>
    <cellStyle name="Финансовый 2 2 2 2 3 2 2 4 3" xfId="32241" xr:uid="{00000000-0005-0000-0000-0000DA230000}"/>
    <cellStyle name="Финансовый 2 2 2 2 3 2 2 5" xfId="10069" xr:uid="{00000000-0005-0000-0000-0000DB230000}"/>
    <cellStyle name="Финансовый 2 2 2 2 3 2 2 5 2" xfId="22047" xr:uid="{00000000-0005-0000-0000-0000DC230000}"/>
    <cellStyle name="Финансовый 2 2 2 2 3 2 2 5 2 2" xfId="46002" xr:uid="{00000000-0005-0000-0000-0000DD230000}"/>
    <cellStyle name="Финансовый 2 2 2 2 3 2 2 5 3" xfId="34024" xr:uid="{00000000-0005-0000-0000-0000DE230000}"/>
    <cellStyle name="Финансовый 2 2 2 2 3 2 2 6" xfId="14227" xr:uid="{00000000-0005-0000-0000-0000DF230000}"/>
    <cellStyle name="Финансовый 2 2 2 2 3 2 2 6 2" xfId="38182" xr:uid="{00000000-0005-0000-0000-0000E0230000}"/>
    <cellStyle name="Финансовый 2 2 2 2 3 2 2 7" xfId="26205" xr:uid="{00000000-0005-0000-0000-0000E1230000}"/>
    <cellStyle name="Финансовый 2 2 2 2 3 2 2 8" xfId="49338" xr:uid="{00000000-0005-0000-0000-0000E2230000}"/>
    <cellStyle name="Финансовый 2 2 2 2 3 2 3" xfId="3066" xr:uid="{00000000-0005-0000-0000-0000E3230000}"/>
    <cellStyle name="Финансовый 2 2 2 2 3 2 3 2" xfId="10861" xr:uid="{00000000-0005-0000-0000-0000E4230000}"/>
    <cellStyle name="Финансовый 2 2 2 2 3 2 3 2 2" xfId="22839" xr:uid="{00000000-0005-0000-0000-0000E5230000}"/>
    <cellStyle name="Финансовый 2 2 2 2 3 2 3 2 2 2" xfId="46794" xr:uid="{00000000-0005-0000-0000-0000E6230000}"/>
    <cellStyle name="Финансовый 2 2 2 2 3 2 3 2 3" xfId="34816" xr:uid="{00000000-0005-0000-0000-0000E7230000}"/>
    <cellStyle name="Финансовый 2 2 2 2 3 2 3 3" xfId="15045" xr:uid="{00000000-0005-0000-0000-0000E8230000}"/>
    <cellStyle name="Финансовый 2 2 2 2 3 2 3 3 2" xfId="39000" xr:uid="{00000000-0005-0000-0000-0000E9230000}"/>
    <cellStyle name="Финансовый 2 2 2 2 3 2 3 4" xfId="27023" xr:uid="{00000000-0005-0000-0000-0000EA230000}"/>
    <cellStyle name="Финансовый 2 2 2 2 3 2 3 5" xfId="50154" xr:uid="{00000000-0005-0000-0000-0000EB230000}"/>
    <cellStyle name="Финансовый 2 2 2 2 3 2 4" xfId="4710" xr:uid="{00000000-0005-0000-0000-0000EC230000}"/>
    <cellStyle name="Финансовый 2 2 2 2 3 2 4 2" xfId="16689" xr:uid="{00000000-0005-0000-0000-0000ED230000}"/>
    <cellStyle name="Финансовый 2 2 2 2 3 2 4 2 2" xfId="40644" xr:uid="{00000000-0005-0000-0000-0000EE230000}"/>
    <cellStyle name="Финансовый 2 2 2 2 3 2 4 3" xfId="28667" xr:uid="{00000000-0005-0000-0000-0000EF230000}"/>
    <cellStyle name="Финансовый 2 2 2 2 3 2 5" xfId="7322" xr:uid="{00000000-0005-0000-0000-0000F0230000}"/>
    <cellStyle name="Финансовый 2 2 2 2 3 2 5 2" xfId="19300" xr:uid="{00000000-0005-0000-0000-0000F1230000}"/>
    <cellStyle name="Финансовый 2 2 2 2 3 2 5 2 2" xfId="43255" xr:uid="{00000000-0005-0000-0000-0000F2230000}"/>
    <cellStyle name="Финансовый 2 2 2 2 3 2 5 3" xfId="31277" xr:uid="{00000000-0005-0000-0000-0000F3230000}"/>
    <cellStyle name="Финансовый 2 2 2 2 3 2 6" xfId="9104" xr:uid="{00000000-0005-0000-0000-0000F4230000}"/>
    <cellStyle name="Финансовый 2 2 2 2 3 2 6 2" xfId="21082" xr:uid="{00000000-0005-0000-0000-0000F5230000}"/>
    <cellStyle name="Финансовый 2 2 2 2 3 2 6 2 2" xfId="45037" xr:uid="{00000000-0005-0000-0000-0000F6230000}"/>
    <cellStyle name="Финансовый 2 2 2 2 3 2 6 3" xfId="33059" xr:uid="{00000000-0005-0000-0000-0000F7230000}"/>
    <cellStyle name="Финансовый 2 2 2 2 3 2 7" xfId="13263" xr:uid="{00000000-0005-0000-0000-0000F8230000}"/>
    <cellStyle name="Финансовый 2 2 2 2 3 2 7 2" xfId="37218" xr:uid="{00000000-0005-0000-0000-0000F9230000}"/>
    <cellStyle name="Финансовый 2 2 2 2 3 2 8" xfId="25241" xr:uid="{00000000-0005-0000-0000-0000FA230000}"/>
    <cellStyle name="Финансовый 2 2 2 2 3 2 9" xfId="48374" xr:uid="{00000000-0005-0000-0000-0000FB230000}"/>
    <cellStyle name="Финансовый 2 2 2 2 3 3" xfId="1992" xr:uid="{00000000-0005-0000-0000-0000FC230000}"/>
    <cellStyle name="Финансовый 2 2 2 2 3 3 2" xfId="3637" xr:uid="{00000000-0005-0000-0000-0000FD230000}"/>
    <cellStyle name="Финансовый 2 2 2 2 3 3 2 2" xfId="11377" xr:uid="{00000000-0005-0000-0000-0000FE230000}"/>
    <cellStyle name="Финансовый 2 2 2 2 3 3 2 2 2" xfId="23355" xr:uid="{00000000-0005-0000-0000-0000FF230000}"/>
    <cellStyle name="Финансовый 2 2 2 2 3 3 2 2 2 2" xfId="47310" xr:uid="{00000000-0005-0000-0000-000000240000}"/>
    <cellStyle name="Финансовый 2 2 2 2 3 3 2 2 3" xfId="35332" xr:uid="{00000000-0005-0000-0000-000001240000}"/>
    <cellStyle name="Финансовый 2 2 2 2 3 3 2 3" xfId="15616" xr:uid="{00000000-0005-0000-0000-000002240000}"/>
    <cellStyle name="Финансовый 2 2 2 2 3 3 2 3 2" xfId="39571" xr:uid="{00000000-0005-0000-0000-000003240000}"/>
    <cellStyle name="Финансовый 2 2 2 2 3 3 2 4" xfId="27594" xr:uid="{00000000-0005-0000-0000-000004240000}"/>
    <cellStyle name="Финансовый 2 2 2 2 3 3 2 5" xfId="50863" xr:uid="{00000000-0005-0000-0000-000005240000}"/>
    <cellStyle name="Финансовый 2 2 2 2 3 3 3" xfId="5420" xr:uid="{00000000-0005-0000-0000-000006240000}"/>
    <cellStyle name="Финансовый 2 2 2 2 3 3 3 2" xfId="17398" xr:uid="{00000000-0005-0000-0000-000007240000}"/>
    <cellStyle name="Финансовый 2 2 2 2 3 3 3 2 2" xfId="41353" xr:uid="{00000000-0005-0000-0000-000008240000}"/>
    <cellStyle name="Финансовый 2 2 2 2 3 3 3 3" xfId="29375" xr:uid="{00000000-0005-0000-0000-000009240000}"/>
    <cellStyle name="Финансовый 2 2 2 2 3 3 4" xfId="8030" xr:uid="{00000000-0005-0000-0000-00000A240000}"/>
    <cellStyle name="Финансовый 2 2 2 2 3 3 4 2" xfId="20008" xr:uid="{00000000-0005-0000-0000-00000B240000}"/>
    <cellStyle name="Финансовый 2 2 2 2 3 3 4 2 2" xfId="43963" xr:uid="{00000000-0005-0000-0000-00000C240000}"/>
    <cellStyle name="Финансовый 2 2 2 2 3 3 4 3" xfId="31985" xr:uid="{00000000-0005-0000-0000-00000D240000}"/>
    <cellStyle name="Финансовый 2 2 2 2 3 3 5" xfId="9813" xr:uid="{00000000-0005-0000-0000-00000E240000}"/>
    <cellStyle name="Финансовый 2 2 2 2 3 3 5 2" xfId="21791" xr:uid="{00000000-0005-0000-0000-00000F240000}"/>
    <cellStyle name="Финансовый 2 2 2 2 3 3 5 2 2" xfId="45746" xr:uid="{00000000-0005-0000-0000-000010240000}"/>
    <cellStyle name="Финансовый 2 2 2 2 3 3 5 3" xfId="33768" xr:uid="{00000000-0005-0000-0000-000011240000}"/>
    <cellStyle name="Финансовый 2 2 2 2 3 3 6" xfId="13971" xr:uid="{00000000-0005-0000-0000-000012240000}"/>
    <cellStyle name="Финансовый 2 2 2 2 3 3 6 2" xfId="37926" xr:uid="{00000000-0005-0000-0000-000013240000}"/>
    <cellStyle name="Финансовый 2 2 2 2 3 3 7" xfId="25949" xr:uid="{00000000-0005-0000-0000-000014240000}"/>
    <cellStyle name="Финансовый 2 2 2 2 3 3 8" xfId="49082" xr:uid="{00000000-0005-0000-0000-000015240000}"/>
    <cellStyle name="Финансовый 2 2 2 2 3 4" xfId="2513" xr:uid="{00000000-0005-0000-0000-000016240000}"/>
    <cellStyle name="Финансовый 2 2 2 2 3 4 2" xfId="4158" xr:uid="{00000000-0005-0000-0000-000017240000}"/>
    <cellStyle name="Финансовый 2 2 2 2 3 4 2 2" xfId="11890" xr:uid="{00000000-0005-0000-0000-000018240000}"/>
    <cellStyle name="Финансовый 2 2 2 2 3 4 2 2 2" xfId="23868" xr:uid="{00000000-0005-0000-0000-000019240000}"/>
    <cellStyle name="Финансовый 2 2 2 2 3 4 2 2 2 2" xfId="47823" xr:uid="{00000000-0005-0000-0000-00001A240000}"/>
    <cellStyle name="Финансовый 2 2 2 2 3 4 2 2 3" xfId="35845" xr:uid="{00000000-0005-0000-0000-00001B240000}"/>
    <cellStyle name="Финансовый 2 2 2 2 3 4 2 3" xfId="16137" xr:uid="{00000000-0005-0000-0000-00001C240000}"/>
    <cellStyle name="Финансовый 2 2 2 2 3 4 2 3 2" xfId="40092" xr:uid="{00000000-0005-0000-0000-00001D240000}"/>
    <cellStyle name="Финансовый 2 2 2 2 3 4 2 4" xfId="28115" xr:uid="{00000000-0005-0000-0000-00001E240000}"/>
    <cellStyle name="Финансовый 2 2 2 2 3 4 2 5" xfId="51384" xr:uid="{00000000-0005-0000-0000-00001F240000}"/>
    <cellStyle name="Финансовый 2 2 2 2 3 4 3" xfId="5941" xr:uid="{00000000-0005-0000-0000-000020240000}"/>
    <cellStyle name="Финансовый 2 2 2 2 3 4 3 2" xfId="17919" xr:uid="{00000000-0005-0000-0000-000021240000}"/>
    <cellStyle name="Финансовый 2 2 2 2 3 4 3 2 2" xfId="41874" xr:uid="{00000000-0005-0000-0000-000022240000}"/>
    <cellStyle name="Финансовый 2 2 2 2 3 4 3 3" xfId="29896" xr:uid="{00000000-0005-0000-0000-000023240000}"/>
    <cellStyle name="Финансовый 2 2 2 2 3 4 4" xfId="8551" xr:uid="{00000000-0005-0000-0000-000024240000}"/>
    <cellStyle name="Финансовый 2 2 2 2 3 4 4 2" xfId="20529" xr:uid="{00000000-0005-0000-0000-000025240000}"/>
    <cellStyle name="Финансовый 2 2 2 2 3 4 4 2 2" xfId="44484" xr:uid="{00000000-0005-0000-0000-000026240000}"/>
    <cellStyle name="Финансовый 2 2 2 2 3 4 4 3" xfId="32506" xr:uid="{00000000-0005-0000-0000-000027240000}"/>
    <cellStyle name="Финансовый 2 2 2 2 3 4 5" xfId="10334" xr:uid="{00000000-0005-0000-0000-000028240000}"/>
    <cellStyle name="Финансовый 2 2 2 2 3 4 5 2" xfId="22312" xr:uid="{00000000-0005-0000-0000-000029240000}"/>
    <cellStyle name="Финансовый 2 2 2 2 3 4 5 2 2" xfId="46267" xr:uid="{00000000-0005-0000-0000-00002A240000}"/>
    <cellStyle name="Финансовый 2 2 2 2 3 4 5 3" xfId="34289" xr:uid="{00000000-0005-0000-0000-00002B240000}"/>
    <cellStyle name="Финансовый 2 2 2 2 3 4 6" xfId="14492" xr:uid="{00000000-0005-0000-0000-00002C240000}"/>
    <cellStyle name="Финансовый 2 2 2 2 3 4 6 2" xfId="38447" xr:uid="{00000000-0005-0000-0000-00002D240000}"/>
    <cellStyle name="Финансовый 2 2 2 2 3 4 7" xfId="26470" xr:uid="{00000000-0005-0000-0000-00002E240000}"/>
    <cellStyle name="Финансовый 2 2 2 2 3 4 8" xfId="49603" xr:uid="{00000000-0005-0000-0000-00002F240000}"/>
    <cellStyle name="Финансовый 2 2 2 2 3 5" xfId="1017" xr:uid="{00000000-0005-0000-0000-000030240000}"/>
    <cellStyle name="Финансовый 2 2 2 2 3 5 2" xfId="7057" xr:uid="{00000000-0005-0000-0000-000031240000}"/>
    <cellStyle name="Финансовый 2 2 2 2 3 5 2 2" xfId="19035" xr:uid="{00000000-0005-0000-0000-000032240000}"/>
    <cellStyle name="Финансовый 2 2 2 2 3 5 2 2 2" xfId="42990" xr:uid="{00000000-0005-0000-0000-000033240000}"/>
    <cellStyle name="Финансовый 2 2 2 2 3 5 2 3" xfId="31012" xr:uid="{00000000-0005-0000-0000-000034240000}"/>
    <cellStyle name="Финансовый 2 2 2 2 3 5 3" xfId="10605" xr:uid="{00000000-0005-0000-0000-000035240000}"/>
    <cellStyle name="Финансовый 2 2 2 2 3 5 3 2" xfId="22583" xr:uid="{00000000-0005-0000-0000-000036240000}"/>
    <cellStyle name="Финансовый 2 2 2 2 3 5 3 2 2" xfId="46538" xr:uid="{00000000-0005-0000-0000-000037240000}"/>
    <cellStyle name="Финансовый 2 2 2 2 3 5 3 3" xfId="34560" xr:uid="{00000000-0005-0000-0000-000038240000}"/>
    <cellStyle name="Финансовый 2 2 2 2 3 5 4" xfId="12998" xr:uid="{00000000-0005-0000-0000-000039240000}"/>
    <cellStyle name="Финансовый 2 2 2 2 3 5 4 2" xfId="36953" xr:uid="{00000000-0005-0000-0000-00003A240000}"/>
    <cellStyle name="Финансовый 2 2 2 2 3 5 5" xfId="24976" xr:uid="{00000000-0005-0000-0000-00003B240000}"/>
    <cellStyle name="Финансовый 2 2 2 2 3 5 6" xfId="49882" xr:uid="{00000000-0005-0000-0000-00003C240000}"/>
    <cellStyle name="Финансовый 2 2 2 2 3 6" xfId="605" xr:uid="{00000000-0005-0000-0000-00003D240000}"/>
    <cellStyle name="Финансовый 2 2 2 2 3 6 2" xfId="6645" xr:uid="{00000000-0005-0000-0000-00003E240000}"/>
    <cellStyle name="Финансовый 2 2 2 2 3 6 2 2" xfId="18623" xr:uid="{00000000-0005-0000-0000-00003F240000}"/>
    <cellStyle name="Финансовый 2 2 2 2 3 6 2 2 2" xfId="42578" xr:uid="{00000000-0005-0000-0000-000040240000}"/>
    <cellStyle name="Финансовый 2 2 2 2 3 6 2 3" xfId="30600" xr:uid="{00000000-0005-0000-0000-000041240000}"/>
    <cellStyle name="Финансовый 2 2 2 2 3 6 3" xfId="12586" xr:uid="{00000000-0005-0000-0000-000042240000}"/>
    <cellStyle name="Финансовый 2 2 2 2 3 6 3 2" xfId="36541" xr:uid="{00000000-0005-0000-0000-000043240000}"/>
    <cellStyle name="Финансовый 2 2 2 2 3 6 4" xfId="24564" xr:uid="{00000000-0005-0000-0000-000044240000}"/>
    <cellStyle name="Финансовый 2 2 2 2 3 7" xfId="2794" xr:uid="{00000000-0005-0000-0000-000045240000}"/>
    <cellStyle name="Финансовый 2 2 2 2 3 7 2" xfId="14773" xr:uid="{00000000-0005-0000-0000-000046240000}"/>
    <cellStyle name="Финансовый 2 2 2 2 3 7 2 2" xfId="38728" xr:uid="{00000000-0005-0000-0000-000047240000}"/>
    <cellStyle name="Финансовый 2 2 2 2 3 7 3" xfId="26751" xr:uid="{00000000-0005-0000-0000-000048240000}"/>
    <cellStyle name="Финансовый 2 2 2 2 3 8" xfId="4438" xr:uid="{00000000-0005-0000-0000-000049240000}"/>
    <cellStyle name="Финансовый 2 2 2 2 3 8 2" xfId="16417" xr:uid="{00000000-0005-0000-0000-00004A240000}"/>
    <cellStyle name="Финансовый 2 2 2 2 3 8 2 2" xfId="40372" xr:uid="{00000000-0005-0000-0000-00004B240000}"/>
    <cellStyle name="Финансовый 2 2 2 2 3 8 3" xfId="28395" xr:uid="{00000000-0005-0000-0000-00004C240000}"/>
    <cellStyle name="Финансовый 2 2 2 2 3 9" xfId="6225" xr:uid="{00000000-0005-0000-0000-00004D240000}"/>
    <cellStyle name="Финансовый 2 2 2 2 3 9 2" xfId="18203" xr:uid="{00000000-0005-0000-0000-00004E240000}"/>
    <cellStyle name="Финансовый 2 2 2 2 3 9 2 2" xfId="42158" xr:uid="{00000000-0005-0000-0000-00004F240000}"/>
    <cellStyle name="Финансовый 2 2 2 2 3 9 3" xfId="30180" xr:uid="{00000000-0005-0000-0000-000050240000}"/>
    <cellStyle name="Финансовый 2 2 2 2 4" xfId="333" xr:uid="{00000000-0005-0000-0000-000051240000}"/>
    <cellStyle name="Финансовый 2 2 2 2 4 10" xfId="24292" xr:uid="{00000000-0005-0000-0000-000052240000}"/>
    <cellStyle name="Финансовый 2 2 2 2 4 11" xfId="48238" xr:uid="{00000000-0005-0000-0000-000053240000}"/>
    <cellStyle name="Финансовый 2 2 2 2 4 2" xfId="2120" xr:uid="{00000000-0005-0000-0000-000054240000}"/>
    <cellStyle name="Финансовый 2 2 2 2 4 2 2" xfId="3765" xr:uid="{00000000-0005-0000-0000-000055240000}"/>
    <cellStyle name="Финансовый 2 2 2 2 4 2 2 2" xfId="11505" xr:uid="{00000000-0005-0000-0000-000056240000}"/>
    <cellStyle name="Финансовый 2 2 2 2 4 2 2 2 2" xfId="23483" xr:uid="{00000000-0005-0000-0000-000057240000}"/>
    <cellStyle name="Финансовый 2 2 2 2 4 2 2 2 2 2" xfId="47438" xr:uid="{00000000-0005-0000-0000-000058240000}"/>
    <cellStyle name="Финансовый 2 2 2 2 4 2 2 2 3" xfId="35460" xr:uid="{00000000-0005-0000-0000-000059240000}"/>
    <cellStyle name="Финансовый 2 2 2 2 4 2 2 3" xfId="15744" xr:uid="{00000000-0005-0000-0000-00005A240000}"/>
    <cellStyle name="Финансовый 2 2 2 2 4 2 2 3 2" xfId="39699" xr:uid="{00000000-0005-0000-0000-00005B240000}"/>
    <cellStyle name="Финансовый 2 2 2 2 4 2 2 4" xfId="27722" xr:uid="{00000000-0005-0000-0000-00005C240000}"/>
    <cellStyle name="Финансовый 2 2 2 2 4 2 2 5" xfId="50991" xr:uid="{00000000-0005-0000-0000-00005D240000}"/>
    <cellStyle name="Финансовый 2 2 2 2 4 2 3" xfId="5548" xr:uid="{00000000-0005-0000-0000-00005E240000}"/>
    <cellStyle name="Финансовый 2 2 2 2 4 2 3 2" xfId="17526" xr:uid="{00000000-0005-0000-0000-00005F240000}"/>
    <cellStyle name="Финансовый 2 2 2 2 4 2 3 2 2" xfId="41481" xr:uid="{00000000-0005-0000-0000-000060240000}"/>
    <cellStyle name="Финансовый 2 2 2 2 4 2 3 3" xfId="29503" xr:uid="{00000000-0005-0000-0000-000061240000}"/>
    <cellStyle name="Финансовый 2 2 2 2 4 2 4" xfId="8158" xr:uid="{00000000-0005-0000-0000-000062240000}"/>
    <cellStyle name="Финансовый 2 2 2 2 4 2 4 2" xfId="20136" xr:uid="{00000000-0005-0000-0000-000063240000}"/>
    <cellStyle name="Финансовый 2 2 2 2 4 2 4 2 2" xfId="44091" xr:uid="{00000000-0005-0000-0000-000064240000}"/>
    <cellStyle name="Финансовый 2 2 2 2 4 2 4 3" xfId="32113" xr:uid="{00000000-0005-0000-0000-000065240000}"/>
    <cellStyle name="Финансовый 2 2 2 2 4 2 5" xfId="9941" xr:uid="{00000000-0005-0000-0000-000066240000}"/>
    <cellStyle name="Финансовый 2 2 2 2 4 2 5 2" xfId="21919" xr:uid="{00000000-0005-0000-0000-000067240000}"/>
    <cellStyle name="Финансовый 2 2 2 2 4 2 5 2 2" xfId="45874" xr:uid="{00000000-0005-0000-0000-000068240000}"/>
    <cellStyle name="Финансовый 2 2 2 2 4 2 5 3" xfId="33896" xr:uid="{00000000-0005-0000-0000-000069240000}"/>
    <cellStyle name="Финансовый 2 2 2 2 4 2 6" xfId="14099" xr:uid="{00000000-0005-0000-0000-00006A240000}"/>
    <cellStyle name="Финансовый 2 2 2 2 4 2 6 2" xfId="38054" xr:uid="{00000000-0005-0000-0000-00006B240000}"/>
    <cellStyle name="Финансовый 2 2 2 2 4 2 7" xfId="26077" xr:uid="{00000000-0005-0000-0000-00006C240000}"/>
    <cellStyle name="Финансовый 2 2 2 2 4 2 8" xfId="49210" xr:uid="{00000000-0005-0000-0000-00006D240000}"/>
    <cellStyle name="Финансовый 2 2 2 2 4 3" xfId="1153" xr:uid="{00000000-0005-0000-0000-00006E240000}"/>
    <cellStyle name="Финансовый 2 2 2 2 4 3 2" xfId="7193" xr:uid="{00000000-0005-0000-0000-00006F240000}"/>
    <cellStyle name="Финансовый 2 2 2 2 4 3 2 2" xfId="19171" xr:uid="{00000000-0005-0000-0000-000070240000}"/>
    <cellStyle name="Финансовый 2 2 2 2 4 3 2 2 2" xfId="43126" xr:uid="{00000000-0005-0000-0000-000071240000}"/>
    <cellStyle name="Финансовый 2 2 2 2 4 3 2 3" xfId="31148" xr:uid="{00000000-0005-0000-0000-000072240000}"/>
    <cellStyle name="Финансовый 2 2 2 2 4 3 3" xfId="10733" xr:uid="{00000000-0005-0000-0000-000073240000}"/>
    <cellStyle name="Финансовый 2 2 2 2 4 3 3 2" xfId="22711" xr:uid="{00000000-0005-0000-0000-000074240000}"/>
    <cellStyle name="Финансовый 2 2 2 2 4 3 3 2 2" xfId="46666" xr:uid="{00000000-0005-0000-0000-000075240000}"/>
    <cellStyle name="Финансовый 2 2 2 2 4 3 3 3" xfId="34688" xr:uid="{00000000-0005-0000-0000-000076240000}"/>
    <cellStyle name="Финансовый 2 2 2 2 4 3 4" xfId="13134" xr:uid="{00000000-0005-0000-0000-000077240000}"/>
    <cellStyle name="Финансовый 2 2 2 2 4 3 4 2" xfId="37089" xr:uid="{00000000-0005-0000-0000-000078240000}"/>
    <cellStyle name="Финансовый 2 2 2 2 4 3 5" xfId="25112" xr:uid="{00000000-0005-0000-0000-000079240000}"/>
    <cellStyle name="Финансовый 2 2 2 2 4 3 6" xfId="50018" xr:uid="{00000000-0005-0000-0000-00007A240000}"/>
    <cellStyle name="Финансовый 2 2 2 2 4 4" xfId="753" xr:uid="{00000000-0005-0000-0000-00007B240000}"/>
    <cellStyle name="Финансовый 2 2 2 2 4 4 2" xfId="6793" xr:uid="{00000000-0005-0000-0000-00007C240000}"/>
    <cellStyle name="Финансовый 2 2 2 2 4 4 2 2" xfId="18771" xr:uid="{00000000-0005-0000-0000-00007D240000}"/>
    <cellStyle name="Финансовый 2 2 2 2 4 4 2 2 2" xfId="42726" xr:uid="{00000000-0005-0000-0000-00007E240000}"/>
    <cellStyle name="Финансовый 2 2 2 2 4 4 2 3" xfId="30748" xr:uid="{00000000-0005-0000-0000-00007F240000}"/>
    <cellStyle name="Финансовый 2 2 2 2 4 4 3" xfId="12734" xr:uid="{00000000-0005-0000-0000-000080240000}"/>
    <cellStyle name="Финансовый 2 2 2 2 4 4 3 2" xfId="36689" xr:uid="{00000000-0005-0000-0000-000081240000}"/>
    <cellStyle name="Финансовый 2 2 2 2 4 4 4" xfId="24712" xr:uid="{00000000-0005-0000-0000-000082240000}"/>
    <cellStyle name="Финансовый 2 2 2 2 4 5" xfId="2930" xr:uid="{00000000-0005-0000-0000-000083240000}"/>
    <cellStyle name="Финансовый 2 2 2 2 4 5 2" xfId="14909" xr:uid="{00000000-0005-0000-0000-000084240000}"/>
    <cellStyle name="Финансовый 2 2 2 2 4 5 2 2" xfId="38864" xr:uid="{00000000-0005-0000-0000-000085240000}"/>
    <cellStyle name="Финансовый 2 2 2 2 4 5 3" xfId="26887" xr:uid="{00000000-0005-0000-0000-000086240000}"/>
    <cellStyle name="Финансовый 2 2 2 2 4 6" xfId="4574" xr:uid="{00000000-0005-0000-0000-000087240000}"/>
    <cellStyle name="Финансовый 2 2 2 2 4 6 2" xfId="16553" xr:uid="{00000000-0005-0000-0000-000088240000}"/>
    <cellStyle name="Финансовый 2 2 2 2 4 6 2 2" xfId="40508" xr:uid="{00000000-0005-0000-0000-000089240000}"/>
    <cellStyle name="Финансовый 2 2 2 2 4 6 3" xfId="28531" xr:uid="{00000000-0005-0000-0000-00008A240000}"/>
    <cellStyle name="Финансовый 2 2 2 2 4 7" xfId="6373" xr:uid="{00000000-0005-0000-0000-00008B240000}"/>
    <cellStyle name="Финансовый 2 2 2 2 4 7 2" xfId="18351" xr:uid="{00000000-0005-0000-0000-00008C240000}"/>
    <cellStyle name="Финансовый 2 2 2 2 4 7 2 2" xfId="42306" xr:uid="{00000000-0005-0000-0000-00008D240000}"/>
    <cellStyle name="Финансовый 2 2 2 2 4 7 3" xfId="30328" xr:uid="{00000000-0005-0000-0000-00008E240000}"/>
    <cellStyle name="Финансовый 2 2 2 2 4 8" xfId="8968" xr:uid="{00000000-0005-0000-0000-00008F240000}"/>
    <cellStyle name="Финансовый 2 2 2 2 4 8 2" xfId="20946" xr:uid="{00000000-0005-0000-0000-000090240000}"/>
    <cellStyle name="Финансовый 2 2 2 2 4 8 2 2" xfId="44901" xr:uid="{00000000-0005-0000-0000-000091240000}"/>
    <cellStyle name="Финансовый 2 2 2 2 4 8 3" xfId="32923" xr:uid="{00000000-0005-0000-0000-000092240000}"/>
    <cellStyle name="Финансовый 2 2 2 2 4 9" xfId="12314" xr:uid="{00000000-0005-0000-0000-000093240000}"/>
    <cellStyle name="Финансовый 2 2 2 2 4 9 2" xfId="36269" xr:uid="{00000000-0005-0000-0000-000094240000}"/>
    <cellStyle name="Финансовый 2 2 2 2 5" xfId="1458" xr:uid="{00000000-0005-0000-0000-000095240000}"/>
    <cellStyle name="Финансовый 2 2 2 2 5 2" xfId="1856" xr:uid="{00000000-0005-0000-0000-000096240000}"/>
    <cellStyle name="Финансовый 2 2 2 2 5 2 2" xfId="3501" xr:uid="{00000000-0005-0000-0000-000097240000}"/>
    <cellStyle name="Финансовый 2 2 2 2 5 2 2 2" xfId="11249" xr:uid="{00000000-0005-0000-0000-000098240000}"/>
    <cellStyle name="Финансовый 2 2 2 2 5 2 2 2 2" xfId="23227" xr:uid="{00000000-0005-0000-0000-000099240000}"/>
    <cellStyle name="Финансовый 2 2 2 2 5 2 2 2 2 2" xfId="47182" xr:uid="{00000000-0005-0000-0000-00009A240000}"/>
    <cellStyle name="Финансовый 2 2 2 2 5 2 2 2 3" xfId="35204" xr:uid="{00000000-0005-0000-0000-00009B240000}"/>
    <cellStyle name="Финансовый 2 2 2 2 5 2 2 3" xfId="15480" xr:uid="{00000000-0005-0000-0000-00009C240000}"/>
    <cellStyle name="Финансовый 2 2 2 2 5 2 2 3 2" xfId="39435" xr:uid="{00000000-0005-0000-0000-00009D240000}"/>
    <cellStyle name="Финансовый 2 2 2 2 5 2 2 4" xfId="27458" xr:uid="{00000000-0005-0000-0000-00009E240000}"/>
    <cellStyle name="Финансовый 2 2 2 2 5 2 2 5" xfId="50727" xr:uid="{00000000-0005-0000-0000-00009F240000}"/>
    <cellStyle name="Финансовый 2 2 2 2 5 2 3" xfId="5284" xr:uid="{00000000-0005-0000-0000-0000A0240000}"/>
    <cellStyle name="Финансовый 2 2 2 2 5 2 3 2" xfId="17262" xr:uid="{00000000-0005-0000-0000-0000A1240000}"/>
    <cellStyle name="Финансовый 2 2 2 2 5 2 3 2 2" xfId="41217" xr:uid="{00000000-0005-0000-0000-0000A2240000}"/>
    <cellStyle name="Финансовый 2 2 2 2 5 2 3 3" xfId="29239" xr:uid="{00000000-0005-0000-0000-0000A3240000}"/>
    <cellStyle name="Финансовый 2 2 2 2 5 2 4" xfId="7894" xr:uid="{00000000-0005-0000-0000-0000A4240000}"/>
    <cellStyle name="Финансовый 2 2 2 2 5 2 4 2" xfId="19872" xr:uid="{00000000-0005-0000-0000-0000A5240000}"/>
    <cellStyle name="Финансовый 2 2 2 2 5 2 4 2 2" xfId="43827" xr:uid="{00000000-0005-0000-0000-0000A6240000}"/>
    <cellStyle name="Финансовый 2 2 2 2 5 2 4 3" xfId="31849" xr:uid="{00000000-0005-0000-0000-0000A7240000}"/>
    <cellStyle name="Финансовый 2 2 2 2 5 2 5" xfId="9677" xr:uid="{00000000-0005-0000-0000-0000A8240000}"/>
    <cellStyle name="Финансовый 2 2 2 2 5 2 5 2" xfId="21655" xr:uid="{00000000-0005-0000-0000-0000A9240000}"/>
    <cellStyle name="Финансовый 2 2 2 2 5 2 5 2 2" xfId="45610" xr:uid="{00000000-0005-0000-0000-0000AA240000}"/>
    <cellStyle name="Финансовый 2 2 2 2 5 2 5 3" xfId="33632" xr:uid="{00000000-0005-0000-0000-0000AB240000}"/>
    <cellStyle name="Финансовый 2 2 2 2 5 2 6" xfId="13835" xr:uid="{00000000-0005-0000-0000-0000AC240000}"/>
    <cellStyle name="Финансовый 2 2 2 2 5 2 6 2" xfId="37790" xr:uid="{00000000-0005-0000-0000-0000AD240000}"/>
    <cellStyle name="Финансовый 2 2 2 2 5 2 7" xfId="25813" xr:uid="{00000000-0005-0000-0000-0000AE240000}"/>
    <cellStyle name="Финансовый 2 2 2 2 5 2 8" xfId="48946" xr:uid="{00000000-0005-0000-0000-0000AF240000}"/>
    <cellStyle name="Финансовый 2 2 2 2 5 3" xfId="4886" xr:uid="{00000000-0005-0000-0000-0000B0240000}"/>
    <cellStyle name="Финансовый 2 2 2 2 5 3 2" xfId="16864" xr:uid="{00000000-0005-0000-0000-0000B1240000}"/>
    <cellStyle name="Финансовый 2 2 2 2 5 3 2 2" xfId="40819" xr:uid="{00000000-0005-0000-0000-0000B2240000}"/>
    <cellStyle name="Финансовый 2 2 2 2 5 3 3" xfId="28841" xr:uid="{00000000-0005-0000-0000-0000B3240000}"/>
    <cellStyle name="Финансовый 2 2 2 2 5 3 4" xfId="50329" xr:uid="{00000000-0005-0000-0000-0000B4240000}"/>
    <cellStyle name="Финансовый 2 2 2 2 5 4" xfId="7496" xr:uid="{00000000-0005-0000-0000-0000B5240000}"/>
    <cellStyle name="Финансовый 2 2 2 2 5 4 2" xfId="19474" xr:uid="{00000000-0005-0000-0000-0000B6240000}"/>
    <cellStyle name="Финансовый 2 2 2 2 5 4 2 2" xfId="43429" xr:uid="{00000000-0005-0000-0000-0000B7240000}"/>
    <cellStyle name="Финансовый 2 2 2 2 5 4 3" xfId="31451" xr:uid="{00000000-0005-0000-0000-0000B8240000}"/>
    <cellStyle name="Финансовый 2 2 2 2 5 5" xfId="9279" xr:uid="{00000000-0005-0000-0000-0000B9240000}"/>
    <cellStyle name="Финансовый 2 2 2 2 5 5 2" xfId="21257" xr:uid="{00000000-0005-0000-0000-0000BA240000}"/>
    <cellStyle name="Финансовый 2 2 2 2 5 5 2 2" xfId="45212" xr:uid="{00000000-0005-0000-0000-0000BB240000}"/>
    <cellStyle name="Финансовый 2 2 2 2 5 5 3" xfId="33234" xr:uid="{00000000-0005-0000-0000-0000BC240000}"/>
    <cellStyle name="Финансовый 2 2 2 2 5 6" xfId="13437" xr:uid="{00000000-0005-0000-0000-0000BD240000}"/>
    <cellStyle name="Финансовый 2 2 2 2 5 6 2" xfId="37392" xr:uid="{00000000-0005-0000-0000-0000BE240000}"/>
    <cellStyle name="Финансовый 2 2 2 2 5 7" xfId="25415" xr:uid="{00000000-0005-0000-0000-0000BF240000}"/>
    <cellStyle name="Финансовый 2 2 2 2 5 8" xfId="48548" xr:uid="{00000000-0005-0000-0000-0000C0240000}"/>
    <cellStyle name="Финансовый 2 2 2 2 6" xfId="1740" xr:uid="{00000000-0005-0000-0000-0000C1240000}"/>
    <cellStyle name="Финансовый 2 2 2 2 6 2" xfId="3385" xr:uid="{00000000-0005-0000-0000-0000C2240000}"/>
    <cellStyle name="Финансовый 2 2 2 2 6 2 2" xfId="11133" xr:uid="{00000000-0005-0000-0000-0000C3240000}"/>
    <cellStyle name="Финансовый 2 2 2 2 6 2 2 2" xfId="23111" xr:uid="{00000000-0005-0000-0000-0000C4240000}"/>
    <cellStyle name="Финансовый 2 2 2 2 6 2 2 2 2" xfId="47066" xr:uid="{00000000-0005-0000-0000-0000C5240000}"/>
    <cellStyle name="Финансовый 2 2 2 2 6 2 2 3" xfId="35088" xr:uid="{00000000-0005-0000-0000-0000C6240000}"/>
    <cellStyle name="Финансовый 2 2 2 2 6 2 3" xfId="15364" xr:uid="{00000000-0005-0000-0000-0000C7240000}"/>
    <cellStyle name="Финансовый 2 2 2 2 6 2 3 2" xfId="39319" xr:uid="{00000000-0005-0000-0000-0000C8240000}"/>
    <cellStyle name="Финансовый 2 2 2 2 6 2 4" xfId="27342" xr:uid="{00000000-0005-0000-0000-0000C9240000}"/>
    <cellStyle name="Финансовый 2 2 2 2 6 2 5" xfId="50611" xr:uid="{00000000-0005-0000-0000-0000CA240000}"/>
    <cellStyle name="Финансовый 2 2 2 2 6 3" xfId="5168" xr:uid="{00000000-0005-0000-0000-0000CB240000}"/>
    <cellStyle name="Финансовый 2 2 2 2 6 3 2" xfId="17146" xr:uid="{00000000-0005-0000-0000-0000CC240000}"/>
    <cellStyle name="Финансовый 2 2 2 2 6 3 2 2" xfId="41101" xr:uid="{00000000-0005-0000-0000-0000CD240000}"/>
    <cellStyle name="Финансовый 2 2 2 2 6 3 3" xfId="29123" xr:uid="{00000000-0005-0000-0000-0000CE240000}"/>
    <cellStyle name="Финансовый 2 2 2 2 6 4" xfId="7778" xr:uid="{00000000-0005-0000-0000-0000CF240000}"/>
    <cellStyle name="Финансовый 2 2 2 2 6 4 2" xfId="19756" xr:uid="{00000000-0005-0000-0000-0000D0240000}"/>
    <cellStyle name="Финансовый 2 2 2 2 6 4 2 2" xfId="43711" xr:uid="{00000000-0005-0000-0000-0000D1240000}"/>
    <cellStyle name="Финансовый 2 2 2 2 6 4 3" xfId="31733" xr:uid="{00000000-0005-0000-0000-0000D2240000}"/>
    <cellStyle name="Финансовый 2 2 2 2 6 5" xfId="9561" xr:uid="{00000000-0005-0000-0000-0000D3240000}"/>
    <cellStyle name="Финансовый 2 2 2 2 6 5 2" xfId="21539" xr:uid="{00000000-0005-0000-0000-0000D4240000}"/>
    <cellStyle name="Финансовый 2 2 2 2 6 5 2 2" xfId="45494" xr:uid="{00000000-0005-0000-0000-0000D5240000}"/>
    <cellStyle name="Финансовый 2 2 2 2 6 5 3" xfId="33516" xr:uid="{00000000-0005-0000-0000-0000D6240000}"/>
    <cellStyle name="Финансовый 2 2 2 2 6 6" xfId="13719" xr:uid="{00000000-0005-0000-0000-0000D7240000}"/>
    <cellStyle name="Финансовый 2 2 2 2 6 6 2" xfId="37674" xr:uid="{00000000-0005-0000-0000-0000D8240000}"/>
    <cellStyle name="Финансовый 2 2 2 2 6 7" xfId="25697" xr:uid="{00000000-0005-0000-0000-0000D9240000}"/>
    <cellStyle name="Финансовый 2 2 2 2 6 8" xfId="48830" xr:uid="{00000000-0005-0000-0000-0000DA240000}"/>
    <cellStyle name="Финансовый 2 2 2 2 7" xfId="2376" xr:uid="{00000000-0005-0000-0000-0000DB240000}"/>
    <cellStyle name="Финансовый 2 2 2 2 7 2" xfId="4021" xr:uid="{00000000-0005-0000-0000-0000DC240000}"/>
    <cellStyle name="Финансовый 2 2 2 2 7 2 2" xfId="11761" xr:uid="{00000000-0005-0000-0000-0000DD240000}"/>
    <cellStyle name="Финансовый 2 2 2 2 7 2 2 2" xfId="23739" xr:uid="{00000000-0005-0000-0000-0000DE240000}"/>
    <cellStyle name="Финансовый 2 2 2 2 7 2 2 2 2" xfId="47694" xr:uid="{00000000-0005-0000-0000-0000DF240000}"/>
    <cellStyle name="Финансовый 2 2 2 2 7 2 2 3" xfId="35716" xr:uid="{00000000-0005-0000-0000-0000E0240000}"/>
    <cellStyle name="Финансовый 2 2 2 2 7 2 3" xfId="16000" xr:uid="{00000000-0005-0000-0000-0000E1240000}"/>
    <cellStyle name="Финансовый 2 2 2 2 7 2 3 2" xfId="39955" xr:uid="{00000000-0005-0000-0000-0000E2240000}"/>
    <cellStyle name="Финансовый 2 2 2 2 7 2 4" xfId="27978" xr:uid="{00000000-0005-0000-0000-0000E3240000}"/>
    <cellStyle name="Финансовый 2 2 2 2 7 2 5" xfId="51247" xr:uid="{00000000-0005-0000-0000-0000E4240000}"/>
    <cellStyle name="Финансовый 2 2 2 2 7 3" xfId="5804" xr:uid="{00000000-0005-0000-0000-0000E5240000}"/>
    <cellStyle name="Финансовый 2 2 2 2 7 3 2" xfId="17782" xr:uid="{00000000-0005-0000-0000-0000E6240000}"/>
    <cellStyle name="Финансовый 2 2 2 2 7 3 2 2" xfId="41737" xr:uid="{00000000-0005-0000-0000-0000E7240000}"/>
    <cellStyle name="Финансовый 2 2 2 2 7 3 3" xfId="29759" xr:uid="{00000000-0005-0000-0000-0000E8240000}"/>
    <cellStyle name="Финансовый 2 2 2 2 7 4" xfId="8414" xr:uid="{00000000-0005-0000-0000-0000E9240000}"/>
    <cellStyle name="Финансовый 2 2 2 2 7 4 2" xfId="20392" xr:uid="{00000000-0005-0000-0000-0000EA240000}"/>
    <cellStyle name="Финансовый 2 2 2 2 7 4 2 2" xfId="44347" xr:uid="{00000000-0005-0000-0000-0000EB240000}"/>
    <cellStyle name="Финансовый 2 2 2 2 7 4 3" xfId="32369" xr:uid="{00000000-0005-0000-0000-0000EC240000}"/>
    <cellStyle name="Финансовый 2 2 2 2 7 5" xfId="10197" xr:uid="{00000000-0005-0000-0000-0000ED240000}"/>
    <cellStyle name="Финансовый 2 2 2 2 7 5 2" xfId="22175" xr:uid="{00000000-0005-0000-0000-0000EE240000}"/>
    <cellStyle name="Финансовый 2 2 2 2 7 5 2 2" xfId="46130" xr:uid="{00000000-0005-0000-0000-0000EF240000}"/>
    <cellStyle name="Финансовый 2 2 2 2 7 5 3" xfId="34152" xr:uid="{00000000-0005-0000-0000-0000F0240000}"/>
    <cellStyle name="Финансовый 2 2 2 2 7 6" xfId="14355" xr:uid="{00000000-0005-0000-0000-0000F1240000}"/>
    <cellStyle name="Финансовый 2 2 2 2 7 6 2" xfId="38310" xr:uid="{00000000-0005-0000-0000-0000F2240000}"/>
    <cellStyle name="Финансовый 2 2 2 2 7 7" xfId="26333" xr:uid="{00000000-0005-0000-0000-0000F3240000}"/>
    <cellStyle name="Финансовый 2 2 2 2 7 8" xfId="49466" xr:uid="{00000000-0005-0000-0000-0000F4240000}"/>
    <cellStyle name="Финансовый 2 2 2 2 8" xfId="1603" xr:uid="{00000000-0005-0000-0000-0000F5240000}"/>
    <cellStyle name="Финансовый 2 2 2 2 8 2" xfId="3248" xr:uid="{00000000-0005-0000-0000-0000F6240000}"/>
    <cellStyle name="Финансовый 2 2 2 2 8 2 2" xfId="11004" xr:uid="{00000000-0005-0000-0000-0000F7240000}"/>
    <cellStyle name="Финансовый 2 2 2 2 8 2 2 2" xfId="22982" xr:uid="{00000000-0005-0000-0000-0000F8240000}"/>
    <cellStyle name="Финансовый 2 2 2 2 8 2 2 2 2" xfId="46937" xr:uid="{00000000-0005-0000-0000-0000F9240000}"/>
    <cellStyle name="Финансовый 2 2 2 2 8 2 2 3" xfId="34959" xr:uid="{00000000-0005-0000-0000-0000FA240000}"/>
    <cellStyle name="Финансовый 2 2 2 2 8 2 3" xfId="15227" xr:uid="{00000000-0005-0000-0000-0000FB240000}"/>
    <cellStyle name="Финансовый 2 2 2 2 8 2 3 2" xfId="39182" xr:uid="{00000000-0005-0000-0000-0000FC240000}"/>
    <cellStyle name="Финансовый 2 2 2 2 8 2 4" xfId="27205" xr:uid="{00000000-0005-0000-0000-0000FD240000}"/>
    <cellStyle name="Финансовый 2 2 2 2 8 2 5" xfId="50474" xr:uid="{00000000-0005-0000-0000-0000FE240000}"/>
    <cellStyle name="Финансовый 2 2 2 2 8 3" xfId="5031" xr:uid="{00000000-0005-0000-0000-0000FF240000}"/>
    <cellStyle name="Финансовый 2 2 2 2 8 3 2" xfId="17009" xr:uid="{00000000-0005-0000-0000-000000250000}"/>
    <cellStyle name="Финансовый 2 2 2 2 8 3 2 2" xfId="40964" xr:uid="{00000000-0005-0000-0000-000001250000}"/>
    <cellStyle name="Финансовый 2 2 2 2 8 3 3" xfId="28986" xr:uid="{00000000-0005-0000-0000-000002250000}"/>
    <cellStyle name="Финансовый 2 2 2 2 8 4" xfId="7641" xr:uid="{00000000-0005-0000-0000-000003250000}"/>
    <cellStyle name="Финансовый 2 2 2 2 8 4 2" xfId="19619" xr:uid="{00000000-0005-0000-0000-000004250000}"/>
    <cellStyle name="Финансовый 2 2 2 2 8 4 2 2" xfId="43574" xr:uid="{00000000-0005-0000-0000-000005250000}"/>
    <cellStyle name="Финансовый 2 2 2 2 8 4 3" xfId="31596" xr:uid="{00000000-0005-0000-0000-000006250000}"/>
    <cellStyle name="Финансовый 2 2 2 2 8 5" xfId="9424" xr:uid="{00000000-0005-0000-0000-000007250000}"/>
    <cellStyle name="Финансовый 2 2 2 2 8 5 2" xfId="21402" xr:uid="{00000000-0005-0000-0000-000008250000}"/>
    <cellStyle name="Финансовый 2 2 2 2 8 5 2 2" xfId="45357" xr:uid="{00000000-0005-0000-0000-000009250000}"/>
    <cellStyle name="Финансовый 2 2 2 2 8 5 3" xfId="33379" xr:uid="{00000000-0005-0000-0000-00000A250000}"/>
    <cellStyle name="Финансовый 2 2 2 2 8 6" xfId="13582" xr:uid="{00000000-0005-0000-0000-00000B250000}"/>
    <cellStyle name="Финансовый 2 2 2 2 8 6 2" xfId="37537" xr:uid="{00000000-0005-0000-0000-00000C250000}"/>
    <cellStyle name="Финансовый 2 2 2 2 8 7" xfId="25560" xr:uid="{00000000-0005-0000-0000-00000D250000}"/>
    <cellStyle name="Финансовый 2 2 2 2 8 8" xfId="48693" xr:uid="{00000000-0005-0000-0000-00000E250000}"/>
    <cellStyle name="Финансовый 2 2 2 2 9" xfId="889" xr:uid="{00000000-0005-0000-0000-00000F250000}"/>
    <cellStyle name="Финансовый 2 2 2 2 9 2" xfId="6929" xr:uid="{00000000-0005-0000-0000-000010250000}"/>
    <cellStyle name="Финансовый 2 2 2 2 9 2 2" xfId="18907" xr:uid="{00000000-0005-0000-0000-000011250000}"/>
    <cellStyle name="Финансовый 2 2 2 2 9 2 2 2" xfId="42862" xr:uid="{00000000-0005-0000-0000-000012250000}"/>
    <cellStyle name="Финансовый 2 2 2 2 9 2 3" xfId="30884" xr:uid="{00000000-0005-0000-0000-000013250000}"/>
    <cellStyle name="Финансовый 2 2 2 2 9 3" xfId="10477" xr:uid="{00000000-0005-0000-0000-000014250000}"/>
    <cellStyle name="Финансовый 2 2 2 2 9 3 2" xfId="22455" xr:uid="{00000000-0005-0000-0000-000015250000}"/>
    <cellStyle name="Финансовый 2 2 2 2 9 3 2 2" xfId="46410" xr:uid="{00000000-0005-0000-0000-000016250000}"/>
    <cellStyle name="Финансовый 2 2 2 2 9 3 3" xfId="34432" xr:uid="{00000000-0005-0000-0000-000017250000}"/>
    <cellStyle name="Финансовый 2 2 2 2 9 4" xfId="12870" xr:uid="{00000000-0005-0000-0000-000018250000}"/>
    <cellStyle name="Финансовый 2 2 2 2 9 4 2" xfId="36825" xr:uid="{00000000-0005-0000-0000-000019250000}"/>
    <cellStyle name="Финансовый 2 2 2 2 9 5" xfId="24848" xr:uid="{00000000-0005-0000-0000-00001A250000}"/>
    <cellStyle name="Финансовый 2 2 2 2 9 6" xfId="49746" xr:uid="{00000000-0005-0000-0000-00001B250000}"/>
    <cellStyle name="Финансовый 2 2 2 20" xfId="8660" xr:uid="{00000000-0005-0000-0000-00001C250000}"/>
    <cellStyle name="Финансовый 2 2 2 20 2" xfId="20638" xr:uid="{00000000-0005-0000-0000-00001D250000}"/>
    <cellStyle name="Финансовый 2 2 2 20 2 2" xfId="44593" xr:uid="{00000000-0005-0000-0000-00001E250000}"/>
    <cellStyle name="Финансовый 2 2 2 20 3" xfId="32615" xr:uid="{00000000-0005-0000-0000-00001F250000}"/>
    <cellStyle name="Финансовый 2 2 2 21" xfId="11994" xr:uid="{00000000-0005-0000-0000-000020250000}"/>
    <cellStyle name="Финансовый 2 2 2 21 2" xfId="35949" xr:uid="{00000000-0005-0000-0000-000021250000}"/>
    <cellStyle name="Финансовый 2 2 2 22" xfId="23972" xr:uid="{00000000-0005-0000-0000-000022250000}"/>
    <cellStyle name="Финансовый 2 2 2 23" xfId="47930" xr:uid="{00000000-0005-0000-0000-000023250000}"/>
    <cellStyle name="Финансовый 2 2 2 3" xfId="116" xr:uid="{00000000-0005-0000-0000-000024250000}"/>
    <cellStyle name="Финансовый 2 2 2 3 10" xfId="2726" xr:uid="{00000000-0005-0000-0000-000025250000}"/>
    <cellStyle name="Финансовый 2 2 2 3 10 2" xfId="14705" xr:uid="{00000000-0005-0000-0000-000026250000}"/>
    <cellStyle name="Финансовый 2 2 2 3 10 2 2" xfId="38660" xr:uid="{00000000-0005-0000-0000-000027250000}"/>
    <cellStyle name="Финансовый 2 2 2 3 10 3" xfId="26683" xr:uid="{00000000-0005-0000-0000-000028250000}"/>
    <cellStyle name="Финансовый 2 2 2 3 11" xfId="4370" xr:uid="{00000000-0005-0000-0000-000029250000}"/>
    <cellStyle name="Финансовый 2 2 2 3 11 2" xfId="16349" xr:uid="{00000000-0005-0000-0000-00002A250000}"/>
    <cellStyle name="Финансовый 2 2 2 3 11 2 2" xfId="40304" xr:uid="{00000000-0005-0000-0000-00002B250000}"/>
    <cellStyle name="Финансовый 2 2 2 3 11 3" xfId="28327" xr:uid="{00000000-0005-0000-0000-00002C250000}"/>
    <cellStyle name="Финансовый 2 2 2 3 12" xfId="6157" xr:uid="{00000000-0005-0000-0000-00002D250000}"/>
    <cellStyle name="Финансовый 2 2 2 3 12 2" xfId="18135" xr:uid="{00000000-0005-0000-0000-00002E250000}"/>
    <cellStyle name="Финансовый 2 2 2 3 12 2 2" xfId="42090" xr:uid="{00000000-0005-0000-0000-00002F250000}"/>
    <cellStyle name="Финансовый 2 2 2 3 12 3" xfId="30112" xr:uid="{00000000-0005-0000-0000-000030250000}"/>
    <cellStyle name="Финансовый 2 2 2 3 13" xfId="8764" xr:uid="{00000000-0005-0000-0000-000031250000}"/>
    <cellStyle name="Финансовый 2 2 2 3 13 2" xfId="20742" xr:uid="{00000000-0005-0000-0000-000032250000}"/>
    <cellStyle name="Финансовый 2 2 2 3 13 2 2" xfId="44697" xr:uid="{00000000-0005-0000-0000-000033250000}"/>
    <cellStyle name="Финансовый 2 2 2 3 13 3" xfId="32719" xr:uid="{00000000-0005-0000-0000-000034250000}"/>
    <cellStyle name="Финансовый 2 2 2 3 14" xfId="12098" xr:uid="{00000000-0005-0000-0000-000035250000}"/>
    <cellStyle name="Финансовый 2 2 2 3 14 2" xfId="36053" xr:uid="{00000000-0005-0000-0000-000036250000}"/>
    <cellStyle name="Финансовый 2 2 2 3 15" xfId="24076" xr:uid="{00000000-0005-0000-0000-000037250000}"/>
    <cellStyle name="Финансовый 2 2 2 3 16" xfId="48034" xr:uid="{00000000-0005-0000-0000-000038250000}"/>
    <cellStyle name="Финансовый 2 2 2 3 2" xfId="252" xr:uid="{00000000-0005-0000-0000-000039250000}"/>
    <cellStyle name="Финансовый 2 2 2 3 2 10" xfId="8900" xr:uid="{00000000-0005-0000-0000-00003A250000}"/>
    <cellStyle name="Финансовый 2 2 2 3 2 10 2" xfId="20878" xr:uid="{00000000-0005-0000-0000-00003B250000}"/>
    <cellStyle name="Финансовый 2 2 2 3 2 10 2 2" xfId="44833" xr:uid="{00000000-0005-0000-0000-00003C250000}"/>
    <cellStyle name="Финансовый 2 2 2 3 2 10 3" xfId="32855" xr:uid="{00000000-0005-0000-0000-00003D250000}"/>
    <cellStyle name="Финансовый 2 2 2 3 2 11" xfId="12234" xr:uid="{00000000-0005-0000-0000-00003E250000}"/>
    <cellStyle name="Финансовый 2 2 2 3 2 11 2" xfId="36189" xr:uid="{00000000-0005-0000-0000-00003F250000}"/>
    <cellStyle name="Финансовый 2 2 2 3 2 12" xfId="24212" xr:uid="{00000000-0005-0000-0000-000040250000}"/>
    <cellStyle name="Финансовый 2 2 2 3 2 13" xfId="48170" xr:uid="{00000000-0005-0000-0000-000041250000}"/>
    <cellStyle name="Финансовый 2 2 2 3 2 2" xfId="1350" xr:uid="{00000000-0005-0000-0000-000042250000}"/>
    <cellStyle name="Финансовый 2 2 2 3 2 2 2" xfId="2308" xr:uid="{00000000-0005-0000-0000-000043250000}"/>
    <cellStyle name="Финансовый 2 2 2 3 2 2 2 2" xfId="3953" xr:uid="{00000000-0005-0000-0000-000044250000}"/>
    <cellStyle name="Финансовый 2 2 2 3 2 2 2 2 2" xfId="11693" xr:uid="{00000000-0005-0000-0000-000045250000}"/>
    <cellStyle name="Финансовый 2 2 2 3 2 2 2 2 2 2" xfId="23671" xr:uid="{00000000-0005-0000-0000-000046250000}"/>
    <cellStyle name="Финансовый 2 2 2 3 2 2 2 2 2 2 2" xfId="47626" xr:uid="{00000000-0005-0000-0000-000047250000}"/>
    <cellStyle name="Финансовый 2 2 2 3 2 2 2 2 2 3" xfId="35648" xr:uid="{00000000-0005-0000-0000-000048250000}"/>
    <cellStyle name="Финансовый 2 2 2 3 2 2 2 2 3" xfId="15932" xr:uid="{00000000-0005-0000-0000-000049250000}"/>
    <cellStyle name="Финансовый 2 2 2 3 2 2 2 2 3 2" xfId="39887" xr:uid="{00000000-0005-0000-0000-00004A250000}"/>
    <cellStyle name="Финансовый 2 2 2 3 2 2 2 2 4" xfId="27910" xr:uid="{00000000-0005-0000-0000-00004B250000}"/>
    <cellStyle name="Финансовый 2 2 2 3 2 2 2 2 5" xfId="51179" xr:uid="{00000000-0005-0000-0000-00004C250000}"/>
    <cellStyle name="Финансовый 2 2 2 3 2 2 2 3" xfId="5736" xr:uid="{00000000-0005-0000-0000-00004D250000}"/>
    <cellStyle name="Финансовый 2 2 2 3 2 2 2 3 2" xfId="17714" xr:uid="{00000000-0005-0000-0000-00004E250000}"/>
    <cellStyle name="Финансовый 2 2 2 3 2 2 2 3 2 2" xfId="41669" xr:uid="{00000000-0005-0000-0000-00004F250000}"/>
    <cellStyle name="Финансовый 2 2 2 3 2 2 2 3 3" xfId="29691" xr:uid="{00000000-0005-0000-0000-000050250000}"/>
    <cellStyle name="Финансовый 2 2 2 3 2 2 2 4" xfId="8346" xr:uid="{00000000-0005-0000-0000-000051250000}"/>
    <cellStyle name="Финансовый 2 2 2 3 2 2 2 4 2" xfId="20324" xr:uid="{00000000-0005-0000-0000-000052250000}"/>
    <cellStyle name="Финансовый 2 2 2 3 2 2 2 4 2 2" xfId="44279" xr:uid="{00000000-0005-0000-0000-000053250000}"/>
    <cellStyle name="Финансовый 2 2 2 3 2 2 2 4 3" xfId="32301" xr:uid="{00000000-0005-0000-0000-000054250000}"/>
    <cellStyle name="Финансовый 2 2 2 3 2 2 2 5" xfId="10129" xr:uid="{00000000-0005-0000-0000-000055250000}"/>
    <cellStyle name="Финансовый 2 2 2 3 2 2 2 5 2" xfId="22107" xr:uid="{00000000-0005-0000-0000-000056250000}"/>
    <cellStyle name="Финансовый 2 2 2 3 2 2 2 5 2 2" xfId="46062" xr:uid="{00000000-0005-0000-0000-000057250000}"/>
    <cellStyle name="Финансовый 2 2 2 3 2 2 2 5 3" xfId="34084" xr:uid="{00000000-0005-0000-0000-000058250000}"/>
    <cellStyle name="Финансовый 2 2 2 3 2 2 2 6" xfId="14287" xr:uid="{00000000-0005-0000-0000-000059250000}"/>
    <cellStyle name="Финансовый 2 2 2 3 2 2 2 6 2" xfId="38242" xr:uid="{00000000-0005-0000-0000-00005A250000}"/>
    <cellStyle name="Финансовый 2 2 2 3 2 2 2 7" xfId="26265" xr:uid="{00000000-0005-0000-0000-00005B250000}"/>
    <cellStyle name="Финансовый 2 2 2 3 2 2 2 8" xfId="49398" xr:uid="{00000000-0005-0000-0000-00005C250000}"/>
    <cellStyle name="Финансовый 2 2 2 3 2 2 3" xfId="3134" xr:uid="{00000000-0005-0000-0000-00005D250000}"/>
    <cellStyle name="Финансовый 2 2 2 3 2 2 3 2" xfId="10921" xr:uid="{00000000-0005-0000-0000-00005E250000}"/>
    <cellStyle name="Финансовый 2 2 2 3 2 2 3 2 2" xfId="22899" xr:uid="{00000000-0005-0000-0000-00005F250000}"/>
    <cellStyle name="Финансовый 2 2 2 3 2 2 3 2 2 2" xfId="46854" xr:uid="{00000000-0005-0000-0000-000060250000}"/>
    <cellStyle name="Финансовый 2 2 2 3 2 2 3 2 3" xfId="34876" xr:uid="{00000000-0005-0000-0000-000061250000}"/>
    <cellStyle name="Финансовый 2 2 2 3 2 2 3 3" xfId="15113" xr:uid="{00000000-0005-0000-0000-000062250000}"/>
    <cellStyle name="Финансовый 2 2 2 3 2 2 3 3 2" xfId="39068" xr:uid="{00000000-0005-0000-0000-000063250000}"/>
    <cellStyle name="Финансовый 2 2 2 3 2 2 3 4" xfId="27091" xr:uid="{00000000-0005-0000-0000-000064250000}"/>
    <cellStyle name="Финансовый 2 2 2 3 2 2 3 5" xfId="50222" xr:uid="{00000000-0005-0000-0000-000065250000}"/>
    <cellStyle name="Финансовый 2 2 2 3 2 2 4" xfId="4778" xr:uid="{00000000-0005-0000-0000-000066250000}"/>
    <cellStyle name="Финансовый 2 2 2 3 2 2 4 2" xfId="16757" xr:uid="{00000000-0005-0000-0000-000067250000}"/>
    <cellStyle name="Финансовый 2 2 2 3 2 2 4 2 2" xfId="40712" xr:uid="{00000000-0005-0000-0000-000068250000}"/>
    <cellStyle name="Финансовый 2 2 2 3 2 2 4 3" xfId="28735" xr:uid="{00000000-0005-0000-0000-000069250000}"/>
    <cellStyle name="Финансовый 2 2 2 3 2 2 5" xfId="7390" xr:uid="{00000000-0005-0000-0000-00006A250000}"/>
    <cellStyle name="Финансовый 2 2 2 3 2 2 5 2" xfId="19368" xr:uid="{00000000-0005-0000-0000-00006B250000}"/>
    <cellStyle name="Финансовый 2 2 2 3 2 2 5 2 2" xfId="43323" xr:uid="{00000000-0005-0000-0000-00006C250000}"/>
    <cellStyle name="Финансовый 2 2 2 3 2 2 5 3" xfId="31345" xr:uid="{00000000-0005-0000-0000-00006D250000}"/>
    <cellStyle name="Финансовый 2 2 2 3 2 2 6" xfId="9172" xr:uid="{00000000-0005-0000-0000-00006E250000}"/>
    <cellStyle name="Финансовый 2 2 2 3 2 2 6 2" xfId="21150" xr:uid="{00000000-0005-0000-0000-00006F250000}"/>
    <cellStyle name="Финансовый 2 2 2 3 2 2 6 2 2" xfId="45105" xr:uid="{00000000-0005-0000-0000-000070250000}"/>
    <cellStyle name="Финансовый 2 2 2 3 2 2 6 3" xfId="33127" xr:uid="{00000000-0005-0000-0000-000071250000}"/>
    <cellStyle name="Финансовый 2 2 2 3 2 2 7" xfId="13331" xr:uid="{00000000-0005-0000-0000-000072250000}"/>
    <cellStyle name="Финансовый 2 2 2 3 2 2 7 2" xfId="37286" xr:uid="{00000000-0005-0000-0000-000073250000}"/>
    <cellStyle name="Финансовый 2 2 2 3 2 2 8" xfId="25309" xr:uid="{00000000-0005-0000-0000-000074250000}"/>
    <cellStyle name="Финансовый 2 2 2 3 2 2 9" xfId="48442" xr:uid="{00000000-0005-0000-0000-000075250000}"/>
    <cellStyle name="Финансовый 2 2 2 3 2 3" xfId="2052" xr:uid="{00000000-0005-0000-0000-000076250000}"/>
    <cellStyle name="Финансовый 2 2 2 3 2 3 2" xfId="3697" xr:uid="{00000000-0005-0000-0000-000077250000}"/>
    <cellStyle name="Финансовый 2 2 2 3 2 3 2 2" xfId="11437" xr:uid="{00000000-0005-0000-0000-000078250000}"/>
    <cellStyle name="Финансовый 2 2 2 3 2 3 2 2 2" xfId="23415" xr:uid="{00000000-0005-0000-0000-000079250000}"/>
    <cellStyle name="Финансовый 2 2 2 3 2 3 2 2 2 2" xfId="47370" xr:uid="{00000000-0005-0000-0000-00007A250000}"/>
    <cellStyle name="Финансовый 2 2 2 3 2 3 2 2 3" xfId="35392" xr:uid="{00000000-0005-0000-0000-00007B250000}"/>
    <cellStyle name="Финансовый 2 2 2 3 2 3 2 3" xfId="15676" xr:uid="{00000000-0005-0000-0000-00007C250000}"/>
    <cellStyle name="Финансовый 2 2 2 3 2 3 2 3 2" xfId="39631" xr:uid="{00000000-0005-0000-0000-00007D250000}"/>
    <cellStyle name="Финансовый 2 2 2 3 2 3 2 4" xfId="27654" xr:uid="{00000000-0005-0000-0000-00007E250000}"/>
    <cellStyle name="Финансовый 2 2 2 3 2 3 2 5" xfId="50923" xr:uid="{00000000-0005-0000-0000-00007F250000}"/>
    <cellStyle name="Финансовый 2 2 2 3 2 3 3" xfId="5480" xr:uid="{00000000-0005-0000-0000-000080250000}"/>
    <cellStyle name="Финансовый 2 2 2 3 2 3 3 2" xfId="17458" xr:uid="{00000000-0005-0000-0000-000081250000}"/>
    <cellStyle name="Финансовый 2 2 2 3 2 3 3 2 2" xfId="41413" xr:uid="{00000000-0005-0000-0000-000082250000}"/>
    <cellStyle name="Финансовый 2 2 2 3 2 3 3 3" xfId="29435" xr:uid="{00000000-0005-0000-0000-000083250000}"/>
    <cellStyle name="Финансовый 2 2 2 3 2 3 4" xfId="8090" xr:uid="{00000000-0005-0000-0000-000084250000}"/>
    <cellStyle name="Финансовый 2 2 2 3 2 3 4 2" xfId="20068" xr:uid="{00000000-0005-0000-0000-000085250000}"/>
    <cellStyle name="Финансовый 2 2 2 3 2 3 4 2 2" xfId="44023" xr:uid="{00000000-0005-0000-0000-000086250000}"/>
    <cellStyle name="Финансовый 2 2 2 3 2 3 4 3" xfId="32045" xr:uid="{00000000-0005-0000-0000-000087250000}"/>
    <cellStyle name="Финансовый 2 2 2 3 2 3 5" xfId="9873" xr:uid="{00000000-0005-0000-0000-000088250000}"/>
    <cellStyle name="Финансовый 2 2 2 3 2 3 5 2" xfId="21851" xr:uid="{00000000-0005-0000-0000-000089250000}"/>
    <cellStyle name="Финансовый 2 2 2 3 2 3 5 2 2" xfId="45806" xr:uid="{00000000-0005-0000-0000-00008A250000}"/>
    <cellStyle name="Финансовый 2 2 2 3 2 3 5 3" xfId="33828" xr:uid="{00000000-0005-0000-0000-00008B250000}"/>
    <cellStyle name="Финансовый 2 2 2 3 2 3 6" xfId="14031" xr:uid="{00000000-0005-0000-0000-00008C250000}"/>
    <cellStyle name="Финансовый 2 2 2 3 2 3 6 2" xfId="37986" xr:uid="{00000000-0005-0000-0000-00008D250000}"/>
    <cellStyle name="Финансовый 2 2 2 3 2 3 7" xfId="26009" xr:uid="{00000000-0005-0000-0000-00008E250000}"/>
    <cellStyle name="Финансовый 2 2 2 3 2 3 8" xfId="49142" xr:uid="{00000000-0005-0000-0000-00008F250000}"/>
    <cellStyle name="Финансовый 2 2 2 3 2 4" xfId="2581" xr:uid="{00000000-0005-0000-0000-000090250000}"/>
    <cellStyle name="Финансовый 2 2 2 3 2 4 2" xfId="4226" xr:uid="{00000000-0005-0000-0000-000091250000}"/>
    <cellStyle name="Финансовый 2 2 2 3 2 4 2 2" xfId="11950" xr:uid="{00000000-0005-0000-0000-000092250000}"/>
    <cellStyle name="Финансовый 2 2 2 3 2 4 2 2 2" xfId="23928" xr:uid="{00000000-0005-0000-0000-000093250000}"/>
    <cellStyle name="Финансовый 2 2 2 3 2 4 2 2 2 2" xfId="47883" xr:uid="{00000000-0005-0000-0000-000094250000}"/>
    <cellStyle name="Финансовый 2 2 2 3 2 4 2 2 3" xfId="35905" xr:uid="{00000000-0005-0000-0000-000095250000}"/>
    <cellStyle name="Финансовый 2 2 2 3 2 4 2 3" xfId="16205" xr:uid="{00000000-0005-0000-0000-000096250000}"/>
    <cellStyle name="Финансовый 2 2 2 3 2 4 2 3 2" xfId="40160" xr:uid="{00000000-0005-0000-0000-000097250000}"/>
    <cellStyle name="Финансовый 2 2 2 3 2 4 2 4" xfId="28183" xr:uid="{00000000-0005-0000-0000-000098250000}"/>
    <cellStyle name="Финансовый 2 2 2 3 2 4 2 5" xfId="51452" xr:uid="{00000000-0005-0000-0000-000099250000}"/>
    <cellStyle name="Финансовый 2 2 2 3 2 4 3" xfId="6009" xr:uid="{00000000-0005-0000-0000-00009A250000}"/>
    <cellStyle name="Финансовый 2 2 2 3 2 4 3 2" xfId="17987" xr:uid="{00000000-0005-0000-0000-00009B250000}"/>
    <cellStyle name="Финансовый 2 2 2 3 2 4 3 2 2" xfId="41942" xr:uid="{00000000-0005-0000-0000-00009C250000}"/>
    <cellStyle name="Финансовый 2 2 2 3 2 4 3 3" xfId="29964" xr:uid="{00000000-0005-0000-0000-00009D250000}"/>
    <cellStyle name="Финансовый 2 2 2 3 2 4 4" xfId="8619" xr:uid="{00000000-0005-0000-0000-00009E250000}"/>
    <cellStyle name="Финансовый 2 2 2 3 2 4 4 2" xfId="20597" xr:uid="{00000000-0005-0000-0000-00009F250000}"/>
    <cellStyle name="Финансовый 2 2 2 3 2 4 4 2 2" xfId="44552" xr:uid="{00000000-0005-0000-0000-0000A0250000}"/>
    <cellStyle name="Финансовый 2 2 2 3 2 4 4 3" xfId="32574" xr:uid="{00000000-0005-0000-0000-0000A1250000}"/>
    <cellStyle name="Финансовый 2 2 2 3 2 4 5" xfId="10402" xr:uid="{00000000-0005-0000-0000-0000A2250000}"/>
    <cellStyle name="Финансовый 2 2 2 3 2 4 5 2" xfId="22380" xr:uid="{00000000-0005-0000-0000-0000A3250000}"/>
    <cellStyle name="Финансовый 2 2 2 3 2 4 5 2 2" xfId="46335" xr:uid="{00000000-0005-0000-0000-0000A4250000}"/>
    <cellStyle name="Финансовый 2 2 2 3 2 4 5 3" xfId="34357" xr:uid="{00000000-0005-0000-0000-0000A5250000}"/>
    <cellStyle name="Финансовый 2 2 2 3 2 4 6" xfId="14560" xr:uid="{00000000-0005-0000-0000-0000A6250000}"/>
    <cellStyle name="Финансовый 2 2 2 3 2 4 6 2" xfId="38515" xr:uid="{00000000-0005-0000-0000-0000A7250000}"/>
    <cellStyle name="Финансовый 2 2 2 3 2 4 7" xfId="26538" xr:uid="{00000000-0005-0000-0000-0000A8250000}"/>
    <cellStyle name="Финансовый 2 2 2 3 2 4 8" xfId="49671" xr:uid="{00000000-0005-0000-0000-0000A9250000}"/>
    <cellStyle name="Финансовый 2 2 2 3 2 5" xfId="1085" xr:uid="{00000000-0005-0000-0000-0000AA250000}"/>
    <cellStyle name="Финансовый 2 2 2 3 2 5 2" xfId="7125" xr:uid="{00000000-0005-0000-0000-0000AB250000}"/>
    <cellStyle name="Финансовый 2 2 2 3 2 5 2 2" xfId="19103" xr:uid="{00000000-0005-0000-0000-0000AC250000}"/>
    <cellStyle name="Финансовый 2 2 2 3 2 5 2 2 2" xfId="43058" xr:uid="{00000000-0005-0000-0000-0000AD250000}"/>
    <cellStyle name="Финансовый 2 2 2 3 2 5 2 3" xfId="31080" xr:uid="{00000000-0005-0000-0000-0000AE250000}"/>
    <cellStyle name="Финансовый 2 2 2 3 2 5 3" xfId="10665" xr:uid="{00000000-0005-0000-0000-0000AF250000}"/>
    <cellStyle name="Финансовый 2 2 2 3 2 5 3 2" xfId="22643" xr:uid="{00000000-0005-0000-0000-0000B0250000}"/>
    <cellStyle name="Финансовый 2 2 2 3 2 5 3 2 2" xfId="46598" xr:uid="{00000000-0005-0000-0000-0000B1250000}"/>
    <cellStyle name="Финансовый 2 2 2 3 2 5 3 3" xfId="34620" xr:uid="{00000000-0005-0000-0000-0000B2250000}"/>
    <cellStyle name="Финансовый 2 2 2 3 2 5 4" xfId="13066" xr:uid="{00000000-0005-0000-0000-0000B3250000}"/>
    <cellStyle name="Финансовый 2 2 2 3 2 5 4 2" xfId="37021" xr:uid="{00000000-0005-0000-0000-0000B4250000}"/>
    <cellStyle name="Финансовый 2 2 2 3 2 5 5" xfId="25044" xr:uid="{00000000-0005-0000-0000-0000B5250000}"/>
    <cellStyle name="Финансовый 2 2 2 3 2 5 6" xfId="49950" xr:uid="{00000000-0005-0000-0000-0000B6250000}"/>
    <cellStyle name="Финансовый 2 2 2 3 2 6" xfId="673" xr:uid="{00000000-0005-0000-0000-0000B7250000}"/>
    <cellStyle name="Финансовый 2 2 2 3 2 6 2" xfId="6713" xr:uid="{00000000-0005-0000-0000-0000B8250000}"/>
    <cellStyle name="Финансовый 2 2 2 3 2 6 2 2" xfId="18691" xr:uid="{00000000-0005-0000-0000-0000B9250000}"/>
    <cellStyle name="Финансовый 2 2 2 3 2 6 2 2 2" xfId="42646" xr:uid="{00000000-0005-0000-0000-0000BA250000}"/>
    <cellStyle name="Финансовый 2 2 2 3 2 6 2 3" xfId="30668" xr:uid="{00000000-0005-0000-0000-0000BB250000}"/>
    <cellStyle name="Финансовый 2 2 2 3 2 6 3" xfId="12654" xr:uid="{00000000-0005-0000-0000-0000BC250000}"/>
    <cellStyle name="Финансовый 2 2 2 3 2 6 3 2" xfId="36609" xr:uid="{00000000-0005-0000-0000-0000BD250000}"/>
    <cellStyle name="Финансовый 2 2 2 3 2 6 4" xfId="24632" xr:uid="{00000000-0005-0000-0000-0000BE250000}"/>
    <cellStyle name="Финансовый 2 2 2 3 2 7" xfId="2862" xr:uid="{00000000-0005-0000-0000-0000BF250000}"/>
    <cellStyle name="Финансовый 2 2 2 3 2 7 2" xfId="14841" xr:uid="{00000000-0005-0000-0000-0000C0250000}"/>
    <cellStyle name="Финансовый 2 2 2 3 2 7 2 2" xfId="38796" xr:uid="{00000000-0005-0000-0000-0000C1250000}"/>
    <cellStyle name="Финансовый 2 2 2 3 2 7 3" xfId="26819" xr:uid="{00000000-0005-0000-0000-0000C2250000}"/>
    <cellStyle name="Финансовый 2 2 2 3 2 8" xfId="4506" xr:uid="{00000000-0005-0000-0000-0000C3250000}"/>
    <cellStyle name="Финансовый 2 2 2 3 2 8 2" xfId="16485" xr:uid="{00000000-0005-0000-0000-0000C4250000}"/>
    <cellStyle name="Финансовый 2 2 2 3 2 8 2 2" xfId="40440" xr:uid="{00000000-0005-0000-0000-0000C5250000}"/>
    <cellStyle name="Финансовый 2 2 2 3 2 8 3" xfId="28463" xr:uid="{00000000-0005-0000-0000-0000C6250000}"/>
    <cellStyle name="Финансовый 2 2 2 3 2 9" xfId="6293" xr:uid="{00000000-0005-0000-0000-0000C7250000}"/>
    <cellStyle name="Финансовый 2 2 2 3 2 9 2" xfId="18271" xr:uid="{00000000-0005-0000-0000-0000C8250000}"/>
    <cellStyle name="Финансовый 2 2 2 3 2 9 2 2" xfId="42226" xr:uid="{00000000-0005-0000-0000-0000C9250000}"/>
    <cellStyle name="Финансовый 2 2 2 3 2 9 3" xfId="30248" xr:uid="{00000000-0005-0000-0000-0000CA250000}"/>
    <cellStyle name="Финансовый 2 2 2 3 3" xfId="401" xr:uid="{00000000-0005-0000-0000-0000CB250000}"/>
    <cellStyle name="Финансовый 2 2 2 3 3 10" xfId="24360" xr:uid="{00000000-0005-0000-0000-0000CC250000}"/>
    <cellStyle name="Финансовый 2 2 2 3 3 11" xfId="48306" xr:uid="{00000000-0005-0000-0000-0000CD250000}"/>
    <cellStyle name="Финансовый 2 2 2 3 3 2" xfId="2180" xr:uid="{00000000-0005-0000-0000-0000CE250000}"/>
    <cellStyle name="Финансовый 2 2 2 3 3 2 2" xfId="3825" xr:uid="{00000000-0005-0000-0000-0000CF250000}"/>
    <cellStyle name="Финансовый 2 2 2 3 3 2 2 2" xfId="11565" xr:uid="{00000000-0005-0000-0000-0000D0250000}"/>
    <cellStyle name="Финансовый 2 2 2 3 3 2 2 2 2" xfId="23543" xr:uid="{00000000-0005-0000-0000-0000D1250000}"/>
    <cellStyle name="Финансовый 2 2 2 3 3 2 2 2 2 2" xfId="47498" xr:uid="{00000000-0005-0000-0000-0000D2250000}"/>
    <cellStyle name="Финансовый 2 2 2 3 3 2 2 2 3" xfId="35520" xr:uid="{00000000-0005-0000-0000-0000D3250000}"/>
    <cellStyle name="Финансовый 2 2 2 3 3 2 2 3" xfId="15804" xr:uid="{00000000-0005-0000-0000-0000D4250000}"/>
    <cellStyle name="Финансовый 2 2 2 3 3 2 2 3 2" xfId="39759" xr:uid="{00000000-0005-0000-0000-0000D5250000}"/>
    <cellStyle name="Финансовый 2 2 2 3 3 2 2 4" xfId="27782" xr:uid="{00000000-0005-0000-0000-0000D6250000}"/>
    <cellStyle name="Финансовый 2 2 2 3 3 2 2 5" xfId="51051" xr:uid="{00000000-0005-0000-0000-0000D7250000}"/>
    <cellStyle name="Финансовый 2 2 2 3 3 2 3" xfId="5608" xr:uid="{00000000-0005-0000-0000-0000D8250000}"/>
    <cellStyle name="Финансовый 2 2 2 3 3 2 3 2" xfId="17586" xr:uid="{00000000-0005-0000-0000-0000D9250000}"/>
    <cellStyle name="Финансовый 2 2 2 3 3 2 3 2 2" xfId="41541" xr:uid="{00000000-0005-0000-0000-0000DA250000}"/>
    <cellStyle name="Финансовый 2 2 2 3 3 2 3 3" xfId="29563" xr:uid="{00000000-0005-0000-0000-0000DB250000}"/>
    <cellStyle name="Финансовый 2 2 2 3 3 2 4" xfId="8218" xr:uid="{00000000-0005-0000-0000-0000DC250000}"/>
    <cellStyle name="Финансовый 2 2 2 3 3 2 4 2" xfId="20196" xr:uid="{00000000-0005-0000-0000-0000DD250000}"/>
    <cellStyle name="Финансовый 2 2 2 3 3 2 4 2 2" xfId="44151" xr:uid="{00000000-0005-0000-0000-0000DE250000}"/>
    <cellStyle name="Финансовый 2 2 2 3 3 2 4 3" xfId="32173" xr:uid="{00000000-0005-0000-0000-0000DF250000}"/>
    <cellStyle name="Финансовый 2 2 2 3 3 2 5" xfId="10001" xr:uid="{00000000-0005-0000-0000-0000E0250000}"/>
    <cellStyle name="Финансовый 2 2 2 3 3 2 5 2" xfId="21979" xr:uid="{00000000-0005-0000-0000-0000E1250000}"/>
    <cellStyle name="Финансовый 2 2 2 3 3 2 5 2 2" xfId="45934" xr:uid="{00000000-0005-0000-0000-0000E2250000}"/>
    <cellStyle name="Финансовый 2 2 2 3 3 2 5 3" xfId="33956" xr:uid="{00000000-0005-0000-0000-0000E3250000}"/>
    <cellStyle name="Финансовый 2 2 2 3 3 2 6" xfId="14159" xr:uid="{00000000-0005-0000-0000-0000E4250000}"/>
    <cellStyle name="Финансовый 2 2 2 3 3 2 6 2" xfId="38114" xr:uid="{00000000-0005-0000-0000-0000E5250000}"/>
    <cellStyle name="Финансовый 2 2 2 3 3 2 7" xfId="26137" xr:uid="{00000000-0005-0000-0000-0000E6250000}"/>
    <cellStyle name="Финансовый 2 2 2 3 3 2 8" xfId="49270" xr:uid="{00000000-0005-0000-0000-0000E7250000}"/>
    <cellStyle name="Финансовый 2 2 2 3 3 3" xfId="1214" xr:uid="{00000000-0005-0000-0000-0000E8250000}"/>
    <cellStyle name="Финансовый 2 2 2 3 3 3 2" xfId="7254" xr:uid="{00000000-0005-0000-0000-0000E9250000}"/>
    <cellStyle name="Финансовый 2 2 2 3 3 3 2 2" xfId="19232" xr:uid="{00000000-0005-0000-0000-0000EA250000}"/>
    <cellStyle name="Финансовый 2 2 2 3 3 3 2 2 2" xfId="43187" xr:uid="{00000000-0005-0000-0000-0000EB250000}"/>
    <cellStyle name="Финансовый 2 2 2 3 3 3 2 3" xfId="31209" xr:uid="{00000000-0005-0000-0000-0000EC250000}"/>
    <cellStyle name="Финансовый 2 2 2 3 3 3 3" xfId="10793" xr:uid="{00000000-0005-0000-0000-0000ED250000}"/>
    <cellStyle name="Финансовый 2 2 2 3 3 3 3 2" xfId="22771" xr:uid="{00000000-0005-0000-0000-0000EE250000}"/>
    <cellStyle name="Финансовый 2 2 2 3 3 3 3 2 2" xfId="46726" xr:uid="{00000000-0005-0000-0000-0000EF250000}"/>
    <cellStyle name="Финансовый 2 2 2 3 3 3 3 3" xfId="34748" xr:uid="{00000000-0005-0000-0000-0000F0250000}"/>
    <cellStyle name="Финансовый 2 2 2 3 3 3 4" xfId="13195" xr:uid="{00000000-0005-0000-0000-0000F1250000}"/>
    <cellStyle name="Финансовый 2 2 2 3 3 3 4 2" xfId="37150" xr:uid="{00000000-0005-0000-0000-0000F2250000}"/>
    <cellStyle name="Финансовый 2 2 2 3 3 3 5" xfId="25173" xr:uid="{00000000-0005-0000-0000-0000F3250000}"/>
    <cellStyle name="Финансовый 2 2 2 3 3 3 6" xfId="50086" xr:uid="{00000000-0005-0000-0000-0000F4250000}"/>
    <cellStyle name="Финансовый 2 2 2 3 3 4" xfId="821" xr:uid="{00000000-0005-0000-0000-0000F5250000}"/>
    <cellStyle name="Финансовый 2 2 2 3 3 4 2" xfId="6861" xr:uid="{00000000-0005-0000-0000-0000F6250000}"/>
    <cellStyle name="Финансовый 2 2 2 3 3 4 2 2" xfId="18839" xr:uid="{00000000-0005-0000-0000-0000F7250000}"/>
    <cellStyle name="Финансовый 2 2 2 3 3 4 2 2 2" xfId="42794" xr:uid="{00000000-0005-0000-0000-0000F8250000}"/>
    <cellStyle name="Финансовый 2 2 2 3 3 4 2 3" xfId="30816" xr:uid="{00000000-0005-0000-0000-0000F9250000}"/>
    <cellStyle name="Финансовый 2 2 2 3 3 4 3" xfId="12802" xr:uid="{00000000-0005-0000-0000-0000FA250000}"/>
    <cellStyle name="Финансовый 2 2 2 3 3 4 3 2" xfId="36757" xr:uid="{00000000-0005-0000-0000-0000FB250000}"/>
    <cellStyle name="Финансовый 2 2 2 3 3 4 4" xfId="24780" xr:uid="{00000000-0005-0000-0000-0000FC250000}"/>
    <cellStyle name="Финансовый 2 2 2 3 3 5" xfId="2998" xr:uid="{00000000-0005-0000-0000-0000FD250000}"/>
    <cellStyle name="Финансовый 2 2 2 3 3 5 2" xfId="14977" xr:uid="{00000000-0005-0000-0000-0000FE250000}"/>
    <cellStyle name="Финансовый 2 2 2 3 3 5 2 2" xfId="38932" xr:uid="{00000000-0005-0000-0000-0000FF250000}"/>
    <cellStyle name="Финансовый 2 2 2 3 3 5 3" xfId="26955" xr:uid="{00000000-0005-0000-0000-000000260000}"/>
    <cellStyle name="Финансовый 2 2 2 3 3 6" xfId="4642" xr:uid="{00000000-0005-0000-0000-000001260000}"/>
    <cellStyle name="Финансовый 2 2 2 3 3 6 2" xfId="16621" xr:uid="{00000000-0005-0000-0000-000002260000}"/>
    <cellStyle name="Финансовый 2 2 2 3 3 6 2 2" xfId="40576" xr:uid="{00000000-0005-0000-0000-000003260000}"/>
    <cellStyle name="Финансовый 2 2 2 3 3 6 3" xfId="28599" xr:uid="{00000000-0005-0000-0000-000004260000}"/>
    <cellStyle name="Финансовый 2 2 2 3 3 7" xfId="6441" xr:uid="{00000000-0005-0000-0000-000005260000}"/>
    <cellStyle name="Финансовый 2 2 2 3 3 7 2" xfId="18419" xr:uid="{00000000-0005-0000-0000-000006260000}"/>
    <cellStyle name="Финансовый 2 2 2 3 3 7 2 2" xfId="42374" xr:uid="{00000000-0005-0000-0000-000007260000}"/>
    <cellStyle name="Финансовый 2 2 2 3 3 7 3" xfId="30396" xr:uid="{00000000-0005-0000-0000-000008260000}"/>
    <cellStyle name="Финансовый 2 2 2 3 3 8" xfId="9036" xr:uid="{00000000-0005-0000-0000-000009260000}"/>
    <cellStyle name="Финансовый 2 2 2 3 3 8 2" xfId="21014" xr:uid="{00000000-0005-0000-0000-00000A260000}"/>
    <cellStyle name="Финансовый 2 2 2 3 3 8 2 2" xfId="44969" xr:uid="{00000000-0005-0000-0000-00000B260000}"/>
    <cellStyle name="Финансовый 2 2 2 3 3 8 3" xfId="32991" xr:uid="{00000000-0005-0000-0000-00000C260000}"/>
    <cellStyle name="Финансовый 2 2 2 3 3 9" xfId="12382" xr:uid="{00000000-0005-0000-0000-00000D260000}"/>
    <cellStyle name="Финансовый 2 2 2 3 3 9 2" xfId="36337" xr:uid="{00000000-0005-0000-0000-00000E260000}"/>
    <cellStyle name="Финансовый 2 2 2 3 4" xfId="1461" xr:uid="{00000000-0005-0000-0000-00000F260000}"/>
    <cellStyle name="Финансовый 2 2 2 3 4 2" xfId="1924" xr:uid="{00000000-0005-0000-0000-000010260000}"/>
    <cellStyle name="Финансовый 2 2 2 3 4 2 2" xfId="3569" xr:uid="{00000000-0005-0000-0000-000011260000}"/>
    <cellStyle name="Финансовый 2 2 2 3 4 2 2 2" xfId="11309" xr:uid="{00000000-0005-0000-0000-000012260000}"/>
    <cellStyle name="Финансовый 2 2 2 3 4 2 2 2 2" xfId="23287" xr:uid="{00000000-0005-0000-0000-000013260000}"/>
    <cellStyle name="Финансовый 2 2 2 3 4 2 2 2 2 2" xfId="47242" xr:uid="{00000000-0005-0000-0000-000014260000}"/>
    <cellStyle name="Финансовый 2 2 2 3 4 2 2 2 3" xfId="35264" xr:uid="{00000000-0005-0000-0000-000015260000}"/>
    <cellStyle name="Финансовый 2 2 2 3 4 2 2 3" xfId="15548" xr:uid="{00000000-0005-0000-0000-000016260000}"/>
    <cellStyle name="Финансовый 2 2 2 3 4 2 2 3 2" xfId="39503" xr:uid="{00000000-0005-0000-0000-000017260000}"/>
    <cellStyle name="Финансовый 2 2 2 3 4 2 2 4" xfId="27526" xr:uid="{00000000-0005-0000-0000-000018260000}"/>
    <cellStyle name="Финансовый 2 2 2 3 4 2 2 5" xfId="50795" xr:uid="{00000000-0005-0000-0000-000019260000}"/>
    <cellStyle name="Финансовый 2 2 2 3 4 2 3" xfId="5352" xr:uid="{00000000-0005-0000-0000-00001A260000}"/>
    <cellStyle name="Финансовый 2 2 2 3 4 2 3 2" xfId="17330" xr:uid="{00000000-0005-0000-0000-00001B260000}"/>
    <cellStyle name="Финансовый 2 2 2 3 4 2 3 2 2" xfId="41285" xr:uid="{00000000-0005-0000-0000-00001C260000}"/>
    <cellStyle name="Финансовый 2 2 2 3 4 2 3 3" xfId="29307" xr:uid="{00000000-0005-0000-0000-00001D260000}"/>
    <cellStyle name="Финансовый 2 2 2 3 4 2 4" xfId="7962" xr:uid="{00000000-0005-0000-0000-00001E260000}"/>
    <cellStyle name="Финансовый 2 2 2 3 4 2 4 2" xfId="19940" xr:uid="{00000000-0005-0000-0000-00001F260000}"/>
    <cellStyle name="Финансовый 2 2 2 3 4 2 4 2 2" xfId="43895" xr:uid="{00000000-0005-0000-0000-000020260000}"/>
    <cellStyle name="Финансовый 2 2 2 3 4 2 4 3" xfId="31917" xr:uid="{00000000-0005-0000-0000-000021260000}"/>
    <cellStyle name="Финансовый 2 2 2 3 4 2 5" xfId="9745" xr:uid="{00000000-0005-0000-0000-000022260000}"/>
    <cellStyle name="Финансовый 2 2 2 3 4 2 5 2" xfId="21723" xr:uid="{00000000-0005-0000-0000-000023260000}"/>
    <cellStyle name="Финансовый 2 2 2 3 4 2 5 2 2" xfId="45678" xr:uid="{00000000-0005-0000-0000-000024260000}"/>
    <cellStyle name="Финансовый 2 2 2 3 4 2 5 3" xfId="33700" xr:uid="{00000000-0005-0000-0000-000025260000}"/>
    <cellStyle name="Финансовый 2 2 2 3 4 2 6" xfId="13903" xr:uid="{00000000-0005-0000-0000-000026260000}"/>
    <cellStyle name="Финансовый 2 2 2 3 4 2 6 2" xfId="37858" xr:uid="{00000000-0005-0000-0000-000027260000}"/>
    <cellStyle name="Финансовый 2 2 2 3 4 2 7" xfId="25881" xr:uid="{00000000-0005-0000-0000-000028260000}"/>
    <cellStyle name="Финансовый 2 2 2 3 4 2 8" xfId="49014" xr:uid="{00000000-0005-0000-0000-000029260000}"/>
    <cellStyle name="Финансовый 2 2 2 3 4 3" xfId="4889" xr:uid="{00000000-0005-0000-0000-00002A260000}"/>
    <cellStyle name="Финансовый 2 2 2 3 4 3 2" xfId="16867" xr:uid="{00000000-0005-0000-0000-00002B260000}"/>
    <cellStyle name="Финансовый 2 2 2 3 4 3 2 2" xfId="40822" xr:uid="{00000000-0005-0000-0000-00002C260000}"/>
    <cellStyle name="Финансовый 2 2 2 3 4 3 3" xfId="28844" xr:uid="{00000000-0005-0000-0000-00002D260000}"/>
    <cellStyle name="Финансовый 2 2 2 3 4 3 4" xfId="50332" xr:uid="{00000000-0005-0000-0000-00002E260000}"/>
    <cellStyle name="Финансовый 2 2 2 3 4 4" xfId="7499" xr:uid="{00000000-0005-0000-0000-00002F260000}"/>
    <cellStyle name="Финансовый 2 2 2 3 4 4 2" xfId="19477" xr:uid="{00000000-0005-0000-0000-000030260000}"/>
    <cellStyle name="Финансовый 2 2 2 3 4 4 2 2" xfId="43432" xr:uid="{00000000-0005-0000-0000-000031260000}"/>
    <cellStyle name="Финансовый 2 2 2 3 4 4 3" xfId="31454" xr:uid="{00000000-0005-0000-0000-000032260000}"/>
    <cellStyle name="Финансовый 2 2 2 3 4 5" xfId="9282" xr:uid="{00000000-0005-0000-0000-000033260000}"/>
    <cellStyle name="Финансовый 2 2 2 3 4 5 2" xfId="21260" xr:uid="{00000000-0005-0000-0000-000034260000}"/>
    <cellStyle name="Финансовый 2 2 2 3 4 5 2 2" xfId="45215" xr:uid="{00000000-0005-0000-0000-000035260000}"/>
    <cellStyle name="Финансовый 2 2 2 3 4 5 3" xfId="33237" xr:uid="{00000000-0005-0000-0000-000036260000}"/>
    <cellStyle name="Финансовый 2 2 2 3 4 6" xfId="13440" xr:uid="{00000000-0005-0000-0000-000037260000}"/>
    <cellStyle name="Финансовый 2 2 2 3 4 6 2" xfId="37395" xr:uid="{00000000-0005-0000-0000-000038260000}"/>
    <cellStyle name="Финансовый 2 2 2 3 4 7" xfId="25418" xr:uid="{00000000-0005-0000-0000-000039260000}"/>
    <cellStyle name="Финансовый 2 2 2 3 4 8" xfId="48551" xr:uid="{00000000-0005-0000-0000-00003A260000}"/>
    <cellStyle name="Финансовый 2 2 2 3 5" xfId="1800" xr:uid="{00000000-0005-0000-0000-00003B260000}"/>
    <cellStyle name="Финансовый 2 2 2 3 5 2" xfId="3445" xr:uid="{00000000-0005-0000-0000-00003C260000}"/>
    <cellStyle name="Финансовый 2 2 2 3 5 2 2" xfId="11193" xr:uid="{00000000-0005-0000-0000-00003D260000}"/>
    <cellStyle name="Финансовый 2 2 2 3 5 2 2 2" xfId="23171" xr:uid="{00000000-0005-0000-0000-00003E260000}"/>
    <cellStyle name="Финансовый 2 2 2 3 5 2 2 2 2" xfId="47126" xr:uid="{00000000-0005-0000-0000-00003F260000}"/>
    <cellStyle name="Финансовый 2 2 2 3 5 2 2 3" xfId="35148" xr:uid="{00000000-0005-0000-0000-000040260000}"/>
    <cellStyle name="Финансовый 2 2 2 3 5 2 3" xfId="15424" xr:uid="{00000000-0005-0000-0000-000041260000}"/>
    <cellStyle name="Финансовый 2 2 2 3 5 2 3 2" xfId="39379" xr:uid="{00000000-0005-0000-0000-000042260000}"/>
    <cellStyle name="Финансовый 2 2 2 3 5 2 4" xfId="27402" xr:uid="{00000000-0005-0000-0000-000043260000}"/>
    <cellStyle name="Финансовый 2 2 2 3 5 2 5" xfId="50671" xr:uid="{00000000-0005-0000-0000-000044260000}"/>
    <cellStyle name="Финансовый 2 2 2 3 5 3" xfId="5228" xr:uid="{00000000-0005-0000-0000-000045260000}"/>
    <cellStyle name="Финансовый 2 2 2 3 5 3 2" xfId="17206" xr:uid="{00000000-0005-0000-0000-000046260000}"/>
    <cellStyle name="Финансовый 2 2 2 3 5 3 2 2" xfId="41161" xr:uid="{00000000-0005-0000-0000-000047260000}"/>
    <cellStyle name="Финансовый 2 2 2 3 5 3 3" xfId="29183" xr:uid="{00000000-0005-0000-0000-000048260000}"/>
    <cellStyle name="Финансовый 2 2 2 3 5 4" xfId="7838" xr:uid="{00000000-0005-0000-0000-000049260000}"/>
    <cellStyle name="Финансовый 2 2 2 3 5 4 2" xfId="19816" xr:uid="{00000000-0005-0000-0000-00004A260000}"/>
    <cellStyle name="Финансовый 2 2 2 3 5 4 2 2" xfId="43771" xr:uid="{00000000-0005-0000-0000-00004B260000}"/>
    <cellStyle name="Финансовый 2 2 2 3 5 4 3" xfId="31793" xr:uid="{00000000-0005-0000-0000-00004C260000}"/>
    <cellStyle name="Финансовый 2 2 2 3 5 5" xfId="9621" xr:uid="{00000000-0005-0000-0000-00004D260000}"/>
    <cellStyle name="Финансовый 2 2 2 3 5 5 2" xfId="21599" xr:uid="{00000000-0005-0000-0000-00004E260000}"/>
    <cellStyle name="Финансовый 2 2 2 3 5 5 2 2" xfId="45554" xr:uid="{00000000-0005-0000-0000-00004F260000}"/>
    <cellStyle name="Финансовый 2 2 2 3 5 5 3" xfId="33576" xr:uid="{00000000-0005-0000-0000-000050260000}"/>
    <cellStyle name="Финансовый 2 2 2 3 5 6" xfId="13779" xr:uid="{00000000-0005-0000-0000-000051260000}"/>
    <cellStyle name="Финансовый 2 2 2 3 5 6 2" xfId="37734" xr:uid="{00000000-0005-0000-0000-000052260000}"/>
    <cellStyle name="Финансовый 2 2 2 3 5 7" xfId="25757" xr:uid="{00000000-0005-0000-0000-000053260000}"/>
    <cellStyle name="Финансовый 2 2 2 3 5 8" xfId="48890" xr:uid="{00000000-0005-0000-0000-000054260000}"/>
    <cellStyle name="Финансовый 2 2 2 3 6" xfId="2445" xr:uid="{00000000-0005-0000-0000-000055260000}"/>
    <cellStyle name="Финансовый 2 2 2 3 6 2" xfId="4090" xr:uid="{00000000-0005-0000-0000-000056260000}"/>
    <cellStyle name="Финансовый 2 2 2 3 6 2 2" xfId="11822" xr:uid="{00000000-0005-0000-0000-000057260000}"/>
    <cellStyle name="Финансовый 2 2 2 3 6 2 2 2" xfId="23800" xr:uid="{00000000-0005-0000-0000-000058260000}"/>
    <cellStyle name="Финансовый 2 2 2 3 6 2 2 2 2" xfId="47755" xr:uid="{00000000-0005-0000-0000-000059260000}"/>
    <cellStyle name="Финансовый 2 2 2 3 6 2 2 3" xfId="35777" xr:uid="{00000000-0005-0000-0000-00005A260000}"/>
    <cellStyle name="Финансовый 2 2 2 3 6 2 3" xfId="16069" xr:uid="{00000000-0005-0000-0000-00005B260000}"/>
    <cellStyle name="Финансовый 2 2 2 3 6 2 3 2" xfId="40024" xr:uid="{00000000-0005-0000-0000-00005C260000}"/>
    <cellStyle name="Финансовый 2 2 2 3 6 2 4" xfId="28047" xr:uid="{00000000-0005-0000-0000-00005D260000}"/>
    <cellStyle name="Финансовый 2 2 2 3 6 2 5" xfId="51316" xr:uid="{00000000-0005-0000-0000-00005E260000}"/>
    <cellStyle name="Финансовый 2 2 2 3 6 3" xfId="5873" xr:uid="{00000000-0005-0000-0000-00005F260000}"/>
    <cellStyle name="Финансовый 2 2 2 3 6 3 2" xfId="17851" xr:uid="{00000000-0005-0000-0000-000060260000}"/>
    <cellStyle name="Финансовый 2 2 2 3 6 3 2 2" xfId="41806" xr:uid="{00000000-0005-0000-0000-000061260000}"/>
    <cellStyle name="Финансовый 2 2 2 3 6 3 3" xfId="29828" xr:uid="{00000000-0005-0000-0000-000062260000}"/>
    <cellStyle name="Финансовый 2 2 2 3 6 4" xfId="8483" xr:uid="{00000000-0005-0000-0000-000063260000}"/>
    <cellStyle name="Финансовый 2 2 2 3 6 4 2" xfId="20461" xr:uid="{00000000-0005-0000-0000-000064260000}"/>
    <cellStyle name="Финансовый 2 2 2 3 6 4 2 2" xfId="44416" xr:uid="{00000000-0005-0000-0000-000065260000}"/>
    <cellStyle name="Финансовый 2 2 2 3 6 4 3" xfId="32438" xr:uid="{00000000-0005-0000-0000-000066260000}"/>
    <cellStyle name="Финансовый 2 2 2 3 6 5" xfId="10266" xr:uid="{00000000-0005-0000-0000-000067260000}"/>
    <cellStyle name="Финансовый 2 2 2 3 6 5 2" xfId="22244" xr:uid="{00000000-0005-0000-0000-000068260000}"/>
    <cellStyle name="Финансовый 2 2 2 3 6 5 2 2" xfId="46199" xr:uid="{00000000-0005-0000-0000-000069260000}"/>
    <cellStyle name="Финансовый 2 2 2 3 6 5 3" xfId="34221" xr:uid="{00000000-0005-0000-0000-00006A260000}"/>
    <cellStyle name="Финансовый 2 2 2 3 6 6" xfId="14424" xr:uid="{00000000-0005-0000-0000-00006B260000}"/>
    <cellStyle name="Финансовый 2 2 2 3 6 6 2" xfId="38379" xr:uid="{00000000-0005-0000-0000-00006C260000}"/>
    <cellStyle name="Финансовый 2 2 2 3 6 7" xfId="26402" xr:uid="{00000000-0005-0000-0000-00006D260000}"/>
    <cellStyle name="Финансовый 2 2 2 3 6 8" xfId="49535" xr:uid="{00000000-0005-0000-0000-00006E260000}"/>
    <cellStyle name="Финансовый 2 2 2 3 7" xfId="1672" xr:uid="{00000000-0005-0000-0000-00006F260000}"/>
    <cellStyle name="Финансовый 2 2 2 3 7 2" xfId="3317" xr:uid="{00000000-0005-0000-0000-000070260000}"/>
    <cellStyle name="Финансовый 2 2 2 3 7 2 2" xfId="11065" xr:uid="{00000000-0005-0000-0000-000071260000}"/>
    <cellStyle name="Финансовый 2 2 2 3 7 2 2 2" xfId="23043" xr:uid="{00000000-0005-0000-0000-000072260000}"/>
    <cellStyle name="Финансовый 2 2 2 3 7 2 2 2 2" xfId="46998" xr:uid="{00000000-0005-0000-0000-000073260000}"/>
    <cellStyle name="Финансовый 2 2 2 3 7 2 2 3" xfId="35020" xr:uid="{00000000-0005-0000-0000-000074260000}"/>
    <cellStyle name="Финансовый 2 2 2 3 7 2 3" xfId="15296" xr:uid="{00000000-0005-0000-0000-000075260000}"/>
    <cellStyle name="Финансовый 2 2 2 3 7 2 3 2" xfId="39251" xr:uid="{00000000-0005-0000-0000-000076260000}"/>
    <cellStyle name="Финансовый 2 2 2 3 7 2 4" xfId="27274" xr:uid="{00000000-0005-0000-0000-000077260000}"/>
    <cellStyle name="Финансовый 2 2 2 3 7 2 5" xfId="50543" xr:uid="{00000000-0005-0000-0000-000078260000}"/>
    <cellStyle name="Финансовый 2 2 2 3 7 3" xfId="5100" xr:uid="{00000000-0005-0000-0000-000079260000}"/>
    <cellStyle name="Финансовый 2 2 2 3 7 3 2" xfId="17078" xr:uid="{00000000-0005-0000-0000-00007A260000}"/>
    <cellStyle name="Финансовый 2 2 2 3 7 3 2 2" xfId="41033" xr:uid="{00000000-0005-0000-0000-00007B260000}"/>
    <cellStyle name="Финансовый 2 2 2 3 7 3 3" xfId="29055" xr:uid="{00000000-0005-0000-0000-00007C260000}"/>
    <cellStyle name="Финансовый 2 2 2 3 7 4" xfId="7710" xr:uid="{00000000-0005-0000-0000-00007D260000}"/>
    <cellStyle name="Финансовый 2 2 2 3 7 4 2" xfId="19688" xr:uid="{00000000-0005-0000-0000-00007E260000}"/>
    <cellStyle name="Финансовый 2 2 2 3 7 4 2 2" xfId="43643" xr:uid="{00000000-0005-0000-0000-00007F260000}"/>
    <cellStyle name="Финансовый 2 2 2 3 7 4 3" xfId="31665" xr:uid="{00000000-0005-0000-0000-000080260000}"/>
    <cellStyle name="Финансовый 2 2 2 3 7 5" xfId="9493" xr:uid="{00000000-0005-0000-0000-000081260000}"/>
    <cellStyle name="Финансовый 2 2 2 3 7 5 2" xfId="21471" xr:uid="{00000000-0005-0000-0000-000082260000}"/>
    <cellStyle name="Финансовый 2 2 2 3 7 5 2 2" xfId="45426" xr:uid="{00000000-0005-0000-0000-000083260000}"/>
    <cellStyle name="Финансовый 2 2 2 3 7 5 3" xfId="33448" xr:uid="{00000000-0005-0000-0000-000084260000}"/>
    <cellStyle name="Финансовый 2 2 2 3 7 6" xfId="13651" xr:uid="{00000000-0005-0000-0000-000085260000}"/>
    <cellStyle name="Финансовый 2 2 2 3 7 6 2" xfId="37606" xr:uid="{00000000-0005-0000-0000-000086260000}"/>
    <cellStyle name="Финансовый 2 2 2 3 7 7" xfId="25629" xr:uid="{00000000-0005-0000-0000-000087260000}"/>
    <cellStyle name="Финансовый 2 2 2 3 7 8" xfId="48762" xr:uid="{00000000-0005-0000-0000-000088260000}"/>
    <cellStyle name="Финансовый 2 2 2 3 8" xfId="949" xr:uid="{00000000-0005-0000-0000-000089260000}"/>
    <cellStyle name="Финансовый 2 2 2 3 8 2" xfId="6989" xr:uid="{00000000-0005-0000-0000-00008A260000}"/>
    <cellStyle name="Финансовый 2 2 2 3 8 2 2" xfId="18967" xr:uid="{00000000-0005-0000-0000-00008B260000}"/>
    <cellStyle name="Финансовый 2 2 2 3 8 2 2 2" xfId="42922" xr:uid="{00000000-0005-0000-0000-00008C260000}"/>
    <cellStyle name="Финансовый 2 2 2 3 8 2 3" xfId="30944" xr:uid="{00000000-0005-0000-0000-00008D260000}"/>
    <cellStyle name="Финансовый 2 2 2 3 8 3" xfId="10537" xr:uid="{00000000-0005-0000-0000-00008E260000}"/>
    <cellStyle name="Финансовый 2 2 2 3 8 3 2" xfId="22515" xr:uid="{00000000-0005-0000-0000-00008F260000}"/>
    <cellStyle name="Финансовый 2 2 2 3 8 3 2 2" xfId="46470" xr:uid="{00000000-0005-0000-0000-000090260000}"/>
    <cellStyle name="Финансовый 2 2 2 3 8 3 3" xfId="34492" xr:uid="{00000000-0005-0000-0000-000091260000}"/>
    <cellStyle name="Финансовый 2 2 2 3 8 4" xfId="12930" xr:uid="{00000000-0005-0000-0000-000092260000}"/>
    <cellStyle name="Финансовый 2 2 2 3 8 4 2" xfId="36885" xr:uid="{00000000-0005-0000-0000-000093260000}"/>
    <cellStyle name="Финансовый 2 2 2 3 8 5" xfId="24908" xr:uid="{00000000-0005-0000-0000-000094260000}"/>
    <cellStyle name="Финансовый 2 2 2 3 8 6" xfId="49814" xr:uid="{00000000-0005-0000-0000-000095260000}"/>
    <cellStyle name="Финансовый 2 2 2 3 9" xfId="537" xr:uid="{00000000-0005-0000-0000-000096260000}"/>
    <cellStyle name="Финансовый 2 2 2 3 9 2" xfId="6577" xr:uid="{00000000-0005-0000-0000-000097260000}"/>
    <cellStyle name="Финансовый 2 2 2 3 9 2 2" xfId="18555" xr:uid="{00000000-0005-0000-0000-000098260000}"/>
    <cellStyle name="Финансовый 2 2 2 3 9 2 2 2" xfId="42510" xr:uid="{00000000-0005-0000-0000-000099260000}"/>
    <cellStyle name="Финансовый 2 2 2 3 9 2 3" xfId="30532" xr:uid="{00000000-0005-0000-0000-00009A260000}"/>
    <cellStyle name="Финансовый 2 2 2 3 9 3" xfId="12518" xr:uid="{00000000-0005-0000-0000-00009B260000}"/>
    <cellStyle name="Финансовый 2 2 2 3 9 3 2" xfId="36473" xr:uid="{00000000-0005-0000-0000-00009C260000}"/>
    <cellStyle name="Финансовый 2 2 2 3 9 4" xfId="24496" xr:uid="{00000000-0005-0000-0000-00009D260000}"/>
    <cellStyle name="Финансовый 2 2 2 4" xfId="80" xr:uid="{00000000-0005-0000-0000-00009E260000}"/>
    <cellStyle name="Финансовый 2 2 2 4 10" xfId="2690" xr:uid="{00000000-0005-0000-0000-00009F260000}"/>
    <cellStyle name="Финансовый 2 2 2 4 10 2" xfId="14669" xr:uid="{00000000-0005-0000-0000-0000A0260000}"/>
    <cellStyle name="Финансовый 2 2 2 4 10 2 2" xfId="38624" xr:uid="{00000000-0005-0000-0000-0000A1260000}"/>
    <cellStyle name="Финансовый 2 2 2 4 10 3" xfId="26647" xr:uid="{00000000-0005-0000-0000-0000A2260000}"/>
    <cellStyle name="Финансовый 2 2 2 4 11" xfId="4334" xr:uid="{00000000-0005-0000-0000-0000A3260000}"/>
    <cellStyle name="Финансовый 2 2 2 4 11 2" xfId="16313" xr:uid="{00000000-0005-0000-0000-0000A4260000}"/>
    <cellStyle name="Финансовый 2 2 2 4 11 2 2" xfId="40268" xr:uid="{00000000-0005-0000-0000-0000A5260000}"/>
    <cellStyle name="Финансовый 2 2 2 4 11 3" xfId="28291" xr:uid="{00000000-0005-0000-0000-0000A6260000}"/>
    <cellStyle name="Финансовый 2 2 2 4 12" xfId="6121" xr:uid="{00000000-0005-0000-0000-0000A7260000}"/>
    <cellStyle name="Финансовый 2 2 2 4 12 2" xfId="18099" xr:uid="{00000000-0005-0000-0000-0000A8260000}"/>
    <cellStyle name="Финансовый 2 2 2 4 12 2 2" xfId="42054" xr:uid="{00000000-0005-0000-0000-0000A9260000}"/>
    <cellStyle name="Финансовый 2 2 2 4 12 3" xfId="30076" xr:uid="{00000000-0005-0000-0000-0000AA260000}"/>
    <cellStyle name="Финансовый 2 2 2 4 13" xfId="8728" xr:uid="{00000000-0005-0000-0000-0000AB260000}"/>
    <cellStyle name="Финансовый 2 2 2 4 13 2" xfId="20706" xr:uid="{00000000-0005-0000-0000-0000AC260000}"/>
    <cellStyle name="Финансовый 2 2 2 4 13 2 2" xfId="44661" xr:uid="{00000000-0005-0000-0000-0000AD260000}"/>
    <cellStyle name="Финансовый 2 2 2 4 13 3" xfId="32683" xr:uid="{00000000-0005-0000-0000-0000AE260000}"/>
    <cellStyle name="Финансовый 2 2 2 4 14" xfId="12062" xr:uid="{00000000-0005-0000-0000-0000AF260000}"/>
    <cellStyle name="Финансовый 2 2 2 4 14 2" xfId="36017" xr:uid="{00000000-0005-0000-0000-0000B0260000}"/>
    <cellStyle name="Финансовый 2 2 2 4 15" xfId="24040" xr:uid="{00000000-0005-0000-0000-0000B1260000}"/>
    <cellStyle name="Финансовый 2 2 2 4 16" xfId="47998" xr:uid="{00000000-0005-0000-0000-0000B2260000}"/>
    <cellStyle name="Финансовый 2 2 2 4 2" xfId="216" xr:uid="{00000000-0005-0000-0000-0000B3260000}"/>
    <cellStyle name="Финансовый 2 2 2 4 2 10" xfId="8864" xr:uid="{00000000-0005-0000-0000-0000B4260000}"/>
    <cellStyle name="Финансовый 2 2 2 4 2 10 2" xfId="20842" xr:uid="{00000000-0005-0000-0000-0000B5260000}"/>
    <cellStyle name="Финансовый 2 2 2 4 2 10 2 2" xfId="44797" xr:uid="{00000000-0005-0000-0000-0000B6260000}"/>
    <cellStyle name="Финансовый 2 2 2 4 2 10 3" xfId="32819" xr:uid="{00000000-0005-0000-0000-0000B7260000}"/>
    <cellStyle name="Финансовый 2 2 2 4 2 11" xfId="12198" xr:uid="{00000000-0005-0000-0000-0000B8260000}"/>
    <cellStyle name="Финансовый 2 2 2 4 2 11 2" xfId="36153" xr:uid="{00000000-0005-0000-0000-0000B9260000}"/>
    <cellStyle name="Финансовый 2 2 2 4 2 12" xfId="24176" xr:uid="{00000000-0005-0000-0000-0000BA260000}"/>
    <cellStyle name="Финансовый 2 2 2 4 2 13" xfId="48134" xr:uid="{00000000-0005-0000-0000-0000BB260000}"/>
    <cellStyle name="Финансовый 2 2 2 4 2 2" xfId="1314" xr:uid="{00000000-0005-0000-0000-0000BC260000}"/>
    <cellStyle name="Финансовый 2 2 2 4 2 2 2" xfId="2272" xr:uid="{00000000-0005-0000-0000-0000BD260000}"/>
    <cellStyle name="Финансовый 2 2 2 4 2 2 2 2" xfId="3917" xr:uid="{00000000-0005-0000-0000-0000BE260000}"/>
    <cellStyle name="Финансовый 2 2 2 4 2 2 2 2 2" xfId="11657" xr:uid="{00000000-0005-0000-0000-0000BF260000}"/>
    <cellStyle name="Финансовый 2 2 2 4 2 2 2 2 2 2" xfId="23635" xr:uid="{00000000-0005-0000-0000-0000C0260000}"/>
    <cellStyle name="Финансовый 2 2 2 4 2 2 2 2 2 2 2" xfId="47590" xr:uid="{00000000-0005-0000-0000-0000C1260000}"/>
    <cellStyle name="Финансовый 2 2 2 4 2 2 2 2 2 3" xfId="35612" xr:uid="{00000000-0005-0000-0000-0000C2260000}"/>
    <cellStyle name="Финансовый 2 2 2 4 2 2 2 2 3" xfId="15896" xr:uid="{00000000-0005-0000-0000-0000C3260000}"/>
    <cellStyle name="Финансовый 2 2 2 4 2 2 2 2 3 2" xfId="39851" xr:uid="{00000000-0005-0000-0000-0000C4260000}"/>
    <cellStyle name="Финансовый 2 2 2 4 2 2 2 2 4" xfId="27874" xr:uid="{00000000-0005-0000-0000-0000C5260000}"/>
    <cellStyle name="Финансовый 2 2 2 4 2 2 2 2 5" xfId="51143" xr:uid="{00000000-0005-0000-0000-0000C6260000}"/>
    <cellStyle name="Финансовый 2 2 2 4 2 2 2 3" xfId="5700" xr:uid="{00000000-0005-0000-0000-0000C7260000}"/>
    <cellStyle name="Финансовый 2 2 2 4 2 2 2 3 2" xfId="17678" xr:uid="{00000000-0005-0000-0000-0000C8260000}"/>
    <cellStyle name="Финансовый 2 2 2 4 2 2 2 3 2 2" xfId="41633" xr:uid="{00000000-0005-0000-0000-0000C9260000}"/>
    <cellStyle name="Финансовый 2 2 2 4 2 2 2 3 3" xfId="29655" xr:uid="{00000000-0005-0000-0000-0000CA260000}"/>
    <cellStyle name="Финансовый 2 2 2 4 2 2 2 4" xfId="8310" xr:uid="{00000000-0005-0000-0000-0000CB260000}"/>
    <cellStyle name="Финансовый 2 2 2 4 2 2 2 4 2" xfId="20288" xr:uid="{00000000-0005-0000-0000-0000CC260000}"/>
    <cellStyle name="Финансовый 2 2 2 4 2 2 2 4 2 2" xfId="44243" xr:uid="{00000000-0005-0000-0000-0000CD260000}"/>
    <cellStyle name="Финансовый 2 2 2 4 2 2 2 4 3" xfId="32265" xr:uid="{00000000-0005-0000-0000-0000CE260000}"/>
    <cellStyle name="Финансовый 2 2 2 4 2 2 2 5" xfId="10093" xr:uid="{00000000-0005-0000-0000-0000CF260000}"/>
    <cellStyle name="Финансовый 2 2 2 4 2 2 2 5 2" xfId="22071" xr:uid="{00000000-0005-0000-0000-0000D0260000}"/>
    <cellStyle name="Финансовый 2 2 2 4 2 2 2 5 2 2" xfId="46026" xr:uid="{00000000-0005-0000-0000-0000D1260000}"/>
    <cellStyle name="Финансовый 2 2 2 4 2 2 2 5 3" xfId="34048" xr:uid="{00000000-0005-0000-0000-0000D2260000}"/>
    <cellStyle name="Финансовый 2 2 2 4 2 2 2 6" xfId="14251" xr:uid="{00000000-0005-0000-0000-0000D3260000}"/>
    <cellStyle name="Финансовый 2 2 2 4 2 2 2 6 2" xfId="38206" xr:uid="{00000000-0005-0000-0000-0000D4260000}"/>
    <cellStyle name="Финансовый 2 2 2 4 2 2 2 7" xfId="26229" xr:uid="{00000000-0005-0000-0000-0000D5260000}"/>
    <cellStyle name="Финансовый 2 2 2 4 2 2 2 8" xfId="49362" xr:uid="{00000000-0005-0000-0000-0000D6260000}"/>
    <cellStyle name="Финансовый 2 2 2 4 2 2 3" xfId="3098" xr:uid="{00000000-0005-0000-0000-0000D7260000}"/>
    <cellStyle name="Финансовый 2 2 2 4 2 2 3 2" xfId="10885" xr:uid="{00000000-0005-0000-0000-0000D8260000}"/>
    <cellStyle name="Финансовый 2 2 2 4 2 2 3 2 2" xfId="22863" xr:uid="{00000000-0005-0000-0000-0000D9260000}"/>
    <cellStyle name="Финансовый 2 2 2 4 2 2 3 2 2 2" xfId="46818" xr:uid="{00000000-0005-0000-0000-0000DA260000}"/>
    <cellStyle name="Финансовый 2 2 2 4 2 2 3 2 3" xfId="34840" xr:uid="{00000000-0005-0000-0000-0000DB260000}"/>
    <cellStyle name="Финансовый 2 2 2 4 2 2 3 3" xfId="15077" xr:uid="{00000000-0005-0000-0000-0000DC260000}"/>
    <cellStyle name="Финансовый 2 2 2 4 2 2 3 3 2" xfId="39032" xr:uid="{00000000-0005-0000-0000-0000DD260000}"/>
    <cellStyle name="Финансовый 2 2 2 4 2 2 3 4" xfId="27055" xr:uid="{00000000-0005-0000-0000-0000DE260000}"/>
    <cellStyle name="Финансовый 2 2 2 4 2 2 3 5" xfId="50186" xr:uid="{00000000-0005-0000-0000-0000DF260000}"/>
    <cellStyle name="Финансовый 2 2 2 4 2 2 4" xfId="4742" xr:uid="{00000000-0005-0000-0000-0000E0260000}"/>
    <cellStyle name="Финансовый 2 2 2 4 2 2 4 2" xfId="16721" xr:uid="{00000000-0005-0000-0000-0000E1260000}"/>
    <cellStyle name="Финансовый 2 2 2 4 2 2 4 2 2" xfId="40676" xr:uid="{00000000-0005-0000-0000-0000E2260000}"/>
    <cellStyle name="Финансовый 2 2 2 4 2 2 4 3" xfId="28699" xr:uid="{00000000-0005-0000-0000-0000E3260000}"/>
    <cellStyle name="Финансовый 2 2 2 4 2 2 5" xfId="7354" xr:uid="{00000000-0005-0000-0000-0000E4260000}"/>
    <cellStyle name="Финансовый 2 2 2 4 2 2 5 2" xfId="19332" xr:uid="{00000000-0005-0000-0000-0000E5260000}"/>
    <cellStyle name="Финансовый 2 2 2 4 2 2 5 2 2" xfId="43287" xr:uid="{00000000-0005-0000-0000-0000E6260000}"/>
    <cellStyle name="Финансовый 2 2 2 4 2 2 5 3" xfId="31309" xr:uid="{00000000-0005-0000-0000-0000E7260000}"/>
    <cellStyle name="Финансовый 2 2 2 4 2 2 6" xfId="9136" xr:uid="{00000000-0005-0000-0000-0000E8260000}"/>
    <cellStyle name="Финансовый 2 2 2 4 2 2 6 2" xfId="21114" xr:uid="{00000000-0005-0000-0000-0000E9260000}"/>
    <cellStyle name="Финансовый 2 2 2 4 2 2 6 2 2" xfId="45069" xr:uid="{00000000-0005-0000-0000-0000EA260000}"/>
    <cellStyle name="Финансовый 2 2 2 4 2 2 6 3" xfId="33091" xr:uid="{00000000-0005-0000-0000-0000EB260000}"/>
    <cellStyle name="Финансовый 2 2 2 4 2 2 7" xfId="13295" xr:uid="{00000000-0005-0000-0000-0000EC260000}"/>
    <cellStyle name="Финансовый 2 2 2 4 2 2 7 2" xfId="37250" xr:uid="{00000000-0005-0000-0000-0000ED260000}"/>
    <cellStyle name="Финансовый 2 2 2 4 2 2 8" xfId="25273" xr:uid="{00000000-0005-0000-0000-0000EE260000}"/>
    <cellStyle name="Финансовый 2 2 2 4 2 2 9" xfId="48406" xr:uid="{00000000-0005-0000-0000-0000EF260000}"/>
    <cellStyle name="Финансовый 2 2 2 4 2 3" xfId="2016" xr:uid="{00000000-0005-0000-0000-0000F0260000}"/>
    <cellStyle name="Финансовый 2 2 2 4 2 3 2" xfId="3661" xr:uid="{00000000-0005-0000-0000-0000F1260000}"/>
    <cellStyle name="Финансовый 2 2 2 4 2 3 2 2" xfId="11401" xr:uid="{00000000-0005-0000-0000-0000F2260000}"/>
    <cellStyle name="Финансовый 2 2 2 4 2 3 2 2 2" xfId="23379" xr:uid="{00000000-0005-0000-0000-0000F3260000}"/>
    <cellStyle name="Финансовый 2 2 2 4 2 3 2 2 2 2" xfId="47334" xr:uid="{00000000-0005-0000-0000-0000F4260000}"/>
    <cellStyle name="Финансовый 2 2 2 4 2 3 2 2 3" xfId="35356" xr:uid="{00000000-0005-0000-0000-0000F5260000}"/>
    <cellStyle name="Финансовый 2 2 2 4 2 3 2 3" xfId="15640" xr:uid="{00000000-0005-0000-0000-0000F6260000}"/>
    <cellStyle name="Финансовый 2 2 2 4 2 3 2 3 2" xfId="39595" xr:uid="{00000000-0005-0000-0000-0000F7260000}"/>
    <cellStyle name="Финансовый 2 2 2 4 2 3 2 4" xfId="27618" xr:uid="{00000000-0005-0000-0000-0000F8260000}"/>
    <cellStyle name="Финансовый 2 2 2 4 2 3 2 5" xfId="50887" xr:uid="{00000000-0005-0000-0000-0000F9260000}"/>
    <cellStyle name="Финансовый 2 2 2 4 2 3 3" xfId="5444" xr:uid="{00000000-0005-0000-0000-0000FA260000}"/>
    <cellStyle name="Финансовый 2 2 2 4 2 3 3 2" xfId="17422" xr:uid="{00000000-0005-0000-0000-0000FB260000}"/>
    <cellStyle name="Финансовый 2 2 2 4 2 3 3 2 2" xfId="41377" xr:uid="{00000000-0005-0000-0000-0000FC260000}"/>
    <cellStyle name="Финансовый 2 2 2 4 2 3 3 3" xfId="29399" xr:uid="{00000000-0005-0000-0000-0000FD260000}"/>
    <cellStyle name="Финансовый 2 2 2 4 2 3 4" xfId="8054" xr:uid="{00000000-0005-0000-0000-0000FE260000}"/>
    <cellStyle name="Финансовый 2 2 2 4 2 3 4 2" xfId="20032" xr:uid="{00000000-0005-0000-0000-0000FF260000}"/>
    <cellStyle name="Финансовый 2 2 2 4 2 3 4 2 2" xfId="43987" xr:uid="{00000000-0005-0000-0000-000000270000}"/>
    <cellStyle name="Финансовый 2 2 2 4 2 3 4 3" xfId="32009" xr:uid="{00000000-0005-0000-0000-000001270000}"/>
    <cellStyle name="Финансовый 2 2 2 4 2 3 5" xfId="9837" xr:uid="{00000000-0005-0000-0000-000002270000}"/>
    <cellStyle name="Финансовый 2 2 2 4 2 3 5 2" xfId="21815" xr:uid="{00000000-0005-0000-0000-000003270000}"/>
    <cellStyle name="Финансовый 2 2 2 4 2 3 5 2 2" xfId="45770" xr:uid="{00000000-0005-0000-0000-000004270000}"/>
    <cellStyle name="Финансовый 2 2 2 4 2 3 5 3" xfId="33792" xr:uid="{00000000-0005-0000-0000-000005270000}"/>
    <cellStyle name="Финансовый 2 2 2 4 2 3 6" xfId="13995" xr:uid="{00000000-0005-0000-0000-000006270000}"/>
    <cellStyle name="Финансовый 2 2 2 4 2 3 6 2" xfId="37950" xr:uid="{00000000-0005-0000-0000-000007270000}"/>
    <cellStyle name="Финансовый 2 2 2 4 2 3 7" xfId="25973" xr:uid="{00000000-0005-0000-0000-000008270000}"/>
    <cellStyle name="Финансовый 2 2 2 4 2 3 8" xfId="49106" xr:uid="{00000000-0005-0000-0000-000009270000}"/>
    <cellStyle name="Финансовый 2 2 2 4 2 4" xfId="2545" xr:uid="{00000000-0005-0000-0000-00000A270000}"/>
    <cellStyle name="Финансовый 2 2 2 4 2 4 2" xfId="4190" xr:uid="{00000000-0005-0000-0000-00000B270000}"/>
    <cellStyle name="Финансовый 2 2 2 4 2 4 2 2" xfId="11914" xr:uid="{00000000-0005-0000-0000-00000C270000}"/>
    <cellStyle name="Финансовый 2 2 2 4 2 4 2 2 2" xfId="23892" xr:uid="{00000000-0005-0000-0000-00000D270000}"/>
    <cellStyle name="Финансовый 2 2 2 4 2 4 2 2 2 2" xfId="47847" xr:uid="{00000000-0005-0000-0000-00000E270000}"/>
    <cellStyle name="Финансовый 2 2 2 4 2 4 2 2 3" xfId="35869" xr:uid="{00000000-0005-0000-0000-00000F270000}"/>
    <cellStyle name="Финансовый 2 2 2 4 2 4 2 3" xfId="16169" xr:uid="{00000000-0005-0000-0000-000010270000}"/>
    <cellStyle name="Финансовый 2 2 2 4 2 4 2 3 2" xfId="40124" xr:uid="{00000000-0005-0000-0000-000011270000}"/>
    <cellStyle name="Финансовый 2 2 2 4 2 4 2 4" xfId="28147" xr:uid="{00000000-0005-0000-0000-000012270000}"/>
    <cellStyle name="Финансовый 2 2 2 4 2 4 2 5" xfId="51416" xr:uid="{00000000-0005-0000-0000-000013270000}"/>
    <cellStyle name="Финансовый 2 2 2 4 2 4 3" xfId="5973" xr:uid="{00000000-0005-0000-0000-000014270000}"/>
    <cellStyle name="Финансовый 2 2 2 4 2 4 3 2" xfId="17951" xr:uid="{00000000-0005-0000-0000-000015270000}"/>
    <cellStyle name="Финансовый 2 2 2 4 2 4 3 2 2" xfId="41906" xr:uid="{00000000-0005-0000-0000-000016270000}"/>
    <cellStyle name="Финансовый 2 2 2 4 2 4 3 3" xfId="29928" xr:uid="{00000000-0005-0000-0000-000017270000}"/>
    <cellStyle name="Финансовый 2 2 2 4 2 4 4" xfId="8583" xr:uid="{00000000-0005-0000-0000-000018270000}"/>
    <cellStyle name="Финансовый 2 2 2 4 2 4 4 2" xfId="20561" xr:uid="{00000000-0005-0000-0000-000019270000}"/>
    <cellStyle name="Финансовый 2 2 2 4 2 4 4 2 2" xfId="44516" xr:uid="{00000000-0005-0000-0000-00001A270000}"/>
    <cellStyle name="Финансовый 2 2 2 4 2 4 4 3" xfId="32538" xr:uid="{00000000-0005-0000-0000-00001B270000}"/>
    <cellStyle name="Финансовый 2 2 2 4 2 4 5" xfId="10366" xr:uid="{00000000-0005-0000-0000-00001C270000}"/>
    <cellStyle name="Финансовый 2 2 2 4 2 4 5 2" xfId="22344" xr:uid="{00000000-0005-0000-0000-00001D270000}"/>
    <cellStyle name="Финансовый 2 2 2 4 2 4 5 2 2" xfId="46299" xr:uid="{00000000-0005-0000-0000-00001E270000}"/>
    <cellStyle name="Финансовый 2 2 2 4 2 4 5 3" xfId="34321" xr:uid="{00000000-0005-0000-0000-00001F270000}"/>
    <cellStyle name="Финансовый 2 2 2 4 2 4 6" xfId="14524" xr:uid="{00000000-0005-0000-0000-000020270000}"/>
    <cellStyle name="Финансовый 2 2 2 4 2 4 6 2" xfId="38479" xr:uid="{00000000-0005-0000-0000-000021270000}"/>
    <cellStyle name="Финансовый 2 2 2 4 2 4 7" xfId="26502" xr:uid="{00000000-0005-0000-0000-000022270000}"/>
    <cellStyle name="Финансовый 2 2 2 4 2 4 8" xfId="49635" xr:uid="{00000000-0005-0000-0000-000023270000}"/>
    <cellStyle name="Финансовый 2 2 2 4 2 5" xfId="1049" xr:uid="{00000000-0005-0000-0000-000024270000}"/>
    <cellStyle name="Финансовый 2 2 2 4 2 5 2" xfId="7089" xr:uid="{00000000-0005-0000-0000-000025270000}"/>
    <cellStyle name="Финансовый 2 2 2 4 2 5 2 2" xfId="19067" xr:uid="{00000000-0005-0000-0000-000026270000}"/>
    <cellStyle name="Финансовый 2 2 2 4 2 5 2 2 2" xfId="43022" xr:uid="{00000000-0005-0000-0000-000027270000}"/>
    <cellStyle name="Финансовый 2 2 2 4 2 5 2 3" xfId="31044" xr:uid="{00000000-0005-0000-0000-000028270000}"/>
    <cellStyle name="Финансовый 2 2 2 4 2 5 3" xfId="10629" xr:uid="{00000000-0005-0000-0000-000029270000}"/>
    <cellStyle name="Финансовый 2 2 2 4 2 5 3 2" xfId="22607" xr:uid="{00000000-0005-0000-0000-00002A270000}"/>
    <cellStyle name="Финансовый 2 2 2 4 2 5 3 2 2" xfId="46562" xr:uid="{00000000-0005-0000-0000-00002B270000}"/>
    <cellStyle name="Финансовый 2 2 2 4 2 5 3 3" xfId="34584" xr:uid="{00000000-0005-0000-0000-00002C270000}"/>
    <cellStyle name="Финансовый 2 2 2 4 2 5 4" xfId="13030" xr:uid="{00000000-0005-0000-0000-00002D270000}"/>
    <cellStyle name="Финансовый 2 2 2 4 2 5 4 2" xfId="36985" xr:uid="{00000000-0005-0000-0000-00002E270000}"/>
    <cellStyle name="Финансовый 2 2 2 4 2 5 5" xfId="25008" xr:uid="{00000000-0005-0000-0000-00002F270000}"/>
    <cellStyle name="Финансовый 2 2 2 4 2 5 6" xfId="49914" xr:uid="{00000000-0005-0000-0000-000030270000}"/>
    <cellStyle name="Финансовый 2 2 2 4 2 6" xfId="637" xr:uid="{00000000-0005-0000-0000-000031270000}"/>
    <cellStyle name="Финансовый 2 2 2 4 2 6 2" xfId="6677" xr:uid="{00000000-0005-0000-0000-000032270000}"/>
    <cellStyle name="Финансовый 2 2 2 4 2 6 2 2" xfId="18655" xr:uid="{00000000-0005-0000-0000-000033270000}"/>
    <cellStyle name="Финансовый 2 2 2 4 2 6 2 2 2" xfId="42610" xr:uid="{00000000-0005-0000-0000-000034270000}"/>
    <cellStyle name="Финансовый 2 2 2 4 2 6 2 3" xfId="30632" xr:uid="{00000000-0005-0000-0000-000035270000}"/>
    <cellStyle name="Финансовый 2 2 2 4 2 6 3" xfId="12618" xr:uid="{00000000-0005-0000-0000-000036270000}"/>
    <cellStyle name="Финансовый 2 2 2 4 2 6 3 2" xfId="36573" xr:uid="{00000000-0005-0000-0000-000037270000}"/>
    <cellStyle name="Финансовый 2 2 2 4 2 6 4" xfId="24596" xr:uid="{00000000-0005-0000-0000-000038270000}"/>
    <cellStyle name="Финансовый 2 2 2 4 2 7" xfId="2826" xr:uid="{00000000-0005-0000-0000-000039270000}"/>
    <cellStyle name="Финансовый 2 2 2 4 2 7 2" xfId="14805" xr:uid="{00000000-0005-0000-0000-00003A270000}"/>
    <cellStyle name="Финансовый 2 2 2 4 2 7 2 2" xfId="38760" xr:uid="{00000000-0005-0000-0000-00003B270000}"/>
    <cellStyle name="Финансовый 2 2 2 4 2 7 3" xfId="26783" xr:uid="{00000000-0005-0000-0000-00003C270000}"/>
    <cellStyle name="Финансовый 2 2 2 4 2 8" xfId="4470" xr:uid="{00000000-0005-0000-0000-00003D270000}"/>
    <cellStyle name="Финансовый 2 2 2 4 2 8 2" xfId="16449" xr:uid="{00000000-0005-0000-0000-00003E270000}"/>
    <cellStyle name="Финансовый 2 2 2 4 2 8 2 2" xfId="40404" xr:uid="{00000000-0005-0000-0000-00003F270000}"/>
    <cellStyle name="Финансовый 2 2 2 4 2 8 3" xfId="28427" xr:uid="{00000000-0005-0000-0000-000040270000}"/>
    <cellStyle name="Финансовый 2 2 2 4 2 9" xfId="6257" xr:uid="{00000000-0005-0000-0000-000041270000}"/>
    <cellStyle name="Финансовый 2 2 2 4 2 9 2" xfId="18235" xr:uid="{00000000-0005-0000-0000-000042270000}"/>
    <cellStyle name="Финансовый 2 2 2 4 2 9 2 2" xfId="42190" xr:uid="{00000000-0005-0000-0000-000043270000}"/>
    <cellStyle name="Финансовый 2 2 2 4 2 9 3" xfId="30212" xr:uid="{00000000-0005-0000-0000-000044270000}"/>
    <cellStyle name="Финансовый 2 2 2 4 3" xfId="365" xr:uid="{00000000-0005-0000-0000-000045270000}"/>
    <cellStyle name="Финансовый 2 2 2 4 3 10" xfId="24324" xr:uid="{00000000-0005-0000-0000-000046270000}"/>
    <cellStyle name="Финансовый 2 2 2 4 3 11" xfId="48270" xr:uid="{00000000-0005-0000-0000-000047270000}"/>
    <cellStyle name="Финансовый 2 2 2 4 3 2" xfId="2144" xr:uid="{00000000-0005-0000-0000-000048270000}"/>
    <cellStyle name="Финансовый 2 2 2 4 3 2 2" xfId="3789" xr:uid="{00000000-0005-0000-0000-000049270000}"/>
    <cellStyle name="Финансовый 2 2 2 4 3 2 2 2" xfId="11529" xr:uid="{00000000-0005-0000-0000-00004A270000}"/>
    <cellStyle name="Финансовый 2 2 2 4 3 2 2 2 2" xfId="23507" xr:uid="{00000000-0005-0000-0000-00004B270000}"/>
    <cellStyle name="Финансовый 2 2 2 4 3 2 2 2 2 2" xfId="47462" xr:uid="{00000000-0005-0000-0000-00004C270000}"/>
    <cellStyle name="Финансовый 2 2 2 4 3 2 2 2 3" xfId="35484" xr:uid="{00000000-0005-0000-0000-00004D270000}"/>
    <cellStyle name="Финансовый 2 2 2 4 3 2 2 3" xfId="15768" xr:uid="{00000000-0005-0000-0000-00004E270000}"/>
    <cellStyle name="Финансовый 2 2 2 4 3 2 2 3 2" xfId="39723" xr:uid="{00000000-0005-0000-0000-00004F270000}"/>
    <cellStyle name="Финансовый 2 2 2 4 3 2 2 4" xfId="27746" xr:uid="{00000000-0005-0000-0000-000050270000}"/>
    <cellStyle name="Финансовый 2 2 2 4 3 2 2 5" xfId="51015" xr:uid="{00000000-0005-0000-0000-000051270000}"/>
    <cellStyle name="Финансовый 2 2 2 4 3 2 3" xfId="5572" xr:uid="{00000000-0005-0000-0000-000052270000}"/>
    <cellStyle name="Финансовый 2 2 2 4 3 2 3 2" xfId="17550" xr:uid="{00000000-0005-0000-0000-000053270000}"/>
    <cellStyle name="Финансовый 2 2 2 4 3 2 3 2 2" xfId="41505" xr:uid="{00000000-0005-0000-0000-000054270000}"/>
    <cellStyle name="Финансовый 2 2 2 4 3 2 3 3" xfId="29527" xr:uid="{00000000-0005-0000-0000-000055270000}"/>
    <cellStyle name="Финансовый 2 2 2 4 3 2 4" xfId="8182" xr:uid="{00000000-0005-0000-0000-000056270000}"/>
    <cellStyle name="Финансовый 2 2 2 4 3 2 4 2" xfId="20160" xr:uid="{00000000-0005-0000-0000-000057270000}"/>
    <cellStyle name="Финансовый 2 2 2 4 3 2 4 2 2" xfId="44115" xr:uid="{00000000-0005-0000-0000-000058270000}"/>
    <cellStyle name="Финансовый 2 2 2 4 3 2 4 3" xfId="32137" xr:uid="{00000000-0005-0000-0000-000059270000}"/>
    <cellStyle name="Финансовый 2 2 2 4 3 2 5" xfId="9965" xr:uid="{00000000-0005-0000-0000-00005A270000}"/>
    <cellStyle name="Финансовый 2 2 2 4 3 2 5 2" xfId="21943" xr:uid="{00000000-0005-0000-0000-00005B270000}"/>
    <cellStyle name="Финансовый 2 2 2 4 3 2 5 2 2" xfId="45898" xr:uid="{00000000-0005-0000-0000-00005C270000}"/>
    <cellStyle name="Финансовый 2 2 2 4 3 2 5 3" xfId="33920" xr:uid="{00000000-0005-0000-0000-00005D270000}"/>
    <cellStyle name="Финансовый 2 2 2 4 3 2 6" xfId="14123" xr:uid="{00000000-0005-0000-0000-00005E270000}"/>
    <cellStyle name="Финансовый 2 2 2 4 3 2 6 2" xfId="38078" xr:uid="{00000000-0005-0000-0000-00005F270000}"/>
    <cellStyle name="Финансовый 2 2 2 4 3 2 7" xfId="26101" xr:uid="{00000000-0005-0000-0000-000060270000}"/>
    <cellStyle name="Финансовый 2 2 2 4 3 2 8" xfId="49234" xr:uid="{00000000-0005-0000-0000-000061270000}"/>
    <cellStyle name="Финансовый 2 2 2 4 3 3" xfId="1178" xr:uid="{00000000-0005-0000-0000-000062270000}"/>
    <cellStyle name="Финансовый 2 2 2 4 3 3 2" xfId="7218" xr:uid="{00000000-0005-0000-0000-000063270000}"/>
    <cellStyle name="Финансовый 2 2 2 4 3 3 2 2" xfId="19196" xr:uid="{00000000-0005-0000-0000-000064270000}"/>
    <cellStyle name="Финансовый 2 2 2 4 3 3 2 2 2" xfId="43151" xr:uid="{00000000-0005-0000-0000-000065270000}"/>
    <cellStyle name="Финансовый 2 2 2 4 3 3 2 3" xfId="31173" xr:uid="{00000000-0005-0000-0000-000066270000}"/>
    <cellStyle name="Финансовый 2 2 2 4 3 3 3" xfId="10757" xr:uid="{00000000-0005-0000-0000-000067270000}"/>
    <cellStyle name="Финансовый 2 2 2 4 3 3 3 2" xfId="22735" xr:uid="{00000000-0005-0000-0000-000068270000}"/>
    <cellStyle name="Финансовый 2 2 2 4 3 3 3 2 2" xfId="46690" xr:uid="{00000000-0005-0000-0000-000069270000}"/>
    <cellStyle name="Финансовый 2 2 2 4 3 3 3 3" xfId="34712" xr:uid="{00000000-0005-0000-0000-00006A270000}"/>
    <cellStyle name="Финансовый 2 2 2 4 3 3 4" xfId="13159" xr:uid="{00000000-0005-0000-0000-00006B270000}"/>
    <cellStyle name="Финансовый 2 2 2 4 3 3 4 2" xfId="37114" xr:uid="{00000000-0005-0000-0000-00006C270000}"/>
    <cellStyle name="Финансовый 2 2 2 4 3 3 5" xfId="25137" xr:uid="{00000000-0005-0000-0000-00006D270000}"/>
    <cellStyle name="Финансовый 2 2 2 4 3 3 6" xfId="50050" xr:uid="{00000000-0005-0000-0000-00006E270000}"/>
    <cellStyle name="Финансовый 2 2 2 4 3 4" xfId="785" xr:uid="{00000000-0005-0000-0000-00006F270000}"/>
    <cellStyle name="Финансовый 2 2 2 4 3 4 2" xfId="6825" xr:uid="{00000000-0005-0000-0000-000070270000}"/>
    <cellStyle name="Финансовый 2 2 2 4 3 4 2 2" xfId="18803" xr:uid="{00000000-0005-0000-0000-000071270000}"/>
    <cellStyle name="Финансовый 2 2 2 4 3 4 2 2 2" xfId="42758" xr:uid="{00000000-0005-0000-0000-000072270000}"/>
    <cellStyle name="Финансовый 2 2 2 4 3 4 2 3" xfId="30780" xr:uid="{00000000-0005-0000-0000-000073270000}"/>
    <cellStyle name="Финансовый 2 2 2 4 3 4 3" xfId="12766" xr:uid="{00000000-0005-0000-0000-000074270000}"/>
    <cellStyle name="Финансовый 2 2 2 4 3 4 3 2" xfId="36721" xr:uid="{00000000-0005-0000-0000-000075270000}"/>
    <cellStyle name="Финансовый 2 2 2 4 3 4 4" xfId="24744" xr:uid="{00000000-0005-0000-0000-000076270000}"/>
    <cellStyle name="Финансовый 2 2 2 4 3 5" xfId="2962" xr:uid="{00000000-0005-0000-0000-000077270000}"/>
    <cellStyle name="Финансовый 2 2 2 4 3 5 2" xfId="14941" xr:uid="{00000000-0005-0000-0000-000078270000}"/>
    <cellStyle name="Финансовый 2 2 2 4 3 5 2 2" xfId="38896" xr:uid="{00000000-0005-0000-0000-000079270000}"/>
    <cellStyle name="Финансовый 2 2 2 4 3 5 3" xfId="26919" xr:uid="{00000000-0005-0000-0000-00007A270000}"/>
    <cellStyle name="Финансовый 2 2 2 4 3 6" xfId="4606" xr:uid="{00000000-0005-0000-0000-00007B270000}"/>
    <cellStyle name="Финансовый 2 2 2 4 3 6 2" xfId="16585" xr:uid="{00000000-0005-0000-0000-00007C270000}"/>
    <cellStyle name="Финансовый 2 2 2 4 3 6 2 2" xfId="40540" xr:uid="{00000000-0005-0000-0000-00007D270000}"/>
    <cellStyle name="Финансовый 2 2 2 4 3 6 3" xfId="28563" xr:uid="{00000000-0005-0000-0000-00007E270000}"/>
    <cellStyle name="Финансовый 2 2 2 4 3 7" xfId="6405" xr:uid="{00000000-0005-0000-0000-00007F270000}"/>
    <cellStyle name="Финансовый 2 2 2 4 3 7 2" xfId="18383" xr:uid="{00000000-0005-0000-0000-000080270000}"/>
    <cellStyle name="Финансовый 2 2 2 4 3 7 2 2" xfId="42338" xr:uid="{00000000-0005-0000-0000-000081270000}"/>
    <cellStyle name="Финансовый 2 2 2 4 3 7 3" xfId="30360" xr:uid="{00000000-0005-0000-0000-000082270000}"/>
    <cellStyle name="Финансовый 2 2 2 4 3 8" xfId="9000" xr:uid="{00000000-0005-0000-0000-000083270000}"/>
    <cellStyle name="Финансовый 2 2 2 4 3 8 2" xfId="20978" xr:uid="{00000000-0005-0000-0000-000084270000}"/>
    <cellStyle name="Финансовый 2 2 2 4 3 8 2 2" xfId="44933" xr:uid="{00000000-0005-0000-0000-000085270000}"/>
    <cellStyle name="Финансовый 2 2 2 4 3 8 3" xfId="32955" xr:uid="{00000000-0005-0000-0000-000086270000}"/>
    <cellStyle name="Финансовый 2 2 2 4 3 9" xfId="12346" xr:uid="{00000000-0005-0000-0000-000087270000}"/>
    <cellStyle name="Финансовый 2 2 2 4 3 9 2" xfId="36301" xr:uid="{00000000-0005-0000-0000-000088270000}"/>
    <cellStyle name="Финансовый 2 2 2 4 4" xfId="1462" xr:uid="{00000000-0005-0000-0000-000089270000}"/>
    <cellStyle name="Финансовый 2 2 2 4 4 2" xfId="1888" xr:uid="{00000000-0005-0000-0000-00008A270000}"/>
    <cellStyle name="Финансовый 2 2 2 4 4 2 2" xfId="3533" xr:uid="{00000000-0005-0000-0000-00008B270000}"/>
    <cellStyle name="Финансовый 2 2 2 4 4 2 2 2" xfId="11273" xr:uid="{00000000-0005-0000-0000-00008C270000}"/>
    <cellStyle name="Финансовый 2 2 2 4 4 2 2 2 2" xfId="23251" xr:uid="{00000000-0005-0000-0000-00008D270000}"/>
    <cellStyle name="Финансовый 2 2 2 4 4 2 2 2 2 2" xfId="47206" xr:uid="{00000000-0005-0000-0000-00008E270000}"/>
    <cellStyle name="Финансовый 2 2 2 4 4 2 2 2 3" xfId="35228" xr:uid="{00000000-0005-0000-0000-00008F270000}"/>
    <cellStyle name="Финансовый 2 2 2 4 4 2 2 3" xfId="15512" xr:uid="{00000000-0005-0000-0000-000090270000}"/>
    <cellStyle name="Финансовый 2 2 2 4 4 2 2 3 2" xfId="39467" xr:uid="{00000000-0005-0000-0000-000091270000}"/>
    <cellStyle name="Финансовый 2 2 2 4 4 2 2 4" xfId="27490" xr:uid="{00000000-0005-0000-0000-000092270000}"/>
    <cellStyle name="Финансовый 2 2 2 4 4 2 2 5" xfId="50759" xr:uid="{00000000-0005-0000-0000-000093270000}"/>
    <cellStyle name="Финансовый 2 2 2 4 4 2 3" xfId="5316" xr:uid="{00000000-0005-0000-0000-000094270000}"/>
    <cellStyle name="Финансовый 2 2 2 4 4 2 3 2" xfId="17294" xr:uid="{00000000-0005-0000-0000-000095270000}"/>
    <cellStyle name="Финансовый 2 2 2 4 4 2 3 2 2" xfId="41249" xr:uid="{00000000-0005-0000-0000-000096270000}"/>
    <cellStyle name="Финансовый 2 2 2 4 4 2 3 3" xfId="29271" xr:uid="{00000000-0005-0000-0000-000097270000}"/>
    <cellStyle name="Финансовый 2 2 2 4 4 2 4" xfId="7926" xr:uid="{00000000-0005-0000-0000-000098270000}"/>
    <cellStyle name="Финансовый 2 2 2 4 4 2 4 2" xfId="19904" xr:uid="{00000000-0005-0000-0000-000099270000}"/>
    <cellStyle name="Финансовый 2 2 2 4 4 2 4 2 2" xfId="43859" xr:uid="{00000000-0005-0000-0000-00009A270000}"/>
    <cellStyle name="Финансовый 2 2 2 4 4 2 4 3" xfId="31881" xr:uid="{00000000-0005-0000-0000-00009B270000}"/>
    <cellStyle name="Финансовый 2 2 2 4 4 2 5" xfId="9709" xr:uid="{00000000-0005-0000-0000-00009C270000}"/>
    <cellStyle name="Финансовый 2 2 2 4 4 2 5 2" xfId="21687" xr:uid="{00000000-0005-0000-0000-00009D270000}"/>
    <cellStyle name="Финансовый 2 2 2 4 4 2 5 2 2" xfId="45642" xr:uid="{00000000-0005-0000-0000-00009E270000}"/>
    <cellStyle name="Финансовый 2 2 2 4 4 2 5 3" xfId="33664" xr:uid="{00000000-0005-0000-0000-00009F270000}"/>
    <cellStyle name="Финансовый 2 2 2 4 4 2 6" xfId="13867" xr:uid="{00000000-0005-0000-0000-0000A0270000}"/>
    <cellStyle name="Финансовый 2 2 2 4 4 2 6 2" xfId="37822" xr:uid="{00000000-0005-0000-0000-0000A1270000}"/>
    <cellStyle name="Финансовый 2 2 2 4 4 2 7" xfId="25845" xr:uid="{00000000-0005-0000-0000-0000A2270000}"/>
    <cellStyle name="Финансовый 2 2 2 4 4 2 8" xfId="48978" xr:uid="{00000000-0005-0000-0000-0000A3270000}"/>
    <cellStyle name="Финансовый 2 2 2 4 4 3" xfId="4890" xr:uid="{00000000-0005-0000-0000-0000A4270000}"/>
    <cellStyle name="Финансовый 2 2 2 4 4 3 2" xfId="16868" xr:uid="{00000000-0005-0000-0000-0000A5270000}"/>
    <cellStyle name="Финансовый 2 2 2 4 4 3 2 2" xfId="40823" xr:uid="{00000000-0005-0000-0000-0000A6270000}"/>
    <cellStyle name="Финансовый 2 2 2 4 4 3 3" xfId="28845" xr:uid="{00000000-0005-0000-0000-0000A7270000}"/>
    <cellStyle name="Финансовый 2 2 2 4 4 3 4" xfId="50333" xr:uid="{00000000-0005-0000-0000-0000A8270000}"/>
    <cellStyle name="Финансовый 2 2 2 4 4 4" xfId="7500" xr:uid="{00000000-0005-0000-0000-0000A9270000}"/>
    <cellStyle name="Финансовый 2 2 2 4 4 4 2" xfId="19478" xr:uid="{00000000-0005-0000-0000-0000AA270000}"/>
    <cellStyle name="Финансовый 2 2 2 4 4 4 2 2" xfId="43433" xr:uid="{00000000-0005-0000-0000-0000AB270000}"/>
    <cellStyle name="Финансовый 2 2 2 4 4 4 3" xfId="31455" xr:uid="{00000000-0005-0000-0000-0000AC270000}"/>
    <cellStyle name="Финансовый 2 2 2 4 4 5" xfId="9283" xr:uid="{00000000-0005-0000-0000-0000AD270000}"/>
    <cellStyle name="Финансовый 2 2 2 4 4 5 2" xfId="21261" xr:uid="{00000000-0005-0000-0000-0000AE270000}"/>
    <cellStyle name="Финансовый 2 2 2 4 4 5 2 2" xfId="45216" xr:uid="{00000000-0005-0000-0000-0000AF270000}"/>
    <cellStyle name="Финансовый 2 2 2 4 4 5 3" xfId="33238" xr:uid="{00000000-0005-0000-0000-0000B0270000}"/>
    <cellStyle name="Финансовый 2 2 2 4 4 6" xfId="13441" xr:uid="{00000000-0005-0000-0000-0000B1270000}"/>
    <cellStyle name="Финансовый 2 2 2 4 4 6 2" xfId="37396" xr:uid="{00000000-0005-0000-0000-0000B2270000}"/>
    <cellStyle name="Финансовый 2 2 2 4 4 7" xfId="25419" xr:uid="{00000000-0005-0000-0000-0000B3270000}"/>
    <cellStyle name="Финансовый 2 2 2 4 4 8" xfId="48552" xr:uid="{00000000-0005-0000-0000-0000B4270000}"/>
    <cellStyle name="Финансовый 2 2 2 4 5" xfId="1764" xr:uid="{00000000-0005-0000-0000-0000B5270000}"/>
    <cellStyle name="Финансовый 2 2 2 4 5 2" xfId="3409" xr:uid="{00000000-0005-0000-0000-0000B6270000}"/>
    <cellStyle name="Финансовый 2 2 2 4 5 2 2" xfId="11157" xr:uid="{00000000-0005-0000-0000-0000B7270000}"/>
    <cellStyle name="Финансовый 2 2 2 4 5 2 2 2" xfId="23135" xr:uid="{00000000-0005-0000-0000-0000B8270000}"/>
    <cellStyle name="Финансовый 2 2 2 4 5 2 2 2 2" xfId="47090" xr:uid="{00000000-0005-0000-0000-0000B9270000}"/>
    <cellStyle name="Финансовый 2 2 2 4 5 2 2 3" xfId="35112" xr:uid="{00000000-0005-0000-0000-0000BA270000}"/>
    <cellStyle name="Финансовый 2 2 2 4 5 2 3" xfId="15388" xr:uid="{00000000-0005-0000-0000-0000BB270000}"/>
    <cellStyle name="Финансовый 2 2 2 4 5 2 3 2" xfId="39343" xr:uid="{00000000-0005-0000-0000-0000BC270000}"/>
    <cellStyle name="Финансовый 2 2 2 4 5 2 4" xfId="27366" xr:uid="{00000000-0005-0000-0000-0000BD270000}"/>
    <cellStyle name="Финансовый 2 2 2 4 5 2 5" xfId="50635" xr:uid="{00000000-0005-0000-0000-0000BE270000}"/>
    <cellStyle name="Финансовый 2 2 2 4 5 3" xfId="5192" xr:uid="{00000000-0005-0000-0000-0000BF270000}"/>
    <cellStyle name="Финансовый 2 2 2 4 5 3 2" xfId="17170" xr:uid="{00000000-0005-0000-0000-0000C0270000}"/>
    <cellStyle name="Финансовый 2 2 2 4 5 3 2 2" xfId="41125" xr:uid="{00000000-0005-0000-0000-0000C1270000}"/>
    <cellStyle name="Финансовый 2 2 2 4 5 3 3" xfId="29147" xr:uid="{00000000-0005-0000-0000-0000C2270000}"/>
    <cellStyle name="Финансовый 2 2 2 4 5 4" xfId="7802" xr:uid="{00000000-0005-0000-0000-0000C3270000}"/>
    <cellStyle name="Финансовый 2 2 2 4 5 4 2" xfId="19780" xr:uid="{00000000-0005-0000-0000-0000C4270000}"/>
    <cellStyle name="Финансовый 2 2 2 4 5 4 2 2" xfId="43735" xr:uid="{00000000-0005-0000-0000-0000C5270000}"/>
    <cellStyle name="Финансовый 2 2 2 4 5 4 3" xfId="31757" xr:uid="{00000000-0005-0000-0000-0000C6270000}"/>
    <cellStyle name="Финансовый 2 2 2 4 5 5" xfId="9585" xr:uid="{00000000-0005-0000-0000-0000C7270000}"/>
    <cellStyle name="Финансовый 2 2 2 4 5 5 2" xfId="21563" xr:uid="{00000000-0005-0000-0000-0000C8270000}"/>
    <cellStyle name="Финансовый 2 2 2 4 5 5 2 2" xfId="45518" xr:uid="{00000000-0005-0000-0000-0000C9270000}"/>
    <cellStyle name="Финансовый 2 2 2 4 5 5 3" xfId="33540" xr:uid="{00000000-0005-0000-0000-0000CA270000}"/>
    <cellStyle name="Финансовый 2 2 2 4 5 6" xfId="13743" xr:uid="{00000000-0005-0000-0000-0000CB270000}"/>
    <cellStyle name="Финансовый 2 2 2 4 5 6 2" xfId="37698" xr:uid="{00000000-0005-0000-0000-0000CC270000}"/>
    <cellStyle name="Финансовый 2 2 2 4 5 7" xfId="25721" xr:uid="{00000000-0005-0000-0000-0000CD270000}"/>
    <cellStyle name="Финансовый 2 2 2 4 5 8" xfId="48854" xr:uid="{00000000-0005-0000-0000-0000CE270000}"/>
    <cellStyle name="Финансовый 2 2 2 4 6" xfId="2409" xr:uid="{00000000-0005-0000-0000-0000CF270000}"/>
    <cellStyle name="Финансовый 2 2 2 4 6 2" xfId="4054" xr:uid="{00000000-0005-0000-0000-0000D0270000}"/>
    <cellStyle name="Финансовый 2 2 2 4 6 2 2" xfId="11786" xr:uid="{00000000-0005-0000-0000-0000D1270000}"/>
    <cellStyle name="Финансовый 2 2 2 4 6 2 2 2" xfId="23764" xr:uid="{00000000-0005-0000-0000-0000D2270000}"/>
    <cellStyle name="Финансовый 2 2 2 4 6 2 2 2 2" xfId="47719" xr:uid="{00000000-0005-0000-0000-0000D3270000}"/>
    <cellStyle name="Финансовый 2 2 2 4 6 2 2 3" xfId="35741" xr:uid="{00000000-0005-0000-0000-0000D4270000}"/>
    <cellStyle name="Финансовый 2 2 2 4 6 2 3" xfId="16033" xr:uid="{00000000-0005-0000-0000-0000D5270000}"/>
    <cellStyle name="Финансовый 2 2 2 4 6 2 3 2" xfId="39988" xr:uid="{00000000-0005-0000-0000-0000D6270000}"/>
    <cellStyle name="Финансовый 2 2 2 4 6 2 4" xfId="28011" xr:uid="{00000000-0005-0000-0000-0000D7270000}"/>
    <cellStyle name="Финансовый 2 2 2 4 6 2 5" xfId="51280" xr:uid="{00000000-0005-0000-0000-0000D8270000}"/>
    <cellStyle name="Финансовый 2 2 2 4 6 3" xfId="5837" xr:uid="{00000000-0005-0000-0000-0000D9270000}"/>
    <cellStyle name="Финансовый 2 2 2 4 6 3 2" xfId="17815" xr:uid="{00000000-0005-0000-0000-0000DA270000}"/>
    <cellStyle name="Финансовый 2 2 2 4 6 3 2 2" xfId="41770" xr:uid="{00000000-0005-0000-0000-0000DB270000}"/>
    <cellStyle name="Финансовый 2 2 2 4 6 3 3" xfId="29792" xr:uid="{00000000-0005-0000-0000-0000DC270000}"/>
    <cellStyle name="Финансовый 2 2 2 4 6 4" xfId="8447" xr:uid="{00000000-0005-0000-0000-0000DD270000}"/>
    <cellStyle name="Финансовый 2 2 2 4 6 4 2" xfId="20425" xr:uid="{00000000-0005-0000-0000-0000DE270000}"/>
    <cellStyle name="Финансовый 2 2 2 4 6 4 2 2" xfId="44380" xr:uid="{00000000-0005-0000-0000-0000DF270000}"/>
    <cellStyle name="Финансовый 2 2 2 4 6 4 3" xfId="32402" xr:uid="{00000000-0005-0000-0000-0000E0270000}"/>
    <cellStyle name="Финансовый 2 2 2 4 6 5" xfId="10230" xr:uid="{00000000-0005-0000-0000-0000E1270000}"/>
    <cellStyle name="Финансовый 2 2 2 4 6 5 2" xfId="22208" xr:uid="{00000000-0005-0000-0000-0000E2270000}"/>
    <cellStyle name="Финансовый 2 2 2 4 6 5 2 2" xfId="46163" xr:uid="{00000000-0005-0000-0000-0000E3270000}"/>
    <cellStyle name="Финансовый 2 2 2 4 6 5 3" xfId="34185" xr:uid="{00000000-0005-0000-0000-0000E4270000}"/>
    <cellStyle name="Финансовый 2 2 2 4 6 6" xfId="14388" xr:uid="{00000000-0005-0000-0000-0000E5270000}"/>
    <cellStyle name="Финансовый 2 2 2 4 6 6 2" xfId="38343" xr:uid="{00000000-0005-0000-0000-0000E6270000}"/>
    <cellStyle name="Финансовый 2 2 2 4 6 7" xfId="26366" xr:uid="{00000000-0005-0000-0000-0000E7270000}"/>
    <cellStyle name="Финансовый 2 2 2 4 6 8" xfId="49499" xr:uid="{00000000-0005-0000-0000-0000E8270000}"/>
    <cellStyle name="Финансовый 2 2 2 4 7" xfId="1636" xr:uid="{00000000-0005-0000-0000-0000E9270000}"/>
    <cellStyle name="Финансовый 2 2 2 4 7 2" xfId="3281" xr:uid="{00000000-0005-0000-0000-0000EA270000}"/>
    <cellStyle name="Финансовый 2 2 2 4 7 2 2" xfId="11029" xr:uid="{00000000-0005-0000-0000-0000EB270000}"/>
    <cellStyle name="Финансовый 2 2 2 4 7 2 2 2" xfId="23007" xr:uid="{00000000-0005-0000-0000-0000EC270000}"/>
    <cellStyle name="Финансовый 2 2 2 4 7 2 2 2 2" xfId="46962" xr:uid="{00000000-0005-0000-0000-0000ED270000}"/>
    <cellStyle name="Финансовый 2 2 2 4 7 2 2 3" xfId="34984" xr:uid="{00000000-0005-0000-0000-0000EE270000}"/>
    <cellStyle name="Финансовый 2 2 2 4 7 2 3" xfId="15260" xr:uid="{00000000-0005-0000-0000-0000EF270000}"/>
    <cellStyle name="Финансовый 2 2 2 4 7 2 3 2" xfId="39215" xr:uid="{00000000-0005-0000-0000-0000F0270000}"/>
    <cellStyle name="Финансовый 2 2 2 4 7 2 4" xfId="27238" xr:uid="{00000000-0005-0000-0000-0000F1270000}"/>
    <cellStyle name="Финансовый 2 2 2 4 7 2 5" xfId="50507" xr:uid="{00000000-0005-0000-0000-0000F2270000}"/>
    <cellStyle name="Финансовый 2 2 2 4 7 3" xfId="5064" xr:uid="{00000000-0005-0000-0000-0000F3270000}"/>
    <cellStyle name="Финансовый 2 2 2 4 7 3 2" xfId="17042" xr:uid="{00000000-0005-0000-0000-0000F4270000}"/>
    <cellStyle name="Финансовый 2 2 2 4 7 3 2 2" xfId="40997" xr:uid="{00000000-0005-0000-0000-0000F5270000}"/>
    <cellStyle name="Финансовый 2 2 2 4 7 3 3" xfId="29019" xr:uid="{00000000-0005-0000-0000-0000F6270000}"/>
    <cellStyle name="Финансовый 2 2 2 4 7 4" xfId="7674" xr:uid="{00000000-0005-0000-0000-0000F7270000}"/>
    <cellStyle name="Финансовый 2 2 2 4 7 4 2" xfId="19652" xr:uid="{00000000-0005-0000-0000-0000F8270000}"/>
    <cellStyle name="Финансовый 2 2 2 4 7 4 2 2" xfId="43607" xr:uid="{00000000-0005-0000-0000-0000F9270000}"/>
    <cellStyle name="Финансовый 2 2 2 4 7 4 3" xfId="31629" xr:uid="{00000000-0005-0000-0000-0000FA270000}"/>
    <cellStyle name="Финансовый 2 2 2 4 7 5" xfId="9457" xr:uid="{00000000-0005-0000-0000-0000FB270000}"/>
    <cellStyle name="Финансовый 2 2 2 4 7 5 2" xfId="21435" xr:uid="{00000000-0005-0000-0000-0000FC270000}"/>
    <cellStyle name="Финансовый 2 2 2 4 7 5 2 2" xfId="45390" xr:uid="{00000000-0005-0000-0000-0000FD270000}"/>
    <cellStyle name="Финансовый 2 2 2 4 7 5 3" xfId="33412" xr:uid="{00000000-0005-0000-0000-0000FE270000}"/>
    <cellStyle name="Финансовый 2 2 2 4 7 6" xfId="13615" xr:uid="{00000000-0005-0000-0000-0000FF270000}"/>
    <cellStyle name="Финансовый 2 2 2 4 7 6 2" xfId="37570" xr:uid="{00000000-0005-0000-0000-000000280000}"/>
    <cellStyle name="Финансовый 2 2 2 4 7 7" xfId="25593" xr:uid="{00000000-0005-0000-0000-000001280000}"/>
    <cellStyle name="Финансовый 2 2 2 4 7 8" xfId="48726" xr:uid="{00000000-0005-0000-0000-000002280000}"/>
    <cellStyle name="Финансовый 2 2 2 4 8" xfId="913" xr:uid="{00000000-0005-0000-0000-000003280000}"/>
    <cellStyle name="Финансовый 2 2 2 4 8 2" xfId="6953" xr:uid="{00000000-0005-0000-0000-000004280000}"/>
    <cellStyle name="Финансовый 2 2 2 4 8 2 2" xfId="18931" xr:uid="{00000000-0005-0000-0000-000005280000}"/>
    <cellStyle name="Финансовый 2 2 2 4 8 2 2 2" xfId="42886" xr:uid="{00000000-0005-0000-0000-000006280000}"/>
    <cellStyle name="Финансовый 2 2 2 4 8 2 3" xfId="30908" xr:uid="{00000000-0005-0000-0000-000007280000}"/>
    <cellStyle name="Финансовый 2 2 2 4 8 3" xfId="10501" xr:uid="{00000000-0005-0000-0000-000008280000}"/>
    <cellStyle name="Финансовый 2 2 2 4 8 3 2" xfId="22479" xr:uid="{00000000-0005-0000-0000-000009280000}"/>
    <cellStyle name="Финансовый 2 2 2 4 8 3 2 2" xfId="46434" xr:uid="{00000000-0005-0000-0000-00000A280000}"/>
    <cellStyle name="Финансовый 2 2 2 4 8 3 3" xfId="34456" xr:uid="{00000000-0005-0000-0000-00000B280000}"/>
    <cellStyle name="Финансовый 2 2 2 4 8 4" xfId="12894" xr:uid="{00000000-0005-0000-0000-00000C280000}"/>
    <cellStyle name="Финансовый 2 2 2 4 8 4 2" xfId="36849" xr:uid="{00000000-0005-0000-0000-00000D280000}"/>
    <cellStyle name="Финансовый 2 2 2 4 8 5" xfId="24872" xr:uid="{00000000-0005-0000-0000-00000E280000}"/>
    <cellStyle name="Финансовый 2 2 2 4 8 6" xfId="49778" xr:uid="{00000000-0005-0000-0000-00000F280000}"/>
    <cellStyle name="Финансовый 2 2 2 4 9" xfId="501" xr:uid="{00000000-0005-0000-0000-000010280000}"/>
    <cellStyle name="Финансовый 2 2 2 4 9 2" xfId="6541" xr:uid="{00000000-0005-0000-0000-000011280000}"/>
    <cellStyle name="Финансовый 2 2 2 4 9 2 2" xfId="18519" xr:uid="{00000000-0005-0000-0000-000012280000}"/>
    <cellStyle name="Финансовый 2 2 2 4 9 2 2 2" xfId="42474" xr:uid="{00000000-0005-0000-0000-000013280000}"/>
    <cellStyle name="Финансовый 2 2 2 4 9 2 3" xfId="30496" xr:uid="{00000000-0005-0000-0000-000014280000}"/>
    <cellStyle name="Финансовый 2 2 2 4 9 3" xfId="12482" xr:uid="{00000000-0005-0000-0000-000015280000}"/>
    <cellStyle name="Финансовый 2 2 2 4 9 3 2" xfId="36437" xr:uid="{00000000-0005-0000-0000-000016280000}"/>
    <cellStyle name="Финансовый 2 2 2 4 9 4" xfId="24460" xr:uid="{00000000-0005-0000-0000-000017280000}"/>
    <cellStyle name="Финансовый 2 2 2 5" xfId="58" xr:uid="{00000000-0005-0000-0000-000018280000}"/>
    <cellStyle name="Финансовый 2 2 2 5 10" xfId="2670" xr:uid="{00000000-0005-0000-0000-000019280000}"/>
    <cellStyle name="Финансовый 2 2 2 5 10 2" xfId="14649" xr:uid="{00000000-0005-0000-0000-00001A280000}"/>
    <cellStyle name="Финансовый 2 2 2 5 10 2 2" xfId="38604" xr:uid="{00000000-0005-0000-0000-00001B280000}"/>
    <cellStyle name="Финансовый 2 2 2 5 10 3" xfId="26627" xr:uid="{00000000-0005-0000-0000-00001C280000}"/>
    <cellStyle name="Финансовый 2 2 2 5 11" xfId="4313" xr:uid="{00000000-0005-0000-0000-00001D280000}"/>
    <cellStyle name="Финансовый 2 2 2 5 11 2" xfId="16292" xr:uid="{00000000-0005-0000-0000-00001E280000}"/>
    <cellStyle name="Финансовый 2 2 2 5 11 2 2" xfId="40247" xr:uid="{00000000-0005-0000-0000-00001F280000}"/>
    <cellStyle name="Финансовый 2 2 2 5 11 3" xfId="28270" xr:uid="{00000000-0005-0000-0000-000020280000}"/>
    <cellStyle name="Финансовый 2 2 2 5 12" xfId="6101" xr:uid="{00000000-0005-0000-0000-000021280000}"/>
    <cellStyle name="Финансовый 2 2 2 5 12 2" xfId="18079" xr:uid="{00000000-0005-0000-0000-000022280000}"/>
    <cellStyle name="Финансовый 2 2 2 5 12 2 2" xfId="42034" xr:uid="{00000000-0005-0000-0000-000023280000}"/>
    <cellStyle name="Финансовый 2 2 2 5 12 3" xfId="30056" xr:uid="{00000000-0005-0000-0000-000024280000}"/>
    <cellStyle name="Финансовый 2 2 2 5 13" xfId="8708" xr:uid="{00000000-0005-0000-0000-000025280000}"/>
    <cellStyle name="Финансовый 2 2 2 5 13 2" xfId="20686" xr:uid="{00000000-0005-0000-0000-000026280000}"/>
    <cellStyle name="Финансовый 2 2 2 5 13 2 2" xfId="44641" xr:uid="{00000000-0005-0000-0000-000027280000}"/>
    <cellStyle name="Финансовый 2 2 2 5 13 3" xfId="32663" xr:uid="{00000000-0005-0000-0000-000028280000}"/>
    <cellStyle name="Финансовый 2 2 2 5 14" xfId="12042" xr:uid="{00000000-0005-0000-0000-000029280000}"/>
    <cellStyle name="Финансовый 2 2 2 5 14 2" xfId="35997" xr:uid="{00000000-0005-0000-0000-00002A280000}"/>
    <cellStyle name="Финансовый 2 2 2 5 15" xfId="24020" xr:uid="{00000000-0005-0000-0000-00002B280000}"/>
    <cellStyle name="Финансовый 2 2 2 5 16" xfId="47978" xr:uid="{00000000-0005-0000-0000-00002C280000}"/>
    <cellStyle name="Финансовый 2 2 2 5 2" xfId="196" xr:uid="{00000000-0005-0000-0000-00002D280000}"/>
    <cellStyle name="Финансовый 2 2 2 5 2 10" xfId="8844" xr:uid="{00000000-0005-0000-0000-00002E280000}"/>
    <cellStyle name="Финансовый 2 2 2 5 2 10 2" xfId="20822" xr:uid="{00000000-0005-0000-0000-00002F280000}"/>
    <cellStyle name="Финансовый 2 2 2 5 2 10 2 2" xfId="44777" xr:uid="{00000000-0005-0000-0000-000030280000}"/>
    <cellStyle name="Финансовый 2 2 2 5 2 10 3" xfId="32799" xr:uid="{00000000-0005-0000-0000-000031280000}"/>
    <cellStyle name="Финансовый 2 2 2 5 2 11" xfId="12178" xr:uid="{00000000-0005-0000-0000-000032280000}"/>
    <cellStyle name="Финансовый 2 2 2 5 2 11 2" xfId="36133" xr:uid="{00000000-0005-0000-0000-000033280000}"/>
    <cellStyle name="Финансовый 2 2 2 5 2 12" xfId="24156" xr:uid="{00000000-0005-0000-0000-000034280000}"/>
    <cellStyle name="Финансовый 2 2 2 5 2 13" xfId="48114" xr:uid="{00000000-0005-0000-0000-000035280000}"/>
    <cellStyle name="Финансовый 2 2 2 5 2 2" xfId="1294" xr:uid="{00000000-0005-0000-0000-000036280000}"/>
    <cellStyle name="Финансовый 2 2 2 5 2 2 2" xfId="2260" xr:uid="{00000000-0005-0000-0000-000037280000}"/>
    <cellStyle name="Финансовый 2 2 2 5 2 2 2 2" xfId="3905" xr:uid="{00000000-0005-0000-0000-000038280000}"/>
    <cellStyle name="Финансовый 2 2 2 5 2 2 2 2 2" xfId="11645" xr:uid="{00000000-0005-0000-0000-000039280000}"/>
    <cellStyle name="Финансовый 2 2 2 5 2 2 2 2 2 2" xfId="23623" xr:uid="{00000000-0005-0000-0000-00003A280000}"/>
    <cellStyle name="Финансовый 2 2 2 5 2 2 2 2 2 2 2" xfId="47578" xr:uid="{00000000-0005-0000-0000-00003B280000}"/>
    <cellStyle name="Финансовый 2 2 2 5 2 2 2 2 2 3" xfId="35600" xr:uid="{00000000-0005-0000-0000-00003C280000}"/>
    <cellStyle name="Финансовый 2 2 2 5 2 2 2 2 3" xfId="15884" xr:uid="{00000000-0005-0000-0000-00003D280000}"/>
    <cellStyle name="Финансовый 2 2 2 5 2 2 2 2 3 2" xfId="39839" xr:uid="{00000000-0005-0000-0000-00003E280000}"/>
    <cellStyle name="Финансовый 2 2 2 5 2 2 2 2 4" xfId="27862" xr:uid="{00000000-0005-0000-0000-00003F280000}"/>
    <cellStyle name="Финансовый 2 2 2 5 2 2 2 2 5" xfId="51131" xr:uid="{00000000-0005-0000-0000-000040280000}"/>
    <cellStyle name="Финансовый 2 2 2 5 2 2 2 3" xfId="5688" xr:uid="{00000000-0005-0000-0000-000041280000}"/>
    <cellStyle name="Финансовый 2 2 2 5 2 2 2 3 2" xfId="17666" xr:uid="{00000000-0005-0000-0000-000042280000}"/>
    <cellStyle name="Финансовый 2 2 2 5 2 2 2 3 2 2" xfId="41621" xr:uid="{00000000-0005-0000-0000-000043280000}"/>
    <cellStyle name="Финансовый 2 2 2 5 2 2 2 3 3" xfId="29643" xr:uid="{00000000-0005-0000-0000-000044280000}"/>
    <cellStyle name="Финансовый 2 2 2 5 2 2 2 4" xfId="8298" xr:uid="{00000000-0005-0000-0000-000045280000}"/>
    <cellStyle name="Финансовый 2 2 2 5 2 2 2 4 2" xfId="20276" xr:uid="{00000000-0005-0000-0000-000046280000}"/>
    <cellStyle name="Финансовый 2 2 2 5 2 2 2 4 2 2" xfId="44231" xr:uid="{00000000-0005-0000-0000-000047280000}"/>
    <cellStyle name="Финансовый 2 2 2 5 2 2 2 4 3" xfId="32253" xr:uid="{00000000-0005-0000-0000-000048280000}"/>
    <cellStyle name="Финансовый 2 2 2 5 2 2 2 5" xfId="10081" xr:uid="{00000000-0005-0000-0000-000049280000}"/>
    <cellStyle name="Финансовый 2 2 2 5 2 2 2 5 2" xfId="22059" xr:uid="{00000000-0005-0000-0000-00004A280000}"/>
    <cellStyle name="Финансовый 2 2 2 5 2 2 2 5 2 2" xfId="46014" xr:uid="{00000000-0005-0000-0000-00004B280000}"/>
    <cellStyle name="Финансовый 2 2 2 5 2 2 2 5 3" xfId="34036" xr:uid="{00000000-0005-0000-0000-00004C280000}"/>
    <cellStyle name="Финансовый 2 2 2 5 2 2 2 6" xfId="14239" xr:uid="{00000000-0005-0000-0000-00004D280000}"/>
    <cellStyle name="Финансовый 2 2 2 5 2 2 2 6 2" xfId="38194" xr:uid="{00000000-0005-0000-0000-00004E280000}"/>
    <cellStyle name="Финансовый 2 2 2 5 2 2 2 7" xfId="26217" xr:uid="{00000000-0005-0000-0000-00004F280000}"/>
    <cellStyle name="Финансовый 2 2 2 5 2 2 2 8" xfId="49350" xr:uid="{00000000-0005-0000-0000-000050280000}"/>
    <cellStyle name="Финансовый 2 2 2 5 2 2 3" xfId="3078" xr:uid="{00000000-0005-0000-0000-000051280000}"/>
    <cellStyle name="Финансовый 2 2 2 5 2 2 3 2" xfId="10873" xr:uid="{00000000-0005-0000-0000-000052280000}"/>
    <cellStyle name="Финансовый 2 2 2 5 2 2 3 2 2" xfId="22851" xr:uid="{00000000-0005-0000-0000-000053280000}"/>
    <cellStyle name="Финансовый 2 2 2 5 2 2 3 2 2 2" xfId="46806" xr:uid="{00000000-0005-0000-0000-000054280000}"/>
    <cellStyle name="Финансовый 2 2 2 5 2 2 3 2 3" xfId="34828" xr:uid="{00000000-0005-0000-0000-000055280000}"/>
    <cellStyle name="Финансовый 2 2 2 5 2 2 3 3" xfId="15057" xr:uid="{00000000-0005-0000-0000-000056280000}"/>
    <cellStyle name="Финансовый 2 2 2 5 2 2 3 3 2" xfId="39012" xr:uid="{00000000-0005-0000-0000-000057280000}"/>
    <cellStyle name="Финансовый 2 2 2 5 2 2 3 4" xfId="27035" xr:uid="{00000000-0005-0000-0000-000058280000}"/>
    <cellStyle name="Финансовый 2 2 2 5 2 2 3 5" xfId="50166" xr:uid="{00000000-0005-0000-0000-000059280000}"/>
    <cellStyle name="Финансовый 2 2 2 5 2 2 4" xfId="4722" xr:uid="{00000000-0005-0000-0000-00005A280000}"/>
    <cellStyle name="Финансовый 2 2 2 5 2 2 4 2" xfId="16701" xr:uid="{00000000-0005-0000-0000-00005B280000}"/>
    <cellStyle name="Финансовый 2 2 2 5 2 2 4 2 2" xfId="40656" xr:uid="{00000000-0005-0000-0000-00005C280000}"/>
    <cellStyle name="Финансовый 2 2 2 5 2 2 4 3" xfId="28679" xr:uid="{00000000-0005-0000-0000-00005D280000}"/>
    <cellStyle name="Финансовый 2 2 2 5 2 2 5" xfId="7334" xr:uid="{00000000-0005-0000-0000-00005E280000}"/>
    <cellStyle name="Финансовый 2 2 2 5 2 2 5 2" xfId="19312" xr:uid="{00000000-0005-0000-0000-00005F280000}"/>
    <cellStyle name="Финансовый 2 2 2 5 2 2 5 2 2" xfId="43267" xr:uid="{00000000-0005-0000-0000-000060280000}"/>
    <cellStyle name="Финансовый 2 2 2 5 2 2 5 3" xfId="31289" xr:uid="{00000000-0005-0000-0000-000061280000}"/>
    <cellStyle name="Финансовый 2 2 2 5 2 2 6" xfId="9116" xr:uid="{00000000-0005-0000-0000-000062280000}"/>
    <cellStyle name="Финансовый 2 2 2 5 2 2 6 2" xfId="21094" xr:uid="{00000000-0005-0000-0000-000063280000}"/>
    <cellStyle name="Финансовый 2 2 2 5 2 2 6 2 2" xfId="45049" xr:uid="{00000000-0005-0000-0000-000064280000}"/>
    <cellStyle name="Финансовый 2 2 2 5 2 2 6 3" xfId="33071" xr:uid="{00000000-0005-0000-0000-000065280000}"/>
    <cellStyle name="Финансовый 2 2 2 5 2 2 7" xfId="13275" xr:uid="{00000000-0005-0000-0000-000066280000}"/>
    <cellStyle name="Финансовый 2 2 2 5 2 2 7 2" xfId="37230" xr:uid="{00000000-0005-0000-0000-000067280000}"/>
    <cellStyle name="Финансовый 2 2 2 5 2 2 8" xfId="25253" xr:uid="{00000000-0005-0000-0000-000068280000}"/>
    <cellStyle name="Финансовый 2 2 2 5 2 2 9" xfId="48386" xr:uid="{00000000-0005-0000-0000-000069280000}"/>
    <cellStyle name="Финансовый 2 2 2 5 2 3" xfId="2004" xr:uid="{00000000-0005-0000-0000-00006A280000}"/>
    <cellStyle name="Финансовый 2 2 2 5 2 3 2" xfId="3649" xr:uid="{00000000-0005-0000-0000-00006B280000}"/>
    <cellStyle name="Финансовый 2 2 2 5 2 3 2 2" xfId="11389" xr:uid="{00000000-0005-0000-0000-00006C280000}"/>
    <cellStyle name="Финансовый 2 2 2 5 2 3 2 2 2" xfId="23367" xr:uid="{00000000-0005-0000-0000-00006D280000}"/>
    <cellStyle name="Финансовый 2 2 2 5 2 3 2 2 2 2" xfId="47322" xr:uid="{00000000-0005-0000-0000-00006E280000}"/>
    <cellStyle name="Финансовый 2 2 2 5 2 3 2 2 3" xfId="35344" xr:uid="{00000000-0005-0000-0000-00006F280000}"/>
    <cellStyle name="Финансовый 2 2 2 5 2 3 2 3" xfId="15628" xr:uid="{00000000-0005-0000-0000-000070280000}"/>
    <cellStyle name="Финансовый 2 2 2 5 2 3 2 3 2" xfId="39583" xr:uid="{00000000-0005-0000-0000-000071280000}"/>
    <cellStyle name="Финансовый 2 2 2 5 2 3 2 4" xfId="27606" xr:uid="{00000000-0005-0000-0000-000072280000}"/>
    <cellStyle name="Финансовый 2 2 2 5 2 3 2 5" xfId="50875" xr:uid="{00000000-0005-0000-0000-000073280000}"/>
    <cellStyle name="Финансовый 2 2 2 5 2 3 3" xfId="5432" xr:uid="{00000000-0005-0000-0000-000074280000}"/>
    <cellStyle name="Финансовый 2 2 2 5 2 3 3 2" xfId="17410" xr:uid="{00000000-0005-0000-0000-000075280000}"/>
    <cellStyle name="Финансовый 2 2 2 5 2 3 3 2 2" xfId="41365" xr:uid="{00000000-0005-0000-0000-000076280000}"/>
    <cellStyle name="Финансовый 2 2 2 5 2 3 3 3" xfId="29387" xr:uid="{00000000-0005-0000-0000-000077280000}"/>
    <cellStyle name="Финансовый 2 2 2 5 2 3 4" xfId="8042" xr:uid="{00000000-0005-0000-0000-000078280000}"/>
    <cellStyle name="Финансовый 2 2 2 5 2 3 4 2" xfId="20020" xr:uid="{00000000-0005-0000-0000-000079280000}"/>
    <cellStyle name="Финансовый 2 2 2 5 2 3 4 2 2" xfId="43975" xr:uid="{00000000-0005-0000-0000-00007A280000}"/>
    <cellStyle name="Финансовый 2 2 2 5 2 3 4 3" xfId="31997" xr:uid="{00000000-0005-0000-0000-00007B280000}"/>
    <cellStyle name="Финансовый 2 2 2 5 2 3 5" xfId="9825" xr:uid="{00000000-0005-0000-0000-00007C280000}"/>
    <cellStyle name="Финансовый 2 2 2 5 2 3 5 2" xfId="21803" xr:uid="{00000000-0005-0000-0000-00007D280000}"/>
    <cellStyle name="Финансовый 2 2 2 5 2 3 5 2 2" xfId="45758" xr:uid="{00000000-0005-0000-0000-00007E280000}"/>
    <cellStyle name="Финансовый 2 2 2 5 2 3 5 3" xfId="33780" xr:uid="{00000000-0005-0000-0000-00007F280000}"/>
    <cellStyle name="Финансовый 2 2 2 5 2 3 6" xfId="13983" xr:uid="{00000000-0005-0000-0000-000080280000}"/>
    <cellStyle name="Финансовый 2 2 2 5 2 3 6 2" xfId="37938" xr:uid="{00000000-0005-0000-0000-000081280000}"/>
    <cellStyle name="Финансовый 2 2 2 5 2 3 7" xfId="25961" xr:uid="{00000000-0005-0000-0000-000082280000}"/>
    <cellStyle name="Финансовый 2 2 2 5 2 3 8" xfId="49094" xr:uid="{00000000-0005-0000-0000-000083280000}"/>
    <cellStyle name="Финансовый 2 2 2 5 2 4" xfId="2525" xr:uid="{00000000-0005-0000-0000-000084280000}"/>
    <cellStyle name="Финансовый 2 2 2 5 2 4 2" xfId="4170" xr:uid="{00000000-0005-0000-0000-000085280000}"/>
    <cellStyle name="Финансовый 2 2 2 5 2 4 2 2" xfId="11902" xr:uid="{00000000-0005-0000-0000-000086280000}"/>
    <cellStyle name="Финансовый 2 2 2 5 2 4 2 2 2" xfId="23880" xr:uid="{00000000-0005-0000-0000-000087280000}"/>
    <cellStyle name="Финансовый 2 2 2 5 2 4 2 2 2 2" xfId="47835" xr:uid="{00000000-0005-0000-0000-000088280000}"/>
    <cellStyle name="Финансовый 2 2 2 5 2 4 2 2 3" xfId="35857" xr:uid="{00000000-0005-0000-0000-000089280000}"/>
    <cellStyle name="Финансовый 2 2 2 5 2 4 2 3" xfId="16149" xr:uid="{00000000-0005-0000-0000-00008A280000}"/>
    <cellStyle name="Финансовый 2 2 2 5 2 4 2 3 2" xfId="40104" xr:uid="{00000000-0005-0000-0000-00008B280000}"/>
    <cellStyle name="Финансовый 2 2 2 5 2 4 2 4" xfId="28127" xr:uid="{00000000-0005-0000-0000-00008C280000}"/>
    <cellStyle name="Финансовый 2 2 2 5 2 4 2 5" xfId="51396" xr:uid="{00000000-0005-0000-0000-00008D280000}"/>
    <cellStyle name="Финансовый 2 2 2 5 2 4 3" xfId="5953" xr:uid="{00000000-0005-0000-0000-00008E280000}"/>
    <cellStyle name="Финансовый 2 2 2 5 2 4 3 2" xfId="17931" xr:uid="{00000000-0005-0000-0000-00008F280000}"/>
    <cellStyle name="Финансовый 2 2 2 5 2 4 3 2 2" xfId="41886" xr:uid="{00000000-0005-0000-0000-000090280000}"/>
    <cellStyle name="Финансовый 2 2 2 5 2 4 3 3" xfId="29908" xr:uid="{00000000-0005-0000-0000-000091280000}"/>
    <cellStyle name="Финансовый 2 2 2 5 2 4 4" xfId="8563" xr:uid="{00000000-0005-0000-0000-000092280000}"/>
    <cellStyle name="Финансовый 2 2 2 5 2 4 4 2" xfId="20541" xr:uid="{00000000-0005-0000-0000-000093280000}"/>
    <cellStyle name="Финансовый 2 2 2 5 2 4 4 2 2" xfId="44496" xr:uid="{00000000-0005-0000-0000-000094280000}"/>
    <cellStyle name="Финансовый 2 2 2 5 2 4 4 3" xfId="32518" xr:uid="{00000000-0005-0000-0000-000095280000}"/>
    <cellStyle name="Финансовый 2 2 2 5 2 4 5" xfId="10346" xr:uid="{00000000-0005-0000-0000-000096280000}"/>
    <cellStyle name="Финансовый 2 2 2 5 2 4 5 2" xfId="22324" xr:uid="{00000000-0005-0000-0000-000097280000}"/>
    <cellStyle name="Финансовый 2 2 2 5 2 4 5 2 2" xfId="46279" xr:uid="{00000000-0005-0000-0000-000098280000}"/>
    <cellStyle name="Финансовый 2 2 2 5 2 4 5 3" xfId="34301" xr:uid="{00000000-0005-0000-0000-000099280000}"/>
    <cellStyle name="Финансовый 2 2 2 5 2 4 6" xfId="14504" xr:uid="{00000000-0005-0000-0000-00009A280000}"/>
    <cellStyle name="Финансовый 2 2 2 5 2 4 6 2" xfId="38459" xr:uid="{00000000-0005-0000-0000-00009B280000}"/>
    <cellStyle name="Финансовый 2 2 2 5 2 4 7" xfId="26482" xr:uid="{00000000-0005-0000-0000-00009C280000}"/>
    <cellStyle name="Финансовый 2 2 2 5 2 4 8" xfId="49615" xr:uid="{00000000-0005-0000-0000-00009D280000}"/>
    <cellStyle name="Финансовый 2 2 2 5 2 5" xfId="1029" xr:uid="{00000000-0005-0000-0000-00009E280000}"/>
    <cellStyle name="Финансовый 2 2 2 5 2 5 2" xfId="7069" xr:uid="{00000000-0005-0000-0000-00009F280000}"/>
    <cellStyle name="Финансовый 2 2 2 5 2 5 2 2" xfId="19047" xr:uid="{00000000-0005-0000-0000-0000A0280000}"/>
    <cellStyle name="Финансовый 2 2 2 5 2 5 2 2 2" xfId="43002" xr:uid="{00000000-0005-0000-0000-0000A1280000}"/>
    <cellStyle name="Финансовый 2 2 2 5 2 5 2 3" xfId="31024" xr:uid="{00000000-0005-0000-0000-0000A2280000}"/>
    <cellStyle name="Финансовый 2 2 2 5 2 5 3" xfId="10617" xr:uid="{00000000-0005-0000-0000-0000A3280000}"/>
    <cellStyle name="Финансовый 2 2 2 5 2 5 3 2" xfId="22595" xr:uid="{00000000-0005-0000-0000-0000A4280000}"/>
    <cellStyle name="Финансовый 2 2 2 5 2 5 3 2 2" xfId="46550" xr:uid="{00000000-0005-0000-0000-0000A5280000}"/>
    <cellStyle name="Финансовый 2 2 2 5 2 5 3 3" xfId="34572" xr:uid="{00000000-0005-0000-0000-0000A6280000}"/>
    <cellStyle name="Финансовый 2 2 2 5 2 5 4" xfId="13010" xr:uid="{00000000-0005-0000-0000-0000A7280000}"/>
    <cellStyle name="Финансовый 2 2 2 5 2 5 4 2" xfId="36965" xr:uid="{00000000-0005-0000-0000-0000A8280000}"/>
    <cellStyle name="Финансовый 2 2 2 5 2 5 5" xfId="24988" xr:uid="{00000000-0005-0000-0000-0000A9280000}"/>
    <cellStyle name="Финансовый 2 2 2 5 2 5 6" xfId="49894" xr:uid="{00000000-0005-0000-0000-0000AA280000}"/>
    <cellStyle name="Финансовый 2 2 2 5 2 6" xfId="617" xr:uid="{00000000-0005-0000-0000-0000AB280000}"/>
    <cellStyle name="Финансовый 2 2 2 5 2 6 2" xfId="6657" xr:uid="{00000000-0005-0000-0000-0000AC280000}"/>
    <cellStyle name="Финансовый 2 2 2 5 2 6 2 2" xfId="18635" xr:uid="{00000000-0005-0000-0000-0000AD280000}"/>
    <cellStyle name="Финансовый 2 2 2 5 2 6 2 2 2" xfId="42590" xr:uid="{00000000-0005-0000-0000-0000AE280000}"/>
    <cellStyle name="Финансовый 2 2 2 5 2 6 2 3" xfId="30612" xr:uid="{00000000-0005-0000-0000-0000AF280000}"/>
    <cellStyle name="Финансовый 2 2 2 5 2 6 3" xfId="12598" xr:uid="{00000000-0005-0000-0000-0000B0280000}"/>
    <cellStyle name="Финансовый 2 2 2 5 2 6 3 2" xfId="36553" xr:uid="{00000000-0005-0000-0000-0000B1280000}"/>
    <cellStyle name="Финансовый 2 2 2 5 2 6 4" xfId="24576" xr:uid="{00000000-0005-0000-0000-0000B2280000}"/>
    <cellStyle name="Финансовый 2 2 2 5 2 7" xfId="2806" xr:uid="{00000000-0005-0000-0000-0000B3280000}"/>
    <cellStyle name="Финансовый 2 2 2 5 2 7 2" xfId="14785" xr:uid="{00000000-0005-0000-0000-0000B4280000}"/>
    <cellStyle name="Финансовый 2 2 2 5 2 7 2 2" xfId="38740" xr:uid="{00000000-0005-0000-0000-0000B5280000}"/>
    <cellStyle name="Финансовый 2 2 2 5 2 7 3" xfId="26763" xr:uid="{00000000-0005-0000-0000-0000B6280000}"/>
    <cellStyle name="Финансовый 2 2 2 5 2 8" xfId="4450" xr:uid="{00000000-0005-0000-0000-0000B7280000}"/>
    <cellStyle name="Финансовый 2 2 2 5 2 8 2" xfId="16429" xr:uid="{00000000-0005-0000-0000-0000B8280000}"/>
    <cellStyle name="Финансовый 2 2 2 5 2 8 2 2" xfId="40384" xr:uid="{00000000-0005-0000-0000-0000B9280000}"/>
    <cellStyle name="Финансовый 2 2 2 5 2 8 3" xfId="28407" xr:uid="{00000000-0005-0000-0000-0000BA280000}"/>
    <cellStyle name="Финансовый 2 2 2 5 2 9" xfId="6237" xr:uid="{00000000-0005-0000-0000-0000BB280000}"/>
    <cellStyle name="Финансовый 2 2 2 5 2 9 2" xfId="18215" xr:uid="{00000000-0005-0000-0000-0000BC280000}"/>
    <cellStyle name="Финансовый 2 2 2 5 2 9 2 2" xfId="42170" xr:uid="{00000000-0005-0000-0000-0000BD280000}"/>
    <cellStyle name="Финансовый 2 2 2 5 2 9 3" xfId="30192" xr:uid="{00000000-0005-0000-0000-0000BE280000}"/>
    <cellStyle name="Финансовый 2 2 2 5 3" xfId="345" xr:uid="{00000000-0005-0000-0000-0000BF280000}"/>
    <cellStyle name="Финансовый 2 2 2 5 3 10" xfId="24304" xr:uid="{00000000-0005-0000-0000-0000C0280000}"/>
    <cellStyle name="Финансовый 2 2 2 5 3 11" xfId="48250" xr:uid="{00000000-0005-0000-0000-0000C1280000}"/>
    <cellStyle name="Финансовый 2 2 2 5 3 2" xfId="2132" xr:uid="{00000000-0005-0000-0000-0000C2280000}"/>
    <cellStyle name="Финансовый 2 2 2 5 3 2 2" xfId="3777" xr:uid="{00000000-0005-0000-0000-0000C3280000}"/>
    <cellStyle name="Финансовый 2 2 2 5 3 2 2 2" xfId="11517" xr:uid="{00000000-0005-0000-0000-0000C4280000}"/>
    <cellStyle name="Финансовый 2 2 2 5 3 2 2 2 2" xfId="23495" xr:uid="{00000000-0005-0000-0000-0000C5280000}"/>
    <cellStyle name="Финансовый 2 2 2 5 3 2 2 2 2 2" xfId="47450" xr:uid="{00000000-0005-0000-0000-0000C6280000}"/>
    <cellStyle name="Финансовый 2 2 2 5 3 2 2 2 3" xfId="35472" xr:uid="{00000000-0005-0000-0000-0000C7280000}"/>
    <cellStyle name="Финансовый 2 2 2 5 3 2 2 3" xfId="15756" xr:uid="{00000000-0005-0000-0000-0000C8280000}"/>
    <cellStyle name="Финансовый 2 2 2 5 3 2 2 3 2" xfId="39711" xr:uid="{00000000-0005-0000-0000-0000C9280000}"/>
    <cellStyle name="Финансовый 2 2 2 5 3 2 2 4" xfId="27734" xr:uid="{00000000-0005-0000-0000-0000CA280000}"/>
    <cellStyle name="Финансовый 2 2 2 5 3 2 2 5" xfId="51003" xr:uid="{00000000-0005-0000-0000-0000CB280000}"/>
    <cellStyle name="Финансовый 2 2 2 5 3 2 3" xfId="5560" xr:uid="{00000000-0005-0000-0000-0000CC280000}"/>
    <cellStyle name="Финансовый 2 2 2 5 3 2 3 2" xfId="17538" xr:uid="{00000000-0005-0000-0000-0000CD280000}"/>
    <cellStyle name="Финансовый 2 2 2 5 3 2 3 2 2" xfId="41493" xr:uid="{00000000-0005-0000-0000-0000CE280000}"/>
    <cellStyle name="Финансовый 2 2 2 5 3 2 3 3" xfId="29515" xr:uid="{00000000-0005-0000-0000-0000CF280000}"/>
    <cellStyle name="Финансовый 2 2 2 5 3 2 4" xfId="8170" xr:uid="{00000000-0005-0000-0000-0000D0280000}"/>
    <cellStyle name="Финансовый 2 2 2 5 3 2 4 2" xfId="20148" xr:uid="{00000000-0005-0000-0000-0000D1280000}"/>
    <cellStyle name="Финансовый 2 2 2 5 3 2 4 2 2" xfId="44103" xr:uid="{00000000-0005-0000-0000-0000D2280000}"/>
    <cellStyle name="Финансовый 2 2 2 5 3 2 4 3" xfId="32125" xr:uid="{00000000-0005-0000-0000-0000D3280000}"/>
    <cellStyle name="Финансовый 2 2 2 5 3 2 5" xfId="9953" xr:uid="{00000000-0005-0000-0000-0000D4280000}"/>
    <cellStyle name="Финансовый 2 2 2 5 3 2 5 2" xfId="21931" xr:uid="{00000000-0005-0000-0000-0000D5280000}"/>
    <cellStyle name="Финансовый 2 2 2 5 3 2 5 2 2" xfId="45886" xr:uid="{00000000-0005-0000-0000-0000D6280000}"/>
    <cellStyle name="Финансовый 2 2 2 5 3 2 5 3" xfId="33908" xr:uid="{00000000-0005-0000-0000-0000D7280000}"/>
    <cellStyle name="Финансовый 2 2 2 5 3 2 6" xfId="14111" xr:uid="{00000000-0005-0000-0000-0000D8280000}"/>
    <cellStyle name="Финансовый 2 2 2 5 3 2 6 2" xfId="38066" xr:uid="{00000000-0005-0000-0000-0000D9280000}"/>
    <cellStyle name="Финансовый 2 2 2 5 3 2 7" xfId="26089" xr:uid="{00000000-0005-0000-0000-0000DA280000}"/>
    <cellStyle name="Финансовый 2 2 2 5 3 2 8" xfId="49222" xr:uid="{00000000-0005-0000-0000-0000DB280000}"/>
    <cellStyle name="Финансовый 2 2 2 5 3 3" xfId="1165" xr:uid="{00000000-0005-0000-0000-0000DC280000}"/>
    <cellStyle name="Финансовый 2 2 2 5 3 3 2" xfId="7205" xr:uid="{00000000-0005-0000-0000-0000DD280000}"/>
    <cellStyle name="Финансовый 2 2 2 5 3 3 2 2" xfId="19183" xr:uid="{00000000-0005-0000-0000-0000DE280000}"/>
    <cellStyle name="Финансовый 2 2 2 5 3 3 2 2 2" xfId="43138" xr:uid="{00000000-0005-0000-0000-0000DF280000}"/>
    <cellStyle name="Финансовый 2 2 2 5 3 3 2 3" xfId="31160" xr:uid="{00000000-0005-0000-0000-0000E0280000}"/>
    <cellStyle name="Финансовый 2 2 2 5 3 3 3" xfId="10745" xr:uid="{00000000-0005-0000-0000-0000E1280000}"/>
    <cellStyle name="Финансовый 2 2 2 5 3 3 3 2" xfId="22723" xr:uid="{00000000-0005-0000-0000-0000E2280000}"/>
    <cellStyle name="Финансовый 2 2 2 5 3 3 3 2 2" xfId="46678" xr:uid="{00000000-0005-0000-0000-0000E3280000}"/>
    <cellStyle name="Финансовый 2 2 2 5 3 3 3 3" xfId="34700" xr:uid="{00000000-0005-0000-0000-0000E4280000}"/>
    <cellStyle name="Финансовый 2 2 2 5 3 3 4" xfId="13146" xr:uid="{00000000-0005-0000-0000-0000E5280000}"/>
    <cellStyle name="Финансовый 2 2 2 5 3 3 4 2" xfId="37101" xr:uid="{00000000-0005-0000-0000-0000E6280000}"/>
    <cellStyle name="Финансовый 2 2 2 5 3 3 5" xfId="25124" xr:uid="{00000000-0005-0000-0000-0000E7280000}"/>
    <cellStyle name="Финансовый 2 2 2 5 3 3 6" xfId="50030" xr:uid="{00000000-0005-0000-0000-0000E8280000}"/>
    <cellStyle name="Финансовый 2 2 2 5 3 4" xfId="765" xr:uid="{00000000-0005-0000-0000-0000E9280000}"/>
    <cellStyle name="Финансовый 2 2 2 5 3 4 2" xfId="6805" xr:uid="{00000000-0005-0000-0000-0000EA280000}"/>
    <cellStyle name="Финансовый 2 2 2 5 3 4 2 2" xfId="18783" xr:uid="{00000000-0005-0000-0000-0000EB280000}"/>
    <cellStyle name="Финансовый 2 2 2 5 3 4 2 2 2" xfId="42738" xr:uid="{00000000-0005-0000-0000-0000EC280000}"/>
    <cellStyle name="Финансовый 2 2 2 5 3 4 2 3" xfId="30760" xr:uid="{00000000-0005-0000-0000-0000ED280000}"/>
    <cellStyle name="Финансовый 2 2 2 5 3 4 3" xfId="12746" xr:uid="{00000000-0005-0000-0000-0000EE280000}"/>
    <cellStyle name="Финансовый 2 2 2 5 3 4 3 2" xfId="36701" xr:uid="{00000000-0005-0000-0000-0000EF280000}"/>
    <cellStyle name="Финансовый 2 2 2 5 3 4 4" xfId="24724" xr:uid="{00000000-0005-0000-0000-0000F0280000}"/>
    <cellStyle name="Финансовый 2 2 2 5 3 5" xfId="2942" xr:uid="{00000000-0005-0000-0000-0000F1280000}"/>
    <cellStyle name="Финансовый 2 2 2 5 3 5 2" xfId="14921" xr:uid="{00000000-0005-0000-0000-0000F2280000}"/>
    <cellStyle name="Финансовый 2 2 2 5 3 5 2 2" xfId="38876" xr:uid="{00000000-0005-0000-0000-0000F3280000}"/>
    <cellStyle name="Финансовый 2 2 2 5 3 5 3" xfId="26899" xr:uid="{00000000-0005-0000-0000-0000F4280000}"/>
    <cellStyle name="Финансовый 2 2 2 5 3 6" xfId="4586" xr:uid="{00000000-0005-0000-0000-0000F5280000}"/>
    <cellStyle name="Финансовый 2 2 2 5 3 6 2" xfId="16565" xr:uid="{00000000-0005-0000-0000-0000F6280000}"/>
    <cellStyle name="Финансовый 2 2 2 5 3 6 2 2" xfId="40520" xr:uid="{00000000-0005-0000-0000-0000F7280000}"/>
    <cellStyle name="Финансовый 2 2 2 5 3 6 3" xfId="28543" xr:uid="{00000000-0005-0000-0000-0000F8280000}"/>
    <cellStyle name="Финансовый 2 2 2 5 3 7" xfId="6385" xr:uid="{00000000-0005-0000-0000-0000F9280000}"/>
    <cellStyle name="Финансовый 2 2 2 5 3 7 2" xfId="18363" xr:uid="{00000000-0005-0000-0000-0000FA280000}"/>
    <cellStyle name="Финансовый 2 2 2 5 3 7 2 2" xfId="42318" xr:uid="{00000000-0005-0000-0000-0000FB280000}"/>
    <cellStyle name="Финансовый 2 2 2 5 3 7 3" xfId="30340" xr:uid="{00000000-0005-0000-0000-0000FC280000}"/>
    <cellStyle name="Финансовый 2 2 2 5 3 8" xfId="8980" xr:uid="{00000000-0005-0000-0000-0000FD280000}"/>
    <cellStyle name="Финансовый 2 2 2 5 3 8 2" xfId="20958" xr:uid="{00000000-0005-0000-0000-0000FE280000}"/>
    <cellStyle name="Финансовый 2 2 2 5 3 8 2 2" xfId="44913" xr:uid="{00000000-0005-0000-0000-0000FF280000}"/>
    <cellStyle name="Финансовый 2 2 2 5 3 8 3" xfId="32935" xr:uid="{00000000-0005-0000-0000-000000290000}"/>
    <cellStyle name="Финансовый 2 2 2 5 3 9" xfId="12326" xr:uid="{00000000-0005-0000-0000-000001290000}"/>
    <cellStyle name="Финансовый 2 2 2 5 3 9 2" xfId="36281" xr:uid="{00000000-0005-0000-0000-000002290000}"/>
    <cellStyle name="Финансовый 2 2 2 5 4" xfId="1463" xr:uid="{00000000-0005-0000-0000-000003290000}"/>
    <cellStyle name="Финансовый 2 2 2 5 4 2" xfId="1868" xr:uid="{00000000-0005-0000-0000-000004290000}"/>
    <cellStyle name="Финансовый 2 2 2 5 4 2 2" xfId="3513" xr:uid="{00000000-0005-0000-0000-000005290000}"/>
    <cellStyle name="Финансовый 2 2 2 5 4 2 2 2" xfId="11261" xr:uid="{00000000-0005-0000-0000-000006290000}"/>
    <cellStyle name="Финансовый 2 2 2 5 4 2 2 2 2" xfId="23239" xr:uid="{00000000-0005-0000-0000-000007290000}"/>
    <cellStyle name="Финансовый 2 2 2 5 4 2 2 2 2 2" xfId="47194" xr:uid="{00000000-0005-0000-0000-000008290000}"/>
    <cellStyle name="Финансовый 2 2 2 5 4 2 2 2 3" xfId="35216" xr:uid="{00000000-0005-0000-0000-000009290000}"/>
    <cellStyle name="Финансовый 2 2 2 5 4 2 2 3" xfId="15492" xr:uid="{00000000-0005-0000-0000-00000A290000}"/>
    <cellStyle name="Финансовый 2 2 2 5 4 2 2 3 2" xfId="39447" xr:uid="{00000000-0005-0000-0000-00000B290000}"/>
    <cellStyle name="Финансовый 2 2 2 5 4 2 2 4" xfId="27470" xr:uid="{00000000-0005-0000-0000-00000C290000}"/>
    <cellStyle name="Финансовый 2 2 2 5 4 2 2 5" xfId="50739" xr:uid="{00000000-0005-0000-0000-00000D290000}"/>
    <cellStyle name="Финансовый 2 2 2 5 4 2 3" xfId="5296" xr:uid="{00000000-0005-0000-0000-00000E290000}"/>
    <cellStyle name="Финансовый 2 2 2 5 4 2 3 2" xfId="17274" xr:uid="{00000000-0005-0000-0000-00000F290000}"/>
    <cellStyle name="Финансовый 2 2 2 5 4 2 3 2 2" xfId="41229" xr:uid="{00000000-0005-0000-0000-000010290000}"/>
    <cellStyle name="Финансовый 2 2 2 5 4 2 3 3" xfId="29251" xr:uid="{00000000-0005-0000-0000-000011290000}"/>
    <cellStyle name="Финансовый 2 2 2 5 4 2 4" xfId="7906" xr:uid="{00000000-0005-0000-0000-000012290000}"/>
    <cellStyle name="Финансовый 2 2 2 5 4 2 4 2" xfId="19884" xr:uid="{00000000-0005-0000-0000-000013290000}"/>
    <cellStyle name="Финансовый 2 2 2 5 4 2 4 2 2" xfId="43839" xr:uid="{00000000-0005-0000-0000-000014290000}"/>
    <cellStyle name="Финансовый 2 2 2 5 4 2 4 3" xfId="31861" xr:uid="{00000000-0005-0000-0000-000015290000}"/>
    <cellStyle name="Финансовый 2 2 2 5 4 2 5" xfId="9689" xr:uid="{00000000-0005-0000-0000-000016290000}"/>
    <cellStyle name="Финансовый 2 2 2 5 4 2 5 2" xfId="21667" xr:uid="{00000000-0005-0000-0000-000017290000}"/>
    <cellStyle name="Финансовый 2 2 2 5 4 2 5 2 2" xfId="45622" xr:uid="{00000000-0005-0000-0000-000018290000}"/>
    <cellStyle name="Финансовый 2 2 2 5 4 2 5 3" xfId="33644" xr:uid="{00000000-0005-0000-0000-000019290000}"/>
    <cellStyle name="Финансовый 2 2 2 5 4 2 6" xfId="13847" xr:uid="{00000000-0005-0000-0000-00001A290000}"/>
    <cellStyle name="Финансовый 2 2 2 5 4 2 6 2" xfId="37802" xr:uid="{00000000-0005-0000-0000-00001B290000}"/>
    <cellStyle name="Финансовый 2 2 2 5 4 2 7" xfId="25825" xr:uid="{00000000-0005-0000-0000-00001C290000}"/>
    <cellStyle name="Финансовый 2 2 2 5 4 2 8" xfId="48958" xr:uid="{00000000-0005-0000-0000-00001D290000}"/>
    <cellStyle name="Финансовый 2 2 2 5 4 3" xfId="4891" xr:uid="{00000000-0005-0000-0000-00001E290000}"/>
    <cellStyle name="Финансовый 2 2 2 5 4 3 2" xfId="16869" xr:uid="{00000000-0005-0000-0000-00001F290000}"/>
    <cellStyle name="Финансовый 2 2 2 5 4 3 2 2" xfId="40824" xr:uid="{00000000-0005-0000-0000-000020290000}"/>
    <cellStyle name="Финансовый 2 2 2 5 4 3 3" xfId="28846" xr:uid="{00000000-0005-0000-0000-000021290000}"/>
    <cellStyle name="Финансовый 2 2 2 5 4 3 4" xfId="50334" xr:uid="{00000000-0005-0000-0000-000022290000}"/>
    <cellStyle name="Финансовый 2 2 2 5 4 4" xfId="7501" xr:uid="{00000000-0005-0000-0000-000023290000}"/>
    <cellStyle name="Финансовый 2 2 2 5 4 4 2" xfId="19479" xr:uid="{00000000-0005-0000-0000-000024290000}"/>
    <cellStyle name="Финансовый 2 2 2 5 4 4 2 2" xfId="43434" xr:uid="{00000000-0005-0000-0000-000025290000}"/>
    <cellStyle name="Финансовый 2 2 2 5 4 4 3" xfId="31456" xr:uid="{00000000-0005-0000-0000-000026290000}"/>
    <cellStyle name="Финансовый 2 2 2 5 4 5" xfId="9284" xr:uid="{00000000-0005-0000-0000-000027290000}"/>
    <cellStyle name="Финансовый 2 2 2 5 4 5 2" xfId="21262" xr:uid="{00000000-0005-0000-0000-000028290000}"/>
    <cellStyle name="Финансовый 2 2 2 5 4 5 2 2" xfId="45217" xr:uid="{00000000-0005-0000-0000-000029290000}"/>
    <cellStyle name="Финансовый 2 2 2 5 4 5 3" xfId="33239" xr:uid="{00000000-0005-0000-0000-00002A290000}"/>
    <cellStyle name="Финансовый 2 2 2 5 4 6" xfId="13442" xr:uid="{00000000-0005-0000-0000-00002B290000}"/>
    <cellStyle name="Финансовый 2 2 2 5 4 6 2" xfId="37397" xr:uid="{00000000-0005-0000-0000-00002C290000}"/>
    <cellStyle name="Финансовый 2 2 2 5 4 7" xfId="25420" xr:uid="{00000000-0005-0000-0000-00002D290000}"/>
    <cellStyle name="Финансовый 2 2 2 5 4 8" xfId="48553" xr:uid="{00000000-0005-0000-0000-00002E290000}"/>
    <cellStyle name="Финансовый 2 2 2 5 5" xfId="1752" xr:uid="{00000000-0005-0000-0000-00002F290000}"/>
    <cellStyle name="Финансовый 2 2 2 5 5 2" xfId="3397" xr:uid="{00000000-0005-0000-0000-000030290000}"/>
    <cellStyle name="Финансовый 2 2 2 5 5 2 2" xfId="11145" xr:uid="{00000000-0005-0000-0000-000031290000}"/>
    <cellStyle name="Финансовый 2 2 2 5 5 2 2 2" xfId="23123" xr:uid="{00000000-0005-0000-0000-000032290000}"/>
    <cellStyle name="Финансовый 2 2 2 5 5 2 2 2 2" xfId="47078" xr:uid="{00000000-0005-0000-0000-000033290000}"/>
    <cellStyle name="Финансовый 2 2 2 5 5 2 2 3" xfId="35100" xr:uid="{00000000-0005-0000-0000-000034290000}"/>
    <cellStyle name="Финансовый 2 2 2 5 5 2 3" xfId="15376" xr:uid="{00000000-0005-0000-0000-000035290000}"/>
    <cellStyle name="Финансовый 2 2 2 5 5 2 3 2" xfId="39331" xr:uid="{00000000-0005-0000-0000-000036290000}"/>
    <cellStyle name="Финансовый 2 2 2 5 5 2 4" xfId="27354" xr:uid="{00000000-0005-0000-0000-000037290000}"/>
    <cellStyle name="Финансовый 2 2 2 5 5 2 5" xfId="50623" xr:uid="{00000000-0005-0000-0000-000038290000}"/>
    <cellStyle name="Финансовый 2 2 2 5 5 3" xfId="5180" xr:uid="{00000000-0005-0000-0000-000039290000}"/>
    <cellStyle name="Финансовый 2 2 2 5 5 3 2" xfId="17158" xr:uid="{00000000-0005-0000-0000-00003A290000}"/>
    <cellStyle name="Финансовый 2 2 2 5 5 3 2 2" xfId="41113" xr:uid="{00000000-0005-0000-0000-00003B290000}"/>
    <cellStyle name="Финансовый 2 2 2 5 5 3 3" xfId="29135" xr:uid="{00000000-0005-0000-0000-00003C290000}"/>
    <cellStyle name="Финансовый 2 2 2 5 5 4" xfId="7790" xr:uid="{00000000-0005-0000-0000-00003D290000}"/>
    <cellStyle name="Финансовый 2 2 2 5 5 4 2" xfId="19768" xr:uid="{00000000-0005-0000-0000-00003E290000}"/>
    <cellStyle name="Финансовый 2 2 2 5 5 4 2 2" xfId="43723" xr:uid="{00000000-0005-0000-0000-00003F290000}"/>
    <cellStyle name="Финансовый 2 2 2 5 5 4 3" xfId="31745" xr:uid="{00000000-0005-0000-0000-000040290000}"/>
    <cellStyle name="Финансовый 2 2 2 5 5 5" xfId="9573" xr:uid="{00000000-0005-0000-0000-000041290000}"/>
    <cellStyle name="Финансовый 2 2 2 5 5 5 2" xfId="21551" xr:uid="{00000000-0005-0000-0000-000042290000}"/>
    <cellStyle name="Финансовый 2 2 2 5 5 5 2 2" xfId="45506" xr:uid="{00000000-0005-0000-0000-000043290000}"/>
    <cellStyle name="Финансовый 2 2 2 5 5 5 3" xfId="33528" xr:uid="{00000000-0005-0000-0000-000044290000}"/>
    <cellStyle name="Финансовый 2 2 2 5 5 6" xfId="13731" xr:uid="{00000000-0005-0000-0000-000045290000}"/>
    <cellStyle name="Финансовый 2 2 2 5 5 6 2" xfId="37686" xr:uid="{00000000-0005-0000-0000-000046290000}"/>
    <cellStyle name="Финансовый 2 2 2 5 5 7" xfId="25709" xr:uid="{00000000-0005-0000-0000-000047290000}"/>
    <cellStyle name="Финансовый 2 2 2 5 5 8" xfId="48842" xr:uid="{00000000-0005-0000-0000-000048290000}"/>
    <cellStyle name="Финансовый 2 2 2 5 6" xfId="2388" xr:uid="{00000000-0005-0000-0000-000049290000}"/>
    <cellStyle name="Финансовый 2 2 2 5 6 2" xfId="4033" xr:uid="{00000000-0005-0000-0000-00004A290000}"/>
    <cellStyle name="Финансовый 2 2 2 5 6 2 2" xfId="11773" xr:uid="{00000000-0005-0000-0000-00004B290000}"/>
    <cellStyle name="Финансовый 2 2 2 5 6 2 2 2" xfId="23751" xr:uid="{00000000-0005-0000-0000-00004C290000}"/>
    <cellStyle name="Финансовый 2 2 2 5 6 2 2 2 2" xfId="47706" xr:uid="{00000000-0005-0000-0000-00004D290000}"/>
    <cellStyle name="Финансовый 2 2 2 5 6 2 2 3" xfId="35728" xr:uid="{00000000-0005-0000-0000-00004E290000}"/>
    <cellStyle name="Финансовый 2 2 2 5 6 2 3" xfId="16012" xr:uid="{00000000-0005-0000-0000-00004F290000}"/>
    <cellStyle name="Финансовый 2 2 2 5 6 2 3 2" xfId="39967" xr:uid="{00000000-0005-0000-0000-000050290000}"/>
    <cellStyle name="Финансовый 2 2 2 5 6 2 4" xfId="27990" xr:uid="{00000000-0005-0000-0000-000051290000}"/>
    <cellStyle name="Финансовый 2 2 2 5 6 2 5" xfId="51259" xr:uid="{00000000-0005-0000-0000-000052290000}"/>
    <cellStyle name="Финансовый 2 2 2 5 6 3" xfId="5816" xr:uid="{00000000-0005-0000-0000-000053290000}"/>
    <cellStyle name="Финансовый 2 2 2 5 6 3 2" xfId="17794" xr:uid="{00000000-0005-0000-0000-000054290000}"/>
    <cellStyle name="Финансовый 2 2 2 5 6 3 2 2" xfId="41749" xr:uid="{00000000-0005-0000-0000-000055290000}"/>
    <cellStyle name="Финансовый 2 2 2 5 6 3 3" xfId="29771" xr:uid="{00000000-0005-0000-0000-000056290000}"/>
    <cellStyle name="Финансовый 2 2 2 5 6 4" xfId="8426" xr:uid="{00000000-0005-0000-0000-000057290000}"/>
    <cellStyle name="Финансовый 2 2 2 5 6 4 2" xfId="20404" xr:uid="{00000000-0005-0000-0000-000058290000}"/>
    <cellStyle name="Финансовый 2 2 2 5 6 4 2 2" xfId="44359" xr:uid="{00000000-0005-0000-0000-000059290000}"/>
    <cellStyle name="Финансовый 2 2 2 5 6 4 3" xfId="32381" xr:uid="{00000000-0005-0000-0000-00005A290000}"/>
    <cellStyle name="Финансовый 2 2 2 5 6 5" xfId="10209" xr:uid="{00000000-0005-0000-0000-00005B290000}"/>
    <cellStyle name="Финансовый 2 2 2 5 6 5 2" xfId="22187" xr:uid="{00000000-0005-0000-0000-00005C290000}"/>
    <cellStyle name="Финансовый 2 2 2 5 6 5 2 2" xfId="46142" xr:uid="{00000000-0005-0000-0000-00005D290000}"/>
    <cellStyle name="Финансовый 2 2 2 5 6 5 3" xfId="34164" xr:uid="{00000000-0005-0000-0000-00005E290000}"/>
    <cellStyle name="Финансовый 2 2 2 5 6 6" xfId="14367" xr:uid="{00000000-0005-0000-0000-00005F290000}"/>
    <cellStyle name="Финансовый 2 2 2 5 6 6 2" xfId="38322" xr:uid="{00000000-0005-0000-0000-000060290000}"/>
    <cellStyle name="Финансовый 2 2 2 5 6 7" xfId="26345" xr:uid="{00000000-0005-0000-0000-000061290000}"/>
    <cellStyle name="Финансовый 2 2 2 5 6 8" xfId="49478" xr:uid="{00000000-0005-0000-0000-000062290000}"/>
    <cellStyle name="Финансовый 2 2 2 5 7" xfId="1615" xr:uid="{00000000-0005-0000-0000-000063290000}"/>
    <cellStyle name="Финансовый 2 2 2 5 7 2" xfId="3260" xr:uid="{00000000-0005-0000-0000-000064290000}"/>
    <cellStyle name="Финансовый 2 2 2 5 7 2 2" xfId="11016" xr:uid="{00000000-0005-0000-0000-000065290000}"/>
    <cellStyle name="Финансовый 2 2 2 5 7 2 2 2" xfId="22994" xr:uid="{00000000-0005-0000-0000-000066290000}"/>
    <cellStyle name="Финансовый 2 2 2 5 7 2 2 2 2" xfId="46949" xr:uid="{00000000-0005-0000-0000-000067290000}"/>
    <cellStyle name="Финансовый 2 2 2 5 7 2 2 3" xfId="34971" xr:uid="{00000000-0005-0000-0000-000068290000}"/>
    <cellStyle name="Финансовый 2 2 2 5 7 2 3" xfId="15239" xr:uid="{00000000-0005-0000-0000-000069290000}"/>
    <cellStyle name="Финансовый 2 2 2 5 7 2 3 2" xfId="39194" xr:uid="{00000000-0005-0000-0000-00006A290000}"/>
    <cellStyle name="Финансовый 2 2 2 5 7 2 4" xfId="27217" xr:uid="{00000000-0005-0000-0000-00006B290000}"/>
    <cellStyle name="Финансовый 2 2 2 5 7 2 5" xfId="50486" xr:uid="{00000000-0005-0000-0000-00006C290000}"/>
    <cellStyle name="Финансовый 2 2 2 5 7 3" xfId="5043" xr:uid="{00000000-0005-0000-0000-00006D290000}"/>
    <cellStyle name="Финансовый 2 2 2 5 7 3 2" xfId="17021" xr:uid="{00000000-0005-0000-0000-00006E290000}"/>
    <cellStyle name="Финансовый 2 2 2 5 7 3 2 2" xfId="40976" xr:uid="{00000000-0005-0000-0000-00006F290000}"/>
    <cellStyle name="Финансовый 2 2 2 5 7 3 3" xfId="28998" xr:uid="{00000000-0005-0000-0000-000070290000}"/>
    <cellStyle name="Финансовый 2 2 2 5 7 4" xfId="7653" xr:uid="{00000000-0005-0000-0000-000071290000}"/>
    <cellStyle name="Финансовый 2 2 2 5 7 4 2" xfId="19631" xr:uid="{00000000-0005-0000-0000-000072290000}"/>
    <cellStyle name="Финансовый 2 2 2 5 7 4 2 2" xfId="43586" xr:uid="{00000000-0005-0000-0000-000073290000}"/>
    <cellStyle name="Финансовый 2 2 2 5 7 4 3" xfId="31608" xr:uid="{00000000-0005-0000-0000-000074290000}"/>
    <cellStyle name="Финансовый 2 2 2 5 7 5" xfId="9436" xr:uid="{00000000-0005-0000-0000-000075290000}"/>
    <cellStyle name="Финансовый 2 2 2 5 7 5 2" xfId="21414" xr:uid="{00000000-0005-0000-0000-000076290000}"/>
    <cellStyle name="Финансовый 2 2 2 5 7 5 2 2" xfId="45369" xr:uid="{00000000-0005-0000-0000-000077290000}"/>
    <cellStyle name="Финансовый 2 2 2 5 7 5 3" xfId="33391" xr:uid="{00000000-0005-0000-0000-000078290000}"/>
    <cellStyle name="Финансовый 2 2 2 5 7 6" xfId="13594" xr:uid="{00000000-0005-0000-0000-000079290000}"/>
    <cellStyle name="Финансовый 2 2 2 5 7 6 2" xfId="37549" xr:uid="{00000000-0005-0000-0000-00007A290000}"/>
    <cellStyle name="Финансовый 2 2 2 5 7 7" xfId="25572" xr:uid="{00000000-0005-0000-0000-00007B290000}"/>
    <cellStyle name="Финансовый 2 2 2 5 7 8" xfId="48705" xr:uid="{00000000-0005-0000-0000-00007C290000}"/>
    <cellStyle name="Финансовый 2 2 2 5 8" xfId="901" xr:uid="{00000000-0005-0000-0000-00007D290000}"/>
    <cellStyle name="Финансовый 2 2 2 5 8 2" xfId="6941" xr:uid="{00000000-0005-0000-0000-00007E290000}"/>
    <cellStyle name="Финансовый 2 2 2 5 8 2 2" xfId="18919" xr:uid="{00000000-0005-0000-0000-00007F290000}"/>
    <cellStyle name="Финансовый 2 2 2 5 8 2 2 2" xfId="42874" xr:uid="{00000000-0005-0000-0000-000080290000}"/>
    <cellStyle name="Финансовый 2 2 2 5 8 2 3" xfId="30896" xr:uid="{00000000-0005-0000-0000-000081290000}"/>
    <cellStyle name="Финансовый 2 2 2 5 8 3" xfId="10489" xr:uid="{00000000-0005-0000-0000-000082290000}"/>
    <cellStyle name="Финансовый 2 2 2 5 8 3 2" xfId="22467" xr:uid="{00000000-0005-0000-0000-000083290000}"/>
    <cellStyle name="Финансовый 2 2 2 5 8 3 2 2" xfId="46422" xr:uid="{00000000-0005-0000-0000-000084290000}"/>
    <cellStyle name="Финансовый 2 2 2 5 8 3 3" xfId="34444" xr:uid="{00000000-0005-0000-0000-000085290000}"/>
    <cellStyle name="Финансовый 2 2 2 5 8 4" xfId="12882" xr:uid="{00000000-0005-0000-0000-000086290000}"/>
    <cellStyle name="Финансовый 2 2 2 5 8 4 2" xfId="36837" xr:uid="{00000000-0005-0000-0000-000087290000}"/>
    <cellStyle name="Финансовый 2 2 2 5 8 5" xfId="24860" xr:uid="{00000000-0005-0000-0000-000088290000}"/>
    <cellStyle name="Финансовый 2 2 2 5 8 6" xfId="49758" xr:uid="{00000000-0005-0000-0000-000089290000}"/>
    <cellStyle name="Финансовый 2 2 2 5 9" xfId="481" xr:uid="{00000000-0005-0000-0000-00008A290000}"/>
    <cellStyle name="Финансовый 2 2 2 5 9 2" xfId="6521" xr:uid="{00000000-0005-0000-0000-00008B290000}"/>
    <cellStyle name="Финансовый 2 2 2 5 9 2 2" xfId="18499" xr:uid="{00000000-0005-0000-0000-00008C290000}"/>
    <cellStyle name="Финансовый 2 2 2 5 9 2 2 2" xfId="42454" xr:uid="{00000000-0005-0000-0000-00008D290000}"/>
    <cellStyle name="Финансовый 2 2 2 5 9 2 3" xfId="30476" xr:uid="{00000000-0005-0000-0000-00008E290000}"/>
    <cellStyle name="Финансовый 2 2 2 5 9 3" xfId="12462" xr:uid="{00000000-0005-0000-0000-00008F290000}"/>
    <cellStyle name="Финансовый 2 2 2 5 9 3 2" xfId="36417" xr:uid="{00000000-0005-0000-0000-000090290000}"/>
    <cellStyle name="Финансовый 2 2 2 5 9 4" xfId="24440" xr:uid="{00000000-0005-0000-0000-000091290000}"/>
    <cellStyle name="Финансовый 2 2 2 6" xfId="136" xr:uid="{00000000-0005-0000-0000-000092290000}"/>
    <cellStyle name="Финансовый 2 2 2 6 10" xfId="2746" xr:uid="{00000000-0005-0000-0000-000093290000}"/>
    <cellStyle name="Финансовый 2 2 2 6 10 2" xfId="14725" xr:uid="{00000000-0005-0000-0000-000094290000}"/>
    <cellStyle name="Финансовый 2 2 2 6 10 2 2" xfId="38680" xr:uid="{00000000-0005-0000-0000-000095290000}"/>
    <cellStyle name="Финансовый 2 2 2 6 10 3" xfId="26703" xr:uid="{00000000-0005-0000-0000-000096290000}"/>
    <cellStyle name="Финансовый 2 2 2 6 11" xfId="4390" xr:uid="{00000000-0005-0000-0000-000097290000}"/>
    <cellStyle name="Финансовый 2 2 2 6 11 2" xfId="16369" xr:uid="{00000000-0005-0000-0000-000098290000}"/>
    <cellStyle name="Финансовый 2 2 2 6 11 2 2" xfId="40324" xr:uid="{00000000-0005-0000-0000-000099290000}"/>
    <cellStyle name="Финансовый 2 2 2 6 11 3" xfId="28347" xr:uid="{00000000-0005-0000-0000-00009A290000}"/>
    <cellStyle name="Финансовый 2 2 2 6 12" xfId="6177" xr:uid="{00000000-0005-0000-0000-00009B290000}"/>
    <cellStyle name="Финансовый 2 2 2 6 12 2" xfId="18155" xr:uid="{00000000-0005-0000-0000-00009C290000}"/>
    <cellStyle name="Финансовый 2 2 2 6 12 2 2" xfId="42110" xr:uid="{00000000-0005-0000-0000-00009D290000}"/>
    <cellStyle name="Финансовый 2 2 2 6 12 3" xfId="30132" xr:uid="{00000000-0005-0000-0000-00009E290000}"/>
    <cellStyle name="Финансовый 2 2 2 6 13" xfId="8784" xr:uid="{00000000-0005-0000-0000-00009F290000}"/>
    <cellStyle name="Финансовый 2 2 2 6 13 2" xfId="20762" xr:uid="{00000000-0005-0000-0000-0000A0290000}"/>
    <cellStyle name="Финансовый 2 2 2 6 13 2 2" xfId="44717" xr:uid="{00000000-0005-0000-0000-0000A1290000}"/>
    <cellStyle name="Финансовый 2 2 2 6 13 3" xfId="32739" xr:uid="{00000000-0005-0000-0000-0000A2290000}"/>
    <cellStyle name="Финансовый 2 2 2 6 14" xfId="12118" xr:uid="{00000000-0005-0000-0000-0000A3290000}"/>
    <cellStyle name="Финансовый 2 2 2 6 14 2" xfId="36073" xr:uid="{00000000-0005-0000-0000-0000A4290000}"/>
    <cellStyle name="Финансовый 2 2 2 6 15" xfId="24096" xr:uid="{00000000-0005-0000-0000-0000A5290000}"/>
    <cellStyle name="Финансовый 2 2 2 6 16" xfId="48054" xr:uid="{00000000-0005-0000-0000-0000A6290000}"/>
    <cellStyle name="Финансовый 2 2 2 6 2" xfId="272" xr:uid="{00000000-0005-0000-0000-0000A7290000}"/>
    <cellStyle name="Финансовый 2 2 2 6 2 10" xfId="8920" xr:uid="{00000000-0005-0000-0000-0000A8290000}"/>
    <cellStyle name="Финансовый 2 2 2 6 2 10 2" xfId="20898" xr:uid="{00000000-0005-0000-0000-0000A9290000}"/>
    <cellStyle name="Финансовый 2 2 2 6 2 10 2 2" xfId="44853" xr:uid="{00000000-0005-0000-0000-0000AA290000}"/>
    <cellStyle name="Финансовый 2 2 2 6 2 10 3" xfId="32875" xr:uid="{00000000-0005-0000-0000-0000AB290000}"/>
    <cellStyle name="Финансовый 2 2 2 6 2 11" xfId="12254" xr:uid="{00000000-0005-0000-0000-0000AC290000}"/>
    <cellStyle name="Финансовый 2 2 2 6 2 11 2" xfId="36209" xr:uid="{00000000-0005-0000-0000-0000AD290000}"/>
    <cellStyle name="Финансовый 2 2 2 6 2 12" xfId="24232" xr:uid="{00000000-0005-0000-0000-0000AE290000}"/>
    <cellStyle name="Финансовый 2 2 2 6 2 13" xfId="48190" xr:uid="{00000000-0005-0000-0000-0000AF290000}"/>
    <cellStyle name="Финансовый 2 2 2 6 2 2" xfId="1370" xr:uid="{00000000-0005-0000-0000-0000B0290000}"/>
    <cellStyle name="Финансовый 2 2 2 6 2 2 2" xfId="2328" xr:uid="{00000000-0005-0000-0000-0000B1290000}"/>
    <cellStyle name="Финансовый 2 2 2 6 2 2 2 2" xfId="3973" xr:uid="{00000000-0005-0000-0000-0000B2290000}"/>
    <cellStyle name="Финансовый 2 2 2 6 2 2 2 2 2" xfId="11713" xr:uid="{00000000-0005-0000-0000-0000B3290000}"/>
    <cellStyle name="Финансовый 2 2 2 6 2 2 2 2 2 2" xfId="23691" xr:uid="{00000000-0005-0000-0000-0000B4290000}"/>
    <cellStyle name="Финансовый 2 2 2 6 2 2 2 2 2 2 2" xfId="47646" xr:uid="{00000000-0005-0000-0000-0000B5290000}"/>
    <cellStyle name="Финансовый 2 2 2 6 2 2 2 2 2 3" xfId="35668" xr:uid="{00000000-0005-0000-0000-0000B6290000}"/>
    <cellStyle name="Финансовый 2 2 2 6 2 2 2 2 3" xfId="15952" xr:uid="{00000000-0005-0000-0000-0000B7290000}"/>
    <cellStyle name="Финансовый 2 2 2 6 2 2 2 2 3 2" xfId="39907" xr:uid="{00000000-0005-0000-0000-0000B8290000}"/>
    <cellStyle name="Финансовый 2 2 2 6 2 2 2 2 4" xfId="27930" xr:uid="{00000000-0005-0000-0000-0000B9290000}"/>
    <cellStyle name="Финансовый 2 2 2 6 2 2 2 2 5" xfId="51199" xr:uid="{00000000-0005-0000-0000-0000BA290000}"/>
    <cellStyle name="Финансовый 2 2 2 6 2 2 2 3" xfId="5756" xr:uid="{00000000-0005-0000-0000-0000BB290000}"/>
    <cellStyle name="Финансовый 2 2 2 6 2 2 2 3 2" xfId="17734" xr:uid="{00000000-0005-0000-0000-0000BC290000}"/>
    <cellStyle name="Финансовый 2 2 2 6 2 2 2 3 2 2" xfId="41689" xr:uid="{00000000-0005-0000-0000-0000BD290000}"/>
    <cellStyle name="Финансовый 2 2 2 6 2 2 2 3 3" xfId="29711" xr:uid="{00000000-0005-0000-0000-0000BE290000}"/>
    <cellStyle name="Финансовый 2 2 2 6 2 2 2 4" xfId="8366" xr:uid="{00000000-0005-0000-0000-0000BF290000}"/>
    <cellStyle name="Финансовый 2 2 2 6 2 2 2 4 2" xfId="20344" xr:uid="{00000000-0005-0000-0000-0000C0290000}"/>
    <cellStyle name="Финансовый 2 2 2 6 2 2 2 4 2 2" xfId="44299" xr:uid="{00000000-0005-0000-0000-0000C1290000}"/>
    <cellStyle name="Финансовый 2 2 2 6 2 2 2 4 3" xfId="32321" xr:uid="{00000000-0005-0000-0000-0000C2290000}"/>
    <cellStyle name="Финансовый 2 2 2 6 2 2 2 5" xfId="10149" xr:uid="{00000000-0005-0000-0000-0000C3290000}"/>
    <cellStyle name="Финансовый 2 2 2 6 2 2 2 5 2" xfId="22127" xr:uid="{00000000-0005-0000-0000-0000C4290000}"/>
    <cellStyle name="Финансовый 2 2 2 6 2 2 2 5 2 2" xfId="46082" xr:uid="{00000000-0005-0000-0000-0000C5290000}"/>
    <cellStyle name="Финансовый 2 2 2 6 2 2 2 5 3" xfId="34104" xr:uid="{00000000-0005-0000-0000-0000C6290000}"/>
    <cellStyle name="Финансовый 2 2 2 6 2 2 2 6" xfId="14307" xr:uid="{00000000-0005-0000-0000-0000C7290000}"/>
    <cellStyle name="Финансовый 2 2 2 6 2 2 2 6 2" xfId="38262" xr:uid="{00000000-0005-0000-0000-0000C8290000}"/>
    <cellStyle name="Финансовый 2 2 2 6 2 2 2 7" xfId="26285" xr:uid="{00000000-0005-0000-0000-0000C9290000}"/>
    <cellStyle name="Финансовый 2 2 2 6 2 2 2 8" xfId="49418" xr:uid="{00000000-0005-0000-0000-0000CA290000}"/>
    <cellStyle name="Финансовый 2 2 2 6 2 2 3" xfId="3154" xr:uid="{00000000-0005-0000-0000-0000CB290000}"/>
    <cellStyle name="Финансовый 2 2 2 6 2 2 3 2" xfId="10941" xr:uid="{00000000-0005-0000-0000-0000CC290000}"/>
    <cellStyle name="Финансовый 2 2 2 6 2 2 3 2 2" xfId="22919" xr:uid="{00000000-0005-0000-0000-0000CD290000}"/>
    <cellStyle name="Финансовый 2 2 2 6 2 2 3 2 2 2" xfId="46874" xr:uid="{00000000-0005-0000-0000-0000CE290000}"/>
    <cellStyle name="Финансовый 2 2 2 6 2 2 3 2 3" xfId="34896" xr:uid="{00000000-0005-0000-0000-0000CF290000}"/>
    <cellStyle name="Финансовый 2 2 2 6 2 2 3 3" xfId="15133" xr:uid="{00000000-0005-0000-0000-0000D0290000}"/>
    <cellStyle name="Финансовый 2 2 2 6 2 2 3 3 2" xfId="39088" xr:uid="{00000000-0005-0000-0000-0000D1290000}"/>
    <cellStyle name="Финансовый 2 2 2 6 2 2 3 4" xfId="27111" xr:uid="{00000000-0005-0000-0000-0000D2290000}"/>
    <cellStyle name="Финансовый 2 2 2 6 2 2 3 5" xfId="50242" xr:uid="{00000000-0005-0000-0000-0000D3290000}"/>
    <cellStyle name="Финансовый 2 2 2 6 2 2 4" xfId="4798" xr:uid="{00000000-0005-0000-0000-0000D4290000}"/>
    <cellStyle name="Финансовый 2 2 2 6 2 2 4 2" xfId="16777" xr:uid="{00000000-0005-0000-0000-0000D5290000}"/>
    <cellStyle name="Финансовый 2 2 2 6 2 2 4 2 2" xfId="40732" xr:uid="{00000000-0005-0000-0000-0000D6290000}"/>
    <cellStyle name="Финансовый 2 2 2 6 2 2 4 3" xfId="28755" xr:uid="{00000000-0005-0000-0000-0000D7290000}"/>
    <cellStyle name="Финансовый 2 2 2 6 2 2 5" xfId="7410" xr:uid="{00000000-0005-0000-0000-0000D8290000}"/>
    <cellStyle name="Финансовый 2 2 2 6 2 2 5 2" xfId="19388" xr:uid="{00000000-0005-0000-0000-0000D9290000}"/>
    <cellStyle name="Финансовый 2 2 2 6 2 2 5 2 2" xfId="43343" xr:uid="{00000000-0005-0000-0000-0000DA290000}"/>
    <cellStyle name="Финансовый 2 2 2 6 2 2 5 3" xfId="31365" xr:uid="{00000000-0005-0000-0000-0000DB290000}"/>
    <cellStyle name="Финансовый 2 2 2 6 2 2 6" xfId="9192" xr:uid="{00000000-0005-0000-0000-0000DC290000}"/>
    <cellStyle name="Финансовый 2 2 2 6 2 2 6 2" xfId="21170" xr:uid="{00000000-0005-0000-0000-0000DD290000}"/>
    <cellStyle name="Финансовый 2 2 2 6 2 2 6 2 2" xfId="45125" xr:uid="{00000000-0005-0000-0000-0000DE290000}"/>
    <cellStyle name="Финансовый 2 2 2 6 2 2 6 3" xfId="33147" xr:uid="{00000000-0005-0000-0000-0000DF290000}"/>
    <cellStyle name="Финансовый 2 2 2 6 2 2 7" xfId="13351" xr:uid="{00000000-0005-0000-0000-0000E0290000}"/>
    <cellStyle name="Финансовый 2 2 2 6 2 2 7 2" xfId="37306" xr:uid="{00000000-0005-0000-0000-0000E1290000}"/>
    <cellStyle name="Финансовый 2 2 2 6 2 2 8" xfId="25329" xr:uid="{00000000-0005-0000-0000-0000E2290000}"/>
    <cellStyle name="Финансовый 2 2 2 6 2 2 9" xfId="48462" xr:uid="{00000000-0005-0000-0000-0000E3290000}"/>
    <cellStyle name="Финансовый 2 2 2 6 2 3" xfId="2072" xr:uid="{00000000-0005-0000-0000-0000E4290000}"/>
    <cellStyle name="Финансовый 2 2 2 6 2 3 2" xfId="3717" xr:uid="{00000000-0005-0000-0000-0000E5290000}"/>
    <cellStyle name="Финансовый 2 2 2 6 2 3 2 2" xfId="11457" xr:uid="{00000000-0005-0000-0000-0000E6290000}"/>
    <cellStyle name="Финансовый 2 2 2 6 2 3 2 2 2" xfId="23435" xr:uid="{00000000-0005-0000-0000-0000E7290000}"/>
    <cellStyle name="Финансовый 2 2 2 6 2 3 2 2 2 2" xfId="47390" xr:uid="{00000000-0005-0000-0000-0000E8290000}"/>
    <cellStyle name="Финансовый 2 2 2 6 2 3 2 2 3" xfId="35412" xr:uid="{00000000-0005-0000-0000-0000E9290000}"/>
    <cellStyle name="Финансовый 2 2 2 6 2 3 2 3" xfId="15696" xr:uid="{00000000-0005-0000-0000-0000EA290000}"/>
    <cellStyle name="Финансовый 2 2 2 6 2 3 2 3 2" xfId="39651" xr:uid="{00000000-0005-0000-0000-0000EB290000}"/>
    <cellStyle name="Финансовый 2 2 2 6 2 3 2 4" xfId="27674" xr:uid="{00000000-0005-0000-0000-0000EC290000}"/>
    <cellStyle name="Финансовый 2 2 2 6 2 3 2 5" xfId="50943" xr:uid="{00000000-0005-0000-0000-0000ED290000}"/>
    <cellStyle name="Финансовый 2 2 2 6 2 3 3" xfId="5500" xr:uid="{00000000-0005-0000-0000-0000EE290000}"/>
    <cellStyle name="Финансовый 2 2 2 6 2 3 3 2" xfId="17478" xr:uid="{00000000-0005-0000-0000-0000EF290000}"/>
    <cellStyle name="Финансовый 2 2 2 6 2 3 3 2 2" xfId="41433" xr:uid="{00000000-0005-0000-0000-0000F0290000}"/>
    <cellStyle name="Финансовый 2 2 2 6 2 3 3 3" xfId="29455" xr:uid="{00000000-0005-0000-0000-0000F1290000}"/>
    <cellStyle name="Финансовый 2 2 2 6 2 3 4" xfId="8110" xr:uid="{00000000-0005-0000-0000-0000F2290000}"/>
    <cellStyle name="Финансовый 2 2 2 6 2 3 4 2" xfId="20088" xr:uid="{00000000-0005-0000-0000-0000F3290000}"/>
    <cellStyle name="Финансовый 2 2 2 6 2 3 4 2 2" xfId="44043" xr:uid="{00000000-0005-0000-0000-0000F4290000}"/>
    <cellStyle name="Финансовый 2 2 2 6 2 3 4 3" xfId="32065" xr:uid="{00000000-0005-0000-0000-0000F5290000}"/>
    <cellStyle name="Финансовый 2 2 2 6 2 3 5" xfId="9893" xr:uid="{00000000-0005-0000-0000-0000F6290000}"/>
    <cellStyle name="Финансовый 2 2 2 6 2 3 5 2" xfId="21871" xr:uid="{00000000-0005-0000-0000-0000F7290000}"/>
    <cellStyle name="Финансовый 2 2 2 6 2 3 5 2 2" xfId="45826" xr:uid="{00000000-0005-0000-0000-0000F8290000}"/>
    <cellStyle name="Финансовый 2 2 2 6 2 3 5 3" xfId="33848" xr:uid="{00000000-0005-0000-0000-0000F9290000}"/>
    <cellStyle name="Финансовый 2 2 2 6 2 3 6" xfId="14051" xr:uid="{00000000-0005-0000-0000-0000FA290000}"/>
    <cellStyle name="Финансовый 2 2 2 6 2 3 6 2" xfId="38006" xr:uid="{00000000-0005-0000-0000-0000FB290000}"/>
    <cellStyle name="Финансовый 2 2 2 6 2 3 7" xfId="26029" xr:uid="{00000000-0005-0000-0000-0000FC290000}"/>
    <cellStyle name="Финансовый 2 2 2 6 2 3 8" xfId="49162" xr:uid="{00000000-0005-0000-0000-0000FD290000}"/>
    <cellStyle name="Финансовый 2 2 2 6 2 4" xfId="2601" xr:uid="{00000000-0005-0000-0000-0000FE290000}"/>
    <cellStyle name="Финансовый 2 2 2 6 2 4 2" xfId="4246" xr:uid="{00000000-0005-0000-0000-0000FF290000}"/>
    <cellStyle name="Финансовый 2 2 2 6 2 4 2 2" xfId="11970" xr:uid="{00000000-0005-0000-0000-0000002A0000}"/>
    <cellStyle name="Финансовый 2 2 2 6 2 4 2 2 2" xfId="23948" xr:uid="{00000000-0005-0000-0000-0000012A0000}"/>
    <cellStyle name="Финансовый 2 2 2 6 2 4 2 2 2 2" xfId="47903" xr:uid="{00000000-0005-0000-0000-0000022A0000}"/>
    <cellStyle name="Финансовый 2 2 2 6 2 4 2 2 3" xfId="35925" xr:uid="{00000000-0005-0000-0000-0000032A0000}"/>
    <cellStyle name="Финансовый 2 2 2 6 2 4 2 3" xfId="16225" xr:uid="{00000000-0005-0000-0000-0000042A0000}"/>
    <cellStyle name="Финансовый 2 2 2 6 2 4 2 3 2" xfId="40180" xr:uid="{00000000-0005-0000-0000-0000052A0000}"/>
    <cellStyle name="Финансовый 2 2 2 6 2 4 2 4" xfId="28203" xr:uid="{00000000-0005-0000-0000-0000062A0000}"/>
    <cellStyle name="Финансовый 2 2 2 6 2 4 2 5" xfId="51472" xr:uid="{00000000-0005-0000-0000-0000072A0000}"/>
    <cellStyle name="Финансовый 2 2 2 6 2 4 3" xfId="6029" xr:uid="{00000000-0005-0000-0000-0000082A0000}"/>
    <cellStyle name="Финансовый 2 2 2 6 2 4 3 2" xfId="18007" xr:uid="{00000000-0005-0000-0000-0000092A0000}"/>
    <cellStyle name="Финансовый 2 2 2 6 2 4 3 2 2" xfId="41962" xr:uid="{00000000-0005-0000-0000-00000A2A0000}"/>
    <cellStyle name="Финансовый 2 2 2 6 2 4 3 3" xfId="29984" xr:uid="{00000000-0005-0000-0000-00000B2A0000}"/>
    <cellStyle name="Финансовый 2 2 2 6 2 4 4" xfId="8639" xr:uid="{00000000-0005-0000-0000-00000C2A0000}"/>
    <cellStyle name="Финансовый 2 2 2 6 2 4 4 2" xfId="20617" xr:uid="{00000000-0005-0000-0000-00000D2A0000}"/>
    <cellStyle name="Финансовый 2 2 2 6 2 4 4 2 2" xfId="44572" xr:uid="{00000000-0005-0000-0000-00000E2A0000}"/>
    <cellStyle name="Финансовый 2 2 2 6 2 4 4 3" xfId="32594" xr:uid="{00000000-0005-0000-0000-00000F2A0000}"/>
    <cellStyle name="Финансовый 2 2 2 6 2 4 5" xfId="10422" xr:uid="{00000000-0005-0000-0000-0000102A0000}"/>
    <cellStyle name="Финансовый 2 2 2 6 2 4 5 2" xfId="22400" xr:uid="{00000000-0005-0000-0000-0000112A0000}"/>
    <cellStyle name="Финансовый 2 2 2 6 2 4 5 2 2" xfId="46355" xr:uid="{00000000-0005-0000-0000-0000122A0000}"/>
    <cellStyle name="Финансовый 2 2 2 6 2 4 5 3" xfId="34377" xr:uid="{00000000-0005-0000-0000-0000132A0000}"/>
    <cellStyle name="Финансовый 2 2 2 6 2 4 6" xfId="14580" xr:uid="{00000000-0005-0000-0000-0000142A0000}"/>
    <cellStyle name="Финансовый 2 2 2 6 2 4 6 2" xfId="38535" xr:uid="{00000000-0005-0000-0000-0000152A0000}"/>
    <cellStyle name="Финансовый 2 2 2 6 2 4 7" xfId="26558" xr:uid="{00000000-0005-0000-0000-0000162A0000}"/>
    <cellStyle name="Финансовый 2 2 2 6 2 4 8" xfId="49691" xr:uid="{00000000-0005-0000-0000-0000172A0000}"/>
    <cellStyle name="Финансовый 2 2 2 6 2 5" xfId="1105" xr:uid="{00000000-0005-0000-0000-0000182A0000}"/>
    <cellStyle name="Финансовый 2 2 2 6 2 5 2" xfId="7145" xr:uid="{00000000-0005-0000-0000-0000192A0000}"/>
    <cellStyle name="Финансовый 2 2 2 6 2 5 2 2" xfId="19123" xr:uid="{00000000-0005-0000-0000-00001A2A0000}"/>
    <cellStyle name="Финансовый 2 2 2 6 2 5 2 2 2" xfId="43078" xr:uid="{00000000-0005-0000-0000-00001B2A0000}"/>
    <cellStyle name="Финансовый 2 2 2 6 2 5 2 3" xfId="31100" xr:uid="{00000000-0005-0000-0000-00001C2A0000}"/>
    <cellStyle name="Финансовый 2 2 2 6 2 5 3" xfId="10685" xr:uid="{00000000-0005-0000-0000-00001D2A0000}"/>
    <cellStyle name="Финансовый 2 2 2 6 2 5 3 2" xfId="22663" xr:uid="{00000000-0005-0000-0000-00001E2A0000}"/>
    <cellStyle name="Финансовый 2 2 2 6 2 5 3 2 2" xfId="46618" xr:uid="{00000000-0005-0000-0000-00001F2A0000}"/>
    <cellStyle name="Финансовый 2 2 2 6 2 5 3 3" xfId="34640" xr:uid="{00000000-0005-0000-0000-0000202A0000}"/>
    <cellStyle name="Финансовый 2 2 2 6 2 5 4" xfId="13086" xr:uid="{00000000-0005-0000-0000-0000212A0000}"/>
    <cellStyle name="Финансовый 2 2 2 6 2 5 4 2" xfId="37041" xr:uid="{00000000-0005-0000-0000-0000222A0000}"/>
    <cellStyle name="Финансовый 2 2 2 6 2 5 5" xfId="25064" xr:uid="{00000000-0005-0000-0000-0000232A0000}"/>
    <cellStyle name="Финансовый 2 2 2 6 2 5 6" xfId="49970" xr:uid="{00000000-0005-0000-0000-0000242A0000}"/>
    <cellStyle name="Финансовый 2 2 2 6 2 6" xfId="693" xr:uid="{00000000-0005-0000-0000-0000252A0000}"/>
    <cellStyle name="Финансовый 2 2 2 6 2 6 2" xfId="6733" xr:uid="{00000000-0005-0000-0000-0000262A0000}"/>
    <cellStyle name="Финансовый 2 2 2 6 2 6 2 2" xfId="18711" xr:uid="{00000000-0005-0000-0000-0000272A0000}"/>
    <cellStyle name="Финансовый 2 2 2 6 2 6 2 2 2" xfId="42666" xr:uid="{00000000-0005-0000-0000-0000282A0000}"/>
    <cellStyle name="Финансовый 2 2 2 6 2 6 2 3" xfId="30688" xr:uid="{00000000-0005-0000-0000-0000292A0000}"/>
    <cellStyle name="Финансовый 2 2 2 6 2 6 3" xfId="12674" xr:uid="{00000000-0005-0000-0000-00002A2A0000}"/>
    <cellStyle name="Финансовый 2 2 2 6 2 6 3 2" xfId="36629" xr:uid="{00000000-0005-0000-0000-00002B2A0000}"/>
    <cellStyle name="Финансовый 2 2 2 6 2 6 4" xfId="24652" xr:uid="{00000000-0005-0000-0000-00002C2A0000}"/>
    <cellStyle name="Финансовый 2 2 2 6 2 7" xfId="2882" xr:uid="{00000000-0005-0000-0000-00002D2A0000}"/>
    <cellStyle name="Финансовый 2 2 2 6 2 7 2" xfId="14861" xr:uid="{00000000-0005-0000-0000-00002E2A0000}"/>
    <cellStyle name="Финансовый 2 2 2 6 2 7 2 2" xfId="38816" xr:uid="{00000000-0005-0000-0000-00002F2A0000}"/>
    <cellStyle name="Финансовый 2 2 2 6 2 7 3" xfId="26839" xr:uid="{00000000-0005-0000-0000-0000302A0000}"/>
    <cellStyle name="Финансовый 2 2 2 6 2 8" xfId="4526" xr:uid="{00000000-0005-0000-0000-0000312A0000}"/>
    <cellStyle name="Финансовый 2 2 2 6 2 8 2" xfId="16505" xr:uid="{00000000-0005-0000-0000-0000322A0000}"/>
    <cellStyle name="Финансовый 2 2 2 6 2 8 2 2" xfId="40460" xr:uid="{00000000-0005-0000-0000-0000332A0000}"/>
    <cellStyle name="Финансовый 2 2 2 6 2 8 3" xfId="28483" xr:uid="{00000000-0005-0000-0000-0000342A0000}"/>
    <cellStyle name="Финансовый 2 2 2 6 2 9" xfId="6313" xr:uid="{00000000-0005-0000-0000-0000352A0000}"/>
    <cellStyle name="Финансовый 2 2 2 6 2 9 2" xfId="18291" xr:uid="{00000000-0005-0000-0000-0000362A0000}"/>
    <cellStyle name="Финансовый 2 2 2 6 2 9 2 2" xfId="42246" xr:uid="{00000000-0005-0000-0000-0000372A0000}"/>
    <cellStyle name="Финансовый 2 2 2 6 2 9 3" xfId="30268" xr:uid="{00000000-0005-0000-0000-0000382A0000}"/>
    <cellStyle name="Финансовый 2 2 2 6 3" xfId="421" xr:uid="{00000000-0005-0000-0000-0000392A0000}"/>
    <cellStyle name="Финансовый 2 2 2 6 3 10" xfId="24380" xr:uid="{00000000-0005-0000-0000-00003A2A0000}"/>
    <cellStyle name="Финансовый 2 2 2 6 3 11" xfId="48326" xr:uid="{00000000-0005-0000-0000-00003B2A0000}"/>
    <cellStyle name="Финансовый 2 2 2 6 3 2" xfId="2200" xr:uid="{00000000-0005-0000-0000-00003C2A0000}"/>
    <cellStyle name="Финансовый 2 2 2 6 3 2 2" xfId="3845" xr:uid="{00000000-0005-0000-0000-00003D2A0000}"/>
    <cellStyle name="Финансовый 2 2 2 6 3 2 2 2" xfId="11585" xr:uid="{00000000-0005-0000-0000-00003E2A0000}"/>
    <cellStyle name="Финансовый 2 2 2 6 3 2 2 2 2" xfId="23563" xr:uid="{00000000-0005-0000-0000-00003F2A0000}"/>
    <cellStyle name="Финансовый 2 2 2 6 3 2 2 2 2 2" xfId="47518" xr:uid="{00000000-0005-0000-0000-0000402A0000}"/>
    <cellStyle name="Финансовый 2 2 2 6 3 2 2 2 3" xfId="35540" xr:uid="{00000000-0005-0000-0000-0000412A0000}"/>
    <cellStyle name="Финансовый 2 2 2 6 3 2 2 3" xfId="15824" xr:uid="{00000000-0005-0000-0000-0000422A0000}"/>
    <cellStyle name="Финансовый 2 2 2 6 3 2 2 3 2" xfId="39779" xr:uid="{00000000-0005-0000-0000-0000432A0000}"/>
    <cellStyle name="Финансовый 2 2 2 6 3 2 2 4" xfId="27802" xr:uid="{00000000-0005-0000-0000-0000442A0000}"/>
    <cellStyle name="Финансовый 2 2 2 6 3 2 2 5" xfId="51071" xr:uid="{00000000-0005-0000-0000-0000452A0000}"/>
    <cellStyle name="Финансовый 2 2 2 6 3 2 3" xfId="5628" xr:uid="{00000000-0005-0000-0000-0000462A0000}"/>
    <cellStyle name="Финансовый 2 2 2 6 3 2 3 2" xfId="17606" xr:uid="{00000000-0005-0000-0000-0000472A0000}"/>
    <cellStyle name="Финансовый 2 2 2 6 3 2 3 2 2" xfId="41561" xr:uid="{00000000-0005-0000-0000-0000482A0000}"/>
    <cellStyle name="Финансовый 2 2 2 6 3 2 3 3" xfId="29583" xr:uid="{00000000-0005-0000-0000-0000492A0000}"/>
    <cellStyle name="Финансовый 2 2 2 6 3 2 4" xfId="8238" xr:uid="{00000000-0005-0000-0000-00004A2A0000}"/>
    <cellStyle name="Финансовый 2 2 2 6 3 2 4 2" xfId="20216" xr:uid="{00000000-0005-0000-0000-00004B2A0000}"/>
    <cellStyle name="Финансовый 2 2 2 6 3 2 4 2 2" xfId="44171" xr:uid="{00000000-0005-0000-0000-00004C2A0000}"/>
    <cellStyle name="Финансовый 2 2 2 6 3 2 4 3" xfId="32193" xr:uid="{00000000-0005-0000-0000-00004D2A0000}"/>
    <cellStyle name="Финансовый 2 2 2 6 3 2 5" xfId="10021" xr:uid="{00000000-0005-0000-0000-00004E2A0000}"/>
    <cellStyle name="Финансовый 2 2 2 6 3 2 5 2" xfId="21999" xr:uid="{00000000-0005-0000-0000-00004F2A0000}"/>
    <cellStyle name="Финансовый 2 2 2 6 3 2 5 2 2" xfId="45954" xr:uid="{00000000-0005-0000-0000-0000502A0000}"/>
    <cellStyle name="Финансовый 2 2 2 6 3 2 5 3" xfId="33976" xr:uid="{00000000-0005-0000-0000-0000512A0000}"/>
    <cellStyle name="Финансовый 2 2 2 6 3 2 6" xfId="14179" xr:uid="{00000000-0005-0000-0000-0000522A0000}"/>
    <cellStyle name="Финансовый 2 2 2 6 3 2 6 2" xfId="38134" xr:uid="{00000000-0005-0000-0000-0000532A0000}"/>
    <cellStyle name="Финансовый 2 2 2 6 3 2 7" xfId="26157" xr:uid="{00000000-0005-0000-0000-0000542A0000}"/>
    <cellStyle name="Финансовый 2 2 2 6 3 2 8" xfId="49290" xr:uid="{00000000-0005-0000-0000-0000552A0000}"/>
    <cellStyle name="Финансовый 2 2 2 6 3 3" xfId="1234" xr:uid="{00000000-0005-0000-0000-0000562A0000}"/>
    <cellStyle name="Финансовый 2 2 2 6 3 3 2" xfId="7274" xr:uid="{00000000-0005-0000-0000-0000572A0000}"/>
    <cellStyle name="Финансовый 2 2 2 6 3 3 2 2" xfId="19252" xr:uid="{00000000-0005-0000-0000-0000582A0000}"/>
    <cellStyle name="Финансовый 2 2 2 6 3 3 2 2 2" xfId="43207" xr:uid="{00000000-0005-0000-0000-0000592A0000}"/>
    <cellStyle name="Финансовый 2 2 2 6 3 3 2 3" xfId="31229" xr:uid="{00000000-0005-0000-0000-00005A2A0000}"/>
    <cellStyle name="Финансовый 2 2 2 6 3 3 3" xfId="10813" xr:uid="{00000000-0005-0000-0000-00005B2A0000}"/>
    <cellStyle name="Финансовый 2 2 2 6 3 3 3 2" xfId="22791" xr:uid="{00000000-0005-0000-0000-00005C2A0000}"/>
    <cellStyle name="Финансовый 2 2 2 6 3 3 3 2 2" xfId="46746" xr:uid="{00000000-0005-0000-0000-00005D2A0000}"/>
    <cellStyle name="Финансовый 2 2 2 6 3 3 3 3" xfId="34768" xr:uid="{00000000-0005-0000-0000-00005E2A0000}"/>
    <cellStyle name="Финансовый 2 2 2 6 3 3 4" xfId="13215" xr:uid="{00000000-0005-0000-0000-00005F2A0000}"/>
    <cellStyle name="Финансовый 2 2 2 6 3 3 4 2" xfId="37170" xr:uid="{00000000-0005-0000-0000-0000602A0000}"/>
    <cellStyle name="Финансовый 2 2 2 6 3 3 5" xfId="25193" xr:uid="{00000000-0005-0000-0000-0000612A0000}"/>
    <cellStyle name="Финансовый 2 2 2 6 3 3 6" xfId="50106" xr:uid="{00000000-0005-0000-0000-0000622A0000}"/>
    <cellStyle name="Финансовый 2 2 2 6 3 4" xfId="841" xr:uid="{00000000-0005-0000-0000-0000632A0000}"/>
    <cellStyle name="Финансовый 2 2 2 6 3 4 2" xfId="6881" xr:uid="{00000000-0005-0000-0000-0000642A0000}"/>
    <cellStyle name="Финансовый 2 2 2 6 3 4 2 2" xfId="18859" xr:uid="{00000000-0005-0000-0000-0000652A0000}"/>
    <cellStyle name="Финансовый 2 2 2 6 3 4 2 2 2" xfId="42814" xr:uid="{00000000-0005-0000-0000-0000662A0000}"/>
    <cellStyle name="Финансовый 2 2 2 6 3 4 2 3" xfId="30836" xr:uid="{00000000-0005-0000-0000-0000672A0000}"/>
    <cellStyle name="Финансовый 2 2 2 6 3 4 3" xfId="12822" xr:uid="{00000000-0005-0000-0000-0000682A0000}"/>
    <cellStyle name="Финансовый 2 2 2 6 3 4 3 2" xfId="36777" xr:uid="{00000000-0005-0000-0000-0000692A0000}"/>
    <cellStyle name="Финансовый 2 2 2 6 3 4 4" xfId="24800" xr:uid="{00000000-0005-0000-0000-00006A2A0000}"/>
    <cellStyle name="Финансовый 2 2 2 6 3 5" xfId="3018" xr:uid="{00000000-0005-0000-0000-00006B2A0000}"/>
    <cellStyle name="Финансовый 2 2 2 6 3 5 2" xfId="14997" xr:uid="{00000000-0005-0000-0000-00006C2A0000}"/>
    <cellStyle name="Финансовый 2 2 2 6 3 5 2 2" xfId="38952" xr:uid="{00000000-0005-0000-0000-00006D2A0000}"/>
    <cellStyle name="Финансовый 2 2 2 6 3 5 3" xfId="26975" xr:uid="{00000000-0005-0000-0000-00006E2A0000}"/>
    <cellStyle name="Финансовый 2 2 2 6 3 6" xfId="4662" xr:uid="{00000000-0005-0000-0000-00006F2A0000}"/>
    <cellStyle name="Финансовый 2 2 2 6 3 6 2" xfId="16641" xr:uid="{00000000-0005-0000-0000-0000702A0000}"/>
    <cellStyle name="Финансовый 2 2 2 6 3 6 2 2" xfId="40596" xr:uid="{00000000-0005-0000-0000-0000712A0000}"/>
    <cellStyle name="Финансовый 2 2 2 6 3 6 3" xfId="28619" xr:uid="{00000000-0005-0000-0000-0000722A0000}"/>
    <cellStyle name="Финансовый 2 2 2 6 3 7" xfId="6461" xr:uid="{00000000-0005-0000-0000-0000732A0000}"/>
    <cellStyle name="Финансовый 2 2 2 6 3 7 2" xfId="18439" xr:uid="{00000000-0005-0000-0000-0000742A0000}"/>
    <cellStyle name="Финансовый 2 2 2 6 3 7 2 2" xfId="42394" xr:uid="{00000000-0005-0000-0000-0000752A0000}"/>
    <cellStyle name="Финансовый 2 2 2 6 3 7 3" xfId="30416" xr:uid="{00000000-0005-0000-0000-0000762A0000}"/>
    <cellStyle name="Финансовый 2 2 2 6 3 8" xfId="9056" xr:uid="{00000000-0005-0000-0000-0000772A0000}"/>
    <cellStyle name="Финансовый 2 2 2 6 3 8 2" xfId="21034" xr:uid="{00000000-0005-0000-0000-0000782A0000}"/>
    <cellStyle name="Финансовый 2 2 2 6 3 8 2 2" xfId="44989" xr:uid="{00000000-0005-0000-0000-0000792A0000}"/>
    <cellStyle name="Финансовый 2 2 2 6 3 8 3" xfId="33011" xr:uid="{00000000-0005-0000-0000-00007A2A0000}"/>
    <cellStyle name="Финансовый 2 2 2 6 3 9" xfId="12402" xr:uid="{00000000-0005-0000-0000-00007B2A0000}"/>
    <cellStyle name="Финансовый 2 2 2 6 3 9 2" xfId="36357" xr:uid="{00000000-0005-0000-0000-00007C2A0000}"/>
    <cellStyle name="Финансовый 2 2 2 6 4" xfId="1464" xr:uid="{00000000-0005-0000-0000-00007D2A0000}"/>
    <cellStyle name="Финансовый 2 2 2 6 4 2" xfId="1944" xr:uid="{00000000-0005-0000-0000-00007E2A0000}"/>
    <cellStyle name="Финансовый 2 2 2 6 4 2 2" xfId="3589" xr:uid="{00000000-0005-0000-0000-00007F2A0000}"/>
    <cellStyle name="Финансовый 2 2 2 6 4 2 2 2" xfId="11329" xr:uid="{00000000-0005-0000-0000-0000802A0000}"/>
    <cellStyle name="Финансовый 2 2 2 6 4 2 2 2 2" xfId="23307" xr:uid="{00000000-0005-0000-0000-0000812A0000}"/>
    <cellStyle name="Финансовый 2 2 2 6 4 2 2 2 2 2" xfId="47262" xr:uid="{00000000-0005-0000-0000-0000822A0000}"/>
    <cellStyle name="Финансовый 2 2 2 6 4 2 2 2 3" xfId="35284" xr:uid="{00000000-0005-0000-0000-0000832A0000}"/>
    <cellStyle name="Финансовый 2 2 2 6 4 2 2 3" xfId="15568" xr:uid="{00000000-0005-0000-0000-0000842A0000}"/>
    <cellStyle name="Финансовый 2 2 2 6 4 2 2 3 2" xfId="39523" xr:uid="{00000000-0005-0000-0000-0000852A0000}"/>
    <cellStyle name="Финансовый 2 2 2 6 4 2 2 4" xfId="27546" xr:uid="{00000000-0005-0000-0000-0000862A0000}"/>
    <cellStyle name="Финансовый 2 2 2 6 4 2 2 5" xfId="50815" xr:uid="{00000000-0005-0000-0000-0000872A0000}"/>
    <cellStyle name="Финансовый 2 2 2 6 4 2 3" xfId="5372" xr:uid="{00000000-0005-0000-0000-0000882A0000}"/>
    <cellStyle name="Финансовый 2 2 2 6 4 2 3 2" xfId="17350" xr:uid="{00000000-0005-0000-0000-0000892A0000}"/>
    <cellStyle name="Финансовый 2 2 2 6 4 2 3 2 2" xfId="41305" xr:uid="{00000000-0005-0000-0000-00008A2A0000}"/>
    <cellStyle name="Финансовый 2 2 2 6 4 2 3 3" xfId="29327" xr:uid="{00000000-0005-0000-0000-00008B2A0000}"/>
    <cellStyle name="Финансовый 2 2 2 6 4 2 4" xfId="7982" xr:uid="{00000000-0005-0000-0000-00008C2A0000}"/>
    <cellStyle name="Финансовый 2 2 2 6 4 2 4 2" xfId="19960" xr:uid="{00000000-0005-0000-0000-00008D2A0000}"/>
    <cellStyle name="Финансовый 2 2 2 6 4 2 4 2 2" xfId="43915" xr:uid="{00000000-0005-0000-0000-00008E2A0000}"/>
    <cellStyle name="Финансовый 2 2 2 6 4 2 4 3" xfId="31937" xr:uid="{00000000-0005-0000-0000-00008F2A0000}"/>
    <cellStyle name="Финансовый 2 2 2 6 4 2 5" xfId="9765" xr:uid="{00000000-0005-0000-0000-0000902A0000}"/>
    <cellStyle name="Финансовый 2 2 2 6 4 2 5 2" xfId="21743" xr:uid="{00000000-0005-0000-0000-0000912A0000}"/>
    <cellStyle name="Финансовый 2 2 2 6 4 2 5 2 2" xfId="45698" xr:uid="{00000000-0005-0000-0000-0000922A0000}"/>
    <cellStyle name="Финансовый 2 2 2 6 4 2 5 3" xfId="33720" xr:uid="{00000000-0005-0000-0000-0000932A0000}"/>
    <cellStyle name="Финансовый 2 2 2 6 4 2 6" xfId="13923" xr:uid="{00000000-0005-0000-0000-0000942A0000}"/>
    <cellStyle name="Финансовый 2 2 2 6 4 2 6 2" xfId="37878" xr:uid="{00000000-0005-0000-0000-0000952A0000}"/>
    <cellStyle name="Финансовый 2 2 2 6 4 2 7" xfId="25901" xr:uid="{00000000-0005-0000-0000-0000962A0000}"/>
    <cellStyle name="Финансовый 2 2 2 6 4 2 8" xfId="49034" xr:uid="{00000000-0005-0000-0000-0000972A0000}"/>
    <cellStyle name="Финансовый 2 2 2 6 4 3" xfId="4892" xr:uid="{00000000-0005-0000-0000-0000982A0000}"/>
    <cellStyle name="Финансовый 2 2 2 6 4 3 2" xfId="16870" xr:uid="{00000000-0005-0000-0000-0000992A0000}"/>
    <cellStyle name="Финансовый 2 2 2 6 4 3 2 2" xfId="40825" xr:uid="{00000000-0005-0000-0000-00009A2A0000}"/>
    <cellStyle name="Финансовый 2 2 2 6 4 3 3" xfId="28847" xr:uid="{00000000-0005-0000-0000-00009B2A0000}"/>
    <cellStyle name="Финансовый 2 2 2 6 4 3 4" xfId="50335" xr:uid="{00000000-0005-0000-0000-00009C2A0000}"/>
    <cellStyle name="Финансовый 2 2 2 6 4 4" xfId="7502" xr:uid="{00000000-0005-0000-0000-00009D2A0000}"/>
    <cellStyle name="Финансовый 2 2 2 6 4 4 2" xfId="19480" xr:uid="{00000000-0005-0000-0000-00009E2A0000}"/>
    <cellStyle name="Финансовый 2 2 2 6 4 4 2 2" xfId="43435" xr:uid="{00000000-0005-0000-0000-00009F2A0000}"/>
    <cellStyle name="Финансовый 2 2 2 6 4 4 3" xfId="31457" xr:uid="{00000000-0005-0000-0000-0000A02A0000}"/>
    <cellStyle name="Финансовый 2 2 2 6 4 5" xfId="9285" xr:uid="{00000000-0005-0000-0000-0000A12A0000}"/>
    <cellStyle name="Финансовый 2 2 2 6 4 5 2" xfId="21263" xr:uid="{00000000-0005-0000-0000-0000A22A0000}"/>
    <cellStyle name="Финансовый 2 2 2 6 4 5 2 2" xfId="45218" xr:uid="{00000000-0005-0000-0000-0000A32A0000}"/>
    <cellStyle name="Финансовый 2 2 2 6 4 5 3" xfId="33240" xr:uid="{00000000-0005-0000-0000-0000A42A0000}"/>
    <cellStyle name="Финансовый 2 2 2 6 4 6" xfId="13443" xr:uid="{00000000-0005-0000-0000-0000A52A0000}"/>
    <cellStyle name="Финансовый 2 2 2 6 4 6 2" xfId="37398" xr:uid="{00000000-0005-0000-0000-0000A62A0000}"/>
    <cellStyle name="Финансовый 2 2 2 6 4 7" xfId="25421" xr:uid="{00000000-0005-0000-0000-0000A72A0000}"/>
    <cellStyle name="Финансовый 2 2 2 6 4 8" xfId="48554" xr:uid="{00000000-0005-0000-0000-0000A82A0000}"/>
    <cellStyle name="Финансовый 2 2 2 6 5" xfId="1820" xr:uid="{00000000-0005-0000-0000-0000A92A0000}"/>
    <cellStyle name="Финансовый 2 2 2 6 5 2" xfId="3465" xr:uid="{00000000-0005-0000-0000-0000AA2A0000}"/>
    <cellStyle name="Финансовый 2 2 2 6 5 2 2" xfId="11213" xr:uid="{00000000-0005-0000-0000-0000AB2A0000}"/>
    <cellStyle name="Финансовый 2 2 2 6 5 2 2 2" xfId="23191" xr:uid="{00000000-0005-0000-0000-0000AC2A0000}"/>
    <cellStyle name="Финансовый 2 2 2 6 5 2 2 2 2" xfId="47146" xr:uid="{00000000-0005-0000-0000-0000AD2A0000}"/>
    <cellStyle name="Финансовый 2 2 2 6 5 2 2 3" xfId="35168" xr:uid="{00000000-0005-0000-0000-0000AE2A0000}"/>
    <cellStyle name="Финансовый 2 2 2 6 5 2 3" xfId="15444" xr:uid="{00000000-0005-0000-0000-0000AF2A0000}"/>
    <cellStyle name="Финансовый 2 2 2 6 5 2 3 2" xfId="39399" xr:uid="{00000000-0005-0000-0000-0000B02A0000}"/>
    <cellStyle name="Финансовый 2 2 2 6 5 2 4" xfId="27422" xr:uid="{00000000-0005-0000-0000-0000B12A0000}"/>
    <cellStyle name="Финансовый 2 2 2 6 5 2 5" xfId="50691" xr:uid="{00000000-0005-0000-0000-0000B22A0000}"/>
    <cellStyle name="Финансовый 2 2 2 6 5 3" xfId="5248" xr:uid="{00000000-0005-0000-0000-0000B32A0000}"/>
    <cellStyle name="Финансовый 2 2 2 6 5 3 2" xfId="17226" xr:uid="{00000000-0005-0000-0000-0000B42A0000}"/>
    <cellStyle name="Финансовый 2 2 2 6 5 3 2 2" xfId="41181" xr:uid="{00000000-0005-0000-0000-0000B52A0000}"/>
    <cellStyle name="Финансовый 2 2 2 6 5 3 3" xfId="29203" xr:uid="{00000000-0005-0000-0000-0000B62A0000}"/>
    <cellStyle name="Финансовый 2 2 2 6 5 4" xfId="7858" xr:uid="{00000000-0005-0000-0000-0000B72A0000}"/>
    <cellStyle name="Финансовый 2 2 2 6 5 4 2" xfId="19836" xr:uid="{00000000-0005-0000-0000-0000B82A0000}"/>
    <cellStyle name="Финансовый 2 2 2 6 5 4 2 2" xfId="43791" xr:uid="{00000000-0005-0000-0000-0000B92A0000}"/>
    <cellStyle name="Финансовый 2 2 2 6 5 4 3" xfId="31813" xr:uid="{00000000-0005-0000-0000-0000BA2A0000}"/>
    <cellStyle name="Финансовый 2 2 2 6 5 5" xfId="9641" xr:uid="{00000000-0005-0000-0000-0000BB2A0000}"/>
    <cellStyle name="Финансовый 2 2 2 6 5 5 2" xfId="21619" xr:uid="{00000000-0005-0000-0000-0000BC2A0000}"/>
    <cellStyle name="Финансовый 2 2 2 6 5 5 2 2" xfId="45574" xr:uid="{00000000-0005-0000-0000-0000BD2A0000}"/>
    <cellStyle name="Финансовый 2 2 2 6 5 5 3" xfId="33596" xr:uid="{00000000-0005-0000-0000-0000BE2A0000}"/>
    <cellStyle name="Финансовый 2 2 2 6 5 6" xfId="13799" xr:uid="{00000000-0005-0000-0000-0000BF2A0000}"/>
    <cellStyle name="Финансовый 2 2 2 6 5 6 2" xfId="37754" xr:uid="{00000000-0005-0000-0000-0000C02A0000}"/>
    <cellStyle name="Финансовый 2 2 2 6 5 7" xfId="25777" xr:uid="{00000000-0005-0000-0000-0000C12A0000}"/>
    <cellStyle name="Финансовый 2 2 2 6 5 8" xfId="48910" xr:uid="{00000000-0005-0000-0000-0000C22A0000}"/>
    <cellStyle name="Финансовый 2 2 2 6 6" xfId="2465" xr:uid="{00000000-0005-0000-0000-0000C32A0000}"/>
    <cellStyle name="Финансовый 2 2 2 6 6 2" xfId="4110" xr:uid="{00000000-0005-0000-0000-0000C42A0000}"/>
    <cellStyle name="Финансовый 2 2 2 6 6 2 2" xfId="11842" xr:uid="{00000000-0005-0000-0000-0000C52A0000}"/>
    <cellStyle name="Финансовый 2 2 2 6 6 2 2 2" xfId="23820" xr:uid="{00000000-0005-0000-0000-0000C62A0000}"/>
    <cellStyle name="Финансовый 2 2 2 6 6 2 2 2 2" xfId="47775" xr:uid="{00000000-0005-0000-0000-0000C72A0000}"/>
    <cellStyle name="Финансовый 2 2 2 6 6 2 2 3" xfId="35797" xr:uid="{00000000-0005-0000-0000-0000C82A0000}"/>
    <cellStyle name="Финансовый 2 2 2 6 6 2 3" xfId="16089" xr:uid="{00000000-0005-0000-0000-0000C92A0000}"/>
    <cellStyle name="Финансовый 2 2 2 6 6 2 3 2" xfId="40044" xr:uid="{00000000-0005-0000-0000-0000CA2A0000}"/>
    <cellStyle name="Финансовый 2 2 2 6 6 2 4" xfId="28067" xr:uid="{00000000-0005-0000-0000-0000CB2A0000}"/>
    <cellStyle name="Финансовый 2 2 2 6 6 2 5" xfId="51336" xr:uid="{00000000-0005-0000-0000-0000CC2A0000}"/>
    <cellStyle name="Финансовый 2 2 2 6 6 3" xfId="5893" xr:uid="{00000000-0005-0000-0000-0000CD2A0000}"/>
    <cellStyle name="Финансовый 2 2 2 6 6 3 2" xfId="17871" xr:uid="{00000000-0005-0000-0000-0000CE2A0000}"/>
    <cellStyle name="Финансовый 2 2 2 6 6 3 2 2" xfId="41826" xr:uid="{00000000-0005-0000-0000-0000CF2A0000}"/>
    <cellStyle name="Финансовый 2 2 2 6 6 3 3" xfId="29848" xr:uid="{00000000-0005-0000-0000-0000D02A0000}"/>
    <cellStyle name="Финансовый 2 2 2 6 6 4" xfId="8503" xr:uid="{00000000-0005-0000-0000-0000D12A0000}"/>
    <cellStyle name="Финансовый 2 2 2 6 6 4 2" xfId="20481" xr:uid="{00000000-0005-0000-0000-0000D22A0000}"/>
    <cellStyle name="Финансовый 2 2 2 6 6 4 2 2" xfId="44436" xr:uid="{00000000-0005-0000-0000-0000D32A0000}"/>
    <cellStyle name="Финансовый 2 2 2 6 6 4 3" xfId="32458" xr:uid="{00000000-0005-0000-0000-0000D42A0000}"/>
    <cellStyle name="Финансовый 2 2 2 6 6 5" xfId="10286" xr:uid="{00000000-0005-0000-0000-0000D52A0000}"/>
    <cellStyle name="Финансовый 2 2 2 6 6 5 2" xfId="22264" xr:uid="{00000000-0005-0000-0000-0000D62A0000}"/>
    <cellStyle name="Финансовый 2 2 2 6 6 5 2 2" xfId="46219" xr:uid="{00000000-0005-0000-0000-0000D72A0000}"/>
    <cellStyle name="Финансовый 2 2 2 6 6 5 3" xfId="34241" xr:uid="{00000000-0005-0000-0000-0000D82A0000}"/>
    <cellStyle name="Финансовый 2 2 2 6 6 6" xfId="14444" xr:uid="{00000000-0005-0000-0000-0000D92A0000}"/>
    <cellStyle name="Финансовый 2 2 2 6 6 6 2" xfId="38399" xr:uid="{00000000-0005-0000-0000-0000DA2A0000}"/>
    <cellStyle name="Финансовый 2 2 2 6 6 7" xfId="26422" xr:uid="{00000000-0005-0000-0000-0000DB2A0000}"/>
    <cellStyle name="Финансовый 2 2 2 6 6 8" xfId="49555" xr:uid="{00000000-0005-0000-0000-0000DC2A0000}"/>
    <cellStyle name="Финансовый 2 2 2 6 7" xfId="1692" xr:uid="{00000000-0005-0000-0000-0000DD2A0000}"/>
    <cellStyle name="Финансовый 2 2 2 6 7 2" xfId="3337" xr:uid="{00000000-0005-0000-0000-0000DE2A0000}"/>
    <cellStyle name="Финансовый 2 2 2 6 7 2 2" xfId="11085" xr:uid="{00000000-0005-0000-0000-0000DF2A0000}"/>
    <cellStyle name="Финансовый 2 2 2 6 7 2 2 2" xfId="23063" xr:uid="{00000000-0005-0000-0000-0000E02A0000}"/>
    <cellStyle name="Финансовый 2 2 2 6 7 2 2 2 2" xfId="47018" xr:uid="{00000000-0005-0000-0000-0000E12A0000}"/>
    <cellStyle name="Финансовый 2 2 2 6 7 2 2 3" xfId="35040" xr:uid="{00000000-0005-0000-0000-0000E22A0000}"/>
    <cellStyle name="Финансовый 2 2 2 6 7 2 3" xfId="15316" xr:uid="{00000000-0005-0000-0000-0000E32A0000}"/>
    <cellStyle name="Финансовый 2 2 2 6 7 2 3 2" xfId="39271" xr:uid="{00000000-0005-0000-0000-0000E42A0000}"/>
    <cellStyle name="Финансовый 2 2 2 6 7 2 4" xfId="27294" xr:uid="{00000000-0005-0000-0000-0000E52A0000}"/>
    <cellStyle name="Финансовый 2 2 2 6 7 2 5" xfId="50563" xr:uid="{00000000-0005-0000-0000-0000E62A0000}"/>
    <cellStyle name="Финансовый 2 2 2 6 7 3" xfId="5120" xr:uid="{00000000-0005-0000-0000-0000E72A0000}"/>
    <cellStyle name="Финансовый 2 2 2 6 7 3 2" xfId="17098" xr:uid="{00000000-0005-0000-0000-0000E82A0000}"/>
    <cellStyle name="Финансовый 2 2 2 6 7 3 2 2" xfId="41053" xr:uid="{00000000-0005-0000-0000-0000E92A0000}"/>
    <cellStyle name="Финансовый 2 2 2 6 7 3 3" xfId="29075" xr:uid="{00000000-0005-0000-0000-0000EA2A0000}"/>
    <cellStyle name="Финансовый 2 2 2 6 7 4" xfId="7730" xr:uid="{00000000-0005-0000-0000-0000EB2A0000}"/>
    <cellStyle name="Финансовый 2 2 2 6 7 4 2" xfId="19708" xr:uid="{00000000-0005-0000-0000-0000EC2A0000}"/>
    <cellStyle name="Финансовый 2 2 2 6 7 4 2 2" xfId="43663" xr:uid="{00000000-0005-0000-0000-0000ED2A0000}"/>
    <cellStyle name="Финансовый 2 2 2 6 7 4 3" xfId="31685" xr:uid="{00000000-0005-0000-0000-0000EE2A0000}"/>
    <cellStyle name="Финансовый 2 2 2 6 7 5" xfId="9513" xr:uid="{00000000-0005-0000-0000-0000EF2A0000}"/>
    <cellStyle name="Финансовый 2 2 2 6 7 5 2" xfId="21491" xr:uid="{00000000-0005-0000-0000-0000F02A0000}"/>
    <cellStyle name="Финансовый 2 2 2 6 7 5 2 2" xfId="45446" xr:uid="{00000000-0005-0000-0000-0000F12A0000}"/>
    <cellStyle name="Финансовый 2 2 2 6 7 5 3" xfId="33468" xr:uid="{00000000-0005-0000-0000-0000F22A0000}"/>
    <cellStyle name="Финансовый 2 2 2 6 7 6" xfId="13671" xr:uid="{00000000-0005-0000-0000-0000F32A0000}"/>
    <cellStyle name="Финансовый 2 2 2 6 7 6 2" xfId="37626" xr:uid="{00000000-0005-0000-0000-0000F42A0000}"/>
    <cellStyle name="Финансовый 2 2 2 6 7 7" xfId="25649" xr:uid="{00000000-0005-0000-0000-0000F52A0000}"/>
    <cellStyle name="Финансовый 2 2 2 6 7 8" xfId="48782" xr:uid="{00000000-0005-0000-0000-0000F62A0000}"/>
    <cellStyle name="Финансовый 2 2 2 6 8" xfId="969" xr:uid="{00000000-0005-0000-0000-0000F72A0000}"/>
    <cellStyle name="Финансовый 2 2 2 6 8 2" xfId="7009" xr:uid="{00000000-0005-0000-0000-0000F82A0000}"/>
    <cellStyle name="Финансовый 2 2 2 6 8 2 2" xfId="18987" xr:uid="{00000000-0005-0000-0000-0000F92A0000}"/>
    <cellStyle name="Финансовый 2 2 2 6 8 2 2 2" xfId="42942" xr:uid="{00000000-0005-0000-0000-0000FA2A0000}"/>
    <cellStyle name="Финансовый 2 2 2 6 8 2 3" xfId="30964" xr:uid="{00000000-0005-0000-0000-0000FB2A0000}"/>
    <cellStyle name="Финансовый 2 2 2 6 8 3" xfId="10557" xr:uid="{00000000-0005-0000-0000-0000FC2A0000}"/>
    <cellStyle name="Финансовый 2 2 2 6 8 3 2" xfId="22535" xr:uid="{00000000-0005-0000-0000-0000FD2A0000}"/>
    <cellStyle name="Финансовый 2 2 2 6 8 3 2 2" xfId="46490" xr:uid="{00000000-0005-0000-0000-0000FE2A0000}"/>
    <cellStyle name="Финансовый 2 2 2 6 8 3 3" xfId="34512" xr:uid="{00000000-0005-0000-0000-0000FF2A0000}"/>
    <cellStyle name="Финансовый 2 2 2 6 8 4" xfId="12950" xr:uid="{00000000-0005-0000-0000-0000002B0000}"/>
    <cellStyle name="Финансовый 2 2 2 6 8 4 2" xfId="36905" xr:uid="{00000000-0005-0000-0000-0000012B0000}"/>
    <cellStyle name="Финансовый 2 2 2 6 8 5" xfId="24928" xr:uid="{00000000-0005-0000-0000-0000022B0000}"/>
    <cellStyle name="Финансовый 2 2 2 6 8 6" xfId="49834" xr:uid="{00000000-0005-0000-0000-0000032B0000}"/>
    <cellStyle name="Финансовый 2 2 2 6 9" xfId="557" xr:uid="{00000000-0005-0000-0000-0000042B0000}"/>
    <cellStyle name="Финансовый 2 2 2 6 9 2" xfId="6597" xr:uid="{00000000-0005-0000-0000-0000052B0000}"/>
    <cellStyle name="Финансовый 2 2 2 6 9 2 2" xfId="18575" xr:uid="{00000000-0005-0000-0000-0000062B0000}"/>
    <cellStyle name="Финансовый 2 2 2 6 9 2 2 2" xfId="42530" xr:uid="{00000000-0005-0000-0000-0000072B0000}"/>
    <cellStyle name="Финансовый 2 2 2 6 9 2 3" xfId="30552" xr:uid="{00000000-0005-0000-0000-0000082B0000}"/>
    <cellStyle name="Финансовый 2 2 2 6 9 3" xfId="12538" xr:uid="{00000000-0005-0000-0000-0000092B0000}"/>
    <cellStyle name="Финансовый 2 2 2 6 9 3 2" xfId="36493" xr:uid="{00000000-0005-0000-0000-00000A2B0000}"/>
    <cellStyle name="Финансовый 2 2 2 6 9 4" xfId="24516" xr:uid="{00000000-0005-0000-0000-00000B2B0000}"/>
    <cellStyle name="Финансовый 2 2 2 7" xfId="34" xr:uid="{00000000-0005-0000-0000-00000C2B0000}"/>
    <cellStyle name="Финансовый 2 2 2 7 10" xfId="2646" xr:uid="{00000000-0005-0000-0000-00000D2B0000}"/>
    <cellStyle name="Финансовый 2 2 2 7 10 2" xfId="14625" xr:uid="{00000000-0005-0000-0000-00000E2B0000}"/>
    <cellStyle name="Финансовый 2 2 2 7 10 2 2" xfId="38580" xr:uid="{00000000-0005-0000-0000-00000F2B0000}"/>
    <cellStyle name="Финансовый 2 2 2 7 10 3" xfId="26603" xr:uid="{00000000-0005-0000-0000-0000102B0000}"/>
    <cellStyle name="Финансовый 2 2 2 7 11" xfId="4289" xr:uid="{00000000-0005-0000-0000-0000112B0000}"/>
    <cellStyle name="Финансовый 2 2 2 7 11 2" xfId="16268" xr:uid="{00000000-0005-0000-0000-0000122B0000}"/>
    <cellStyle name="Финансовый 2 2 2 7 11 2 2" xfId="40223" xr:uid="{00000000-0005-0000-0000-0000132B0000}"/>
    <cellStyle name="Финансовый 2 2 2 7 11 3" xfId="28246" xr:uid="{00000000-0005-0000-0000-0000142B0000}"/>
    <cellStyle name="Финансовый 2 2 2 7 12" xfId="6077" xr:uid="{00000000-0005-0000-0000-0000152B0000}"/>
    <cellStyle name="Финансовый 2 2 2 7 12 2" xfId="18055" xr:uid="{00000000-0005-0000-0000-0000162B0000}"/>
    <cellStyle name="Финансовый 2 2 2 7 12 2 2" xfId="42010" xr:uid="{00000000-0005-0000-0000-0000172B0000}"/>
    <cellStyle name="Финансовый 2 2 2 7 12 3" xfId="30032" xr:uid="{00000000-0005-0000-0000-0000182B0000}"/>
    <cellStyle name="Финансовый 2 2 2 7 13" xfId="8684" xr:uid="{00000000-0005-0000-0000-0000192B0000}"/>
    <cellStyle name="Финансовый 2 2 2 7 13 2" xfId="20662" xr:uid="{00000000-0005-0000-0000-00001A2B0000}"/>
    <cellStyle name="Финансовый 2 2 2 7 13 2 2" xfId="44617" xr:uid="{00000000-0005-0000-0000-00001B2B0000}"/>
    <cellStyle name="Финансовый 2 2 2 7 13 3" xfId="32639" xr:uid="{00000000-0005-0000-0000-00001C2B0000}"/>
    <cellStyle name="Финансовый 2 2 2 7 14" xfId="12018" xr:uid="{00000000-0005-0000-0000-00001D2B0000}"/>
    <cellStyle name="Финансовый 2 2 2 7 14 2" xfId="35973" xr:uid="{00000000-0005-0000-0000-00001E2B0000}"/>
    <cellStyle name="Финансовый 2 2 2 7 15" xfId="23996" xr:uid="{00000000-0005-0000-0000-00001F2B0000}"/>
    <cellStyle name="Финансовый 2 2 2 7 16" xfId="47954" xr:uid="{00000000-0005-0000-0000-0000202B0000}"/>
    <cellStyle name="Финансовый 2 2 2 7 2" xfId="172" xr:uid="{00000000-0005-0000-0000-0000212B0000}"/>
    <cellStyle name="Финансовый 2 2 2 7 2 10" xfId="8820" xr:uid="{00000000-0005-0000-0000-0000222B0000}"/>
    <cellStyle name="Финансовый 2 2 2 7 2 10 2" xfId="20798" xr:uid="{00000000-0005-0000-0000-0000232B0000}"/>
    <cellStyle name="Финансовый 2 2 2 7 2 10 2 2" xfId="44753" xr:uid="{00000000-0005-0000-0000-0000242B0000}"/>
    <cellStyle name="Финансовый 2 2 2 7 2 10 3" xfId="32775" xr:uid="{00000000-0005-0000-0000-0000252B0000}"/>
    <cellStyle name="Финансовый 2 2 2 7 2 11" xfId="12154" xr:uid="{00000000-0005-0000-0000-0000262B0000}"/>
    <cellStyle name="Финансовый 2 2 2 7 2 11 2" xfId="36109" xr:uid="{00000000-0005-0000-0000-0000272B0000}"/>
    <cellStyle name="Финансовый 2 2 2 7 2 12" xfId="24132" xr:uid="{00000000-0005-0000-0000-0000282B0000}"/>
    <cellStyle name="Финансовый 2 2 2 7 2 13" xfId="48090" xr:uid="{00000000-0005-0000-0000-0000292B0000}"/>
    <cellStyle name="Финансовый 2 2 2 7 2 2" xfId="1270" xr:uid="{00000000-0005-0000-0000-00002A2B0000}"/>
    <cellStyle name="Финансовый 2 2 2 7 2 2 2" xfId="2236" xr:uid="{00000000-0005-0000-0000-00002B2B0000}"/>
    <cellStyle name="Финансовый 2 2 2 7 2 2 2 2" xfId="3881" xr:uid="{00000000-0005-0000-0000-00002C2B0000}"/>
    <cellStyle name="Финансовый 2 2 2 7 2 2 2 2 2" xfId="11621" xr:uid="{00000000-0005-0000-0000-00002D2B0000}"/>
    <cellStyle name="Финансовый 2 2 2 7 2 2 2 2 2 2" xfId="23599" xr:uid="{00000000-0005-0000-0000-00002E2B0000}"/>
    <cellStyle name="Финансовый 2 2 2 7 2 2 2 2 2 2 2" xfId="47554" xr:uid="{00000000-0005-0000-0000-00002F2B0000}"/>
    <cellStyle name="Финансовый 2 2 2 7 2 2 2 2 2 3" xfId="35576" xr:uid="{00000000-0005-0000-0000-0000302B0000}"/>
    <cellStyle name="Финансовый 2 2 2 7 2 2 2 2 3" xfId="15860" xr:uid="{00000000-0005-0000-0000-0000312B0000}"/>
    <cellStyle name="Финансовый 2 2 2 7 2 2 2 2 3 2" xfId="39815" xr:uid="{00000000-0005-0000-0000-0000322B0000}"/>
    <cellStyle name="Финансовый 2 2 2 7 2 2 2 2 4" xfId="27838" xr:uid="{00000000-0005-0000-0000-0000332B0000}"/>
    <cellStyle name="Финансовый 2 2 2 7 2 2 2 2 5" xfId="51107" xr:uid="{00000000-0005-0000-0000-0000342B0000}"/>
    <cellStyle name="Финансовый 2 2 2 7 2 2 2 3" xfId="5664" xr:uid="{00000000-0005-0000-0000-0000352B0000}"/>
    <cellStyle name="Финансовый 2 2 2 7 2 2 2 3 2" xfId="17642" xr:uid="{00000000-0005-0000-0000-0000362B0000}"/>
    <cellStyle name="Финансовый 2 2 2 7 2 2 2 3 2 2" xfId="41597" xr:uid="{00000000-0005-0000-0000-0000372B0000}"/>
    <cellStyle name="Финансовый 2 2 2 7 2 2 2 3 3" xfId="29619" xr:uid="{00000000-0005-0000-0000-0000382B0000}"/>
    <cellStyle name="Финансовый 2 2 2 7 2 2 2 4" xfId="8274" xr:uid="{00000000-0005-0000-0000-0000392B0000}"/>
    <cellStyle name="Финансовый 2 2 2 7 2 2 2 4 2" xfId="20252" xr:uid="{00000000-0005-0000-0000-00003A2B0000}"/>
    <cellStyle name="Финансовый 2 2 2 7 2 2 2 4 2 2" xfId="44207" xr:uid="{00000000-0005-0000-0000-00003B2B0000}"/>
    <cellStyle name="Финансовый 2 2 2 7 2 2 2 4 3" xfId="32229" xr:uid="{00000000-0005-0000-0000-00003C2B0000}"/>
    <cellStyle name="Финансовый 2 2 2 7 2 2 2 5" xfId="10057" xr:uid="{00000000-0005-0000-0000-00003D2B0000}"/>
    <cellStyle name="Финансовый 2 2 2 7 2 2 2 5 2" xfId="22035" xr:uid="{00000000-0005-0000-0000-00003E2B0000}"/>
    <cellStyle name="Финансовый 2 2 2 7 2 2 2 5 2 2" xfId="45990" xr:uid="{00000000-0005-0000-0000-00003F2B0000}"/>
    <cellStyle name="Финансовый 2 2 2 7 2 2 2 5 3" xfId="34012" xr:uid="{00000000-0005-0000-0000-0000402B0000}"/>
    <cellStyle name="Финансовый 2 2 2 7 2 2 2 6" xfId="14215" xr:uid="{00000000-0005-0000-0000-0000412B0000}"/>
    <cellStyle name="Финансовый 2 2 2 7 2 2 2 6 2" xfId="38170" xr:uid="{00000000-0005-0000-0000-0000422B0000}"/>
    <cellStyle name="Финансовый 2 2 2 7 2 2 2 7" xfId="26193" xr:uid="{00000000-0005-0000-0000-0000432B0000}"/>
    <cellStyle name="Финансовый 2 2 2 7 2 2 2 8" xfId="49326" xr:uid="{00000000-0005-0000-0000-0000442B0000}"/>
    <cellStyle name="Финансовый 2 2 2 7 2 2 3" xfId="3054" xr:uid="{00000000-0005-0000-0000-0000452B0000}"/>
    <cellStyle name="Финансовый 2 2 2 7 2 2 3 2" xfId="10849" xr:uid="{00000000-0005-0000-0000-0000462B0000}"/>
    <cellStyle name="Финансовый 2 2 2 7 2 2 3 2 2" xfId="22827" xr:uid="{00000000-0005-0000-0000-0000472B0000}"/>
    <cellStyle name="Финансовый 2 2 2 7 2 2 3 2 2 2" xfId="46782" xr:uid="{00000000-0005-0000-0000-0000482B0000}"/>
    <cellStyle name="Финансовый 2 2 2 7 2 2 3 2 3" xfId="34804" xr:uid="{00000000-0005-0000-0000-0000492B0000}"/>
    <cellStyle name="Финансовый 2 2 2 7 2 2 3 3" xfId="15033" xr:uid="{00000000-0005-0000-0000-00004A2B0000}"/>
    <cellStyle name="Финансовый 2 2 2 7 2 2 3 3 2" xfId="38988" xr:uid="{00000000-0005-0000-0000-00004B2B0000}"/>
    <cellStyle name="Финансовый 2 2 2 7 2 2 3 4" xfId="27011" xr:uid="{00000000-0005-0000-0000-00004C2B0000}"/>
    <cellStyle name="Финансовый 2 2 2 7 2 2 3 5" xfId="50142" xr:uid="{00000000-0005-0000-0000-00004D2B0000}"/>
    <cellStyle name="Финансовый 2 2 2 7 2 2 4" xfId="4698" xr:uid="{00000000-0005-0000-0000-00004E2B0000}"/>
    <cellStyle name="Финансовый 2 2 2 7 2 2 4 2" xfId="16677" xr:uid="{00000000-0005-0000-0000-00004F2B0000}"/>
    <cellStyle name="Финансовый 2 2 2 7 2 2 4 2 2" xfId="40632" xr:uid="{00000000-0005-0000-0000-0000502B0000}"/>
    <cellStyle name="Финансовый 2 2 2 7 2 2 4 3" xfId="28655" xr:uid="{00000000-0005-0000-0000-0000512B0000}"/>
    <cellStyle name="Финансовый 2 2 2 7 2 2 5" xfId="7310" xr:uid="{00000000-0005-0000-0000-0000522B0000}"/>
    <cellStyle name="Финансовый 2 2 2 7 2 2 5 2" xfId="19288" xr:uid="{00000000-0005-0000-0000-0000532B0000}"/>
    <cellStyle name="Финансовый 2 2 2 7 2 2 5 2 2" xfId="43243" xr:uid="{00000000-0005-0000-0000-0000542B0000}"/>
    <cellStyle name="Финансовый 2 2 2 7 2 2 5 3" xfId="31265" xr:uid="{00000000-0005-0000-0000-0000552B0000}"/>
    <cellStyle name="Финансовый 2 2 2 7 2 2 6" xfId="9092" xr:uid="{00000000-0005-0000-0000-0000562B0000}"/>
    <cellStyle name="Финансовый 2 2 2 7 2 2 6 2" xfId="21070" xr:uid="{00000000-0005-0000-0000-0000572B0000}"/>
    <cellStyle name="Финансовый 2 2 2 7 2 2 6 2 2" xfId="45025" xr:uid="{00000000-0005-0000-0000-0000582B0000}"/>
    <cellStyle name="Финансовый 2 2 2 7 2 2 6 3" xfId="33047" xr:uid="{00000000-0005-0000-0000-0000592B0000}"/>
    <cellStyle name="Финансовый 2 2 2 7 2 2 7" xfId="13251" xr:uid="{00000000-0005-0000-0000-00005A2B0000}"/>
    <cellStyle name="Финансовый 2 2 2 7 2 2 7 2" xfId="37206" xr:uid="{00000000-0005-0000-0000-00005B2B0000}"/>
    <cellStyle name="Финансовый 2 2 2 7 2 2 8" xfId="25229" xr:uid="{00000000-0005-0000-0000-00005C2B0000}"/>
    <cellStyle name="Финансовый 2 2 2 7 2 2 9" xfId="48362" xr:uid="{00000000-0005-0000-0000-00005D2B0000}"/>
    <cellStyle name="Финансовый 2 2 2 7 2 3" xfId="1980" xr:uid="{00000000-0005-0000-0000-00005E2B0000}"/>
    <cellStyle name="Финансовый 2 2 2 7 2 3 2" xfId="3625" xr:uid="{00000000-0005-0000-0000-00005F2B0000}"/>
    <cellStyle name="Финансовый 2 2 2 7 2 3 2 2" xfId="11365" xr:uid="{00000000-0005-0000-0000-0000602B0000}"/>
    <cellStyle name="Финансовый 2 2 2 7 2 3 2 2 2" xfId="23343" xr:uid="{00000000-0005-0000-0000-0000612B0000}"/>
    <cellStyle name="Финансовый 2 2 2 7 2 3 2 2 2 2" xfId="47298" xr:uid="{00000000-0005-0000-0000-0000622B0000}"/>
    <cellStyle name="Финансовый 2 2 2 7 2 3 2 2 3" xfId="35320" xr:uid="{00000000-0005-0000-0000-0000632B0000}"/>
    <cellStyle name="Финансовый 2 2 2 7 2 3 2 3" xfId="15604" xr:uid="{00000000-0005-0000-0000-0000642B0000}"/>
    <cellStyle name="Финансовый 2 2 2 7 2 3 2 3 2" xfId="39559" xr:uid="{00000000-0005-0000-0000-0000652B0000}"/>
    <cellStyle name="Финансовый 2 2 2 7 2 3 2 4" xfId="27582" xr:uid="{00000000-0005-0000-0000-0000662B0000}"/>
    <cellStyle name="Финансовый 2 2 2 7 2 3 2 5" xfId="50851" xr:uid="{00000000-0005-0000-0000-0000672B0000}"/>
    <cellStyle name="Финансовый 2 2 2 7 2 3 3" xfId="5408" xr:uid="{00000000-0005-0000-0000-0000682B0000}"/>
    <cellStyle name="Финансовый 2 2 2 7 2 3 3 2" xfId="17386" xr:uid="{00000000-0005-0000-0000-0000692B0000}"/>
    <cellStyle name="Финансовый 2 2 2 7 2 3 3 2 2" xfId="41341" xr:uid="{00000000-0005-0000-0000-00006A2B0000}"/>
    <cellStyle name="Финансовый 2 2 2 7 2 3 3 3" xfId="29363" xr:uid="{00000000-0005-0000-0000-00006B2B0000}"/>
    <cellStyle name="Финансовый 2 2 2 7 2 3 4" xfId="8018" xr:uid="{00000000-0005-0000-0000-00006C2B0000}"/>
    <cellStyle name="Финансовый 2 2 2 7 2 3 4 2" xfId="19996" xr:uid="{00000000-0005-0000-0000-00006D2B0000}"/>
    <cellStyle name="Финансовый 2 2 2 7 2 3 4 2 2" xfId="43951" xr:uid="{00000000-0005-0000-0000-00006E2B0000}"/>
    <cellStyle name="Финансовый 2 2 2 7 2 3 4 3" xfId="31973" xr:uid="{00000000-0005-0000-0000-00006F2B0000}"/>
    <cellStyle name="Финансовый 2 2 2 7 2 3 5" xfId="9801" xr:uid="{00000000-0005-0000-0000-0000702B0000}"/>
    <cellStyle name="Финансовый 2 2 2 7 2 3 5 2" xfId="21779" xr:uid="{00000000-0005-0000-0000-0000712B0000}"/>
    <cellStyle name="Финансовый 2 2 2 7 2 3 5 2 2" xfId="45734" xr:uid="{00000000-0005-0000-0000-0000722B0000}"/>
    <cellStyle name="Финансовый 2 2 2 7 2 3 5 3" xfId="33756" xr:uid="{00000000-0005-0000-0000-0000732B0000}"/>
    <cellStyle name="Финансовый 2 2 2 7 2 3 6" xfId="13959" xr:uid="{00000000-0005-0000-0000-0000742B0000}"/>
    <cellStyle name="Финансовый 2 2 2 7 2 3 6 2" xfId="37914" xr:uid="{00000000-0005-0000-0000-0000752B0000}"/>
    <cellStyle name="Финансовый 2 2 2 7 2 3 7" xfId="25937" xr:uid="{00000000-0005-0000-0000-0000762B0000}"/>
    <cellStyle name="Финансовый 2 2 2 7 2 3 8" xfId="49070" xr:uid="{00000000-0005-0000-0000-0000772B0000}"/>
    <cellStyle name="Финансовый 2 2 2 7 2 4" xfId="2501" xr:uid="{00000000-0005-0000-0000-0000782B0000}"/>
    <cellStyle name="Финансовый 2 2 2 7 2 4 2" xfId="4146" xr:uid="{00000000-0005-0000-0000-0000792B0000}"/>
    <cellStyle name="Финансовый 2 2 2 7 2 4 2 2" xfId="11878" xr:uid="{00000000-0005-0000-0000-00007A2B0000}"/>
    <cellStyle name="Финансовый 2 2 2 7 2 4 2 2 2" xfId="23856" xr:uid="{00000000-0005-0000-0000-00007B2B0000}"/>
    <cellStyle name="Финансовый 2 2 2 7 2 4 2 2 2 2" xfId="47811" xr:uid="{00000000-0005-0000-0000-00007C2B0000}"/>
    <cellStyle name="Финансовый 2 2 2 7 2 4 2 2 3" xfId="35833" xr:uid="{00000000-0005-0000-0000-00007D2B0000}"/>
    <cellStyle name="Финансовый 2 2 2 7 2 4 2 3" xfId="16125" xr:uid="{00000000-0005-0000-0000-00007E2B0000}"/>
    <cellStyle name="Финансовый 2 2 2 7 2 4 2 3 2" xfId="40080" xr:uid="{00000000-0005-0000-0000-00007F2B0000}"/>
    <cellStyle name="Финансовый 2 2 2 7 2 4 2 4" xfId="28103" xr:uid="{00000000-0005-0000-0000-0000802B0000}"/>
    <cellStyle name="Финансовый 2 2 2 7 2 4 2 5" xfId="51372" xr:uid="{00000000-0005-0000-0000-0000812B0000}"/>
    <cellStyle name="Финансовый 2 2 2 7 2 4 3" xfId="5929" xr:uid="{00000000-0005-0000-0000-0000822B0000}"/>
    <cellStyle name="Финансовый 2 2 2 7 2 4 3 2" xfId="17907" xr:uid="{00000000-0005-0000-0000-0000832B0000}"/>
    <cellStyle name="Финансовый 2 2 2 7 2 4 3 2 2" xfId="41862" xr:uid="{00000000-0005-0000-0000-0000842B0000}"/>
    <cellStyle name="Финансовый 2 2 2 7 2 4 3 3" xfId="29884" xr:uid="{00000000-0005-0000-0000-0000852B0000}"/>
    <cellStyle name="Финансовый 2 2 2 7 2 4 4" xfId="8539" xr:uid="{00000000-0005-0000-0000-0000862B0000}"/>
    <cellStyle name="Финансовый 2 2 2 7 2 4 4 2" xfId="20517" xr:uid="{00000000-0005-0000-0000-0000872B0000}"/>
    <cellStyle name="Финансовый 2 2 2 7 2 4 4 2 2" xfId="44472" xr:uid="{00000000-0005-0000-0000-0000882B0000}"/>
    <cellStyle name="Финансовый 2 2 2 7 2 4 4 3" xfId="32494" xr:uid="{00000000-0005-0000-0000-0000892B0000}"/>
    <cellStyle name="Финансовый 2 2 2 7 2 4 5" xfId="10322" xr:uid="{00000000-0005-0000-0000-00008A2B0000}"/>
    <cellStyle name="Финансовый 2 2 2 7 2 4 5 2" xfId="22300" xr:uid="{00000000-0005-0000-0000-00008B2B0000}"/>
    <cellStyle name="Финансовый 2 2 2 7 2 4 5 2 2" xfId="46255" xr:uid="{00000000-0005-0000-0000-00008C2B0000}"/>
    <cellStyle name="Финансовый 2 2 2 7 2 4 5 3" xfId="34277" xr:uid="{00000000-0005-0000-0000-00008D2B0000}"/>
    <cellStyle name="Финансовый 2 2 2 7 2 4 6" xfId="14480" xr:uid="{00000000-0005-0000-0000-00008E2B0000}"/>
    <cellStyle name="Финансовый 2 2 2 7 2 4 6 2" xfId="38435" xr:uid="{00000000-0005-0000-0000-00008F2B0000}"/>
    <cellStyle name="Финансовый 2 2 2 7 2 4 7" xfId="26458" xr:uid="{00000000-0005-0000-0000-0000902B0000}"/>
    <cellStyle name="Финансовый 2 2 2 7 2 4 8" xfId="49591" xr:uid="{00000000-0005-0000-0000-0000912B0000}"/>
    <cellStyle name="Финансовый 2 2 2 7 2 5" xfId="1005" xr:uid="{00000000-0005-0000-0000-0000922B0000}"/>
    <cellStyle name="Финансовый 2 2 2 7 2 5 2" xfId="7045" xr:uid="{00000000-0005-0000-0000-0000932B0000}"/>
    <cellStyle name="Финансовый 2 2 2 7 2 5 2 2" xfId="19023" xr:uid="{00000000-0005-0000-0000-0000942B0000}"/>
    <cellStyle name="Финансовый 2 2 2 7 2 5 2 2 2" xfId="42978" xr:uid="{00000000-0005-0000-0000-0000952B0000}"/>
    <cellStyle name="Финансовый 2 2 2 7 2 5 2 3" xfId="31000" xr:uid="{00000000-0005-0000-0000-0000962B0000}"/>
    <cellStyle name="Финансовый 2 2 2 7 2 5 3" xfId="10593" xr:uid="{00000000-0005-0000-0000-0000972B0000}"/>
    <cellStyle name="Финансовый 2 2 2 7 2 5 3 2" xfId="22571" xr:uid="{00000000-0005-0000-0000-0000982B0000}"/>
    <cellStyle name="Финансовый 2 2 2 7 2 5 3 2 2" xfId="46526" xr:uid="{00000000-0005-0000-0000-0000992B0000}"/>
    <cellStyle name="Финансовый 2 2 2 7 2 5 3 3" xfId="34548" xr:uid="{00000000-0005-0000-0000-00009A2B0000}"/>
    <cellStyle name="Финансовый 2 2 2 7 2 5 4" xfId="12986" xr:uid="{00000000-0005-0000-0000-00009B2B0000}"/>
    <cellStyle name="Финансовый 2 2 2 7 2 5 4 2" xfId="36941" xr:uid="{00000000-0005-0000-0000-00009C2B0000}"/>
    <cellStyle name="Финансовый 2 2 2 7 2 5 5" xfId="24964" xr:uid="{00000000-0005-0000-0000-00009D2B0000}"/>
    <cellStyle name="Финансовый 2 2 2 7 2 5 6" xfId="49870" xr:uid="{00000000-0005-0000-0000-00009E2B0000}"/>
    <cellStyle name="Финансовый 2 2 2 7 2 6" xfId="593" xr:uid="{00000000-0005-0000-0000-00009F2B0000}"/>
    <cellStyle name="Финансовый 2 2 2 7 2 6 2" xfId="6633" xr:uid="{00000000-0005-0000-0000-0000A02B0000}"/>
    <cellStyle name="Финансовый 2 2 2 7 2 6 2 2" xfId="18611" xr:uid="{00000000-0005-0000-0000-0000A12B0000}"/>
    <cellStyle name="Финансовый 2 2 2 7 2 6 2 2 2" xfId="42566" xr:uid="{00000000-0005-0000-0000-0000A22B0000}"/>
    <cellStyle name="Финансовый 2 2 2 7 2 6 2 3" xfId="30588" xr:uid="{00000000-0005-0000-0000-0000A32B0000}"/>
    <cellStyle name="Финансовый 2 2 2 7 2 6 3" xfId="12574" xr:uid="{00000000-0005-0000-0000-0000A42B0000}"/>
    <cellStyle name="Финансовый 2 2 2 7 2 6 3 2" xfId="36529" xr:uid="{00000000-0005-0000-0000-0000A52B0000}"/>
    <cellStyle name="Финансовый 2 2 2 7 2 6 4" xfId="24552" xr:uid="{00000000-0005-0000-0000-0000A62B0000}"/>
    <cellStyle name="Финансовый 2 2 2 7 2 7" xfId="2782" xr:uid="{00000000-0005-0000-0000-0000A72B0000}"/>
    <cellStyle name="Финансовый 2 2 2 7 2 7 2" xfId="14761" xr:uid="{00000000-0005-0000-0000-0000A82B0000}"/>
    <cellStyle name="Финансовый 2 2 2 7 2 7 2 2" xfId="38716" xr:uid="{00000000-0005-0000-0000-0000A92B0000}"/>
    <cellStyle name="Финансовый 2 2 2 7 2 7 3" xfId="26739" xr:uid="{00000000-0005-0000-0000-0000AA2B0000}"/>
    <cellStyle name="Финансовый 2 2 2 7 2 8" xfId="4426" xr:uid="{00000000-0005-0000-0000-0000AB2B0000}"/>
    <cellStyle name="Финансовый 2 2 2 7 2 8 2" xfId="16405" xr:uid="{00000000-0005-0000-0000-0000AC2B0000}"/>
    <cellStyle name="Финансовый 2 2 2 7 2 8 2 2" xfId="40360" xr:uid="{00000000-0005-0000-0000-0000AD2B0000}"/>
    <cellStyle name="Финансовый 2 2 2 7 2 8 3" xfId="28383" xr:uid="{00000000-0005-0000-0000-0000AE2B0000}"/>
    <cellStyle name="Финансовый 2 2 2 7 2 9" xfId="6213" xr:uid="{00000000-0005-0000-0000-0000AF2B0000}"/>
    <cellStyle name="Финансовый 2 2 2 7 2 9 2" xfId="18191" xr:uid="{00000000-0005-0000-0000-0000B02B0000}"/>
    <cellStyle name="Финансовый 2 2 2 7 2 9 2 2" xfId="42146" xr:uid="{00000000-0005-0000-0000-0000B12B0000}"/>
    <cellStyle name="Финансовый 2 2 2 7 2 9 3" xfId="30168" xr:uid="{00000000-0005-0000-0000-0000B22B0000}"/>
    <cellStyle name="Финансовый 2 2 2 7 3" xfId="321" xr:uid="{00000000-0005-0000-0000-0000B32B0000}"/>
    <cellStyle name="Финансовый 2 2 2 7 3 10" xfId="24280" xr:uid="{00000000-0005-0000-0000-0000B42B0000}"/>
    <cellStyle name="Финансовый 2 2 2 7 3 11" xfId="48226" xr:uid="{00000000-0005-0000-0000-0000B52B0000}"/>
    <cellStyle name="Финансовый 2 2 2 7 3 2" xfId="2108" xr:uid="{00000000-0005-0000-0000-0000B62B0000}"/>
    <cellStyle name="Финансовый 2 2 2 7 3 2 2" xfId="3753" xr:uid="{00000000-0005-0000-0000-0000B72B0000}"/>
    <cellStyle name="Финансовый 2 2 2 7 3 2 2 2" xfId="11493" xr:uid="{00000000-0005-0000-0000-0000B82B0000}"/>
    <cellStyle name="Финансовый 2 2 2 7 3 2 2 2 2" xfId="23471" xr:uid="{00000000-0005-0000-0000-0000B92B0000}"/>
    <cellStyle name="Финансовый 2 2 2 7 3 2 2 2 2 2" xfId="47426" xr:uid="{00000000-0005-0000-0000-0000BA2B0000}"/>
    <cellStyle name="Финансовый 2 2 2 7 3 2 2 2 3" xfId="35448" xr:uid="{00000000-0005-0000-0000-0000BB2B0000}"/>
    <cellStyle name="Финансовый 2 2 2 7 3 2 2 3" xfId="15732" xr:uid="{00000000-0005-0000-0000-0000BC2B0000}"/>
    <cellStyle name="Финансовый 2 2 2 7 3 2 2 3 2" xfId="39687" xr:uid="{00000000-0005-0000-0000-0000BD2B0000}"/>
    <cellStyle name="Финансовый 2 2 2 7 3 2 2 4" xfId="27710" xr:uid="{00000000-0005-0000-0000-0000BE2B0000}"/>
    <cellStyle name="Финансовый 2 2 2 7 3 2 2 5" xfId="50979" xr:uid="{00000000-0005-0000-0000-0000BF2B0000}"/>
    <cellStyle name="Финансовый 2 2 2 7 3 2 3" xfId="5536" xr:uid="{00000000-0005-0000-0000-0000C02B0000}"/>
    <cellStyle name="Финансовый 2 2 2 7 3 2 3 2" xfId="17514" xr:uid="{00000000-0005-0000-0000-0000C12B0000}"/>
    <cellStyle name="Финансовый 2 2 2 7 3 2 3 2 2" xfId="41469" xr:uid="{00000000-0005-0000-0000-0000C22B0000}"/>
    <cellStyle name="Финансовый 2 2 2 7 3 2 3 3" xfId="29491" xr:uid="{00000000-0005-0000-0000-0000C32B0000}"/>
    <cellStyle name="Финансовый 2 2 2 7 3 2 4" xfId="8146" xr:uid="{00000000-0005-0000-0000-0000C42B0000}"/>
    <cellStyle name="Финансовый 2 2 2 7 3 2 4 2" xfId="20124" xr:uid="{00000000-0005-0000-0000-0000C52B0000}"/>
    <cellStyle name="Финансовый 2 2 2 7 3 2 4 2 2" xfId="44079" xr:uid="{00000000-0005-0000-0000-0000C62B0000}"/>
    <cellStyle name="Финансовый 2 2 2 7 3 2 4 3" xfId="32101" xr:uid="{00000000-0005-0000-0000-0000C72B0000}"/>
    <cellStyle name="Финансовый 2 2 2 7 3 2 5" xfId="9929" xr:uid="{00000000-0005-0000-0000-0000C82B0000}"/>
    <cellStyle name="Финансовый 2 2 2 7 3 2 5 2" xfId="21907" xr:uid="{00000000-0005-0000-0000-0000C92B0000}"/>
    <cellStyle name="Финансовый 2 2 2 7 3 2 5 2 2" xfId="45862" xr:uid="{00000000-0005-0000-0000-0000CA2B0000}"/>
    <cellStyle name="Финансовый 2 2 2 7 3 2 5 3" xfId="33884" xr:uid="{00000000-0005-0000-0000-0000CB2B0000}"/>
    <cellStyle name="Финансовый 2 2 2 7 3 2 6" xfId="14087" xr:uid="{00000000-0005-0000-0000-0000CC2B0000}"/>
    <cellStyle name="Финансовый 2 2 2 7 3 2 6 2" xfId="38042" xr:uid="{00000000-0005-0000-0000-0000CD2B0000}"/>
    <cellStyle name="Финансовый 2 2 2 7 3 2 7" xfId="26065" xr:uid="{00000000-0005-0000-0000-0000CE2B0000}"/>
    <cellStyle name="Финансовый 2 2 2 7 3 2 8" xfId="49198" xr:uid="{00000000-0005-0000-0000-0000CF2B0000}"/>
    <cellStyle name="Финансовый 2 2 2 7 3 3" xfId="1141" xr:uid="{00000000-0005-0000-0000-0000D02B0000}"/>
    <cellStyle name="Финансовый 2 2 2 7 3 3 2" xfId="7181" xr:uid="{00000000-0005-0000-0000-0000D12B0000}"/>
    <cellStyle name="Финансовый 2 2 2 7 3 3 2 2" xfId="19159" xr:uid="{00000000-0005-0000-0000-0000D22B0000}"/>
    <cellStyle name="Финансовый 2 2 2 7 3 3 2 2 2" xfId="43114" xr:uid="{00000000-0005-0000-0000-0000D32B0000}"/>
    <cellStyle name="Финансовый 2 2 2 7 3 3 2 3" xfId="31136" xr:uid="{00000000-0005-0000-0000-0000D42B0000}"/>
    <cellStyle name="Финансовый 2 2 2 7 3 3 3" xfId="10721" xr:uid="{00000000-0005-0000-0000-0000D52B0000}"/>
    <cellStyle name="Финансовый 2 2 2 7 3 3 3 2" xfId="22699" xr:uid="{00000000-0005-0000-0000-0000D62B0000}"/>
    <cellStyle name="Финансовый 2 2 2 7 3 3 3 2 2" xfId="46654" xr:uid="{00000000-0005-0000-0000-0000D72B0000}"/>
    <cellStyle name="Финансовый 2 2 2 7 3 3 3 3" xfId="34676" xr:uid="{00000000-0005-0000-0000-0000D82B0000}"/>
    <cellStyle name="Финансовый 2 2 2 7 3 3 4" xfId="13122" xr:uid="{00000000-0005-0000-0000-0000D92B0000}"/>
    <cellStyle name="Финансовый 2 2 2 7 3 3 4 2" xfId="37077" xr:uid="{00000000-0005-0000-0000-0000DA2B0000}"/>
    <cellStyle name="Финансовый 2 2 2 7 3 3 5" xfId="25100" xr:uid="{00000000-0005-0000-0000-0000DB2B0000}"/>
    <cellStyle name="Финансовый 2 2 2 7 3 3 6" xfId="50006" xr:uid="{00000000-0005-0000-0000-0000DC2B0000}"/>
    <cellStyle name="Финансовый 2 2 2 7 3 4" xfId="741" xr:uid="{00000000-0005-0000-0000-0000DD2B0000}"/>
    <cellStyle name="Финансовый 2 2 2 7 3 4 2" xfId="6781" xr:uid="{00000000-0005-0000-0000-0000DE2B0000}"/>
    <cellStyle name="Финансовый 2 2 2 7 3 4 2 2" xfId="18759" xr:uid="{00000000-0005-0000-0000-0000DF2B0000}"/>
    <cellStyle name="Финансовый 2 2 2 7 3 4 2 2 2" xfId="42714" xr:uid="{00000000-0005-0000-0000-0000E02B0000}"/>
    <cellStyle name="Финансовый 2 2 2 7 3 4 2 3" xfId="30736" xr:uid="{00000000-0005-0000-0000-0000E12B0000}"/>
    <cellStyle name="Финансовый 2 2 2 7 3 4 3" xfId="12722" xr:uid="{00000000-0005-0000-0000-0000E22B0000}"/>
    <cellStyle name="Финансовый 2 2 2 7 3 4 3 2" xfId="36677" xr:uid="{00000000-0005-0000-0000-0000E32B0000}"/>
    <cellStyle name="Финансовый 2 2 2 7 3 4 4" xfId="24700" xr:uid="{00000000-0005-0000-0000-0000E42B0000}"/>
    <cellStyle name="Финансовый 2 2 2 7 3 5" xfId="2918" xr:uid="{00000000-0005-0000-0000-0000E52B0000}"/>
    <cellStyle name="Финансовый 2 2 2 7 3 5 2" xfId="14897" xr:uid="{00000000-0005-0000-0000-0000E62B0000}"/>
    <cellStyle name="Финансовый 2 2 2 7 3 5 2 2" xfId="38852" xr:uid="{00000000-0005-0000-0000-0000E72B0000}"/>
    <cellStyle name="Финансовый 2 2 2 7 3 5 3" xfId="26875" xr:uid="{00000000-0005-0000-0000-0000E82B0000}"/>
    <cellStyle name="Финансовый 2 2 2 7 3 6" xfId="4562" xr:uid="{00000000-0005-0000-0000-0000E92B0000}"/>
    <cellStyle name="Финансовый 2 2 2 7 3 6 2" xfId="16541" xr:uid="{00000000-0005-0000-0000-0000EA2B0000}"/>
    <cellStyle name="Финансовый 2 2 2 7 3 6 2 2" xfId="40496" xr:uid="{00000000-0005-0000-0000-0000EB2B0000}"/>
    <cellStyle name="Финансовый 2 2 2 7 3 6 3" xfId="28519" xr:uid="{00000000-0005-0000-0000-0000EC2B0000}"/>
    <cellStyle name="Финансовый 2 2 2 7 3 7" xfId="6361" xr:uid="{00000000-0005-0000-0000-0000ED2B0000}"/>
    <cellStyle name="Финансовый 2 2 2 7 3 7 2" xfId="18339" xr:uid="{00000000-0005-0000-0000-0000EE2B0000}"/>
    <cellStyle name="Финансовый 2 2 2 7 3 7 2 2" xfId="42294" xr:uid="{00000000-0005-0000-0000-0000EF2B0000}"/>
    <cellStyle name="Финансовый 2 2 2 7 3 7 3" xfId="30316" xr:uid="{00000000-0005-0000-0000-0000F02B0000}"/>
    <cellStyle name="Финансовый 2 2 2 7 3 8" xfId="8956" xr:uid="{00000000-0005-0000-0000-0000F12B0000}"/>
    <cellStyle name="Финансовый 2 2 2 7 3 8 2" xfId="20934" xr:uid="{00000000-0005-0000-0000-0000F22B0000}"/>
    <cellStyle name="Финансовый 2 2 2 7 3 8 2 2" xfId="44889" xr:uid="{00000000-0005-0000-0000-0000F32B0000}"/>
    <cellStyle name="Финансовый 2 2 2 7 3 8 3" xfId="32911" xr:uid="{00000000-0005-0000-0000-0000F42B0000}"/>
    <cellStyle name="Финансовый 2 2 2 7 3 9" xfId="12302" xr:uid="{00000000-0005-0000-0000-0000F52B0000}"/>
    <cellStyle name="Финансовый 2 2 2 7 3 9 2" xfId="36257" xr:uid="{00000000-0005-0000-0000-0000F62B0000}"/>
    <cellStyle name="Финансовый 2 2 2 7 4" xfId="1465" xr:uid="{00000000-0005-0000-0000-0000F72B0000}"/>
    <cellStyle name="Финансовый 2 2 2 7 4 2" xfId="1844" xr:uid="{00000000-0005-0000-0000-0000F82B0000}"/>
    <cellStyle name="Финансовый 2 2 2 7 4 2 2" xfId="3489" xr:uid="{00000000-0005-0000-0000-0000F92B0000}"/>
    <cellStyle name="Финансовый 2 2 2 7 4 2 2 2" xfId="11237" xr:uid="{00000000-0005-0000-0000-0000FA2B0000}"/>
    <cellStyle name="Финансовый 2 2 2 7 4 2 2 2 2" xfId="23215" xr:uid="{00000000-0005-0000-0000-0000FB2B0000}"/>
    <cellStyle name="Финансовый 2 2 2 7 4 2 2 2 2 2" xfId="47170" xr:uid="{00000000-0005-0000-0000-0000FC2B0000}"/>
    <cellStyle name="Финансовый 2 2 2 7 4 2 2 2 3" xfId="35192" xr:uid="{00000000-0005-0000-0000-0000FD2B0000}"/>
    <cellStyle name="Финансовый 2 2 2 7 4 2 2 3" xfId="15468" xr:uid="{00000000-0005-0000-0000-0000FE2B0000}"/>
    <cellStyle name="Финансовый 2 2 2 7 4 2 2 3 2" xfId="39423" xr:uid="{00000000-0005-0000-0000-0000FF2B0000}"/>
    <cellStyle name="Финансовый 2 2 2 7 4 2 2 4" xfId="27446" xr:uid="{00000000-0005-0000-0000-0000002C0000}"/>
    <cellStyle name="Финансовый 2 2 2 7 4 2 2 5" xfId="50715" xr:uid="{00000000-0005-0000-0000-0000012C0000}"/>
    <cellStyle name="Финансовый 2 2 2 7 4 2 3" xfId="5272" xr:uid="{00000000-0005-0000-0000-0000022C0000}"/>
    <cellStyle name="Финансовый 2 2 2 7 4 2 3 2" xfId="17250" xr:uid="{00000000-0005-0000-0000-0000032C0000}"/>
    <cellStyle name="Финансовый 2 2 2 7 4 2 3 2 2" xfId="41205" xr:uid="{00000000-0005-0000-0000-0000042C0000}"/>
    <cellStyle name="Финансовый 2 2 2 7 4 2 3 3" xfId="29227" xr:uid="{00000000-0005-0000-0000-0000052C0000}"/>
    <cellStyle name="Финансовый 2 2 2 7 4 2 4" xfId="7882" xr:uid="{00000000-0005-0000-0000-0000062C0000}"/>
    <cellStyle name="Финансовый 2 2 2 7 4 2 4 2" xfId="19860" xr:uid="{00000000-0005-0000-0000-0000072C0000}"/>
    <cellStyle name="Финансовый 2 2 2 7 4 2 4 2 2" xfId="43815" xr:uid="{00000000-0005-0000-0000-0000082C0000}"/>
    <cellStyle name="Финансовый 2 2 2 7 4 2 4 3" xfId="31837" xr:uid="{00000000-0005-0000-0000-0000092C0000}"/>
    <cellStyle name="Финансовый 2 2 2 7 4 2 5" xfId="9665" xr:uid="{00000000-0005-0000-0000-00000A2C0000}"/>
    <cellStyle name="Финансовый 2 2 2 7 4 2 5 2" xfId="21643" xr:uid="{00000000-0005-0000-0000-00000B2C0000}"/>
    <cellStyle name="Финансовый 2 2 2 7 4 2 5 2 2" xfId="45598" xr:uid="{00000000-0005-0000-0000-00000C2C0000}"/>
    <cellStyle name="Финансовый 2 2 2 7 4 2 5 3" xfId="33620" xr:uid="{00000000-0005-0000-0000-00000D2C0000}"/>
    <cellStyle name="Финансовый 2 2 2 7 4 2 6" xfId="13823" xr:uid="{00000000-0005-0000-0000-00000E2C0000}"/>
    <cellStyle name="Финансовый 2 2 2 7 4 2 6 2" xfId="37778" xr:uid="{00000000-0005-0000-0000-00000F2C0000}"/>
    <cellStyle name="Финансовый 2 2 2 7 4 2 7" xfId="25801" xr:uid="{00000000-0005-0000-0000-0000102C0000}"/>
    <cellStyle name="Финансовый 2 2 2 7 4 2 8" xfId="48934" xr:uid="{00000000-0005-0000-0000-0000112C0000}"/>
    <cellStyle name="Финансовый 2 2 2 7 4 3" xfId="4893" xr:uid="{00000000-0005-0000-0000-0000122C0000}"/>
    <cellStyle name="Финансовый 2 2 2 7 4 3 2" xfId="16871" xr:uid="{00000000-0005-0000-0000-0000132C0000}"/>
    <cellStyle name="Финансовый 2 2 2 7 4 3 2 2" xfId="40826" xr:uid="{00000000-0005-0000-0000-0000142C0000}"/>
    <cellStyle name="Финансовый 2 2 2 7 4 3 3" xfId="28848" xr:uid="{00000000-0005-0000-0000-0000152C0000}"/>
    <cellStyle name="Финансовый 2 2 2 7 4 3 4" xfId="50336" xr:uid="{00000000-0005-0000-0000-0000162C0000}"/>
    <cellStyle name="Финансовый 2 2 2 7 4 4" xfId="7503" xr:uid="{00000000-0005-0000-0000-0000172C0000}"/>
    <cellStyle name="Финансовый 2 2 2 7 4 4 2" xfId="19481" xr:uid="{00000000-0005-0000-0000-0000182C0000}"/>
    <cellStyle name="Финансовый 2 2 2 7 4 4 2 2" xfId="43436" xr:uid="{00000000-0005-0000-0000-0000192C0000}"/>
    <cellStyle name="Финансовый 2 2 2 7 4 4 3" xfId="31458" xr:uid="{00000000-0005-0000-0000-00001A2C0000}"/>
    <cellStyle name="Финансовый 2 2 2 7 4 5" xfId="9286" xr:uid="{00000000-0005-0000-0000-00001B2C0000}"/>
    <cellStyle name="Финансовый 2 2 2 7 4 5 2" xfId="21264" xr:uid="{00000000-0005-0000-0000-00001C2C0000}"/>
    <cellStyle name="Финансовый 2 2 2 7 4 5 2 2" xfId="45219" xr:uid="{00000000-0005-0000-0000-00001D2C0000}"/>
    <cellStyle name="Финансовый 2 2 2 7 4 5 3" xfId="33241" xr:uid="{00000000-0005-0000-0000-00001E2C0000}"/>
    <cellStyle name="Финансовый 2 2 2 7 4 6" xfId="13444" xr:uid="{00000000-0005-0000-0000-00001F2C0000}"/>
    <cellStyle name="Финансовый 2 2 2 7 4 6 2" xfId="37399" xr:uid="{00000000-0005-0000-0000-0000202C0000}"/>
    <cellStyle name="Финансовый 2 2 2 7 4 7" xfId="25422" xr:uid="{00000000-0005-0000-0000-0000212C0000}"/>
    <cellStyle name="Финансовый 2 2 2 7 4 8" xfId="48555" xr:uid="{00000000-0005-0000-0000-0000222C0000}"/>
    <cellStyle name="Финансовый 2 2 2 7 5" xfId="1728" xr:uid="{00000000-0005-0000-0000-0000232C0000}"/>
    <cellStyle name="Финансовый 2 2 2 7 5 2" xfId="3373" xr:uid="{00000000-0005-0000-0000-0000242C0000}"/>
    <cellStyle name="Финансовый 2 2 2 7 5 2 2" xfId="11121" xr:uid="{00000000-0005-0000-0000-0000252C0000}"/>
    <cellStyle name="Финансовый 2 2 2 7 5 2 2 2" xfId="23099" xr:uid="{00000000-0005-0000-0000-0000262C0000}"/>
    <cellStyle name="Финансовый 2 2 2 7 5 2 2 2 2" xfId="47054" xr:uid="{00000000-0005-0000-0000-0000272C0000}"/>
    <cellStyle name="Финансовый 2 2 2 7 5 2 2 3" xfId="35076" xr:uid="{00000000-0005-0000-0000-0000282C0000}"/>
    <cellStyle name="Финансовый 2 2 2 7 5 2 3" xfId="15352" xr:uid="{00000000-0005-0000-0000-0000292C0000}"/>
    <cellStyle name="Финансовый 2 2 2 7 5 2 3 2" xfId="39307" xr:uid="{00000000-0005-0000-0000-00002A2C0000}"/>
    <cellStyle name="Финансовый 2 2 2 7 5 2 4" xfId="27330" xr:uid="{00000000-0005-0000-0000-00002B2C0000}"/>
    <cellStyle name="Финансовый 2 2 2 7 5 2 5" xfId="50599" xr:uid="{00000000-0005-0000-0000-00002C2C0000}"/>
    <cellStyle name="Финансовый 2 2 2 7 5 3" xfId="5156" xr:uid="{00000000-0005-0000-0000-00002D2C0000}"/>
    <cellStyle name="Финансовый 2 2 2 7 5 3 2" xfId="17134" xr:uid="{00000000-0005-0000-0000-00002E2C0000}"/>
    <cellStyle name="Финансовый 2 2 2 7 5 3 2 2" xfId="41089" xr:uid="{00000000-0005-0000-0000-00002F2C0000}"/>
    <cellStyle name="Финансовый 2 2 2 7 5 3 3" xfId="29111" xr:uid="{00000000-0005-0000-0000-0000302C0000}"/>
    <cellStyle name="Финансовый 2 2 2 7 5 4" xfId="7766" xr:uid="{00000000-0005-0000-0000-0000312C0000}"/>
    <cellStyle name="Финансовый 2 2 2 7 5 4 2" xfId="19744" xr:uid="{00000000-0005-0000-0000-0000322C0000}"/>
    <cellStyle name="Финансовый 2 2 2 7 5 4 2 2" xfId="43699" xr:uid="{00000000-0005-0000-0000-0000332C0000}"/>
    <cellStyle name="Финансовый 2 2 2 7 5 4 3" xfId="31721" xr:uid="{00000000-0005-0000-0000-0000342C0000}"/>
    <cellStyle name="Финансовый 2 2 2 7 5 5" xfId="9549" xr:uid="{00000000-0005-0000-0000-0000352C0000}"/>
    <cellStyle name="Финансовый 2 2 2 7 5 5 2" xfId="21527" xr:uid="{00000000-0005-0000-0000-0000362C0000}"/>
    <cellStyle name="Финансовый 2 2 2 7 5 5 2 2" xfId="45482" xr:uid="{00000000-0005-0000-0000-0000372C0000}"/>
    <cellStyle name="Финансовый 2 2 2 7 5 5 3" xfId="33504" xr:uid="{00000000-0005-0000-0000-0000382C0000}"/>
    <cellStyle name="Финансовый 2 2 2 7 5 6" xfId="13707" xr:uid="{00000000-0005-0000-0000-0000392C0000}"/>
    <cellStyle name="Финансовый 2 2 2 7 5 6 2" xfId="37662" xr:uid="{00000000-0005-0000-0000-00003A2C0000}"/>
    <cellStyle name="Финансовый 2 2 2 7 5 7" xfId="25685" xr:uid="{00000000-0005-0000-0000-00003B2C0000}"/>
    <cellStyle name="Финансовый 2 2 2 7 5 8" xfId="48818" xr:uid="{00000000-0005-0000-0000-00003C2C0000}"/>
    <cellStyle name="Финансовый 2 2 2 7 6" xfId="2364" xr:uid="{00000000-0005-0000-0000-00003D2C0000}"/>
    <cellStyle name="Финансовый 2 2 2 7 6 2" xfId="4009" xr:uid="{00000000-0005-0000-0000-00003E2C0000}"/>
    <cellStyle name="Финансовый 2 2 2 7 6 2 2" xfId="11749" xr:uid="{00000000-0005-0000-0000-00003F2C0000}"/>
    <cellStyle name="Финансовый 2 2 2 7 6 2 2 2" xfId="23727" xr:uid="{00000000-0005-0000-0000-0000402C0000}"/>
    <cellStyle name="Финансовый 2 2 2 7 6 2 2 2 2" xfId="47682" xr:uid="{00000000-0005-0000-0000-0000412C0000}"/>
    <cellStyle name="Финансовый 2 2 2 7 6 2 2 3" xfId="35704" xr:uid="{00000000-0005-0000-0000-0000422C0000}"/>
    <cellStyle name="Финансовый 2 2 2 7 6 2 3" xfId="15988" xr:uid="{00000000-0005-0000-0000-0000432C0000}"/>
    <cellStyle name="Финансовый 2 2 2 7 6 2 3 2" xfId="39943" xr:uid="{00000000-0005-0000-0000-0000442C0000}"/>
    <cellStyle name="Финансовый 2 2 2 7 6 2 4" xfId="27966" xr:uid="{00000000-0005-0000-0000-0000452C0000}"/>
    <cellStyle name="Финансовый 2 2 2 7 6 2 5" xfId="51235" xr:uid="{00000000-0005-0000-0000-0000462C0000}"/>
    <cellStyle name="Финансовый 2 2 2 7 6 3" xfId="5792" xr:uid="{00000000-0005-0000-0000-0000472C0000}"/>
    <cellStyle name="Финансовый 2 2 2 7 6 3 2" xfId="17770" xr:uid="{00000000-0005-0000-0000-0000482C0000}"/>
    <cellStyle name="Финансовый 2 2 2 7 6 3 2 2" xfId="41725" xr:uid="{00000000-0005-0000-0000-0000492C0000}"/>
    <cellStyle name="Финансовый 2 2 2 7 6 3 3" xfId="29747" xr:uid="{00000000-0005-0000-0000-00004A2C0000}"/>
    <cellStyle name="Финансовый 2 2 2 7 6 4" xfId="8402" xr:uid="{00000000-0005-0000-0000-00004B2C0000}"/>
    <cellStyle name="Финансовый 2 2 2 7 6 4 2" xfId="20380" xr:uid="{00000000-0005-0000-0000-00004C2C0000}"/>
    <cellStyle name="Финансовый 2 2 2 7 6 4 2 2" xfId="44335" xr:uid="{00000000-0005-0000-0000-00004D2C0000}"/>
    <cellStyle name="Финансовый 2 2 2 7 6 4 3" xfId="32357" xr:uid="{00000000-0005-0000-0000-00004E2C0000}"/>
    <cellStyle name="Финансовый 2 2 2 7 6 5" xfId="10185" xr:uid="{00000000-0005-0000-0000-00004F2C0000}"/>
    <cellStyle name="Финансовый 2 2 2 7 6 5 2" xfId="22163" xr:uid="{00000000-0005-0000-0000-0000502C0000}"/>
    <cellStyle name="Финансовый 2 2 2 7 6 5 2 2" xfId="46118" xr:uid="{00000000-0005-0000-0000-0000512C0000}"/>
    <cellStyle name="Финансовый 2 2 2 7 6 5 3" xfId="34140" xr:uid="{00000000-0005-0000-0000-0000522C0000}"/>
    <cellStyle name="Финансовый 2 2 2 7 6 6" xfId="14343" xr:uid="{00000000-0005-0000-0000-0000532C0000}"/>
    <cellStyle name="Финансовый 2 2 2 7 6 6 2" xfId="38298" xr:uid="{00000000-0005-0000-0000-0000542C0000}"/>
    <cellStyle name="Финансовый 2 2 2 7 6 7" xfId="26321" xr:uid="{00000000-0005-0000-0000-0000552C0000}"/>
    <cellStyle name="Финансовый 2 2 2 7 6 8" xfId="49454" xr:uid="{00000000-0005-0000-0000-0000562C0000}"/>
    <cellStyle name="Финансовый 2 2 2 7 7" xfId="1591" xr:uid="{00000000-0005-0000-0000-0000572C0000}"/>
    <cellStyle name="Финансовый 2 2 2 7 7 2" xfId="3236" xr:uid="{00000000-0005-0000-0000-0000582C0000}"/>
    <cellStyle name="Финансовый 2 2 2 7 7 2 2" xfId="10992" xr:uid="{00000000-0005-0000-0000-0000592C0000}"/>
    <cellStyle name="Финансовый 2 2 2 7 7 2 2 2" xfId="22970" xr:uid="{00000000-0005-0000-0000-00005A2C0000}"/>
    <cellStyle name="Финансовый 2 2 2 7 7 2 2 2 2" xfId="46925" xr:uid="{00000000-0005-0000-0000-00005B2C0000}"/>
    <cellStyle name="Финансовый 2 2 2 7 7 2 2 3" xfId="34947" xr:uid="{00000000-0005-0000-0000-00005C2C0000}"/>
    <cellStyle name="Финансовый 2 2 2 7 7 2 3" xfId="15215" xr:uid="{00000000-0005-0000-0000-00005D2C0000}"/>
    <cellStyle name="Финансовый 2 2 2 7 7 2 3 2" xfId="39170" xr:uid="{00000000-0005-0000-0000-00005E2C0000}"/>
    <cellStyle name="Финансовый 2 2 2 7 7 2 4" xfId="27193" xr:uid="{00000000-0005-0000-0000-00005F2C0000}"/>
    <cellStyle name="Финансовый 2 2 2 7 7 2 5" xfId="50462" xr:uid="{00000000-0005-0000-0000-0000602C0000}"/>
    <cellStyle name="Финансовый 2 2 2 7 7 3" xfId="5019" xr:uid="{00000000-0005-0000-0000-0000612C0000}"/>
    <cellStyle name="Финансовый 2 2 2 7 7 3 2" xfId="16997" xr:uid="{00000000-0005-0000-0000-0000622C0000}"/>
    <cellStyle name="Финансовый 2 2 2 7 7 3 2 2" xfId="40952" xr:uid="{00000000-0005-0000-0000-0000632C0000}"/>
    <cellStyle name="Финансовый 2 2 2 7 7 3 3" xfId="28974" xr:uid="{00000000-0005-0000-0000-0000642C0000}"/>
    <cellStyle name="Финансовый 2 2 2 7 7 4" xfId="7629" xr:uid="{00000000-0005-0000-0000-0000652C0000}"/>
    <cellStyle name="Финансовый 2 2 2 7 7 4 2" xfId="19607" xr:uid="{00000000-0005-0000-0000-0000662C0000}"/>
    <cellStyle name="Финансовый 2 2 2 7 7 4 2 2" xfId="43562" xr:uid="{00000000-0005-0000-0000-0000672C0000}"/>
    <cellStyle name="Финансовый 2 2 2 7 7 4 3" xfId="31584" xr:uid="{00000000-0005-0000-0000-0000682C0000}"/>
    <cellStyle name="Финансовый 2 2 2 7 7 5" xfId="9412" xr:uid="{00000000-0005-0000-0000-0000692C0000}"/>
    <cellStyle name="Финансовый 2 2 2 7 7 5 2" xfId="21390" xr:uid="{00000000-0005-0000-0000-00006A2C0000}"/>
    <cellStyle name="Финансовый 2 2 2 7 7 5 2 2" xfId="45345" xr:uid="{00000000-0005-0000-0000-00006B2C0000}"/>
    <cellStyle name="Финансовый 2 2 2 7 7 5 3" xfId="33367" xr:uid="{00000000-0005-0000-0000-00006C2C0000}"/>
    <cellStyle name="Финансовый 2 2 2 7 7 6" xfId="13570" xr:uid="{00000000-0005-0000-0000-00006D2C0000}"/>
    <cellStyle name="Финансовый 2 2 2 7 7 6 2" xfId="37525" xr:uid="{00000000-0005-0000-0000-00006E2C0000}"/>
    <cellStyle name="Финансовый 2 2 2 7 7 7" xfId="25548" xr:uid="{00000000-0005-0000-0000-00006F2C0000}"/>
    <cellStyle name="Финансовый 2 2 2 7 7 8" xfId="48681" xr:uid="{00000000-0005-0000-0000-0000702C0000}"/>
    <cellStyle name="Финансовый 2 2 2 7 8" xfId="877" xr:uid="{00000000-0005-0000-0000-0000712C0000}"/>
    <cellStyle name="Финансовый 2 2 2 7 8 2" xfId="6917" xr:uid="{00000000-0005-0000-0000-0000722C0000}"/>
    <cellStyle name="Финансовый 2 2 2 7 8 2 2" xfId="18895" xr:uid="{00000000-0005-0000-0000-0000732C0000}"/>
    <cellStyle name="Финансовый 2 2 2 7 8 2 2 2" xfId="42850" xr:uid="{00000000-0005-0000-0000-0000742C0000}"/>
    <cellStyle name="Финансовый 2 2 2 7 8 2 3" xfId="30872" xr:uid="{00000000-0005-0000-0000-0000752C0000}"/>
    <cellStyle name="Финансовый 2 2 2 7 8 3" xfId="10465" xr:uid="{00000000-0005-0000-0000-0000762C0000}"/>
    <cellStyle name="Финансовый 2 2 2 7 8 3 2" xfId="22443" xr:uid="{00000000-0005-0000-0000-0000772C0000}"/>
    <cellStyle name="Финансовый 2 2 2 7 8 3 2 2" xfId="46398" xr:uid="{00000000-0005-0000-0000-0000782C0000}"/>
    <cellStyle name="Финансовый 2 2 2 7 8 3 3" xfId="34420" xr:uid="{00000000-0005-0000-0000-0000792C0000}"/>
    <cellStyle name="Финансовый 2 2 2 7 8 4" xfId="12858" xr:uid="{00000000-0005-0000-0000-00007A2C0000}"/>
    <cellStyle name="Финансовый 2 2 2 7 8 4 2" xfId="36813" xr:uid="{00000000-0005-0000-0000-00007B2C0000}"/>
    <cellStyle name="Финансовый 2 2 2 7 8 5" xfId="24836" xr:uid="{00000000-0005-0000-0000-00007C2C0000}"/>
    <cellStyle name="Финансовый 2 2 2 7 8 6" xfId="49734" xr:uid="{00000000-0005-0000-0000-00007D2C0000}"/>
    <cellStyle name="Финансовый 2 2 2 7 9" xfId="457" xr:uid="{00000000-0005-0000-0000-00007E2C0000}"/>
    <cellStyle name="Финансовый 2 2 2 7 9 2" xfId="6497" xr:uid="{00000000-0005-0000-0000-00007F2C0000}"/>
    <cellStyle name="Финансовый 2 2 2 7 9 2 2" xfId="18475" xr:uid="{00000000-0005-0000-0000-0000802C0000}"/>
    <cellStyle name="Финансовый 2 2 2 7 9 2 2 2" xfId="42430" xr:uid="{00000000-0005-0000-0000-0000812C0000}"/>
    <cellStyle name="Финансовый 2 2 2 7 9 2 3" xfId="30452" xr:uid="{00000000-0005-0000-0000-0000822C0000}"/>
    <cellStyle name="Финансовый 2 2 2 7 9 3" xfId="12438" xr:uid="{00000000-0005-0000-0000-0000832C0000}"/>
    <cellStyle name="Финансовый 2 2 2 7 9 3 2" xfId="36393" xr:uid="{00000000-0005-0000-0000-0000842C0000}"/>
    <cellStyle name="Финансовый 2 2 2 7 9 4" xfId="24416" xr:uid="{00000000-0005-0000-0000-0000852C0000}"/>
    <cellStyle name="Финансовый 2 2 2 8" xfId="22" xr:uid="{00000000-0005-0000-0000-0000862C0000}"/>
    <cellStyle name="Финансовый 2 2 2 8 10" xfId="2634" xr:uid="{00000000-0005-0000-0000-0000872C0000}"/>
    <cellStyle name="Финансовый 2 2 2 8 10 2" xfId="14613" xr:uid="{00000000-0005-0000-0000-0000882C0000}"/>
    <cellStyle name="Финансовый 2 2 2 8 10 2 2" xfId="38568" xr:uid="{00000000-0005-0000-0000-0000892C0000}"/>
    <cellStyle name="Финансовый 2 2 2 8 10 3" xfId="26591" xr:uid="{00000000-0005-0000-0000-00008A2C0000}"/>
    <cellStyle name="Финансовый 2 2 2 8 11" xfId="4277" xr:uid="{00000000-0005-0000-0000-00008B2C0000}"/>
    <cellStyle name="Финансовый 2 2 2 8 11 2" xfId="16256" xr:uid="{00000000-0005-0000-0000-00008C2C0000}"/>
    <cellStyle name="Финансовый 2 2 2 8 11 2 2" xfId="40211" xr:uid="{00000000-0005-0000-0000-00008D2C0000}"/>
    <cellStyle name="Финансовый 2 2 2 8 11 3" xfId="28234" xr:uid="{00000000-0005-0000-0000-00008E2C0000}"/>
    <cellStyle name="Финансовый 2 2 2 8 12" xfId="6065" xr:uid="{00000000-0005-0000-0000-00008F2C0000}"/>
    <cellStyle name="Финансовый 2 2 2 8 12 2" xfId="18043" xr:uid="{00000000-0005-0000-0000-0000902C0000}"/>
    <cellStyle name="Финансовый 2 2 2 8 12 2 2" xfId="41998" xr:uid="{00000000-0005-0000-0000-0000912C0000}"/>
    <cellStyle name="Финансовый 2 2 2 8 12 3" xfId="30020" xr:uid="{00000000-0005-0000-0000-0000922C0000}"/>
    <cellStyle name="Финансовый 2 2 2 8 13" xfId="8672" xr:uid="{00000000-0005-0000-0000-0000932C0000}"/>
    <cellStyle name="Финансовый 2 2 2 8 13 2" xfId="20650" xr:uid="{00000000-0005-0000-0000-0000942C0000}"/>
    <cellStyle name="Финансовый 2 2 2 8 13 2 2" xfId="44605" xr:uid="{00000000-0005-0000-0000-0000952C0000}"/>
    <cellStyle name="Финансовый 2 2 2 8 13 3" xfId="32627" xr:uid="{00000000-0005-0000-0000-0000962C0000}"/>
    <cellStyle name="Финансовый 2 2 2 8 14" xfId="12006" xr:uid="{00000000-0005-0000-0000-0000972C0000}"/>
    <cellStyle name="Финансовый 2 2 2 8 14 2" xfId="35961" xr:uid="{00000000-0005-0000-0000-0000982C0000}"/>
    <cellStyle name="Финансовый 2 2 2 8 15" xfId="23984" xr:uid="{00000000-0005-0000-0000-0000992C0000}"/>
    <cellStyle name="Финансовый 2 2 2 8 16" xfId="47942" xr:uid="{00000000-0005-0000-0000-00009A2C0000}"/>
    <cellStyle name="Финансовый 2 2 2 8 2" xfId="160" xr:uid="{00000000-0005-0000-0000-00009B2C0000}"/>
    <cellStyle name="Финансовый 2 2 2 8 2 10" xfId="8808" xr:uid="{00000000-0005-0000-0000-00009C2C0000}"/>
    <cellStyle name="Финансовый 2 2 2 8 2 10 2" xfId="20786" xr:uid="{00000000-0005-0000-0000-00009D2C0000}"/>
    <cellStyle name="Финансовый 2 2 2 8 2 10 2 2" xfId="44741" xr:uid="{00000000-0005-0000-0000-00009E2C0000}"/>
    <cellStyle name="Финансовый 2 2 2 8 2 10 3" xfId="32763" xr:uid="{00000000-0005-0000-0000-00009F2C0000}"/>
    <cellStyle name="Финансовый 2 2 2 8 2 11" xfId="12142" xr:uid="{00000000-0005-0000-0000-0000A02C0000}"/>
    <cellStyle name="Финансовый 2 2 2 8 2 11 2" xfId="36097" xr:uid="{00000000-0005-0000-0000-0000A12C0000}"/>
    <cellStyle name="Финансовый 2 2 2 8 2 12" xfId="24120" xr:uid="{00000000-0005-0000-0000-0000A22C0000}"/>
    <cellStyle name="Финансовый 2 2 2 8 2 13" xfId="48078" xr:uid="{00000000-0005-0000-0000-0000A32C0000}"/>
    <cellStyle name="Финансовый 2 2 2 8 2 2" xfId="1258" xr:uid="{00000000-0005-0000-0000-0000A42C0000}"/>
    <cellStyle name="Финансовый 2 2 2 8 2 2 2" xfId="2224" xr:uid="{00000000-0005-0000-0000-0000A52C0000}"/>
    <cellStyle name="Финансовый 2 2 2 8 2 2 2 2" xfId="3869" xr:uid="{00000000-0005-0000-0000-0000A62C0000}"/>
    <cellStyle name="Финансовый 2 2 2 8 2 2 2 2 2" xfId="11609" xr:uid="{00000000-0005-0000-0000-0000A72C0000}"/>
    <cellStyle name="Финансовый 2 2 2 8 2 2 2 2 2 2" xfId="23587" xr:uid="{00000000-0005-0000-0000-0000A82C0000}"/>
    <cellStyle name="Финансовый 2 2 2 8 2 2 2 2 2 2 2" xfId="47542" xr:uid="{00000000-0005-0000-0000-0000A92C0000}"/>
    <cellStyle name="Финансовый 2 2 2 8 2 2 2 2 2 3" xfId="35564" xr:uid="{00000000-0005-0000-0000-0000AA2C0000}"/>
    <cellStyle name="Финансовый 2 2 2 8 2 2 2 2 3" xfId="15848" xr:uid="{00000000-0005-0000-0000-0000AB2C0000}"/>
    <cellStyle name="Финансовый 2 2 2 8 2 2 2 2 3 2" xfId="39803" xr:uid="{00000000-0005-0000-0000-0000AC2C0000}"/>
    <cellStyle name="Финансовый 2 2 2 8 2 2 2 2 4" xfId="27826" xr:uid="{00000000-0005-0000-0000-0000AD2C0000}"/>
    <cellStyle name="Финансовый 2 2 2 8 2 2 2 2 5" xfId="51095" xr:uid="{00000000-0005-0000-0000-0000AE2C0000}"/>
    <cellStyle name="Финансовый 2 2 2 8 2 2 2 3" xfId="5652" xr:uid="{00000000-0005-0000-0000-0000AF2C0000}"/>
    <cellStyle name="Финансовый 2 2 2 8 2 2 2 3 2" xfId="17630" xr:uid="{00000000-0005-0000-0000-0000B02C0000}"/>
    <cellStyle name="Финансовый 2 2 2 8 2 2 2 3 2 2" xfId="41585" xr:uid="{00000000-0005-0000-0000-0000B12C0000}"/>
    <cellStyle name="Финансовый 2 2 2 8 2 2 2 3 3" xfId="29607" xr:uid="{00000000-0005-0000-0000-0000B22C0000}"/>
    <cellStyle name="Финансовый 2 2 2 8 2 2 2 4" xfId="8262" xr:uid="{00000000-0005-0000-0000-0000B32C0000}"/>
    <cellStyle name="Финансовый 2 2 2 8 2 2 2 4 2" xfId="20240" xr:uid="{00000000-0005-0000-0000-0000B42C0000}"/>
    <cellStyle name="Финансовый 2 2 2 8 2 2 2 4 2 2" xfId="44195" xr:uid="{00000000-0005-0000-0000-0000B52C0000}"/>
    <cellStyle name="Финансовый 2 2 2 8 2 2 2 4 3" xfId="32217" xr:uid="{00000000-0005-0000-0000-0000B62C0000}"/>
    <cellStyle name="Финансовый 2 2 2 8 2 2 2 5" xfId="10045" xr:uid="{00000000-0005-0000-0000-0000B72C0000}"/>
    <cellStyle name="Финансовый 2 2 2 8 2 2 2 5 2" xfId="22023" xr:uid="{00000000-0005-0000-0000-0000B82C0000}"/>
    <cellStyle name="Финансовый 2 2 2 8 2 2 2 5 2 2" xfId="45978" xr:uid="{00000000-0005-0000-0000-0000B92C0000}"/>
    <cellStyle name="Финансовый 2 2 2 8 2 2 2 5 3" xfId="34000" xr:uid="{00000000-0005-0000-0000-0000BA2C0000}"/>
    <cellStyle name="Финансовый 2 2 2 8 2 2 2 6" xfId="14203" xr:uid="{00000000-0005-0000-0000-0000BB2C0000}"/>
    <cellStyle name="Финансовый 2 2 2 8 2 2 2 6 2" xfId="38158" xr:uid="{00000000-0005-0000-0000-0000BC2C0000}"/>
    <cellStyle name="Финансовый 2 2 2 8 2 2 2 7" xfId="26181" xr:uid="{00000000-0005-0000-0000-0000BD2C0000}"/>
    <cellStyle name="Финансовый 2 2 2 8 2 2 2 8" xfId="49314" xr:uid="{00000000-0005-0000-0000-0000BE2C0000}"/>
    <cellStyle name="Финансовый 2 2 2 8 2 2 3" xfId="3042" xr:uid="{00000000-0005-0000-0000-0000BF2C0000}"/>
    <cellStyle name="Финансовый 2 2 2 8 2 2 3 2" xfId="10837" xr:uid="{00000000-0005-0000-0000-0000C02C0000}"/>
    <cellStyle name="Финансовый 2 2 2 8 2 2 3 2 2" xfId="22815" xr:uid="{00000000-0005-0000-0000-0000C12C0000}"/>
    <cellStyle name="Финансовый 2 2 2 8 2 2 3 2 2 2" xfId="46770" xr:uid="{00000000-0005-0000-0000-0000C22C0000}"/>
    <cellStyle name="Финансовый 2 2 2 8 2 2 3 2 3" xfId="34792" xr:uid="{00000000-0005-0000-0000-0000C32C0000}"/>
    <cellStyle name="Финансовый 2 2 2 8 2 2 3 3" xfId="15021" xr:uid="{00000000-0005-0000-0000-0000C42C0000}"/>
    <cellStyle name="Финансовый 2 2 2 8 2 2 3 3 2" xfId="38976" xr:uid="{00000000-0005-0000-0000-0000C52C0000}"/>
    <cellStyle name="Финансовый 2 2 2 8 2 2 3 4" xfId="26999" xr:uid="{00000000-0005-0000-0000-0000C62C0000}"/>
    <cellStyle name="Финансовый 2 2 2 8 2 2 3 5" xfId="50130" xr:uid="{00000000-0005-0000-0000-0000C72C0000}"/>
    <cellStyle name="Финансовый 2 2 2 8 2 2 4" xfId="4686" xr:uid="{00000000-0005-0000-0000-0000C82C0000}"/>
    <cellStyle name="Финансовый 2 2 2 8 2 2 4 2" xfId="16665" xr:uid="{00000000-0005-0000-0000-0000C92C0000}"/>
    <cellStyle name="Финансовый 2 2 2 8 2 2 4 2 2" xfId="40620" xr:uid="{00000000-0005-0000-0000-0000CA2C0000}"/>
    <cellStyle name="Финансовый 2 2 2 8 2 2 4 3" xfId="28643" xr:uid="{00000000-0005-0000-0000-0000CB2C0000}"/>
    <cellStyle name="Финансовый 2 2 2 8 2 2 5" xfId="7298" xr:uid="{00000000-0005-0000-0000-0000CC2C0000}"/>
    <cellStyle name="Финансовый 2 2 2 8 2 2 5 2" xfId="19276" xr:uid="{00000000-0005-0000-0000-0000CD2C0000}"/>
    <cellStyle name="Финансовый 2 2 2 8 2 2 5 2 2" xfId="43231" xr:uid="{00000000-0005-0000-0000-0000CE2C0000}"/>
    <cellStyle name="Финансовый 2 2 2 8 2 2 5 3" xfId="31253" xr:uid="{00000000-0005-0000-0000-0000CF2C0000}"/>
    <cellStyle name="Финансовый 2 2 2 8 2 2 6" xfId="9080" xr:uid="{00000000-0005-0000-0000-0000D02C0000}"/>
    <cellStyle name="Финансовый 2 2 2 8 2 2 6 2" xfId="21058" xr:uid="{00000000-0005-0000-0000-0000D12C0000}"/>
    <cellStyle name="Финансовый 2 2 2 8 2 2 6 2 2" xfId="45013" xr:uid="{00000000-0005-0000-0000-0000D22C0000}"/>
    <cellStyle name="Финансовый 2 2 2 8 2 2 6 3" xfId="33035" xr:uid="{00000000-0005-0000-0000-0000D32C0000}"/>
    <cellStyle name="Финансовый 2 2 2 8 2 2 7" xfId="13239" xr:uid="{00000000-0005-0000-0000-0000D42C0000}"/>
    <cellStyle name="Финансовый 2 2 2 8 2 2 7 2" xfId="37194" xr:uid="{00000000-0005-0000-0000-0000D52C0000}"/>
    <cellStyle name="Финансовый 2 2 2 8 2 2 8" xfId="25217" xr:uid="{00000000-0005-0000-0000-0000D62C0000}"/>
    <cellStyle name="Финансовый 2 2 2 8 2 2 9" xfId="48350" xr:uid="{00000000-0005-0000-0000-0000D72C0000}"/>
    <cellStyle name="Финансовый 2 2 2 8 2 3" xfId="1968" xr:uid="{00000000-0005-0000-0000-0000D82C0000}"/>
    <cellStyle name="Финансовый 2 2 2 8 2 3 2" xfId="3613" xr:uid="{00000000-0005-0000-0000-0000D92C0000}"/>
    <cellStyle name="Финансовый 2 2 2 8 2 3 2 2" xfId="11353" xr:uid="{00000000-0005-0000-0000-0000DA2C0000}"/>
    <cellStyle name="Финансовый 2 2 2 8 2 3 2 2 2" xfId="23331" xr:uid="{00000000-0005-0000-0000-0000DB2C0000}"/>
    <cellStyle name="Финансовый 2 2 2 8 2 3 2 2 2 2" xfId="47286" xr:uid="{00000000-0005-0000-0000-0000DC2C0000}"/>
    <cellStyle name="Финансовый 2 2 2 8 2 3 2 2 3" xfId="35308" xr:uid="{00000000-0005-0000-0000-0000DD2C0000}"/>
    <cellStyle name="Финансовый 2 2 2 8 2 3 2 3" xfId="15592" xr:uid="{00000000-0005-0000-0000-0000DE2C0000}"/>
    <cellStyle name="Финансовый 2 2 2 8 2 3 2 3 2" xfId="39547" xr:uid="{00000000-0005-0000-0000-0000DF2C0000}"/>
    <cellStyle name="Финансовый 2 2 2 8 2 3 2 4" xfId="27570" xr:uid="{00000000-0005-0000-0000-0000E02C0000}"/>
    <cellStyle name="Финансовый 2 2 2 8 2 3 2 5" xfId="50839" xr:uid="{00000000-0005-0000-0000-0000E12C0000}"/>
    <cellStyle name="Финансовый 2 2 2 8 2 3 3" xfId="5396" xr:uid="{00000000-0005-0000-0000-0000E22C0000}"/>
    <cellStyle name="Финансовый 2 2 2 8 2 3 3 2" xfId="17374" xr:uid="{00000000-0005-0000-0000-0000E32C0000}"/>
    <cellStyle name="Финансовый 2 2 2 8 2 3 3 2 2" xfId="41329" xr:uid="{00000000-0005-0000-0000-0000E42C0000}"/>
    <cellStyle name="Финансовый 2 2 2 8 2 3 3 3" xfId="29351" xr:uid="{00000000-0005-0000-0000-0000E52C0000}"/>
    <cellStyle name="Финансовый 2 2 2 8 2 3 4" xfId="8006" xr:uid="{00000000-0005-0000-0000-0000E62C0000}"/>
    <cellStyle name="Финансовый 2 2 2 8 2 3 4 2" xfId="19984" xr:uid="{00000000-0005-0000-0000-0000E72C0000}"/>
    <cellStyle name="Финансовый 2 2 2 8 2 3 4 2 2" xfId="43939" xr:uid="{00000000-0005-0000-0000-0000E82C0000}"/>
    <cellStyle name="Финансовый 2 2 2 8 2 3 4 3" xfId="31961" xr:uid="{00000000-0005-0000-0000-0000E92C0000}"/>
    <cellStyle name="Финансовый 2 2 2 8 2 3 5" xfId="9789" xr:uid="{00000000-0005-0000-0000-0000EA2C0000}"/>
    <cellStyle name="Финансовый 2 2 2 8 2 3 5 2" xfId="21767" xr:uid="{00000000-0005-0000-0000-0000EB2C0000}"/>
    <cellStyle name="Финансовый 2 2 2 8 2 3 5 2 2" xfId="45722" xr:uid="{00000000-0005-0000-0000-0000EC2C0000}"/>
    <cellStyle name="Финансовый 2 2 2 8 2 3 5 3" xfId="33744" xr:uid="{00000000-0005-0000-0000-0000ED2C0000}"/>
    <cellStyle name="Финансовый 2 2 2 8 2 3 6" xfId="13947" xr:uid="{00000000-0005-0000-0000-0000EE2C0000}"/>
    <cellStyle name="Финансовый 2 2 2 8 2 3 6 2" xfId="37902" xr:uid="{00000000-0005-0000-0000-0000EF2C0000}"/>
    <cellStyle name="Финансовый 2 2 2 8 2 3 7" xfId="25925" xr:uid="{00000000-0005-0000-0000-0000F02C0000}"/>
    <cellStyle name="Финансовый 2 2 2 8 2 3 8" xfId="49058" xr:uid="{00000000-0005-0000-0000-0000F12C0000}"/>
    <cellStyle name="Финансовый 2 2 2 8 2 4" xfId="2489" xr:uid="{00000000-0005-0000-0000-0000F22C0000}"/>
    <cellStyle name="Финансовый 2 2 2 8 2 4 2" xfId="4134" xr:uid="{00000000-0005-0000-0000-0000F32C0000}"/>
    <cellStyle name="Финансовый 2 2 2 8 2 4 2 2" xfId="11866" xr:uid="{00000000-0005-0000-0000-0000F42C0000}"/>
    <cellStyle name="Финансовый 2 2 2 8 2 4 2 2 2" xfId="23844" xr:uid="{00000000-0005-0000-0000-0000F52C0000}"/>
    <cellStyle name="Финансовый 2 2 2 8 2 4 2 2 2 2" xfId="47799" xr:uid="{00000000-0005-0000-0000-0000F62C0000}"/>
    <cellStyle name="Финансовый 2 2 2 8 2 4 2 2 3" xfId="35821" xr:uid="{00000000-0005-0000-0000-0000F72C0000}"/>
    <cellStyle name="Финансовый 2 2 2 8 2 4 2 3" xfId="16113" xr:uid="{00000000-0005-0000-0000-0000F82C0000}"/>
    <cellStyle name="Финансовый 2 2 2 8 2 4 2 3 2" xfId="40068" xr:uid="{00000000-0005-0000-0000-0000F92C0000}"/>
    <cellStyle name="Финансовый 2 2 2 8 2 4 2 4" xfId="28091" xr:uid="{00000000-0005-0000-0000-0000FA2C0000}"/>
    <cellStyle name="Финансовый 2 2 2 8 2 4 2 5" xfId="51360" xr:uid="{00000000-0005-0000-0000-0000FB2C0000}"/>
    <cellStyle name="Финансовый 2 2 2 8 2 4 3" xfId="5917" xr:uid="{00000000-0005-0000-0000-0000FC2C0000}"/>
    <cellStyle name="Финансовый 2 2 2 8 2 4 3 2" xfId="17895" xr:uid="{00000000-0005-0000-0000-0000FD2C0000}"/>
    <cellStyle name="Финансовый 2 2 2 8 2 4 3 2 2" xfId="41850" xr:uid="{00000000-0005-0000-0000-0000FE2C0000}"/>
    <cellStyle name="Финансовый 2 2 2 8 2 4 3 3" xfId="29872" xr:uid="{00000000-0005-0000-0000-0000FF2C0000}"/>
    <cellStyle name="Финансовый 2 2 2 8 2 4 4" xfId="8527" xr:uid="{00000000-0005-0000-0000-0000002D0000}"/>
    <cellStyle name="Финансовый 2 2 2 8 2 4 4 2" xfId="20505" xr:uid="{00000000-0005-0000-0000-0000012D0000}"/>
    <cellStyle name="Финансовый 2 2 2 8 2 4 4 2 2" xfId="44460" xr:uid="{00000000-0005-0000-0000-0000022D0000}"/>
    <cellStyle name="Финансовый 2 2 2 8 2 4 4 3" xfId="32482" xr:uid="{00000000-0005-0000-0000-0000032D0000}"/>
    <cellStyle name="Финансовый 2 2 2 8 2 4 5" xfId="10310" xr:uid="{00000000-0005-0000-0000-0000042D0000}"/>
    <cellStyle name="Финансовый 2 2 2 8 2 4 5 2" xfId="22288" xr:uid="{00000000-0005-0000-0000-0000052D0000}"/>
    <cellStyle name="Финансовый 2 2 2 8 2 4 5 2 2" xfId="46243" xr:uid="{00000000-0005-0000-0000-0000062D0000}"/>
    <cellStyle name="Финансовый 2 2 2 8 2 4 5 3" xfId="34265" xr:uid="{00000000-0005-0000-0000-0000072D0000}"/>
    <cellStyle name="Финансовый 2 2 2 8 2 4 6" xfId="14468" xr:uid="{00000000-0005-0000-0000-0000082D0000}"/>
    <cellStyle name="Финансовый 2 2 2 8 2 4 6 2" xfId="38423" xr:uid="{00000000-0005-0000-0000-0000092D0000}"/>
    <cellStyle name="Финансовый 2 2 2 8 2 4 7" xfId="26446" xr:uid="{00000000-0005-0000-0000-00000A2D0000}"/>
    <cellStyle name="Финансовый 2 2 2 8 2 4 8" xfId="49579" xr:uid="{00000000-0005-0000-0000-00000B2D0000}"/>
    <cellStyle name="Финансовый 2 2 2 8 2 5" xfId="993" xr:uid="{00000000-0005-0000-0000-00000C2D0000}"/>
    <cellStyle name="Финансовый 2 2 2 8 2 5 2" xfId="7033" xr:uid="{00000000-0005-0000-0000-00000D2D0000}"/>
    <cellStyle name="Финансовый 2 2 2 8 2 5 2 2" xfId="19011" xr:uid="{00000000-0005-0000-0000-00000E2D0000}"/>
    <cellStyle name="Финансовый 2 2 2 8 2 5 2 2 2" xfId="42966" xr:uid="{00000000-0005-0000-0000-00000F2D0000}"/>
    <cellStyle name="Финансовый 2 2 2 8 2 5 2 3" xfId="30988" xr:uid="{00000000-0005-0000-0000-0000102D0000}"/>
    <cellStyle name="Финансовый 2 2 2 8 2 5 3" xfId="10581" xr:uid="{00000000-0005-0000-0000-0000112D0000}"/>
    <cellStyle name="Финансовый 2 2 2 8 2 5 3 2" xfId="22559" xr:uid="{00000000-0005-0000-0000-0000122D0000}"/>
    <cellStyle name="Финансовый 2 2 2 8 2 5 3 2 2" xfId="46514" xr:uid="{00000000-0005-0000-0000-0000132D0000}"/>
    <cellStyle name="Финансовый 2 2 2 8 2 5 3 3" xfId="34536" xr:uid="{00000000-0005-0000-0000-0000142D0000}"/>
    <cellStyle name="Финансовый 2 2 2 8 2 5 4" xfId="12974" xr:uid="{00000000-0005-0000-0000-0000152D0000}"/>
    <cellStyle name="Финансовый 2 2 2 8 2 5 4 2" xfId="36929" xr:uid="{00000000-0005-0000-0000-0000162D0000}"/>
    <cellStyle name="Финансовый 2 2 2 8 2 5 5" xfId="24952" xr:uid="{00000000-0005-0000-0000-0000172D0000}"/>
    <cellStyle name="Финансовый 2 2 2 8 2 5 6" xfId="49858" xr:uid="{00000000-0005-0000-0000-0000182D0000}"/>
    <cellStyle name="Финансовый 2 2 2 8 2 6" xfId="581" xr:uid="{00000000-0005-0000-0000-0000192D0000}"/>
    <cellStyle name="Финансовый 2 2 2 8 2 6 2" xfId="6621" xr:uid="{00000000-0005-0000-0000-00001A2D0000}"/>
    <cellStyle name="Финансовый 2 2 2 8 2 6 2 2" xfId="18599" xr:uid="{00000000-0005-0000-0000-00001B2D0000}"/>
    <cellStyle name="Финансовый 2 2 2 8 2 6 2 2 2" xfId="42554" xr:uid="{00000000-0005-0000-0000-00001C2D0000}"/>
    <cellStyle name="Финансовый 2 2 2 8 2 6 2 3" xfId="30576" xr:uid="{00000000-0005-0000-0000-00001D2D0000}"/>
    <cellStyle name="Финансовый 2 2 2 8 2 6 3" xfId="12562" xr:uid="{00000000-0005-0000-0000-00001E2D0000}"/>
    <cellStyle name="Финансовый 2 2 2 8 2 6 3 2" xfId="36517" xr:uid="{00000000-0005-0000-0000-00001F2D0000}"/>
    <cellStyle name="Финансовый 2 2 2 8 2 6 4" xfId="24540" xr:uid="{00000000-0005-0000-0000-0000202D0000}"/>
    <cellStyle name="Финансовый 2 2 2 8 2 7" xfId="2770" xr:uid="{00000000-0005-0000-0000-0000212D0000}"/>
    <cellStyle name="Финансовый 2 2 2 8 2 7 2" xfId="14749" xr:uid="{00000000-0005-0000-0000-0000222D0000}"/>
    <cellStyle name="Финансовый 2 2 2 8 2 7 2 2" xfId="38704" xr:uid="{00000000-0005-0000-0000-0000232D0000}"/>
    <cellStyle name="Финансовый 2 2 2 8 2 7 3" xfId="26727" xr:uid="{00000000-0005-0000-0000-0000242D0000}"/>
    <cellStyle name="Финансовый 2 2 2 8 2 8" xfId="4414" xr:uid="{00000000-0005-0000-0000-0000252D0000}"/>
    <cellStyle name="Финансовый 2 2 2 8 2 8 2" xfId="16393" xr:uid="{00000000-0005-0000-0000-0000262D0000}"/>
    <cellStyle name="Финансовый 2 2 2 8 2 8 2 2" xfId="40348" xr:uid="{00000000-0005-0000-0000-0000272D0000}"/>
    <cellStyle name="Финансовый 2 2 2 8 2 8 3" xfId="28371" xr:uid="{00000000-0005-0000-0000-0000282D0000}"/>
    <cellStyle name="Финансовый 2 2 2 8 2 9" xfId="6201" xr:uid="{00000000-0005-0000-0000-0000292D0000}"/>
    <cellStyle name="Финансовый 2 2 2 8 2 9 2" xfId="18179" xr:uid="{00000000-0005-0000-0000-00002A2D0000}"/>
    <cellStyle name="Финансовый 2 2 2 8 2 9 2 2" xfId="42134" xr:uid="{00000000-0005-0000-0000-00002B2D0000}"/>
    <cellStyle name="Финансовый 2 2 2 8 2 9 3" xfId="30156" xr:uid="{00000000-0005-0000-0000-00002C2D0000}"/>
    <cellStyle name="Финансовый 2 2 2 8 3" xfId="309" xr:uid="{00000000-0005-0000-0000-00002D2D0000}"/>
    <cellStyle name="Финансовый 2 2 2 8 3 10" xfId="24268" xr:uid="{00000000-0005-0000-0000-00002E2D0000}"/>
    <cellStyle name="Финансовый 2 2 2 8 3 11" xfId="48214" xr:uid="{00000000-0005-0000-0000-00002F2D0000}"/>
    <cellStyle name="Финансовый 2 2 2 8 3 2" xfId="2096" xr:uid="{00000000-0005-0000-0000-0000302D0000}"/>
    <cellStyle name="Финансовый 2 2 2 8 3 2 2" xfId="3741" xr:uid="{00000000-0005-0000-0000-0000312D0000}"/>
    <cellStyle name="Финансовый 2 2 2 8 3 2 2 2" xfId="11481" xr:uid="{00000000-0005-0000-0000-0000322D0000}"/>
    <cellStyle name="Финансовый 2 2 2 8 3 2 2 2 2" xfId="23459" xr:uid="{00000000-0005-0000-0000-0000332D0000}"/>
    <cellStyle name="Финансовый 2 2 2 8 3 2 2 2 2 2" xfId="47414" xr:uid="{00000000-0005-0000-0000-0000342D0000}"/>
    <cellStyle name="Финансовый 2 2 2 8 3 2 2 2 3" xfId="35436" xr:uid="{00000000-0005-0000-0000-0000352D0000}"/>
    <cellStyle name="Финансовый 2 2 2 8 3 2 2 3" xfId="15720" xr:uid="{00000000-0005-0000-0000-0000362D0000}"/>
    <cellStyle name="Финансовый 2 2 2 8 3 2 2 3 2" xfId="39675" xr:uid="{00000000-0005-0000-0000-0000372D0000}"/>
    <cellStyle name="Финансовый 2 2 2 8 3 2 2 4" xfId="27698" xr:uid="{00000000-0005-0000-0000-0000382D0000}"/>
    <cellStyle name="Финансовый 2 2 2 8 3 2 2 5" xfId="50967" xr:uid="{00000000-0005-0000-0000-0000392D0000}"/>
    <cellStyle name="Финансовый 2 2 2 8 3 2 3" xfId="5524" xr:uid="{00000000-0005-0000-0000-00003A2D0000}"/>
    <cellStyle name="Финансовый 2 2 2 8 3 2 3 2" xfId="17502" xr:uid="{00000000-0005-0000-0000-00003B2D0000}"/>
    <cellStyle name="Финансовый 2 2 2 8 3 2 3 2 2" xfId="41457" xr:uid="{00000000-0005-0000-0000-00003C2D0000}"/>
    <cellStyle name="Финансовый 2 2 2 8 3 2 3 3" xfId="29479" xr:uid="{00000000-0005-0000-0000-00003D2D0000}"/>
    <cellStyle name="Финансовый 2 2 2 8 3 2 4" xfId="8134" xr:uid="{00000000-0005-0000-0000-00003E2D0000}"/>
    <cellStyle name="Финансовый 2 2 2 8 3 2 4 2" xfId="20112" xr:uid="{00000000-0005-0000-0000-00003F2D0000}"/>
    <cellStyle name="Финансовый 2 2 2 8 3 2 4 2 2" xfId="44067" xr:uid="{00000000-0005-0000-0000-0000402D0000}"/>
    <cellStyle name="Финансовый 2 2 2 8 3 2 4 3" xfId="32089" xr:uid="{00000000-0005-0000-0000-0000412D0000}"/>
    <cellStyle name="Финансовый 2 2 2 8 3 2 5" xfId="9917" xr:uid="{00000000-0005-0000-0000-0000422D0000}"/>
    <cellStyle name="Финансовый 2 2 2 8 3 2 5 2" xfId="21895" xr:uid="{00000000-0005-0000-0000-0000432D0000}"/>
    <cellStyle name="Финансовый 2 2 2 8 3 2 5 2 2" xfId="45850" xr:uid="{00000000-0005-0000-0000-0000442D0000}"/>
    <cellStyle name="Финансовый 2 2 2 8 3 2 5 3" xfId="33872" xr:uid="{00000000-0005-0000-0000-0000452D0000}"/>
    <cellStyle name="Финансовый 2 2 2 8 3 2 6" xfId="14075" xr:uid="{00000000-0005-0000-0000-0000462D0000}"/>
    <cellStyle name="Финансовый 2 2 2 8 3 2 6 2" xfId="38030" xr:uid="{00000000-0005-0000-0000-0000472D0000}"/>
    <cellStyle name="Финансовый 2 2 2 8 3 2 7" xfId="26053" xr:uid="{00000000-0005-0000-0000-0000482D0000}"/>
    <cellStyle name="Финансовый 2 2 2 8 3 2 8" xfId="49186" xr:uid="{00000000-0005-0000-0000-0000492D0000}"/>
    <cellStyle name="Финансовый 2 2 2 8 3 3" xfId="1129" xr:uid="{00000000-0005-0000-0000-00004A2D0000}"/>
    <cellStyle name="Финансовый 2 2 2 8 3 3 2" xfId="7169" xr:uid="{00000000-0005-0000-0000-00004B2D0000}"/>
    <cellStyle name="Финансовый 2 2 2 8 3 3 2 2" xfId="19147" xr:uid="{00000000-0005-0000-0000-00004C2D0000}"/>
    <cellStyle name="Финансовый 2 2 2 8 3 3 2 2 2" xfId="43102" xr:uid="{00000000-0005-0000-0000-00004D2D0000}"/>
    <cellStyle name="Финансовый 2 2 2 8 3 3 2 3" xfId="31124" xr:uid="{00000000-0005-0000-0000-00004E2D0000}"/>
    <cellStyle name="Финансовый 2 2 2 8 3 3 3" xfId="10709" xr:uid="{00000000-0005-0000-0000-00004F2D0000}"/>
    <cellStyle name="Финансовый 2 2 2 8 3 3 3 2" xfId="22687" xr:uid="{00000000-0005-0000-0000-0000502D0000}"/>
    <cellStyle name="Финансовый 2 2 2 8 3 3 3 2 2" xfId="46642" xr:uid="{00000000-0005-0000-0000-0000512D0000}"/>
    <cellStyle name="Финансовый 2 2 2 8 3 3 3 3" xfId="34664" xr:uid="{00000000-0005-0000-0000-0000522D0000}"/>
    <cellStyle name="Финансовый 2 2 2 8 3 3 4" xfId="13110" xr:uid="{00000000-0005-0000-0000-0000532D0000}"/>
    <cellStyle name="Финансовый 2 2 2 8 3 3 4 2" xfId="37065" xr:uid="{00000000-0005-0000-0000-0000542D0000}"/>
    <cellStyle name="Финансовый 2 2 2 8 3 3 5" xfId="25088" xr:uid="{00000000-0005-0000-0000-0000552D0000}"/>
    <cellStyle name="Финансовый 2 2 2 8 3 3 6" xfId="49994" xr:uid="{00000000-0005-0000-0000-0000562D0000}"/>
    <cellStyle name="Финансовый 2 2 2 8 3 4" xfId="729" xr:uid="{00000000-0005-0000-0000-0000572D0000}"/>
    <cellStyle name="Финансовый 2 2 2 8 3 4 2" xfId="6769" xr:uid="{00000000-0005-0000-0000-0000582D0000}"/>
    <cellStyle name="Финансовый 2 2 2 8 3 4 2 2" xfId="18747" xr:uid="{00000000-0005-0000-0000-0000592D0000}"/>
    <cellStyle name="Финансовый 2 2 2 8 3 4 2 2 2" xfId="42702" xr:uid="{00000000-0005-0000-0000-00005A2D0000}"/>
    <cellStyle name="Финансовый 2 2 2 8 3 4 2 3" xfId="30724" xr:uid="{00000000-0005-0000-0000-00005B2D0000}"/>
    <cellStyle name="Финансовый 2 2 2 8 3 4 3" xfId="12710" xr:uid="{00000000-0005-0000-0000-00005C2D0000}"/>
    <cellStyle name="Финансовый 2 2 2 8 3 4 3 2" xfId="36665" xr:uid="{00000000-0005-0000-0000-00005D2D0000}"/>
    <cellStyle name="Финансовый 2 2 2 8 3 4 4" xfId="24688" xr:uid="{00000000-0005-0000-0000-00005E2D0000}"/>
    <cellStyle name="Финансовый 2 2 2 8 3 5" xfId="2906" xr:uid="{00000000-0005-0000-0000-00005F2D0000}"/>
    <cellStyle name="Финансовый 2 2 2 8 3 5 2" xfId="14885" xr:uid="{00000000-0005-0000-0000-0000602D0000}"/>
    <cellStyle name="Финансовый 2 2 2 8 3 5 2 2" xfId="38840" xr:uid="{00000000-0005-0000-0000-0000612D0000}"/>
    <cellStyle name="Финансовый 2 2 2 8 3 5 3" xfId="26863" xr:uid="{00000000-0005-0000-0000-0000622D0000}"/>
    <cellStyle name="Финансовый 2 2 2 8 3 6" xfId="4550" xr:uid="{00000000-0005-0000-0000-0000632D0000}"/>
    <cellStyle name="Финансовый 2 2 2 8 3 6 2" xfId="16529" xr:uid="{00000000-0005-0000-0000-0000642D0000}"/>
    <cellStyle name="Финансовый 2 2 2 8 3 6 2 2" xfId="40484" xr:uid="{00000000-0005-0000-0000-0000652D0000}"/>
    <cellStyle name="Финансовый 2 2 2 8 3 6 3" xfId="28507" xr:uid="{00000000-0005-0000-0000-0000662D0000}"/>
    <cellStyle name="Финансовый 2 2 2 8 3 7" xfId="6349" xr:uid="{00000000-0005-0000-0000-0000672D0000}"/>
    <cellStyle name="Финансовый 2 2 2 8 3 7 2" xfId="18327" xr:uid="{00000000-0005-0000-0000-0000682D0000}"/>
    <cellStyle name="Финансовый 2 2 2 8 3 7 2 2" xfId="42282" xr:uid="{00000000-0005-0000-0000-0000692D0000}"/>
    <cellStyle name="Финансовый 2 2 2 8 3 7 3" xfId="30304" xr:uid="{00000000-0005-0000-0000-00006A2D0000}"/>
    <cellStyle name="Финансовый 2 2 2 8 3 8" xfId="8944" xr:uid="{00000000-0005-0000-0000-00006B2D0000}"/>
    <cellStyle name="Финансовый 2 2 2 8 3 8 2" xfId="20922" xr:uid="{00000000-0005-0000-0000-00006C2D0000}"/>
    <cellStyle name="Финансовый 2 2 2 8 3 8 2 2" xfId="44877" xr:uid="{00000000-0005-0000-0000-00006D2D0000}"/>
    <cellStyle name="Финансовый 2 2 2 8 3 8 3" xfId="32899" xr:uid="{00000000-0005-0000-0000-00006E2D0000}"/>
    <cellStyle name="Финансовый 2 2 2 8 3 9" xfId="12290" xr:uid="{00000000-0005-0000-0000-00006F2D0000}"/>
    <cellStyle name="Финансовый 2 2 2 8 3 9 2" xfId="36245" xr:uid="{00000000-0005-0000-0000-0000702D0000}"/>
    <cellStyle name="Финансовый 2 2 2 8 4" xfId="1466" xr:uid="{00000000-0005-0000-0000-0000712D0000}"/>
    <cellStyle name="Финансовый 2 2 2 8 4 2" xfId="1832" xr:uid="{00000000-0005-0000-0000-0000722D0000}"/>
    <cellStyle name="Финансовый 2 2 2 8 4 2 2" xfId="3477" xr:uid="{00000000-0005-0000-0000-0000732D0000}"/>
    <cellStyle name="Финансовый 2 2 2 8 4 2 2 2" xfId="11225" xr:uid="{00000000-0005-0000-0000-0000742D0000}"/>
    <cellStyle name="Финансовый 2 2 2 8 4 2 2 2 2" xfId="23203" xr:uid="{00000000-0005-0000-0000-0000752D0000}"/>
    <cellStyle name="Финансовый 2 2 2 8 4 2 2 2 2 2" xfId="47158" xr:uid="{00000000-0005-0000-0000-0000762D0000}"/>
    <cellStyle name="Финансовый 2 2 2 8 4 2 2 2 3" xfId="35180" xr:uid="{00000000-0005-0000-0000-0000772D0000}"/>
    <cellStyle name="Финансовый 2 2 2 8 4 2 2 3" xfId="15456" xr:uid="{00000000-0005-0000-0000-0000782D0000}"/>
    <cellStyle name="Финансовый 2 2 2 8 4 2 2 3 2" xfId="39411" xr:uid="{00000000-0005-0000-0000-0000792D0000}"/>
    <cellStyle name="Финансовый 2 2 2 8 4 2 2 4" xfId="27434" xr:uid="{00000000-0005-0000-0000-00007A2D0000}"/>
    <cellStyle name="Финансовый 2 2 2 8 4 2 2 5" xfId="50703" xr:uid="{00000000-0005-0000-0000-00007B2D0000}"/>
    <cellStyle name="Финансовый 2 2 2 8 4 2 3" xfId="5260" xr:uid="{00000000-0005-0000-0000-00007C2D0000}"/>
    <cellStyle name="Финансовый 2 2 2 8 4 2 3 2" xfId="17238" xr:uid="{00000000-0005-0000-0000-00007D2D0000}"/>
    <cellStyle name="Финансовый 2 2 2 8 4 2 3 2 2" xfId="41193" xr:uid="{00000000-0005-0000-0000-00007E2D0000}"/>
    <cellStyle name="Финансовый 2 2 2 8 4 2 3 3" xfId="29215" xr:uid="{00000000-0005-0000-0000-00007F2D0000}"/>
    <cellStyle name="Финансовый 2 2 2 8 4 2 4" xfId="7870" xr:uid="{00000000-0005-0000-0000-0000802D0000}"/>
    <cellStyle name="Финансовый 2 2 2 8 4 2 4 2" xfId="19848" xr:uid="{00000000-0005-0000-0000-0000812D0000}"/>
    <cellStyle name="Финансовый 2 2 2 8 4 2 4 2 2" xfId="43803" xr:uid="{00000000-0005-0000-0000-0000822D0000}"/>
    <cellStyle name="Финансовый 2 2 2 8 4 2 4 3" xfId="31825" xr:uid="{00000000-0005-0000-0000-0000832D0000}"/>
    <cellStyle name="Финансовый 2 2 2 8 4 2 5" xfId="9653" xr:uid="{00000000-0005-0000-0000-0000842D0000}"/>
    <cellStyle name="Финансовый 2 2 2 8 4 2 5 2" xfId="21631" xr:uid="{00000000-0005-0000-0000-0000852D0000}"/>
    <cellStyle name="Финансовый 2 2 2 8 4 2 5 2 2" xfId="45586" xr:uid="{00000000-0005-0000-0000-0000862D0000}"/>
    <cellStyle name="Финансовый 2 2 2 8 4 2 5 3" xfId="33608" xr:uid="{00000000-0005-0000-0000-0000872D0000}"/>
    <cellStyle name="Финансовый 2 2 2 8 4 2 6" xfId="13811" xr:uid="{00000000-0005-0000-0000-0000882D0000}"/>
    <cellStyle name="Финансовый 2 2 2 8 4 2 6 2" xfId="37766" xr:uid="{00000000-0005-0000-0000-0000892D0000}"/>
    <cellStyle name="Финансовый 2 2 2 8 4 2 7" xfId="25789" xr:uid="{00000000-0005-0000-0000-00008A2D0000}"/>
    <cellStyle name="Финансовый 2 2 2 8 4 2 8" xfId="48922" xr:uid="{00000000-0005-0000-0000-00008B2D0000}"/>
    <cellStyle name="Финансовый 2 2 2 8 4 3" xfId="4894" xr:uid="{00000000-0005-0000-0000-00008C2D0000}"/>
    <cellStyle name="Финансовый 2 2 2 8 4 3 2" xfId="16872" xr:uid="{00000000-0005-0000-0000-00008D2D0000}"/>
    <cellStyle name="Финансовый 2 2 2 8 4 3 2 2" xfId="40827" xr:uid="{00000000-0005-0000-0000-00008E2D0000}"/>
    <cellStyle name="Финансовый 2 2 2 8 4 3 3" xfId="28849" xr:uid="{00000000-0005-0000-0000-00008F2D0000}"/>
    <cellStyle name="Финансовый 2 2 2 8 4 3 4" xfId="50337" xr:uid="{00000000-0005-0000-0000-0000902D0000}"/>
    <cellStyle name="Финансовый 2 2 2 8 4 4" xfId="7504" xr:uid="{00000000-0005-0000-0000-0000912D0000}"/>
    <cellStyle name="Финансовый 2 2 2 8 4 4 2" xfId="19482" xr:uid="{00000000-0005-0000-0000-0000922D0000}"/>
    <cellStyle name="Финансовый 2 2 2 8 4 4 2 2" xfId="43437" xr:uid="{00000000-0005-0000-0000-0000932D0000}"/>
    <cellStyle name="Финансовый 2 2 2 8 4 4 3" xfId="31459" xr:uid="{00000000-0005-0000-0000-0000942D0000}"/>
    <cellStyle name="Финансовый 2 2 2 8 4 5" xfId="9287" xr:uid="{00000000-0005-0000-0000-0000952D0000}"/>
    <cellStyle name="Финансовый 2 2 2 8 4 5 2" xfId="21265" xr:uid="{00000000-0005-0000-0000-0000962D0000}"/>
    <cellStyle name="Финансовый 2 2 2 8 4 5 2 2" xfId="45220" xr:uid="{00000000-0005-0000-0000-0000972D0000}"/>
    <cellStyle name="Финансовый 2 2 2 8 4 5 3" xfId="33242" xr:uid="{00000000-0005-0000-0000-0000982D0000}"/>
    <cellStyle name="Финансовый 2 2 2 8 4 6" xfId="13445" xr:uid="{00000000-0005-0000-0000-0000992D0000}"/>
    <cellStyle name="Финансовый 2 2 2 8 4 6 2" xfId="37400" xr:uid="{00000000-0005-0000-0000-00009A2D0000}"/>
    <cellStyle name="Финансовый 2 2 2 8 4 7" xfId="25423" xr:uid="{00000000-0005-0000-0000-00009B2D0000}"/>
    <cellStyle name="Финансовый 2 2 2 8 4 8" xfId="48556" xr:uid="{00000000-0005-0000-0000-00009C2D0000}"/>
    <cellStyle name="Финансовый 2 2 2 8 5" xfId="1716" xr:uid="{00000000-0005-0000-0000-00009D2D0000}"/>
    <cellStyle name="Финансовый 2 2 2 8 5 2" xfId="3361" xr:uid="{00000000-0005-0000-0000-00009E2D0000}"/>
    <cellStyle name="Финансовый 2 2 2 8 5 2 2" xfId="11109" xr:uid="{00000000-0005-0000-0000-00009F2D0000}"/>
    <cellStyle name="Финансовый 2 2 2 8 5 2 2 2" xfId="23087" xr:uid="{00000000-0005-0000-0000-0000A02D0000}"/>
    <cellStyle name="Финансовый 2 2 2 8 5 2 2 2 2" xfId="47042" xr:uid="{00000000-0005-0000-0000-0000A12D0000}"/>
    <cellStyle name="Финансовый 2 2 2 8 5 2 2 3" xfId="35064" xr:uid="{00000000-0005-0000-0000-0000A22D0000}"/>
    <cellStyle name="Финансовый 2 2 2 8 5 2 3" xfId="15340" xr:uid="{00000000-0005-0000-0000-0000A32D0000}"/>
    <cellStyle name="Финансовый 2 2 2 8 5 2 3 2" xfId="39295" xr:uid="{00000000-0005-0000-0000-0000A42D0000}"/>
    <cellStyle name="Финансовый 2 2 2 8 5 2 4" xfId="27318" xr:uid="{00000000-0005-0000-0000-0000A52D0000}"/>
    <cellStyle name="Финансовый 2 2 2 8 5 2 5" xfId="50587" xr:uid="{00000000-0005-0000-0000-0000A62D0000}"/>
    <cellStyle name="Финансовый 2 2 2 8 5 3" xfId="5144" xr:uid="{00000000-0005-0000-0000-0000A72D0000}"/>
    <cellStyle name="Финансовый 2 2 2 8 5 3 2" xfId="17122" xr:uid="{00000000-0005-0000-0000-0000A82D0000}"/>
    <cellStyle name="Финансовый 2 2 2 8 5 3 2 2" xfId="41077" xr:uid="{00000000-0005-0000-0000-0000A92D0000}"/>
    <cellStyle name="Финансовый 2 2 2 8 5 3 3" xfId="29099" xr:uid="{00000000-0005-0000-0000-0000AA2D0000}"/>
    <cellStyle name="Финансовый 2 2 2 8 5 4" xfId="7754" xr:uid="{00000000-0005-0000-0000-0000AB2D0000}"/>
    <cellStyle name="Финансовый 2 2 2 8 5 4 2" xfId="19732" xr:uid="{00000000-0005-0000-0000-0000AC2D0000}"/>
    <cellStyle name="Финансовый 2 2 2 8 5 4 2 2" xfId="43687" xr:uid="{00000000-0005-0000-0000-0000AD2D0000}"/>
    <cellStyle name="Финансовый 2 2 2 8 5 4 3" xfId="31709" xr:uid="{00000000-0005-0000-0000-0000AE2D0000}"/>
    <cellStyle name="Финансовый 2 2 2 8 5 5" xfId="9537" xr:uid="{00000000-0005-0000-0000-0000AF2D0000}"/>
    <cellStyle name="Финансовый 2 2 2 8 5 5 2" xfId="21515" xr:uid="{00000000-0005-0000-0000-0000B02D0000}"/>
    <cellStyle name="Финансовый 2 2 2 8 5 5 2 2" xfId="45470" xr:uid="{00000000-0005-0000-0000-0000B12D0000}"/>
    <cellStyle name="Финансовый 2 2 2 8 5 5 3" xfId="33492" xr:uid="{00000000-0005-0000-0000-0000B22D0000}"/>
    <cellStyle name="Финансовый 2 2 2 8 5 6" xfId="13695" xr:uid="{00000000-0005-0000-0000-0000B32D0000}"/>
    <cellStyle name="Финансовый 2 2 2 8 5 6 2" xfId="37650" xr:uid="{00000000-0005-0000-0000-0000B42D0000}"/>
    <cellStyle name="Финансовый 2 2 2 8 5 7" xfId="25673" xr:uid="{00000000-0005-0000-0000-0000B52D0000}"/>
    <cellStyle name="Финансовый 2 2 2 8 5 8" xfId="48806" xr:uid="{00000000-0005-0000-0000-0000B62D0000}"/>
    <cellStyle name="Финансовый 2 2 2 8 6" xfId="2352" xr:uid="{00000000-0005-0000-0000-0000B72D0000}"/>
    <cellStyle name="Финансовый 2 2 2 8 6 2" xfId="3997" xr:uid="{00000000-0005-0000-0000-0000B82D0000}"/>
    <cellStyle name="Финансовый 2 2 2 8 6 2 2" xfId="11737" xr:uid="{00000000-0005-0000-0000-0000B92D0000}"/>
    <cellStyle name="Финансовый 2 2 2 8 6 2 2 2" xfId="23715" xr:uid="{00000000-0005-0000-0000-0000BA2D0000}"/>
    <cellStyle name="Финансовый 2 2 2 8 6 2 2 2 2" xfId="47670" xr:uid="{00000000-0005-0000-0000-0000BB2D0000}"/>
    <cellStyle name="Финансовый 2 2 2 8 6 2 2 3" xfId="35692" xr:uid="{00000000-0005-0000-0000-0000BC2D0000}"/>
    <cellStyle name="Финансовый 2 2 2 8 6 2 3" xfId="15976" xr:uid="{00000000-0005-0000-0000-0000BD2D0000}"/>
    <cellStyle name="Финансовый 2 2 2 8 6 2 3 2" xfId="39931" xr:uid="{00000000-0005-0000-0000-0000BE2D0000}"/>
    <cellStyle name="Финансовый 2 2 2 8 6 2 4" xfId="27954" xr:uid="{00000000-0005-0000-0000-0000BF2D0000}"/>
    <cellStyle name="Финансовый 2 2 2 8 6 2 5" xfId="51223" xr:uid="{00000000-0005-0000-0000-0000C02D0000}"/>
    <cellStyle name="Финансовый 2 2 2 8 6 3" xfId="5780" xr:uid="{00000000-0005-0000-0000-0000C12D0000}"/>
    <cellStyle name="Финансовый 2 2 2 8 6 3 2" xfId="17758" xr:uid="{00000000-0005-0000-0000-0000C22D0000}"/>
    <cellStyle name="Финансовый 2 2 2 8 6 3 2 2" xfId="41713" xr:uid="{00000000-0005-0000-0000-0000C32D0000}"/>
    <cellStyle name="Финансовый 2 2 2 8 6 3 3" xfId="29735" xr:uid="{00000000-0005-0000-0000-0000C42D0000}"/>
    <cellStyle name="Финансовый 2 2 2 8 6 4" xfId="8390" xr:uid="{00000000-0005-0000-0000-0000C52D0000}"/>
    <cellStyle name="Финансовый 2 2 2 8 6 4 2" xfId="20368" xr:uid="{00000000-0005-0000-0000-0000C62D0000}"/>
    <cellStyle name="Финансовый 2 2 2 8 6 4 2 2" xfId="44323" xr:uid="{00000000-0005-0000-0000-0000C72D0000}"/>
    <cellStyle name="Финансовый 2 2 2 8 6 4 3" xfId="32345" xr:uid="{00000000-0005-0000-0000-0000C82D0000}"/>
    <cellStyle name="Финансовый 2 2 2 8 6 5" xfId="10173" xr:uid="{00000000-0005-0000-0000-0000C92D0000}"/>
    <cellStyle name="Финансовый 2 2 2 8 6 5 2" xfId="22151" xr:uid="{00000000-0005-0000-0000-0000CA2D0000}"/>
    <cellStyle name="Финансовый 2 2 2 8 6 5 2 2" xfId="46106" xr:uid="{00000000-0005-0000-0000-0000CB2D0000}"/>
    <cellStyle name="Финансовый 2 2 2 8 6 5 3" xfId="34128" xr:uid="{00000000-0005-0000-0000-0000CC2D0000}"/>
    <cellStyle name="Финансовый 2 2 2 8 6 6" xfId="14331" xr:uid="{00000000-0005-0000-0000-0000CD2D0000}"/>
    <cellStyle name="Финансовый 2 2 2 8 6 6 2" xfId="38286" xr:uid="{00000000-0005-0000-0000-0000CE2D0000}"/>
    <cellStyle name="Финансовый 2 2 2 8 6 7" xfId="26309" xr:uid="{00000000-0005-0000-0000-0000CF2D0000}"/>
    <cellStyle name="Финансовый 2 2 2 8 6 8" xfId="49442" xr:uid="{00000000-0005-0000-0000-0000D02D0000}"/>
    <cellStyle name="Финансовый 2 2 2 8 7" xfId="1579" xr:uid="{00000000-0005-0000-0000-0000D12D0000}"/>
    <cellStyle name="Финансовый 2 2 2 8 7 2" xfId="3224" xr:uid="{00000000-0005-0000-0000-0000D22D0000}"/>
    <cellStyle name="Финансовый 2 2 2 8 7 2 2" xfId="10980" xr:uid="{00000000-0005-0000-0000-0000D32D0000}"/>
    <cellStyle name="Финансовый 2 2 2 8 7 2 2 2" xfId="22958" xr:uid="{00000000-0005-0000-0000-0000D42D0000}"/>
    <cellStyle name="Финансовый 2 2 2 8 7 2 2 2 2" xfId="46913" xr:uid="{00000000-0005-0000-0000-0000D52D0000}"/>
    <cellStyle name="Финансовый 2 2 2 8 7 2 2 3" xfId="34935" xr:uid="{00000000-0005-0000-0000-0000D62D0000}"/>
    <cellStyle name="Финансовый 2 2 2 8 7 2 3" xfId="15203" xr:uid="{00000000-0005-0000-0000-0000D72D0000}"/>
    <cellStyle name="Финансовый 2 2 2 8 7 2 3 2" xfId="39158" xr:uid="{00000000-0005-0000-0000-0000D82D0000}"/>
    <cellStyle name="Финансовый 2 2 2 8 7 2 4" xfId="27181" xr:uid="{00000000-0005-0000-0000-0000D92D0000}"/>
    <cellStyle name="Финансовый 2 2 2 8 7 2 5" xfId="50450" xr:uid="{00000000-0005-0000-0000-0000DA2D0000}"/>
    <cellStyle name="Финансовый 2 2 2 8 7 3" xfId="5007" xr:uid="{00000000-0005-0000-0000-0000DB2D0000}"/>
    <cellStyle name="Финансовый 2 2 2 8 7 3 2" xfId="16985" xr:uid="{00000000-0005-0000-0000-0000DC2D0000}"/>
    <cellStyle name="Финансовый 2 2 2 8 7 3 2 2" xfId="40940" xr:uid="{00000000-0005-0000-0000-0000DD2D0000}"/>
    <cellStyle name="Финансовый 2 2 2 8 7 3 3" xfId="28962" xr:uid="{00000000-0005-0000-0000-0000DE2D0000}"/>
    <cellStyle name="Финансовый 2 2 2 8 7 4" xfId="7617" xr:uid="{00000000-0005-0000-0000-0000DF2D0000}"/>
    <cellStyle name="Финансовый 2 2 2 8 7 4 2" xfId="19595" xr:uid="{00000000-0005-0000-0000-0000E02D0000}"/>
    <cellStyle name="Финансовый 2 2 2 8 7 4 2 2" xfId="43550" xr:uid="{00000000-0005-0000-0000-0000E12D0000}"/>
    <cellStyle name="Финансовый 2 2 2 8 7 4 3" xfId="31572" xr:uid="{00000000-0005-0000-0000-0000E22D0000}"/>
    <cellStyle name="Финансовый 2 2 2 8 7 5" xfId="9400" xr:uid="{00000000-0005-0000-0000-0000E32D0000}"/>
    <cellStyle name="Финансовый 2 2 2 8 7 5 2" xfId="21378" xr:uid="{00000000-0005-0000-0000-0000E42D0000}"/>
    <cellStyle name="Финансовый 2 2 2 8 7 5 2 2" xfId="45333" xr:uid="{00000000-0005-0000-0000-0000E52D0000}"/>
    <cellStyle name="Финансовый 2 2 2 8 7 5 3" xfId="33355" xr:uid="{00000000-0005-0000-0000-0000E62D0000}"/>
    <cellStyle name="Финансовый 2 2 2 8 7 6" xfId="13558" xr:uid="{00000000-0005-0000-0000-0000E72D0000}"/>
    <cellStyle name="Финансовый 2 2 2 8 7 6 2" xfId="37513" xr:uid="{00000000-0005-0000-0000-0000E82D0000}"/>
    <cellStyle name="Финансовый 2 2 2 8 7 7" xfId="25536" xr:uid="{00000000-0005-0000-0000-0000E92D0000}"/>
    <cellStyle name="Финансовый 2 2 2 8 7 8" xfId="48669" xr:uid="{00000000-0005-0000-0000-0000EA2D0000}"/>
    <cellStyle name="Финансовый 2 2 2 8 8" xfId="865" xr:uid="{00000000-0005-0000-0000-0000EB2D0000}"/>
    <cellStyle name="Финансовый 2 2 2 8 8 2" xfId="6905" xr:uid="{00000000-0005-0000-0000-0000EC2D0000}"/>
    <cellStyle name="Финансовый 2 2 2 8 8 2 2" xfId="18883" xr:uid="{00000000-0005-0000-0000-0000ED2D0000}"/>
    <cellStyle name="Финансовый 2 2 2 8 8 2 2 2" xfId="42838" xr:uid="{00000000-0005-0000-0000-0000EE2D0000}"/>
    <cellStyle name="Финансовый 2 2 2 8 8 2 3" xfId="30860" xr:uid="{00000000-0005-0000-0000-0000EF2D0000}"/>
    <cellStyle name="Финансовый 2 2 2 8 8 3" xfId="10453" xr:uid="{00000000-0005-0000-0000-0000F02D0000}"/>
    <cellStyle name="Финансовый 2 2 2 8 8 3 2" xfId="22431" xr:uid="{00000000-0005-0000-0000-0000F12D0000}"/>
    <cellStyle name="Финансовый 2 2 2 8 8 3 2 2" xfId="46386" xr:uid="{00000000-0005-0000-0000-0000F22D0000}"/>
    <cellStyle name="Финансовый 2 2 2 8 8 3 3" xfId="34408" xr:uid="{00000000-0005-0000-0000-0000F32D0000}"/>
    <cellStyle name="Финансовый 2 2 2 8 8 4" xfId="12846" xr:uid="{00000000-0005-0000-0000-0000F42D0000}"/>
    <cellStyle name="Финансовый 2 2 2 8 8 4 2" xfId="36801" xr:uid="{00000000-0005-0000-0000-0000F52D0000}"/>
    <cellStyle name="Финансовый 2 2 2 8 8 5" xfId="24824" xr:uid="{00000000-0005-0000-0000-0000F62D0000}"/>
    <cellStyle name="Финансовый 2 2 2 8 8 6" xfId="49722" xr:uid="{00000000-0005-0000-0000-0000F72D0000}"/>
    <cellStyle name="Финансовый 2 2 2 8 9" xfId="445" xr:uid="{00000000-0005-0000-0000-0000F82D0000}"/>
    <cellStyle name="Финансовый 2 2 2 8 9 2" xfId="6485" xr:uid="{00000000-0005-0000-0000-0000F92D0000}"/>
    <cellStyle name="Финансовый 2 2 2 8 9 2 2" xfId="18463" xr:uid="{00000000-0005-0000-0000-0000FA2D0000}"/>
    <cellStyle name="Финансовый 2 2 2 8 9 2 2 2" xfId="42418" xr:uid="{00000000-0005-0000-0000-0000FB2D0000}"/>
    <cellStyle name="Финансовый 2 2 2 8 9 2 3" xfId="30440" xr:uid="{00000000-0005-0000-0000-0000FC2D0000}"/>
    <cellStyle name="Финансовый 2 2 2 8 9 3" xfId="12426" xr:uid="{00000000-0005-0000-0000-0000FD2D0000}"/>
    <cellStyle name="Финансовый 2 2 2 8 9 3 2" xfId="36381" xr:uid="{00000000-0005-0000-0000-0000FE2D0000}"/>
    <cellStyle name="Финансовый 2 2 2 8 9 4" xfId="24404" xr:uid="{00000000-0005-0000-0000-0000FF2D0000}"/>
    <cellStyle name="Финансовый 2 2 2 9" xfId="148" xr:uid="{00000000-0005-0000-0000-0000002E0000}"/>
    <cellStyle name="Финансовый 2 2 2 9 10" xfId="8796" xr:uid="{00000000-0005-0000-0000-0000012E0000}"/>
    <cellStyle name="Финансовый 2 2 2 9 10 2" xfId="20774" xr:uid="{00000000-0005-0000-0000-0000022E0000}"/>
    <cellStyle name="Финансовый 2 2 2 9 10 2 2" xfId="44729" xr:uid="{00000000-0005-0000-0000-0000032E0000}"/>
    <cellStyle name="Финансовый 2 2 2 9 10 3" xfId="32751" xr:uid="{00000000-0005-0000-0000-0000042E0000}"/>
    <cellStyle name="Финансовый 2 2 2 9 11" xfId="12130" xr:uid="{00000000-0005-0000-0000-0000052E0000}"/>
    <cellStyle name="Финансовый 2 2 2 9 11 2" xfId="36085" xr:uid="{00000000-0005-0000-0000-0000062E0000}"/>
    <cellStyle name="Финансовый 2 2 2 9 12" xfId="24108" xr:uid="{00000000-0005-0000-0000-0000072E0000}"/>
    <cellStyle name="Финансовый 2 2 2 9 13" xfId="48066" xr:uid="{00000000-0005-0000-0000-0000082E0000}"/>
    <cellStyle name="Финансовый 2 2 2 9 2" xfId="1246" xr:uid="{00000000-0005-0000-0000-0000092E0000}"/>
    <cellStyle name="Финансовый 2 2 2 9 2 2" xfId="2212" xr:uid="{00000000-0005-0000-0000-00000A2E0000}"/>
    <cellStyle name="Финансовый 2 2 2 9 2 2 2" xfId="3857" xr:uid="{00000000-0005-0000-0000-00000B2E0000}"/>
    <cellStyle name="Финансовый 2 2 2 9 2 2 2 2" xfId="11597" xr:uid="{00000000-0005-0000-0000-00000C2E0000}"/>
    <cellStyle name="Финансовый 2 2 2 9 2 2 2 2 2" xfId="23575" xr:uid="{00000000-0005-0000-0000-00000D2E0000}"/>
    <cellStyle name="Финансовый 2 2 2 9 2 2 2 2 2 2" xfId="47530" xr:uid="{00000000-0005-0000-0000-00000E2E0000}"/>
    <cellStyle name="Финансовый 2 2 2 9 2 2 2 2 3" xfId="35552" xr:uid="{00000000-0005-0000-0000-00000F2E0000}"/>
    <cellStyle name="Финансовый 2 2 2 9 2 2 2 3" xfId="15836" xr:uid="{00000000-0005-0000-0000-0000102E0000}"/>
    <cellStyle name="Финансовый 2 2 2 9 2 2 2 3 2" xfId="39791" xr:uid="{00000000-0005-0000-0000-0000112E0000}"/>
    <cellStyle name="Финансовый 2 2 2 9 2 2 2 4" xfId="27814" xr:uid="{00000000-0005-0000-0000-0000122E0000}"/>
    <cellStyle name="Финансовый 2 2 2 9 2 2 2 5" xfId="51083" xr:uid="{00000000-0005-0000-0000-0000132E0000}"/>
    <cellStyle name="Финансовый 2 2 2 9 2 2 3" xfId="5640" xr:uid="{00000000-0005-0000-0000-0000142E0000}"/>
    <cellStyle name="Финансовый 2 2 2 9 2 2 3 2" xfId="17618" xr:uid="{00000000-0005-0000-0000-0000152E0000}"/>
    <cellStyle name="Финансовый 2 2 2 9 2 2 3 2 2" xfId="41573" xr:uid="{00000000-0005-0000-0000-0000162E0000}"/>
    <cellStyle name="Финансовый 2 2 2 9 2 2 3 3" xfId="29595" xr:uid="{00000000-0005-0000-0000-0000172E0000}"/>
    <cellStyle name="Финансовый 2 2 2 9 2 2 4" xfId="8250" xr:uid="{00000000-0005-0000-0000-0000182E0000}"/>
    <cellStyle name="Финансовый 2 2 2 9 2 2 4 2" xfId="20228" xr:uid="{00000000-0005-0000-0000-0000192E0000}"/>
    <cellStyle name="Финансовый 2 2 2 9 2 2 4 2 2" xfId="44183" xr:uid="{00000000-0005-0000-0000-00001A2E0000}"/>
    <cellStyle name="Финансовый 2 2 2 9 2 2 4 3" xfId="32205" xr:uid="{00000000-0005-0000-0000-00001B2E0000}"/>
    <cellStyle name="Финансовый 2 2 2 9 2 2 5" xfId="10033" xr:uid="{00000000-0005-0000-0000-00001C2E0000}"/>
    <cellStyle name="Финансовый 2 2 2 9 2 2 5 2" xfId="22011" xr:uid="{00000000-0005-0000-0000-00001D2E0000}"/>
    <cellStyle name="Финансовый 2 2 2 9 2 2 5 2 2" xfId="45966" xr:uid="{00000000-0005-0000-0000-00001E2E0000}"/>
    <cellStyle name="Финансовый 2 2 2 9 2 2 5 3" xfId="33988" xr:uid="{00000000-0005-0000-0000-00001F2E0000}"/>
    <cellStyle name="Финансовый 2 2 2 9 2 2 6" xfId="14191" xr:uid="{00000000-0005-0000-0000-0000202E0000}"/>
    <cellStyle name="Финансовый 2 2 2 9 2 2 6 2" xfId="38146" xr:uid="{00000000-0005-0000-0000-0000212E0000}"/>
    <cellStyle name="Финансовый 2 2 2 9 2 2 7" xfId="26169" xr:uid="{00000000-0005-0000-0000-0000222E0000}"/>
    <cellStyle name="Финансовый 2 2 2 9 2 2 8" xfId="49302" xr:uid="{00000000-0005-0000-0000-0000232E0000}"/>
    <cellStyle name="Финансовый 2 2 2 9 2 3" xfId="3030" xr:uid="{00000000-0005-0000-0000-0000242E0000}"/>
    <cellStyle name="Финансовый 2 2 2 9 2 3 2" xfId="10825" xr:uid="{00000000-0005-0000-0000-0000252E0000}"/>
    <cellStyle name="Финансовый 2 2 2 9 2 3 2 2" xfId="22803" xr:uid="{00000000-0005-0000-0000-0000262E0000}"/>
    <cellStyle name="Финансовый 2 2 2 9 2 3 2 2 2" xfId="46758" xr:uid="{00000000-0005-0000-0000-0000272E0000}"/>
    <cellStyle name="Финансовый 2 2 2 9 2 3 2 3" xfId="34780" xr:uid="{00000000-0005-0000-0000-0000282E0000}"/>
    <cellStyle name="Финансовый 2 2 2 9 2 3 3" xfId="15009" xr:uid="{00000000-0005-0000-0000-0000292E0000}"/>
    <cellStyle name="Финансовый 2 2 2 9 2 3 3 2" xfId="38964" xr:uid="{00000000-0005-0000-0000-00002A2E0000}"/>
    <cellStyle name="Финансовый 2 2 2 9 2 3 4" xfId="26987" xr:uid="{00000000-0005-0000-0000-00002B2E0000}"/>
    <cellStyle name="Финансовый 2 2 2 9 2 3 5" xfId="50118" xr:uid="{00000000-0005-0000-0000-00002C2E0000}"/>
    <cellStyle name="Финансовый 2 2 2 9 2 4" xfId="4674" xr:uid="{00000000-0005-0000-0000-00002D2E0000}"/>
    <cellStyle name="Финансовый 2 2 2 9 2 4 2" xfId="16653" xr:uid="{00000000-0005-0000-0000-00002E2E0000}"/>
    <cellStyle name="Финансовый 2 2 2 9 2 4 2 2" xfId="40608" xr:uid="{00000000-0005-0000-0000-00002F2E0000}"/>
    <cellStyle name="Финансовый 2 2 2 9 2 4 3" xfId="28631" xr:uid="{00000000-0005-0000-0000-0000302E0000}"/>
    <cellStyle name="Финансовый 2 2 2 9 2 5" xfId="7286" xr:uid="{00000000-0005-0000-0000-0000312E0000}"/>
    <cellStyle name="Финансовый 2 2 2 9 2 5 2" xfId="19264" xr:uid="{00000000-0005-0000-0000-0000322E0000}"/>
    <cellStyle name="Финансовый 2 2 2 9 2 5 2 2" xfId="43219" xr:uid="{00000000-0005-0000-0000-0000332E0000}"/>
    <cellStyle name="Финансовый 2 2 2 9 2 5 3" xfId="31241" xr:uid="{00000000-0005-0000-0000-0000342E0000}"/>
    <cellStyle name="Финансовый 2 2 2 9 2 6" xfId="9068" xr:uid="{00000000-0005-0000-0000-0000352E0000}"/>
    <cellStyle name="Финансовый 2 2 2 9 2 6 2" xfId="21046" xr:uid="{00000000-0005-0000-0000-0000362E0000}"/>
    <cellStyle name="Финансовый 2 2 2 9 2 6 2 2" xfId="45001" xr:uid="{00000000-0005-0000-0000-0000372E0000}"/>
    <cellStyle name="Финансовый 2 2 2 9 2 6 3" xfId="33023" xr:uid="{00000000-0005-0000-0000-0000382E0000}"/>
    <cellStyle name="Финансовый 2 2 2 9 2 7" xfId="13227" xr:uid="{00000000-0005-0000-0000-0000392E0000}"/>
    <cellStyle name="Финансовый 2 2 2 9 2 7 2" xfId="37182" xr:uid="{00000000-0005-0000-0000-00003A2E0000}"/>
    <cellStyle name="Финансовый 2 2 2 9 2 8" xfId="25205" xr:uid="{00000000-0005-0000-0000-00003B2E0000}"/>
    <cellStyle name="Финансовый 2 2 2 9 2 9" xfId="48338" xr:uid="{00000000-0005-0000-0000-00003C2E0000}"/>
    <cellStyle name="Финансовый 2 2 2 9 3" xfId="1956" xr:uid="{00000000-0005-0000-0000-00003D2E0000}"/>
    <cellStyle name="Финансовый 2 2 2 9 3 2" xfId="3601" xr:uid="{00000000-0005-0000-0000-00003E2E0000}"/>
    <cellStyle name="Финансовый 2 2 2 9 3 2 2" xfId="11341" xr:uid="{00000000-0005-0000-0000-00003F2E0000}"/>
    <cellStyle name="Финансовый 2 2 2 9 3 2 2 2" xfId="23319" xr:uid="{00000000-0005-0000-0000-0000402E0000}"/>
    <cellStyle name="Финансовый 2 2 2 9 3 2 2 2 2" xfId="47274" xr:uid="{00000000-0005-0000-0000-0000412E0000}"/>
    <cellStyle name="Финансовый 2 2 2 9 3 2 2 3" xfId="35296" xr:uid="{00000000-0005-0000-0000-0000422E0000}"/>
    <cellStyle name="Финансовый 2 2 2 9 3 2 3" xfId="15580" xr:uid="{00000000-0005-0000-0000-0000432E0000}"/>
    <cellStyle name="Финансовый 2 2 2 9 3 2 3 2" xfId="39535" xr:uid="{00000000-0005-0000-0000-0000442E0000}"/>
    <cellStyle name="Финансовый 2 2 2 9 3 2 4" xfId="27558" xr:uid="{00000000-0005-0000-0000-0000452E0000}"/>
    <cellStyle name="Финансовый 2 2 2 9 3 2 5" xfId="50827" xr:uid="{00000000-0005-0000-0000-0000462E0000}"/>
    <cellStyle name="Финансовый 2 2 2 9 3 3" xfId="5384" xr:uid="{00000000-0005-0000-0000-0000472E0000}"/>
    <cellStyle name="Финансовый 2 2 2 9 3 3 2" xfId="17362" xr:uid="{00000000-0005-0000-0000-0000482E0000}"/>
    <cellStyle name="Финансовый 2 2 2 9 3 3 2 2" xfId="41317" xr:uid="{00000000-0005-0000-0000-0000492E0000}"/>
    <cellStyle name="Финансовый 2 2 2 9 3 3 3" xfId="29339" xr:uid="{00000000-0005-0000-0000-00004A2E0000}"/>
    <cellStyle name="Финансовый 2 2 2 9 3 4" xfId="7994" xr:uid="{00000000-0005-0000-0000-00004B2E0000}"/>
    <cellStyle name="Финансовый 2 2 2 9 3 4 2" xfId="19972" xr:uid="{00000000-0005-0000-0000-00004C2E0000}"/>
    <cellStyle name="Финансовый 2 2 2 9 3 4 2 2" xfId="43927" xr:uid="{00000000-0005-0000-0000-00004D2E0000}"/>
    <cellStyle name="Финансовый 2 2 2 9 3 4 3" xfId="31949" xr:uid="{00000000-0005-0000-0000-00004E2E0000}"/>
    <cellStyle name="Финансовый 2 2 2 9 3 5" xfId="9777" xr:uid="{00000000-0005-0000-0000-00004F2E0000}"/>
    <cellStyle name="Финансовый 2 2 2 9 3 5 2" xfId="21755" xr:uid="{00000000-0005-0000-0000-0000502E0000}"/>
    <cellStyle name="Финансовый 2 2 2 9 3 5 2 2" xfId="45710" xr:uid="{00000000-0005-0000-0000-0000512E0000}"/>
    <cellStyle name="Финансовый 2 2 2 9 3 5 3" xfId="33732" xr:uid="{00000000-0005-0000-0000-0000522E0000}"/>
    <cellStyle name="Финансовый 2 2 2 9 3 6" xfId="13935" xr:uid="{00000000-0005-0000-0000-0000532E0000}"/>
    <cellStyle name="Финансовый 2 2 2 9 3 6 2" xfId="37890" xr:uid="{00000000-0005-0000-0000-0000542E0000}"/>
    <cellStyle name="Финансовый 2 2 2 9 3 7" xfId="25913" xr:uid="{00000000-0005-0000-0000-0000552E0000}"/>
    <cellStyle name="Финансовый 2 2 2 9 3 8" xfId="49046" xr:uid="{00000000-0005-0000-0000-0000562E0000}"/>
    <cellStyle name="Финансовый 2 2 2 9 4" xfId="2477" xr:uid="{00000000-0005-0000-0000-0000572E0000}"/>
    <cellStyle name="Финансовый 2 2 2 9 4 2" xfId="4122" xr:uid="{00000000-0005-0000-0000-0000582E0000}"/>
    <cellStyle name="Финансовый 2 2 2 9 4 2 2" xfId="11854" xr:uid="{00000000-0005-0000-0000-0000592E0000}"/>
    <cellStyle name="Финансовый 2 2 2 9 4 2 2 2" xfId="23832" xr:uid="{00000000-0005-0000-0000-00005A2E0000}"/>
    <cellStyle name="Финансовый 2 2 2 9 4 2 2 2 2" xfId="47787" xr:uid="{00000000-0005-0000-0000-00005B2E0000}"/>
    <cellStyle name="Финансовый 2 2 2 9 4 2 2 3" xfId="35809" xr:uid="{00000000-0005-0000-0000-00005C2E0000}"/>
    <cellStyle name="Финансовый 2 2 2 9 4 2 3" xfId="16101" xr:uid="{00000000-0005-0000-0000-00005D2E0000}"/>
    <cellStyle name="Финансовый 2 2 2 9 4 2 3 2" xfId="40056" xr:uid="{00000000-0005-0000-0000-00005E2E0000}"/>
    <cellStyle name="Финансовый 2 2 2 9 4 2 4" xfId="28079" xr:uid="{00000000-0005-0000-0000-00005F2E0000}"/>
    <cellStyle name="Финансовый 2 2 2 9 4 2 5" xfId="51348" xr:uid="{00000000-0005-0000-0000-0000602E0000}"/>
    <cellStyle name="Финансовый 2 2 2 9 4 3" xfId="5905" xr:uid="{00000000-0005-0000-0000-0000612E0000}"/>
    <cellStyle name="Финансовый 2 2 2 9 4 3 2" xfId="17883" xr:uid="{00000000-0005-0000-0000-0000622E0000}"/>
    <cellStyle name="Финансовый 2 2 2 9 4 3 2 2" xfId="41838" xr:uid="{00000000-0005-0000-0000-0000632E0000}"/>
    <cellStyle name="Финансовый 2 2 2 9 4 3 3" xfId="29860" xr:uid="{00000000-0005-0000-0000-0000642E0000}"/>
    <cellStyle name="Финансовый 2 2 2 9 4 4" xfId="8515" xr:uid="{00000000-0005-0000-0000-0000652E0000}"/>
    <cellStyle name="Финансовый 2 2 2 9 4 4 2" xfId="20493" xr:uid="{00000000-0005-0000-0000-0000662E0000}"/>
    <cellStyle name="Финансовый 2 2 2 9 4 4 2 2" xfId="44448" xr:uid="{00000000-0005-0000-0000-0000672E0000}"/>
    <cellStyle name="Финансовый 2 2 2 9 4 4 3" xfId="32470" xr:uid="{00000000-0005-0000-0000-0000682E0000}"/>
    <cellStyle name="Финансовый 2 2 2 9 4 5" xfId="10298" xr:uid="{00000000-0005-0000-0000-0000692E0000}"/>
    <cellStyle name="Финансовый 2 2 2 9 4 5 2" xfId="22276" xr:uid="{00000000-0005-0000-0000-00006A2E0000}"/>
    <cellStyle name="Финансовый 2 2 2 9 4 5 2 2" xfId="46231" xr:uid="{00000000-0005-0000-0000-00006B2E0000}"/>
    <cellStyle name="Финансовый 2 2 2 9 4 5 3" xfId="34253" xr:uid="{00000000-0005-0000-0000-00006C2E0000}"/>
    <cellStyle name="Финансовый 2 2 2 9 4 6" xfId="14456" xr:uid="{00000000-0005-0000-0000-00006D2E0000}"/>
    <cellStyle name="Финансовый 2 2 2 9 4 6 2" xfId="38411" xr:uid="{00000000-0005-0000-0000-00006E2E0000}"/>
    <cellStyle name="Финансовый 2 2 2 9 4 7" xfId="26434" xr:uid="{00000000-0005-0000-0000-00006F2E0000}"/>
    <cellStyle name="Финансовый 2 2 2 9 4 8" xfId="49567" xr:uid="{00000000-0005-0000-0000-0000702E0000}"/>
    <cellStyle name="Финансовый 2 2 2 9 5" xfId="981" xr:uid="{00000000-0005-0000-0000-0000712E0000}"/>
    <cellStyle name="Финансовый 2 2 2 9 5 2" xfId="7021" xr:uid="{00000000-0005-0000-0000-0000722E0000}"/>
    <cellStyle name="Финансовый 2 2 2 9 5 2 2" xfId="18999" xr:uid="{00000000-0005-0000-0000-0000732E0000}"/>
    <cellStyle name="Финансовый 2 2 2 9 5 2 2 2" xfId="42954" xr:uid="{00000000-0005-0000-0000-0000742E0000}"/>
    <cellStyle name="Финансовый 2 2 2 9 5 2 3" xfId="30976" xr:uid="{00000000-0005-0000-0000-0000752E0000}"/>
    <cellStyle name="Финансовый 2 2 2 9 5 3" xfId="10569" xr:uid="{00000000-0005-0000-0000-0000762E0000}"/>
    <cellStyle name="Финансовый 2 2 2 9 5 3 2" xfId="22547" xr:uid="{00000000-0005-0000-0000-0000772E0000}"/>
    <cellStyle name="Финансовый 2 2 2 9 5 3 2 2" xfId="46502" xr:uid="{00000000-0005-0000-0000-0000782E0000}"/>
    <cellStyle name="Финансовый 2 2 2 9 5 3 3" xfId="34524" xr:uid="{00000000-0005-0000-0000-0000792E0000}"/>
    <cellStyle name="Финансовый 2 2 2 9 5 4" xfId="12962" xr:uid="{00000000-0005-0000-0000-00007A2E0000}"/>
    <cellStyle name="Финансовый 2 2 2 9 5 4 2" xfId="36917" xr:uid="{00000000-0005-0000-0000-00007B2E0000}"/>
    <cellStyle name="Финансовый 2 2 2 9 5 5" xfId="24940" xr:uid="{00000000-0005-0000-0000-00007C2E0000}"/>
    <cellStyle name="Финансовый 2 2 2 9 5 6" xfId="49846" xr:uid="{00000000-0005-0000-0000-00007D2E0000}"/>
    <cellStyle name="Финансовый 2 2 2 9 6" xfId="569" xr:uid="{00000000-0005-0000-0000-00007E2E0000}"/>
    <cellStyle name="Финансовый 2 2 2 9 6 2" xfId="6609" xr:uid="{00000000-0005-0000-0000-00007F2E0000}"/>
    <cellStyle name="Финансовый 2 2 2 9 6 2 2" xfId="18587" xr:uid="{00000000-0005-0000-0000-0000802E0000}"/>
    <cellStyle name="Финансовый 2 2 2 9 6 2 2 2" xfId="42542" xr:uid="{00000000-0005-0000-0000-0000812E0000}"/>
    <cellStyle name="Финансовый 2 2 2 9 6 2 3" xfId="30564" xr:uid="{00000000-0005-0000-0000-0000822E0000}"/>
    <cellStyle name="Финансовый 2 2 2 9 6 3" xfId="12550" xr:uid="{00000000-0005-0000-0000-0000832E0000}"/>
    <cellStyle name="Финансовый 2 2 2 9 6 3 2" xfId="36505" xr:uid="{00000000-0005-0000-0000-0000842E0000}"/>
    <cellStyle name="Финансовый 2 2 2 9 6 4" xfId="24528" xr:uid="{00000000-0005-0000-0000-0000852E0000}"/>
    <cellStyle name="Финансовый 2 2 2 9 7" xfId="2758" xr:uid="{00000000-0005-0000-0000-0000862E0000}"/>
    <cellStyle name="Финансовый 2 2 2 9 7 2" xfId="14737" xr:uid="{00000000-0005-0000-0000-0000872E0000}"/>
    <cellStyle name="Финансовый 2 2 2 9 7 2 2" xfId="38692" xr:uid="{00000000-0005-0000-0000-0000882E0000}"/>
    <cellStyle name="Финансовый 2 2 2 9 7 3" xfId="26715" xr:uid="{00000000-0005-0000-0000-0000892E0000}"/>
    <cellStyle name="Финансовый 2 2 2 9 8" xfId="4402" xr:uid="{00000000-0005-0000-0000-00008A2E0000}"/>
    <cellStyle name="Финансовый 2 2 2 9 8 2" xfId="16381" xr:uid="{00000000-0005-0000-0000-00008B2E0000}"/>
    <cellStyle name="Финансовый 2 2 2 9 8 2 2" xfId="40336" xr:uid="{00000000-0005-0000-0000-00008C2E0000}"/>
    <cellStyle name="Финансовый 2 2 2 9 8 3" xfId="28359" xr:uid="{00000000-0005-0000-0000-00008D2E0000}"/>
    <cellStyle name="Финансовый 2 2 2 9 9" xfId="6189" xr:uid="{00000000-0005-0000-0000-00008E2E0000}"/>
    <cellStyle name="Финансовый 2 2 2 9 9 2" xfId="18167" xr:uid="{00000000-0005-0000-0000-00008F2E0000}"/>
    <cellStyle name="Финансовый 2 2 2 9 9 2 2" xfId="42122" xr:uid="{00000000-0005-0000-0000-0000902E0000}"/>
    <cellStyle name="Финансовый 2 2 2 9 9 3" xfId="30144" xr:uid="{00000000-0005-0000-0000-0000912E0000}"/>
    <cellStyle name="Финансовый 2 2 20" xfId="2616" xr:uid="{00000000-0005-0000-0000-0000922E0000}"/>
    <cellStyle name="Финансовый 2 2 20 2" xfId="14595" xr:uid="{00000000-0005-0000-0000-0000932E0000}"/>
    <cellStyle name="Финансовый 2 2 20 2 2" xfId="38550" xr:uid="{00000000-0005-0000-0000-0000942E0000}"/>
    <cellStyle name="Финансовый 2 2 20 3" xfId="26573" xr:uid="{00000000-0005-0000-0000-0000952E0000}"/>
    <cellStyle name="Финансовый 2 2 21" xfId="4259" xr:uid="{00000000-0005-0000-0000-0000962E0000}"/>
    <cellStyle name="Финансовый 2 2 21 2" xfId="16238" xr:uid="{00000000-0005-0000-0000-0000972E0000}"/>
    <cellStyle name="Финансовый 2 2 21 2 2" xfId="40193" xr:uid="{00000000-0005-0000-0000-0000982E0000}"/>
    <cellStyle name="Финансовый 2 2 21 3" xfId="28216" xr:uid="{00000000-0005-0000-0000-0000992E0000}"/>
    <cellStyle name="Финансовый 2 2 22" xfId="6047" xr:uid="{00000000-0005-0000-0000-00009A2E0000}"/>
    <cellStyle name="Финансовый 2 2 22 2" xfId="18025" xr:uid="{00000000-0005-0000-0000-00009B2E0000}"/>
    <cellStyle name="Финансовый 2 2 22 2 2" xfId="41980" xr:uid="{00000000-0005-0000-0000-00009C2E0000}"/>
    <cellStyle name="Финансовый 2 2 22 3" xfId="30002" xr:uid="{00000000-0005-0000-0000-00009D2E0000}"/>
    <cellStyle name="Финансовый 2 2 23" xfId="8654" xr:uid="{00000000-0005-0000-0000-00009E2E0000}"/>
    <cellStyle name="Финансовый 2 2 23 2" xfId="20632" xr:uid="{00000000-0005-0000-0000-00009F2E0000}"/>
    <cellStyle name="Финансовый 2 2 23 2 2" xfId="44587" xr:uid="{00000000-0005-0000-0000-0000A02E0000}"/>
    <cellStyle name="Финансовый 2 2 23 3" xfId="32609" xr:uid="{00000000-0005-0000-0000-0000A12E0000}"/>
    <cellStyle name="Финансовый 2 2 24" xfId="11988" xr:uid="{00000000-0005-0000-0000-0000A22E0000}"/>
    <cellStyle name="Финансовый 2 2 24 2" xfId="35943" xr:uid="{00000000-0005-0000-0000-0000A32E0000}"/>
    <cellStyle name="Финансовый 2 2 25" xfId="23966" xr:uid="{00000000-0005-0000-0000-0000A42E0000}"/>
    <cellStyle name="Финансовый 2 2 26" xfId="47924" xr:uid="{00000000-0005-0000-0000-0000A52E0000}"/>
    <cellStyle name="Финансовый 2 2 3" xfId="40" xr:uid="{00000000-0005-0000-0000-0000A62E0000}"/>
    <cellStyle name="Финансовый 2 2 3 10" xfId="883" xr:uid="{00000000-0005-0000-0000-0000A72E0000}"/>
    <cellStyle name="Финансовый 2 2 3 10 2" xfId="6923" xr:uid="{00000000-0005-0000-0000-0000A82E0000}"/>
    <cellStyle name="Финансовый 2 2 3 10 2 2" xfId="18901" xr:uid="{00000000-0005-0000-0000-0000A92E0000}"/>
    <cellStyle name="Финансовый 2 2 3 10 2 2 2" xfId="42856" xr:uid="{00000000-0005-0000-0000-0000AA2E0000}"/>
    <cellStyle name="Финансовый 2 2 3 10 2 3" xfId="30878" xr:uid="{00000000-0005-0000-0000-0000AB2E0000}"/>
    <cellStyle name="Финансовый 2 2 3 10 3" xfId="10471" xr:uid="{00000000-0005-0000-0000-0000AC2E0000}"/>
    <cellStyle name="Финансовый 2 2 3 10 3 2" xfId="22449" xr:uid="{00000000-0005-0000-0000-0000AD2E0000}"/>
    <cellStyle name="Финансовый 2 2 3 10 3 2 2" xfId="46404" xr:uid="{00000000-0005-0000-0000-0000AE2E0000}"/>
    <cellStyle name="Финансовый 2 2 3 10 3 3" xfId="34426" xr:uid="{00000000-0005-0000-0000-0000AF2E0000}"/>
    <cellStyle name="Финансовый 2 2 3 10 4" xfId="12864" xr:uid="{00000000-0005-0000-0000-0000B02E0000}"/>
    <cellStyle name="Финансовый 2 2 3 10 4 2" xfId="36819" xr:uid="{00000000-0005-0000-0000-0000B12E0000}"/>
    <cellStyle name="Финансовый 2 2 3 10 5" xfId="24842" xr:uid="{00000000-0005-0000-0000-0000B22E0000}"/>
    <cellStyle name="Финансовый 2 2 3 10 6" xfId="49740" xr:uid="{00000000-0005-0000-0000-0000B32E0000}"/>
    <cellStyle name="Финансовый 2 2 3 11" xfId="463" xr:uid="{00000000-0005-0000-0000-0000B42E0000}"/>
    <cellStyle name="Финансовый 2 2 3 11 2" xfId="6503" xr:uid="{00000000-0005-0000-0000-0000B52E0000}"/>
    <cellStyle name="Финансовый 2 2 3 11 2 2" xfId="18481" xr:uid="{00000000-0005-0000-0000-0000B62E0000}"/>
    <cellStyle name="Финансовый 2 2 3 11 2 2 2" xfId="42436" xr:uid="{00000000-0005-0000-0000-0000B72E0000}"/>
    <cellStyle name="Финансовый 2 2 3 11 2 3" xfId="30458" xr:uid="{00000000-0005-0000-0000-0000B82E0000}"/>
    <cellStyle name="Финансовый 2 2 3 11 3" xfId="12444" xr:uid="{00000000-0005-0000-0000-0000B92E0000}"/>
    <cellStyle name="Финансовый 2 2 3 11 3 2" xfId="36399" xr:uid="{00000000-0005-0000-0000-0000BA2E0000}"/>
    <cellStyle name="Финансовый 2 2 3 11 4" xfId="24422" xr:uid="{00000000-0005-0000-0000-0000BB2E0000}"/>
    <cellStyle name="Финансовый 2 2 3 12" xfId="2652" xr:uid="{00000000-0005-0000-0000-0000BC2E0000}"/>
    <cellStyle name="Финансовый 2 2 3 12 2" xfId="14631" xr:uid="{00000000-0005-0000-0000-0000BD2E0000}"/>
    <cellStyle name="Финансовый 2 2 3 12 2 2" xfId="38586" xr:uid="{00000000-0005-0000-0000-0000BE2E0000}"/>
    <cellStyle name="Финансовый 2 2 3 12 3" xfId="26609" xr:uid="{00000000-0005-0000-0000-0000BF2E0000}"/>
    <cellStyle name="Финансовый 2 2 3 13" xfId="4295" xr:uid="{00000000-0005-0000-0000-0000C02E0000}"/>
    <cellStyle name="Финансовый 2 2 3 13 2" xfId="16274" xr:uid="{00000000-0005-0000-0000-0000C12E0000}"/>
    <cellStyle name="Финансовый 2 2 3 13 2 2" xfId="40229" xr:uid="{00000000-0005-0000-0000-0000C22E0000}"/>
    <cellStyle name="Финансовый 2 2 3 13 3" xfId="28252" xr:uid="{00000000-0005-0000-0000-0000C32E0000}"/>
    <cellStyle name="Финансовый 2 2 3 14" xfId="6083" xr:uid="{00000000-0005-0000-0000-0000C42E0000}"/>
    <cellStyle name="Финансовый 2 2 3 14 2" xfId="18061" xr:uid="{00000000-0005-0000-0000-0000C52E0000}"/>
    <cellStyle name="Финансовый 2 2 3 14 2 2" xfId="42016" xr:uid="{00000000-0005-0000-0000-0000C62E0000}"/>
    <cellStyle name="Финансовый 2 2 3 14 3" xfId="30038" xr:uid="{00000000-0005-0000-0000-0000C72E0000}"/>
    <cellStyle name="Финансовый 2 2 3 15" xfId="8690" xr:uid="{00000000-0005-0000-0000-0000C82E0000}"/>
    <cellStyle name="Финансовый 2 2 3 15 2" xfId="20668" xr:uid="{00000000-0005-0000-0000-0000C92E0000}"/>
    <cellStyle name="Финансовый 2 2 3 15 2 2" xfId="44623" xr:uid="{00000000-0005-0000-0000-0000CA2E0000}"/>
    <cellStyle name="Финансовый 2 2 3 15 3" xfId="32645" xr:uid="{00000000-0005-0000-0000-0000CB2E0000}"/>
    <cellStyle name="Финансовый 2 2 3 16" xfId="12024" xr:uid="{00000000-0005-0000-0000-0000CC2E0000}"/>
    <cellStyle name="Финансовый 2 2 3 16 2" xfId="35979" xr:uid="{00000000-0005-0000-0000-0000CD2E0000}"/>
    <cellStyle name="Финансовый 2 2 3 17" xfId="24002" xr:uid="{00000000-0005-0000-0000-0000CE2E0000}"/>
    <cellStyle name="Финансовый 2 2 3 18" xfId="47960" xr:uid="{00000000-0005-0000-0000-0000CF2E0000}"/>
    <cellStyle name="Финансовый 2 2 3 2" xfId="122" xr:uid="{00000000-0005-0000-0000-0000D02E0000}"/>
    <cellStyle name="Финансовый 2 2 3 2 10" xfId="2732" xr:uid="{00000000-0005-0000-0000-0000D12E0000}"/>
    <cellStyle name="Финансовый 2 2 3 2 10 2" xfId="14711" xr:uid="{00000000-0005-0000-0000-0000D22E0000}"/>
    <cellStyle name="Финансовый 2 2 3 2 10 2 2" xfId="38666" xr:uid="{00000000-0005-0000-0000-0000D32E0000}"/>
    <cellStyle name="Финансовый 2 2 3 2 10 3" xfId="26689" xr:uid="{00000000-0005-0000-0000-0000D42E0000}"/>
    <cellStyle name="Финансовый 2 2 3 2 11" xfId="4376" xr:uid="{00000000-0005-0000-0000-0000D52E0000}"/>
    <cellStyle name="Финансовый 2 2 3 2 11 2" xfId="16355" xr:uid="{00000000-0005-0000-0000-0000D62E0000}"/>
    <cellStyle name="Финансовый 2 2 3 2 11 2 2" xfId="40310" xr:uid="{00000000-0005-0000-0000-0000D72E0000}"/>
    <cellStyle name="Финансовый 2 2 3 2 11 3" xfId="28333" xr:uid="{00000000-0005-0000-0000-0000D82E0000}"/>
    <cellStyle name="Финансовый 2 2 3 2 12" xfId="6163" xr:uid="{00000000-0005-0000-0000-0000D92E0000}"/>
    <cellStyle name="Финансовый 2 2 3 2 12 2" xfId="18141" xr:uid="{00000000-0005-0000-0000-0000DA2E0000}"/>
    <cellStyle name="Финансовый 2 2 3 2 12 2 2" xfId="42096" xr:uid="{00000000-0005-0000-0000-0000DB2E0000}"/>
    <cellStyle name="Финансовый 2 2 3 2 12 3" xfId="30118" xr:uid="{00000000-0005-0000-0000-0000DC2E0000}"/>
    <cellStyle name="Финансовый 2 2 3 2 13" xfId="8770" xr:uid="{00000000-0005-0000-0000-0000DD2E0000}"/>
    <cellStyle name="Финансовый 2 2 3 2 13 2" xfId="20748" xr:uid="{00000000-0005-0000-0000-0000DE2E0000}"/>
    <cellStyle name="Финансовый 2 2 3 2 13 2 2" xfId="44703" xr:uid="{00000000-0005-0000-0000-0000DF2E0000}"/>
    <cellStyle name="Финансовый 2 2 3 2 13 3" xfId="32725" xr:uid="{00000000-0005-0000-0000-0000E02E0000}"/>
    <cellStyle name="Финансовый 2 2 3 2 14" xfId="12104" xr:uid="{00000000-0005-0000-0000-0000E12E0000}"/>
    <cellStyle name="Финансовый 2 2 3 2 14 2" xfId="36059" xr:uid="{00000000-0005-0000-0000-0000E22E0000}"/>
    <cellStyle name="Финансовый 2 2 3 2 15" xfId="24082" xr:uid="{00000000-0005-0000-0000-0000E32E0000}"/>
    <cellStyle name="Финансовый 2 2 3 2 16" xfId="48040" xr:uid="{00000000-0005-0000-0000-0000E42E0000}"/>
    <cellStyle name="Финансовый 2 2 3 2 2" xfId="258" xr:uid="{00000000-0005-0000-0000-0000E52E0000}"/>
    <cellStyle name="Финансовый 2 2 3 2 2 10" xfId="8906" xr:uid="{00000000-0005-0000-0000-0000E62E0000}"/>
    <cellStyle name="Финансовый 2 2 3 2 2 10 2" xfId="20884" xr:uid="{00000000-0005-0000-0000-0000E72E0000}"/>
    <cellStyle name="Финансовый 2 2 3 2 2 10 2 2" xfId="44839" xr:uid="{00000000-0005-0000-0000-0000E82E0000}"/>
    <cellStyle name="Финансовый 2 2 3 2 2 10 3" xfId="32861" xr:uid="{00000000-0005-0000-0000-0000E92E0000}"/>
    <cellStyle name="Финансовый 2 2 3 2 2 11" xfId="12240" xr:uid="{00000000-0005-0000-0000-0000EA2E0000}"/>
    <cellStyle name="Финансовый 2 2 3 2 2 11 2" xfId="36195" xr:uid="{00000000-0005-0000-0000-0000EB2E0000}"/>
    <cellStyle name="Финансовый 2 2 3 2 2 12" xfId="24218" xr:uid="{00000000-0005-0000-0000-0000EC2E0000}"/>
    <cellStyle name="Финансовый 2 2 3 2 2 13" xfId="48176" xr:uid="{00000000-0005-0000-0000-0000ED2E0000}"/>
    <cellStyle name="Финансовый 2 2 3 2 2 2" xfId="1356" xr:uid="{00000000-0005-0000-0000-0000EE2E0000}"/>
    <cellStyle name="Финансовый 2 2 3 2 2 2 2" xfId="2314" xr:uid="{00000000-0005-0000-0000-0000EF2E0000}"/>
    <cellStyle name="Финансовый 2 2 3 2 2 2 2 2" xfId="3959" xr:uid="{00000000-0005-0000-0000-0000F02E0000}"/>
    <cellStyle name="Финансовый 2 2 3 2 2 2 2 2 2" xfId="11699" xr:uid="{00000000-0005-0000-0000-0000F12E0000}"/>
    <cellStyle name="Финансовый 2 2 3 2 2 2 2 2 2 2" xfId="23677" xr:uid="{00000000-0005-0000-0000-0000F22E0000}"/>
    <cellStyle name="Финансовый 2 2 3 2 2 2 2 2 2 2 2" xfId="47632" xr:uid="{00000000-0005-0000-0000-0000F32E0000}"/>
    <cellStyle name="Финансовый 2 2 3 2 2 2 2 2 2 3" xfId="35654" xr:uid="{00000000-0005-0000-0000-0000F42E0000}"/>
    <cellStyle name="Финансовый 2 2 3 2 2 2 2 2 3" xfId="15938" xr:uid="{00000000-0005-0000-0000-0000F52E0000}"/>
    <cellStyle name="Финансовый 2 2 3 2 2 2 2 2 3 2" xfId="39893" xr:uid="{00000000-0005-0000-0000-0000F62E0000}"/>
    <cellStyle name="Финансовый 2 2 3 2 2 2 2 2 4" xfId="27916" xr:uid="{00000000-0005-0000-0000-0000F72E0000}"/>
    <cellStyle name="Финансовый 2 2 3 2 2 2 2 2 5" xfId="51185" xr:uid="{00000000-0005-0000-0000-0000F82E0000}"/>
    <cellStyle name="Финансовый 2 2 3 2 2 2 2 3" xfId="5742" xr:uid="{00000000-0005-0000-0000-0000F92E0000}"/>
    <cellStyle name="Финансовый 2 2 3 2 2 2 2 3 2" xfId="17720" xr:uid="{00000000-0005-0000-0000-0000FA2E0000}"/>
    <cellStyle name="Финансовый 2 2 3 2 2 2 2 3 2 2" xfId="41675" xr:uid="{00000000-0005-0000-0000-0000FB2E0000}"/>
    <cellStyle name="Финансовый 2 2 3 2 2 2 2 3 3" xfId="29697" xr:uid="{00000000-0005-0000-0000-0000FC2E0000}"/>
    <cellStyle name="Финансовый 2 2 3 2 2 2 2 4" xfId="8352" xr:uid="{00000000-0005-0000-0000-0000FD2E0000}"/>
    <cellStyle name="Финансовый 2 2 3 2 2 2 2 4 2" xfId="20330" xr:uid="{00000000-0005-0000-0000-0000FE2E0000}"/>
    <cellStyle name="Финансовый 2 2 3 2 2 2 2 4 2 2" xfId="44285" xr:uid="{00000000-0005-0000-0000-0000FF2E0000}"/>
    <cellStyle name="Финансовый 2 2 3 2 2 2 2 4 3" xfId="32307" xr:uid="{00000000-0005-0000-0000-0000002F0000}"/>
    <cellStyle name="Финансовый 2 2 3 2 2 2 2 5" xfId="10135" xr:uid="{00000000-0005-0000-0000-0000012F0000}"/>
    <cellStyle name="Финансовый 2 2 3 2 2 2 2 5 2" xfId="22113" xr:uid="{00000000-0005-0000-0000-0000022F0000}"/>
    <cellStyle name="Финансовый 2 2 3 2 2 2 2 5 2 2" xfId="46068" xr:uid="{00000000-0005-0000-0000-0000032F0000}"/>
    <cellStyle name="Финансовый 2 2 3 2 2 2 2 5 3" xfId="34090" xr:uid="{00000000-0005-0000-0000-0000042F0000}"/>
    <cellStyle name="Финансовый 2 2 3 2 2 2 2 6" xfId="14293" xr:uid="{00000000-0005-0000-0000-0000052F0000}"/>
    <cellStyle name="Финансовый 2 2 3 2 2 2 2 6 2" xfId="38248" xr:uid="{00000000-0005-0000-0000-0000062F0000}"/>
    <cellStyle name="Финансовый 2 2 3 2 2 2 2 7" xfId="26271" xr:uid="{00000000-0005-0000-0000-0000072F0000}"/>
    <cellStyle name="Финансовый 2 2 3 2 2 2 2 8" xfId="49404" xr:uid="{00000000-0005-0000-0000-0000082F0000}"/>
    <cellStyle name="Финансовый 2 2 3 2 2 2 3" xfId="3140" xr:uid="{00000000-0005-0000-0000-0000092F0000}"/>
    <cellStyle name="Финансовый 2 2 3 2 2 2 3 2" xfId="10927" xr:uid="{00000000-0005-0000-0000-00000A2F0000}"/>
    <cellStyle name="Финансовый 2 2 3 2 2 2 3 2 2" xfId="22905" xr:uid="{00000000-0005-0000-0000-00000B2F0000}"/>
    <cellStyle name="Финансовый 2 2 3 2 2 2 3 2 2 2" xfId="46860" xr:uid="{00000000-0005-0000-0000-00000C2F0000}"/>
    <cellStyle name="Финансовый 2 2 3 2 2 2 3 2 3" xfId="34882" xr:uid="{00000000-0005-0000-0000-00000D2F0000}"/>
    <cellStyle name="Финансовый 2 2 3 2 2 2 3 3" xfId="15119" xr:uid="{00000000-0005-0000-0000-00000E2F0000}"/>
    <cellStyle name="Финансовый 2 2 3 2 2 2 3 3 2" xfId="39074" xr:uid="{00000000-0005-0000-0000-00000F2F0000}"/>
    <cellStyle name="Финансовый 2 2 3 2 2 2 3 4" xfId="27097" xr:uid="{00000000-0005-0000-0000-0000102F0000}"/>
    <cellStyle name="Финансовый 2 2 3 2 2 2 3 5" xfId="50228" xr:uid="{00000000-0005-0000-0000-0000112F0000}"/>
    <cellStyle name="Финансовый 2 2 3 2 2 2 4" xfId="4784" xr:uid="{00000000-0005-0000-0000-0000122F0000}"/>
    <cellStyle name="Финансовый 2 2 3 2 2 2 4 2" xfId="16763" xr:uid="{00000000-0005-0000-0000-0000132F0000}"/>
    <cellStyle name="Финансовый 2 2 3 2 2 2 4 2 2" xfId="40718" xr:uid="{00000000-0005-0000-0000-0000142F0000}"/>
    <cellStyle name="Финансовый 2 2 3 2 2 2 4 3" xfId="28741" xr:uid="{00000000-0005-0000-0000-0000152F0000}"/>
    <cellStyle name="Финансовый 2 2 3 2 2 2 5" xfId="7396" xr:uid="{00000000-0005-0000-0000-0000162F0000}"/>
    <cellStyle name="Финансовый 2 2 3 2 2 2 5 2" xfId="19374" xr:uid="{00000000-0005-0000-0000-0000172F0000}"/>
    <cellStyle name="Финансовый 2 2 3 2 2 2 5 2 2" xfId="43329" xr:uid="{00000000-0005-0000-0000-0000182F0000}"/>
    <cellStyle name="Финансовый 2 2 3 2 2 2 5 3" xfId="31351" xr:uid="{00000000-0005-0000-0000-0000192F0000}"/>
    <cellStyle name="Финансовый 2 2 3 2 2 2 6" xfId="9178" xr:uid="{00000000-0005-0000-0000-00001A2F0000}"/>
    <cellStyle name="Финансовый 2 2 3 2 2 2 6 2" xfId="21156" xr:uid="{00000000-0005-0000-0000-00001B2F0000}"/>
    <cellStyle name="Финансовый 2 2 3 2 2 2 6 2 2" xfId="45111" xr:uid="{00000000-0005-0000-0000-00001C2F0000}"/>
    <cellStyle name="Финансовый 2 2 3 2 2 2 6 3" xfId="33133" xr:uid="{00000000-0005-0000-0000-00001D2F0000}"/>
    <cellStyle name="Финансовый 2 2 3 2 2 2 7" xfId="13337" xr:uid="{00000000-0005-0000-0000-00001E2F0000}"/>
    <cellStyle name="Финансовый 2 2 3 2 2 2 7 2" xfId="37292" xr:uid="{00000000-0005-0000-0000-00001F2F0000}"/>
    <cellStyle name="Финансовый 2 2 3 2 2 2 8" xfId="25315" xr:uid="{00000000-0005-0000-0000-0000202F0000}"/>
    <cellStyle name="Финансовый 2 2 3 2 2 2 9" xfId="48448" xr:uid="{00000000-0005-0000-0000-0000212F0000}"/>
    <cellStyle name="Финансовый 2 2 3 2 2 3" xfId="2058" xr:uid="{00000000-0005-0000-0000-0000222F0000}"/>
    <cellStyle name="Финансовый 2 2 3 2 2 3 2" xfId="3703" xr:uid="{00000000-0005-0000-0000-0000232F0000}"/>
    <cellStyle name="Финансовый 2 2 3 2 2 3 2 2" xfId="11443" xr:uid="{00000000-0005-0000-0000-0000242F0000}"/>
    <cellStyle name="Финансовый 2 2 3 2 2 3 2 2 2" xfId="23421" xr:uid="{00000000-0005-0000-0000-0000252F0000}"/>
    <cellStyle name="Финансовый 2 2 3 2 2 3 2 2 2 2" xfId="47376" xr:uid="{00000000-0005-0000-0000-0000262F0000}"/>
    <cellStyle name="Финансовый 2 2 3 2 2 3 2 2 3" xfId="35398" xr:uid="{00000000-0005-0000-0000-0000272F0000}"/>
    <cellStyle name="Финансовый 2 2 3 2 2 3 2 3" xfId="15682" xr:uid="{00000000-0005-0000-0000-0000282F0000}"/>
    <cellStyle name="Финансовый 2 2 3 2 2 3 2 3 2" xfId="39637" xr:uid="{00000000-0005-0000-0000-0000292F0000}"/>
    <cellStyle name="Финансовый 2 2 3 2 2 3 2 4" xfId="27660" xr:uid="{00000000-0005-0000-0000-00002A2F0000}"/>
    <cellStyle name="Финансовый 2 2 3 2 2 3 2 5" xfId="50929" xr:uid="{00000000-0005-0000-0000-00002B2F0000}"/>
    <cellStyle name="Финансовый 2 2 3 2 2 3 3" xfId="5486" xr:uid="{00000000-0005-0000-0000-00002C2F0000}"/>
    <cellStyle name="Финансовый 2 2 3 2 2 3 3 2" xfId="17464" xr:uid="{00000000-0005-0000-0000-00002D2F0000}"/>
    <cellStyle name="Финансовый 2 2 3 2 2 3 3 2 2" xfId="41419" xr:uid="{00000000-0005-0000-0000-00002E2F0000}"/>
    <cellStyle name="Финансовый 2 2 3 2 2 3 3 3" xfId="29441" xr:uid="{00000000-0005-0000-0000-00002F2F0000}"/>
    <cellStyle name="Финансовый 2 2 3 2 2 3 4" xfId="8096" xr:uid="{00000000-0005-0000-0000-0000302F0000}"/>
    <cellStyle name="Финансовый 2 2 3 2 2 3 4 2" xfId="20074" xr:uid="{00000000-0005-0000-0000-0000312F0000}"/>
    <cellStyle name="Финансовый 2 2 3 2 2 3 4 2 2" xfId="44029" xr:uid="{00000000-0005-0000-0000-0000322F0000}"/>
    <cellStyle name="Финансовый 2 2 3 2 2 3 4 3" xfId="32051" xr:uid="{00000000-0005-0000-0000-0000332F0000}"/>
    <cellStyle name="Финансовый 2 2 3 2 2 3 5" xfId="9879" xr:uid="{00000000-0005-0000-0000-0000342F0000}"/>
    <cellStyle name="Финансовый 2 2 3 2 2 3 5 2" xfId="21857" xr:uid="{00000000-0005-0000-0000-0000352F0000}"/>
    <cellStyle name="Финансовый 2 2 3 2 2 3 5 2 2" xfId="45812" xr:uid="{00000000-0005-0000-0000-0000362F0000}"/>
    <cellStyle name="Финансовый 2 2 3 2 2 3 5 3" xfId="33834" xr:uid="{00000000-0005-0000-0000-0000372F0000}"/>
    <cellStyle name="Финансовый 2 2 3 2 2 3 6" xfId="14037" xr:uid="{00000000-0005-0000-0000-0000382F0000}"/>
    <cellStyle name="Финансовый 2 2 3 2 2 3 6 2" xfId="37992" xr:uid="{00000000-0005-0000-0000-0000392F0000}"/>
    <cellStyle name="Финансовый 2 2 3 2 2 3 7" xfId="26015" xr:uid="{00000000-0005-0000-0000-00003A2F0000}"/>
    <cellStyle name="Финансовый 2 2 3 2 2 3 8" xfId="49148" xr:uid="{00000000-0005-0000-0000-00003B2F0000}"/>
    <cellStyle name="Финансовый 2 2 3 2 2 4" xfId="2587" xr:uid="{00000000-0005-0000-0000-00003C2F0000}"/>
    <cellStyle name="Финансовый 2 2 3 2 2 4 2" xfId="4232" xr:uid="{00000000-0005-0000-0000-00003D2F0000}"/>
    <cellStyle name="Финансовый 2 2 3 2 2 4 2 2" xfId="11956" xr:uid="{00000000-0005-0000-0000-00003E2F0000}"/>
    <cellStyle name="Финансовый 2 2 3 2 2 4 2 2 2" xfId="23934" xr:uid="{00000000-0005-0000-0000-00003F2F0000}"/>
    <cellStyle name="Финансовый 2 2 3 2 2 4 2 2 2 2" xfId="47889" xr:uid="{00000000-0005-0000-0000-0000402F0000}"/>
    <cellStyle name="Финансовый 2 2 3 2 2 4 2 2 3" xfId="35911" xr:uid="{00000000-0005-0000-0000-0000412F0000}"/>
    <cellStyle name="Финансовый 2 2 3 2 2 4 2 3" xfId="16211" xr:uid="{00000000-0005-0000-0000-0000422F0000}"/>
    <cellStyle name="Финансовый 2 2 3 2 2 4 2 3 2" xfId="40166" xr:uid="{00000000-0005-0000-0000-0000432F0000}"/>
    <cellStyle name="Финансовый 2 2 3 2 2 4 2 4" xfId="28189" xr:uid="{00000000-0005-0000-0000-0000442F0000}"/>
    <cellStyle name="Финансовый 2 2 3 2 2 4 2 5" xfId="51458" xr:uid="{00000000-0005-0000-0000-0000452F0000}"/>
    <cellStyle name="Финансовый 2 2 3 2 2 4 3" xfId="6015" xr:uid="{00000000-0005-0000-0000-0000462F0000}"/>
    <cellStyle name="Финансовый 2 2 3 2 2 4 3 2" xfId="17993" xr:uid="{00000000-0005-0000-0000-0000472F0000}"/>
    <cellStyle name="Финансовый 2 2 3 2 2 4 3 2 2" xfId="41948" xr:uid="{00000000-0005-0000-0000-0000482F0000}"/>
    <cellStyle name="Финансовый 2 2 3 2 2 4 3 3" xfId="29970" xr:uid="{00000000-0005-0000-0000-0000492F0000}"/>
    <cellStyle name="Финансовый 2 2 3 2 2 4 4" xfId="8625" xr:uid="{00000000-0005-0000-0000-00004A2F0000}"/>
    <cellStyle name="Финансовый 2 2 3 2 2 4 4 2" xfId="20603" xr:uid="{00000000-0005-0000-0000-00004B2F0000}"/>
    <cellStyle name="Финансовый 2 2 3 2 2 4 4 2 2" xfId="44558" xr:uid="{00000000-0005-0000-0000-00004C2F0000}"/>
    <cellStyle name="Финансовый 2 2 3 2 2 4 4 3" xfId="32580" xr:uid="{00000000-0005-0000-0000-00004D2F0000}"/>
    <cellStyle name="Финансовый 2 2 3 2 2 4 5" xfId="10408" xr:uid="{00000000-0005-0000-0000-00004E2F0000}"/>
    <cellStyle name="Финансовый 2 2 3 2 2 4 5 2" xfId="22386" xr:uid="{00000000-0005-0000-0000-00004F2F0000}"/>
    <cellStyle name="Финансовый 2 2 3 2 2 4 5 2 2" xfId="46341" xr:uid="{00000000-0005-0000-0000-0000502F0000}"/>
    <cellStyle name="Финансовый 2 2 3 2 2 4 5 3" xfId="34363" xr:uid="{00000000-0005-0000-0000-0000512F0000}"/>
    <cellStyle name="Финансовый 2 2 3 2 2 4 6" xfId="14566" xr:uid="{00000000-0005-0000-0000-0000522F0000}"/>
    <cellStyle name="Финансовый 2 2 3 2 2 4 6 2" xfId="38521" xr:uid="{00000000-0005-0000-0000-0000532F0000}"/>
    <cellStyle name="Финансовый 2 2 3 2 2 4 7" xfId="26544" xr:uid="{00000000-0005-0000-0000-0000542F0000}"/>
    <cellStyle name="Финансовый 2 2 3 2 2 4 8" xfId="49677" xr:uid="{00000000-0005-0000-0000-0000552F0000}"/>
    <cellStyle name="Финансовый 2 2 3 2 2 5" xfId="1091" xr:uid="{00000000-0005-0000-0000-0000562F0000}"/>
    <cellStyle name="Финансовый 2 2 3 2 2 5 2" xfId="7131" xr:uid="{00000000-0005-0000-0000-0000572F0000}"/>
    <cellStyle name="Финансовый 2 2 3 2 2 5 2 2" xfId="19109" xr:uid="{00000000-0005-0000-0000-0000582F0000}"/>
    <cellStyle name="Финансовый 2 2 3 2 2 5 2 2 2" xfId="43064" xr:uid="{00000000-0005-0000-0000-0000592F0000}"/>
    <cellStyle name="Финансовый 2 2 3 2 2 5 2 3" xfId="31086" xr:uid="{00000000-0005-0000-0000-00005A2F0000}"/>
    <cellStyle name="Финансовый 2 2 3 2 2 5 3" xfId="10671" xr:uid="{00000000-0005-0000-0000-00005B2F0000}"/>
    <cellStyle name="Финансовый 2 2 3 2 2 5 3 2" xfId="22649" xr:uid="{00000000-0005-0000-0000-00005C2F0000}"/>
    <cellStyle name="Финансовый 2 2 3 2 2 5 3 2 2" xfId="46604" xr:uid="{00000000-0005-0000-0000-00005D2F0000}"/>
    <cellStyle name="Финансовый 2 2 3 2 2 5 3 3" xfId="34626" xr:uid="{00000000-0005-0000-0000-00005E2F0000}"/>
    <cellStyle name="Финансовый 2 2 3 2 2 5 4" xfId="13072" xr:uid="{00000000-0005-0000-0000-00005F2F0000}"/>
    <cellStyle name="Финансовый 2 2 3 2 2 5 4 2" xfId="37027" xr:uid="{00000000-0005-0000-0000-0000602F0000}"/>
    <cellStyle name="Финансовый 2 2 3 2 2 5 5" xfId="25050" xr:uid="{00000000-0005-0000-0000-0000612F0000}"/>
    <cellStyle name="Финансовый 2 2 3 2 2 5 6" xfId="49956" xr:uid="{00000000-0005-0000-0000-0000622F0000}"/>
    <cellStyle name="Финансовый 2 2 3 2 2 6" xfId="679" xr:uid="{00000000-0005-0000-0000-0000632F0000}"/>
    <cellStyle name="Финансовый 2 2 3 2 2 6 2" xfId="6719" xr:uid="{00000000-0005-0000-0000-0000642F0000}"/>
    <cellStyle name="Финансовый 2 2 3 2 2 6 2 2" xfId="18697" xr:uid="{00000000-0005-0000-0000-0000652F0000}"/>
    <cellStyle name="Финансовый 2 2 3 2 2 6 2 2 2" xfId="42652" xr:uid="{00000000-0005-0000-0000-0000662F0000}"/>
    <cellStyle name="Финансовый 2 2 3 2 2 6 2 3" xfId="30674" xr:uid="{00000000-0005-0000-0000-0000672F0000}"/>
    <cellStyle name="Финансовый 2 2 3 2 2 6 3" xfId="12660" xr:uid="{00000000-0005-0000-0000-0000682F0000}"/>
    <cellStyle name="Финансовый 2 2 3 2 2 6 3 2" xfId="36615" xr:uid="{00000000-0005-0000-0000-0000692F0000}"/>
    <cellStyle name="Финансовый 2 2 3 2 2 6 4" xfId="24638" xr:uid="{00000000-0005-0000-0000-00006A2F0000}"/>
    <cellStyle name="Финансовый 2 2 3 2 2 7" xfId="2868" xr:uid="{00000000-0005-0000-0000-00006B2F0000}"/>
    <cellStyle name="Финансовый 2 2 3 2 2 7 2" xfId="14847" xr:uid="{00000000-0005-0000-0000-00006C2F0000}"/>
    <cellStyle name="Финансовый 2 2 3 2 2 7 2 2" xfId="38802" xr:uid="{00000000-0005-0000-0000-00006D2F0000}"/>
    <cellStyle name="Финансовый 2 2 3 2 2 7 3" xfId="26825" xr:uid="{00000000-0005-0000-0000-00006E2F0000}"/>
    <cellStyle name="Финансовый 2 2 3 2 2 8" xfId="4512" xr:uid="{00000000-0005-0000-0000-00006F2F0000}"/>
    <cellStyle name="Финансовый 2 2 3 2 2 8 2" xfId="16491" xr:uid="{00000000-0005-0000-0000-0000702F0000}"/>
    <cellStyle name="Финансовый 2 2 3 2 2 8 2 2" xfId="40446" xr:uid="{00000000-0005-0000-0000-0000712F0000}"/>
    <cellStyle name="Финансовый 2 2 3 2 2 8 3" xfId="28469" xr:uid="{00000000-0005-0000-0000-0000722F0000}"/>
    <cellStyle name="Финансовый 2 2 3 2 2 9" xfId="6299" xr:uid="{00000000-0005-0000-0000-0000732F0000}"/>
    <cellStyle name="Финансовый 2 2 3 2 2 9 2" xfId="18277" xr:uid="{00000000-0005-0000-0000-0000742F0000}"/>
    <cellStyle name="Финансовый 2 2 3 2 2 9 2 2" xfId="42232" xr:uid="{00000000-0005-0000-0000-0000752F0000}"/>
    <cellStyle name="Финансовый 2 2 3 2 2 9 3" xfId="30254" xr:uid="{00000000-0005-0000-0000-0000762F0000}"/>
    <cellStyle name="Финансовый 2 2 3 2 3" xfId="407" xr:uid="{00000000-0005-0000-0000-0000772F0000}"/>
    <cellStyle name="Финансовый 2 2 3 2 3 10" xfId="24366" xr:uid="{00000000-0005-0000-0000-0000782F0000}"/>
    <cellStyle name="Финансовый 2 2 3 2 3 11" xfId="48312" xr:uid="{00000000-0005-0000-0000-0000792F0000}"/>
    <cellStyle name="Финансовый 2 2 3 2 3 2" xfId="2186" xr:uid="{00000000-0005-0000-0000-00007A2F0000}"/>
    <cellStyle name="Финансовый 2 2 3 2 3 2 2" xfId="3831" xr:uid="{00000000-0005-0000-0000-00007B2F0000}"/>
    <cellStyle name="Финансовый 2 2 3 2 3 2 2 2" xfId="11571" xr:uid="{00000000-0005-0000-0000-00007C2F0000}"/>
    <cellStyle name="Финансовый 2 2 3 2 3 2 2 2 2" xfId="23549" xr:uid="{00000000-0005-0000-0000-00007D2F0000}"/>
    <cellStyle name="Финансовый 2 2 3 2 3 2 2 2 2 2" xfId="47504" xr:uid="{00000000-0005-0000-0000-00007E2F0000}"/>
    <cellStyle name="Финансовый 2 2 3 2 3 2 2 2 3" xfId="35526" xr:uid="{00000000-0005-0000-0000-00007F2F0000}"/>
    <cellStyle name="Финансовый 2 2 3 2 3 2 2 3" xfId="15810" xr:uid="{00000000-0005-0000-0000-0000802F0000}"/>
    <cellStyle name="Финансовый 2 2 3 2 3 2 2 3 2" xfId="39765" xr:uid="{00000000-0005-0000-0000-0000812F0000}"/>
    <cellStyle name="Финансовый 2 2 3 2 3 2 2 4" xfId="27788" xr:uid="{00000000-0005-0000-0000-0000822F0000}"/>
    <cellStyle name="Финансовый 2 2 3 2 3 2 2 5" xfId="51057" xr:uid="{00000000-0005-0000-0000-0000832F0000}"/>
    <cellStyle name="Финансовый 2 2 3 2 3 2 3" xfId="5614" xr:uid="{00000000-0005-0000-0000-0000842F0000}"/>
    <cellStyle name="Финансовый 2 2 3 2 3 2 3 2" xfId="17592" xr:uid="{00000000-0005-0000-0000-0000852F0000}"/>
    <cellStyle name="Финансовый 2 2 3 2 3 2 3 2 2" xfId="41547" xr:uid="{00000000-0005-0000-0000-0000862F0000}"/>
    <cellStyle name="Финансовый 2 2 3 2 3 2 3 3" xfId="29569" xr:uid="{00000000-0005-0000-0000-0000872F0000}"/>
    <cellStyle name="Финансовый 2 2 3 2 3 2 4" xfId="8224" xr:uid="{00000000-0005-0000-0000-0000882F0000}"/>
    <cellStyle name="Финансовый 2 2 3 2 3 2 4 2" xfId="20202" xr:uid="{00000000-0005-0000-0000-0000892F0000}"/>
    <cellStyle name="Финансовый 2 2 3 2 3 2 4 2 2" xfId="44157" xr:uid="{00000000-0005-0000-0000-00008A2F0000}"/>
    <cellStyle name="Финансовый 2 2 3 2 3 2 4 3" xfId="32179" xr:uid="{00000000-0005-0000-0000-00008B2F0000}"/>
    <cellStyle name="Финансовый 2 2 3 2 3 2 5" xfId="10007" xr:uid="{00000000-0005-0000-0000-00008C2F0000}"/>
    <cellStyle name="Финансовый 2 2 3 2 3 2 5 2" xfId="21985" xr:uid="{00000000-0005-0000-0000-00008D2F0000}"/>
    <cellStyle name="Финансовый 2 2 3 2 3 2 5 2 2" xfId="45940" xr:uid="{00000000-0005-0000-0000-00008E2F0000}"/>
    <cellStyle name="Финансовый 2 2 3 2 3 2 5 3" xfId="33962" xr:uid="{00000000-0005-0000-0000-00008F2F0000}"/>
    <cellStyle name="Финансовый 2 2 3 2 3 2 6" xfId="14165" xr:uid="{00000000-0005-0000-0000-0000902F0000}"/>
    <cellStyle name="Финансовый 2 2 3 2 3 2 6 2" xfId="38120" xr:uid="{00000000-0005-0000-0000-0000912F0000}"/>
    <cellStyle name="Финансовый 2 2 3 2 3 2 7" xfId="26143" xr:uid="{00000000-0005-0000-0000-0000922F0000}"/>
    <cellStyle name="Финансовый 2 2 3 2 3 2 8" xfId="49276" xr:uid="{00000000-0005-0000-0000-0000932F0000}"/>
    <cellStyle name="Финансовый 2 2 3 2 3 3" xfId="1220" xr:uid="{00000000-0005-0000-0000-0000942F0000}"/>
    <cellStyle name="Финансовый 2 2 3 2 3 3 2" xfId="7260" xr:uid="{00000000-0005-0000-0000-0000952F0000}"/>
    <cellStyle name="Финансовый 2 2 3 2 3 3 2 2" xfId="19238" xr:uid="{00000000-0005-0000-0000-0000962F0000}"/>
    <cellStyle name="Финансовый 2 2 3 2 3 3 2 2 2" xfId="43193" xr:uid="{00000000-0005-0000-0000-0000972F0000}"/>
    <cellStyle name="Финансовый 2 2 3 2 3 3 2 3" xfId="31215" xr:uid="{00000000-0005-0000-0000-0000982F0000}"/>
    <cellStyle name="Финансовый 2 2 3 2 3 3 3" xfId="10799" xr:uid="{00000000-0005-0000-0000-0000992F0000}"/>
    <cellStyle name="Финансовый 2 2 3 2 3 3 3 2" xfId="22777" xr:uid="{00000000-0005-0000-0000-00009A2F0000}"/>
    <cellStyle name="Финансовый 2 2 3 2 3 3 3 2 2" xfId="46732" xr:uid="{00000000-0005-0000-0000-00009B2F0000}"/>
    <cellStyle name="Финансовый 2 2 3 2 3 3 3 3" xfId="34754" xr:uid="{00000000-0005-0000-0000-00009C2F0000}"/>
    <cellStyle name="Финансовый 2 2 3 2 3 3 4" xfId="13201" xr:uid="{00000000-0005-0000-0000-00009D2F0000}"/>
    <cellStyle name="Финансовый 2 2 3 2 3 3 4 2" xfId="37156" xr:uid="{00000000-0005-0000-0000-00009E2F0000}"/>
    <cellStyle name="Финансовый 2 2 3 2 3 3 5" xfId="25179" xr:uid="{00000000-0005-0000-0000-00009F2F0000}"/>
    <cellStyle name="Финансовый 2 2 3 2 3 3 6" xfId="50092" xr:uid="{00000000-0005-0000-0000-0000A02F0000}"/>
    <cellStyle name="Финансовый 2 2 3 2 3 4" xfId="827" xr:uid="{00000000-0005-0000-0000-0000A12F0000}"/>
    <cellStyle name="Финансовый 2 2 3 2 3 4 2" xfId="6867" xr:uid="{00000000-0005-0000-0000-0000A22F0000}"/>
    <cellStyle name="Финансовый 2 2 3 2 3 4 2 2" xfId="18845" xr:uid="{00000000-0005-0000-0000-0000A32F0000}"/>
    <cellStyle name="Финансовый 2 2 3 2 3 4 2 2 2" xfId="42800" xr:uid="{00000000-0005-0000-0000-0000A42F0000}"/>
    <cellStyle name="Финансовый 2 2 3 2 3 4 2 3" xfId="30822" xr:uid="{00000000-0005-0000-0000-0000A52F0000}"/>
    <cellStyle name="Финансовый 2 2 3 2 3 4 3" xfId="12808" xr:uid="{00000000-0005-0000-0000-0000A62F0000}"/>
    <cellStyle name="Финансовый 2 2 3 2 3 4 3 2" xfId="36763" xr:uid="{00000000-0005-0000-0000-0000A72F0000}"/>
    <cellStyle name="Финансовый 2 2 3 2 3 4 4" xfId="24786" xr:uid="{00000000-0005-0000-0000-0000A82F0000}"/>
    <cellStyle name="Финансовый 2 2 3 2 3 5" xfId="3004" xr:uid="{00000000-0005-0000-0000-0000A92F0000}"/>
    <cellStyle name="Финансовый 2 2 3 2 3 5 2" xfId="14983" xr:uid="{00000000-0005-0000-0000-0000AA2F0000}"/>
    <cellStyle name="Финансовый 2 2 3 2 3 5 2 2" xfId="38938" xr:uid="{00000000-0005-0000-0000-0000AB2F0000}"/>
    <cellStyle name="Финансовый 2 2 3 2 3 5 3" xfId="26961" xr:uid="{00000000-0005-0000-0000-0000AC2F0000}"/>
    <cellStyle name="Финансовый 2 2 3 2 3 6" xfId="4648" xr:uid="{00000000-0005-0000-0000-0000AD2F0000}"/>
    <cellStyle name="Финансовый 2 2 3 2 3 6 2" xfId="16627" xr:uid="{00000000-0005-0000-0000-0000AE2F0000}"/>
    <cellStyle name="Финансовый 2 2 3 2 3 6 2 2" xfId="40582" xr:uid="{00000000-0005-0000-0000-0000AF2F0000}"/>
    <cellStyle name="Финансовый 2 2 3 2 3 6 3" xfId="28605" xr:uid="{00000000-0005-0000-0000-0000B02F0000}"/>
    <cellStyle name="Финансовый 2 2 3 2 3 7" xfId="6447" xr:uid="{00000000-0005-0000-0000-0000B12F0000}"/>
    <cellStyle name="Финансовый 2 2 3 2 3 7 2" xfId="18425" xr:uid="{00000000-0005-0000-0000-0000B22F0000}"/>
    <cellStyle name="Финансовый 2 2 3 2 3 7 2 2" xfId="42380" xr:uid="{00000000-0005-0000-0000-0000B32F0000}"/>
    <cellStyle name="Финансовый 2 2 3 2 3 7 3" xfId="30402" xr:uid="{00000000-0005-0000-0000-0000B42F0000}"/>
    <cellStyle name="Финансовый 2 2 3 2 3 8" xfId="9042" xr:uid="{00000000-0005-0000-0000-0000B52F0000}"/>
    <cellStyle name="Финансовый 2 2 3 2 3 8 2" xfId="21020" xr:uid="{00000000-0005-0000-0000-0000B62F0000}"/>
    <cellStyle name="Финансовый 2 2 3 2 3 8 2 2" xfId="44975" xr:uid="{00000000-0005-0000-0000-0000B72F0000}"/>
    <cellStyle name="Финансовый 2 2 3 2 3 8 3" xfId="32997" xr:uid="{00000000-0005-0000-0000-0000B82F0000}"/>
    <cellStyle name="Финансовый 2 2 3 2 3 9" xfId="12388" xr:uid="{00000000-0005-0000-0000-0000B92F0000}"/>
    <cellStyle name="Финансовый 2 2 3 2 3 9 2" xfId="36343" xr:uid="{00000000-0005-0000-0000-0000BA2F0000}"/>
    <cellStyle name="Финансовый 2 2 3 2 4" xfId="1469" xr:uid="{00000000-0005-0000-0000-0000BB2F0000}"/>
    <cellStyle name="Финансовый 2 2 3 2 4 2" xfId="1930" xr:uid="{00000000-0005-0000-0000-0000BC2F0000}"/>
    <cellStyle name="Финансовый 2 2 3 2 4 2 2" xfId="3575" xr:uid="{00000000-0005-0000-0000-0000BD2F0000}"/>
    <cellStyle name="Финансовый 2 2 3 2 4 2 2 2" xfId="11315" xr:uid="{00000000-0005-0000-0000-0000BE2F0000}"/>
    <cellStyle name="Финансовый 2 2 3 2 4 2 2 2 2" xfId="23293" xr:uid="{00000000-0005-0000-0000-0000BF2F0000}"/>
    <cellStyle name="Финансовый 2 2 3 2 4 2 2 2 2 2" xfId="47248" xr:uid="{00000000-0005-0000-0000-0000C02F0000}"/>
    <cellStyle name="Финансовый 2 2 3 2 4 2 2 2 3" xfId="35270" xr:uid="{00000000-0005-0000-0000-0000C12F0000}"/>
    <cellStyle name="Финансовый 2 2 3 2 4 2 2 3" xfId="15554" xr:uid="{00000000-0005-0000-0000-0000C22F0000}"/>
    <cellStyle name="Финансовый 2 2 3 2 4 2 2 3 2" xfId="39509" xr:uid="{00000000-0005-0000-0000-0000C32F0000}"/>
    <cellStyle name="Финансовый 2 2 3 2 4 2 2 4" xfId="27532" xr:uid="{00000000-0005-0000-0000-0000C42F0000}"/>
    <cellStyle name="Финансовый 2 2 3 2 4 2 2 5" xfId="50801" xr:uid="{00000000-0005-0000-0000-0000C52F0000}"/>
    <cellStyle name="Финансовый 2 2 3 2 4 2 3" xfId="5358" xr:uid="{00000000-0005-0000-0000-0000C62F0000}"/>
    <cellStyle name="Финансовый 2 2 3 2 4 2 3 2" xfId="17336" xr:uid="{00000000-0005-0000-0000-0000C72F0000}"/>
    <cellStyle name="Финансовый 2 2 3 2 4 2 3 2 2" xfId="41291" xr:uid="{00000000-0005-0000-0000-0000C82F0000}"/>
    <cellStyle name="Финансовый 2 2 3 2 4 2 3 3" xfId="29313" xr:uid="{00000000-0005-0000-0000-0000C92F0000}"/>
    <cellStyle name="Финансовый 2 2 3 2 4 2 4" xfId="7968" xr:uid="{00000000-0005-0000-0000-0000CA2F0000}"/>
    <cellStyle name="Финансовый 2 2 3 2 4 2 4 2" xfId="19946" xr:uid="{00000000-0005-0000-0000-0000CB2F0000}"/>
    <cellStyle name="Финансовый 2 2 3 2 4 2 4 2 2" xfId="43901" xr:uid="{00000000-0005-0000-0000-0000CC2F0000}"/>
    <cellStyle name="Финансовый 2 2 3 2 4 2 4 3" xfId="31923" xr:uid="{00000000-0005-0000-0000-0000CD2F0000}"/>
    <cellStyle name="Финансовый 2 2 3 2 4 2 5" xfId="9751" xr:uid="{00000000-0005-0000-0000-0000CE2F0000}"/>
    <cellStyle name="Финансовый 2 2 3 2 4 2 5 2" xfId="21729" xr:uid="{00000000-0005-0000-0000-0000CF2F0000}"/>
    <cellStyle name="Финансовый 2 2 3 2 4 2 5 2 2" xfId="45684" xr:uid="{00000000-0005-0000-0000-0000D02F0000}"/>
    <cellStyle name="Финансовый 2 2 3 2 4 2 5 3" xfId="33706" xr:uid="{00000000-0005-0000-0000-0000D12F0000}"/>
    <cellStyle name="Финансовый 2 2 3 2 4 2 6" xfId="13909" xr:uid="{00000000-0005-0000-0000-0000D22F0000}"/>
    <cellStyle name="Финансовый 2 2 3 2 4 2 6 2" xfId="37864" xr:uid="{00000000-0005-0000-0000-0000D32F0000}"/>
    <cellStyle name="Финансовый 2 2 3 2 4 2 7" xfId="25887" xr:uid="{00000000-0005-0000-0000-0000D42F0000}"/>
    <cellStyle name="Финансовый 2 2 3 2 4 2 8" xfId="49020" xr:uid="{00000000-0005-0000-0000-0000D52F0000}"/>
    <cellStyle name="Финансовый 2 2 3 2 4 3" xfId="4897" xr:uid="{00000000-0005-0000-0000-0000D62F0000}"/>
    <cellStyle name="Финансовый 2 2 3 2 4 3 2" xfId="16875" xr:uid="{00000000-0005-0000-0000-0000D72F0000}"/>
    <cellStyle name="Финансовый 2 2 3 2 4 3 2 2" xfId="40830" xr:uid="{00000000-0005-0000-0000-0000D82F0000}"/>
    <cellStyle name="Финансовый 2 2 3 2 4 3 3" xfId="28852" xr:uid="{00000000-0005-0000-0000-0000D92F0000}"/>
    <cellStyle name="Финансовый 2 2 3 2 4 3 4" xfId="50340" xr:uid="{00000000-0005-0000-0000-0000DA2F0000}"/>
    <cellStyle name="Финансовый 2 2 3 2 4 4" xfId="7507" xr:uid="{00000000-0005-0000-0000-0000DB2F0000}"/>
    <cellStyle name="Финансовый 2 2 3 2 4 4 2" xfId="19485" xr:uid="{00000000-0005-0000-0000-0000DC2F0000}"/>
    <cellStyle name="Финансовый 2 2 3 2 4 4 2 2" xfId="43440" xr:uid="{00000000-0005-0000-0000-0000DD2F0000}"/>
    <cellStyle name="Финансовый 2 2 3 2 4 4 3" xfId="31462" xr:uid="{00000000-0005-0000-0000-0000DE2F0000}"/>
    <cellStyle name="Финансовый 2 2 3 2 4 5" xfId="9290" xr:uid="{00000000-0005-0000-0000-0000DF2F0000}"/>
    <cellStyle name="Финансовый 2 2 3 2 4 5 2" xfId="21268" xr:uid="{00000000-0005-0000-0000-0000E02F0000}"/>
    <cellStyle name="Финансовый 2 2 3 2 4 5 2 2" xfId="45223" xr:uid="{00000000-0005-0000-0000-0000E12F0000}"/>
    <cellStyle name="Финансовый 2 2 3 2 4 5 3" xfId="33245" xr:uid="{00000000-0005-0000-0000-0000E22F0000}"/>
    <cellStyle name="Финансовый 2 2 3 2 4 6" xfId="13448" xr:uid="{00000000-0005-0000-0000-0000E32F0000}"/>
    <cellStyle name="Финансовый 2 2 3 2 4 6 2" xfId="37403" xr:uid="{00000000-0005-0000-0000-0000E42F0000}"/>
    <cellStyle name="Финансовый 2 2 3 2 4 7" xfId="25426" xr:uid="{00000000-0005-0000-0000-0000E52F0000}"/>
    <cellStyle name="Финансовый 2 2 3 2 4 8" xfId="48559" xr:uid="{00000000-0005-0000-0000-0000E62F0000}"/>
    <cellStyle name="Финансовый 2 2 3 2 5" xfId="1806" xr:uid="{00000000-0005-0000-0000-0000E72F0000}"/>
    <cellStyle name="Финансовый 2 2 3 2 5 2" xfId="3451" xr:uid="{00000000-0005-0000-0000-0000E82F0000}"/>
    <cellStyle name="Финансовый 2 2 3 2 5 2 2" xfId="11199" xr:uid="{00000000-0005-0000-0000-0000E92F0000}"/>
    <cellStyle name="Финансовый 2 2 3 2 5 2 2 2" xfId="23177" xr:uid="{00000000-0005-0000-0000-0000EA2F0000}"/>
    <cellStyle name="Финансовый 2 2 3 2 5 2 2 2 2" xfId="47132" xr:uid="{00000000-0005-0000-0000-0000EB2F0000}"/>
    <cellStyle name="Финансовый 2 2 3 2 5 2 2 3" xfId="35154" xr:uid="{00000000-0005-0000-0000-0000EC2F0000}"/>
    <cellStyle name="Финансовый 2 2 3 2 5 2 3" xfId="15430" xr:uid="{00000000-0005-0000-0000-0000ED2F0000}"/>
    <cellStyle name="Финансовый 2 2 3 2 5 2 3 2" xfId="39385" xr:uid="{00000000-0005-0000-0000-0000EE2F0000}"/>
    <cellStyle name="Финансовый 2 2 3 2 5 2 4" xfId="27408" xr:uid="{00000000-0005-0000-0000-0000EF2F0000}"/>
    <cellStyle name="Финансовый 2 2 3 2 5 2 5" xfId="50677" xr:uid="{00000000-0005-0000-0000-0000F02F0000}"/>
    <cellStyle name="Финансовый 2 2 3 2 5 3" xfId="5234" xr:uid="{00000000-0005-0000-0000-0000F12F0000}"/>
    <cellStyle name="Финансовый 2 2 3 2 5 3 2" xfId="17212" xr:uid="{00000000-0005-0000-0000-0000F22F0000}"/>
    <cellStyle name="Финансовый 2 2 3 2 5 3 2 2" xfId="41167" xr:uid="{00000000-0005-0000-0000-0000F32F0000}"/>
    <cellStyle name="Финансовый 2 2 3 2 5 3 3" xfId="29189" xr:uid="{00000000-0005-0000-0000-0000F42F0000}"/>
    <cellStyle name="Финансовый 2 2 3 2 5 4" xfId="7844" xr:uid="{00000000-0005-0000-0000-0000F52F0000}"/>
    <cellStyle name="Финансовый 2 2 3 2 5 4 2" xfId="19822" xr:uid="{00000000-0005-0000-0000-0000F62F0000}"/>
    <cellStyle name="Финансовый 2 2 3 2 5 4 2 2" xfId="43777" xr:uid="{00000000-0005-0000-0000-0000F72F0000}"/>
    <cellStyle name="Финансовый 2 2 3 2 5 4 3" xfId="31799" xr:uid="{00000000-0005-0000-0000-0000F82F0000}"/>
    <cellStyle name="Финансовый 2 2 3 2 5 5" xfId="9627" xr:uid="{00000000-0005-0000-0000-0000F92F0000}"/>
    <cellStyle name="Финансовый 2 2 3 2 5 5 2" xfId="21605" xr:uid="{00000000-0005-0000-0000-0000FA2F0000}"/>
    <cellStyle name="Финансовый 2 2 3 2 5 5 2 2" xfId="45560" xr:uid="{00000000-0005-0000-0000-0000FB2F0000}"/>
    <cellStyle name="Финансовый 2 2 3 2 5 5 3" xfId="33582" xr:uid="{00000000-0005-0000-0000-0000FC2F0000}"/>
    <cellStyle name="Финансовый 2 2 3 2 5 6" xfId="13785" xr:uid="{00000000-0005-0000-0000-0000FD2F0000}"/>
    <cellStyle name="Финансовый 2 2 3 2 5 6 2" xfId="37740" xr:uid="{00000000-0005-0000-0000-0000FE2F0000}"/>
    <cellStyle name="Финансовый 2 2 3 2 5 7" xfId="25763" xr:uid="{00000000-0005-0000-0000-0000FF2F0000}"/>
    <cellStyle name="Финансовый 2 2 3 2 5 8" xfId="48896" xr:uid="{00000000-0005-0000-0000-000000300000}"/>
    <cellStyle name="Финансовый 2 2 3 2 6" xfId="2451" xr:uid="{00000000-0005-0000-0000-000001300000}"/>
    <cellStyle name="Финансовый 2 2 3 2 6 2" xfId="4096" xr:uid="{00000000-0005-0000-0000-000002300000}"/>
    <cellStyle name="Финансовый 2 2 3 2 6 2 2" xfId="11828" xr:uid="{00000000-0005-0000-0000-000003300000}"/>
    <cellStyle name="Финансовый 2 2 3 2 6 2 2 2" xfId="23806" xr:uid="{00000000-0005-0000-0000-000004300000}"/>
    <cellStyle name="Финансовый 2 2 3 2 6 2 2 2 2" xfId="47761" xr:uid="{00000000-0005-0000-0000-000005300000}"/>
    <cellStyle name="Финансовый 2 2 3 2 6 2 2 3" xfId="35783" xr:uid="{00000000-0005-0000-0000-000006300000}"/>
    <cellStyle name="Финансовый 2 2 3 2 6 2 3" xfId="16075" xr:uid="{00000000-0005-0000-0000-000007300000}"/>
    <cellStyle name="Финансовый 2 2 3 2 6 2 3 2" xfId="40030" xr:uid="{00000000-0005-0000-0000-000008300000}"/>
    <cellStyle name="Финансовый 2 2 3 2 6 2 4" xfId="28053" xr:uid="{00000000-0005-0000-0000-000009300000}"/>
    <cellStyle name="Финансовый 2 2 3 2 6 2 5" xfId="51322" xr:uid="{00000000-0005-0000-0000-00000A300000}"/>
    <cellStyle name="Финансовый 2 2 3 2 6 3" xfId="5879" xr:uid="{00000000-0005-0000-0000-00000B300000}"/>
    <cellStyle name="Финансовый 2 2 3 2 6 3 2" xfId="17857" xr:uid="{00000000-0005-0000-0000-00000C300000}"/>
    <cellStyle name="Финансовый 2 2 3 2 6 3 2 2" xfId="41812" xr:uid="{00000000-0005-0000-0000-00000D300000}"/>
    <cellStyle name="Финансовый 2 2 3 2 6 3 3" xfId="29834" xr:uid="{00000000-0005-0000-0000-00000E300000}"/>
    <cellStyle name="Финансовый 2 2 3 2 6 4" xfId="8489" xr:uid="{00000000-0005-0000-0000-00000F300000}"/>
    <cellStyle name="Финансовый 2 2 3 2 6 4 2" xfId="20467" xr:uid="{00000000-0005-0000-0000-000010300000}"/>
    <cellStyle name="Финансовый 2 2 3 2 6 4 2 2" xfId="44422" xr:uid="{00000000-0005-0000-0000-000011300000}"/>
    <cellStyle name="Финансовый 2 2 3 2 6 4 3" xfId="32444" xr:uid="{00000000-0005-0000-0000-000012300000}"/>
    <cellStyle name="Финансовый 2 2 3 2 6 5" xfId="10272" xr:uid="{00000000-0005-0000-0000-000013300000}"/>
    <cellStyle name="Финансовый 2 2 3 2 6 5 2" xfId="22250" xr:uid="{00000000-0005-0000-0000-000014300000}"/>
    <cellStyle name="Финансовый 2 2 3 2 6 5 2 2" xfId="46205" xr:uid="{00000000-0005-0000-0000-000015300000}"/>
    <cellStyle name="Финансовый 2 2 3 2 6 5 3" xfId="34227" xr:uid="{00000000-0005-0000-0000-000016300000}"/>
    <cellStyle name="Финансовый 2 2 3 2 6 6" xfId="14430" xr:uid="{00000000-0005-0000-0000-000017300000}"/>
    <cellStyle name="Финансовый 2 2 3 2 6 6 2" xfId="38385" xr:uid="{00000000-0005-0000-0000-000018300000}"/>
    <cellStyle name="Финансовый 2 2 3 2 6 7" xfId="26408" xr:uid="{00000000-0005-0000-0000-000019300000}"/>
    <cellStyle name="Финансовый 2 2 3 2 6 8" xfId="49541" xr:uid="{00000000-0005-0000-0000-00001A300000}"/>
    <cellStyle name="Финансовый 2 2 3 2 7" xfId="1678" xr:uid="{00000000-0005-0000-0000-00001B300000}"/>
    <cellStyle name="Финансовый 2 2 3 2 7 2" xfId="3323" xr:uid="{00000000-0005-0000-0000-00001C300000}"/>
    <cellStyle name="Финансовый 2 2 3 2 7 2 2" xfId="11071" xr:uid="{00000000-0005-0000-0000-00001D300000}"/>
    <cellStyle name="Финансовый 2 2 3 2 7 2 2 2" xfId="23049" xr:uid="{00000000-0005-0000-0000-00001E300000}"/>
    <cellStyle name="Финансовый 2 2 3 2 7 2 2 2 2" xfId="47004" xr:uid="{00000000-0005-0000-0000-00001F300000}"/>
    <cellStyle name="Финансовый 2 2 3 2 7 2 2 3" xfId="35026" xr:uid="{00000000-0005-0000-0000-000020300000}"/>
    <cellStyle name="Финансовый 2 2 3 2 7 2 3" xfId="15302" xr:uid="{00000000-0005-0000-0000-000021300000}"/>
    <cellStyle name="Финансовый 2 2 3 2 7 2 3 2" xfId="39257" xr:uid="{00000000-0005-0000-0000-000022300000}"/>
    <cellStyle name="Финансовый 2 2 3 2 7 2 4" xfId="27280" xr:uid="{00000000-0005-0000-0000-000023300000}"/>
    <cellStyle name="Финансовый 2 2 3 2 7 2 5" xfId="50549" xr:uid="{00000000-0005-0000-0000-000024300000}"/>
    <cellStyle name="Финансовый 2 2 3 2 7 3" xfId="5106" xr:uid="{00000000-0005-0000-0000-000025300000}"/>
    <cellStyle name="Финансовый 2 2 3 2 7 3 2" xfId="17084" xr:uid="{00000000-0005-0000-0000-000026300000}"/>
    <cellStyle name="Финансовый 2 2 3 2 7 3 2 2" xfId="41039" xr:uid="{00000000-0005-0000-0000-000027300000}"/>
    <cellStyle name="Финансовый 2 2 3 2 7 3 3" xfId="29061" xr:uid="{00000000-0005-0000-0000-000028300000}"/>
    <cellStyle name="Финансовый 2 2 3 2 7 4" xfId="7716" xr:uid="{00000000-0005-0000-0000-000029300000}"/>
    <cellStyle name="Финансовый 2 2 3 2 7 4 2" xfId="19694" xr:uid="{00000000-0005-0000-0000-00002A300000}"/>
    <cellStyle name="Финансовый 2 2 3 2 7 4 2 2" xfId="43649" xr:uid="{00000000-0005-0000-0000-00002B300000}"/>
    <cellStyle name="Финансовый 2 2 3 2 7 4 3" xfId="31671" xr:uid="{00000000-0005-0000-0000-00002C300000}"/>
    <cellStyle name="Финансовый 2 2 3 2 7 5" xfId="9499" xr:uid="{00000000-0005-0000-0000-00002D300000}"/>
    <cellStyle name="Финансовый 2 2 3 2 7 5 2" xfId="21477" xr:uid="{00000000-0005-0000-0000-00002E300000}"/>
    <cellStyle name="Финансовый 2 2 3 2 7 5 2 2" xfId="45432" xr:uid="{00000000-0005-0000-0000-00002F300000}"/>
    <cellStyle name="Финансовый 2 2 3 2 7 5 3" xfId="33454" xr:uid="{00000000-0005-0000-0000-000030300000}"/>
    <cellStyle name="Финансовый 2 2 3 2 7 6" xfId="13657" xr:uid="{00000000-0005-0000-0000-000031300000}"/>
    <cellStyle name="Финансовый 2 2 3 2 7 6 2" xfId="37612" xr:uid="{00000000-0005-0000-0000-000032300000}"/>
    <cellStyle name="Финансовый 2 2 3 2 7 7" xfId="25635" xr:uid="{00000000-0005-0000-0000-000033300000}"/>
    <cellStyle name="Финансовый 2 2 3 2 7 8" xfId="48768" xr:uid="{00000000-0005-0000-0000-000034300000}"/>
    <cellStyle name="Финансовый 2 2 3 2 8" xfId="955" xr:uid="{00000000-0005-0000-0000-000035300000}"/>
    <cellStyle name="Финансовый 2 2 3 2 8 2" xfId="6995" xr:uid="{00000000-0005-0000-0000-000036300000}"/>
    <cellStyle name="Финансовый 2 2 3 2 8 2 2" xfId="18973" xr:uid="{00000000-0005-0000-0000-000037300000}"/>
    <cellStyle name="Финансовый 2 2 3 2 8 2 2 2" xfId="42928" xr:uid="{00000000-0005-0000-0000-000038300000}"/>
    <cellStyle name="Финансовый 2 2 3 2 8 2 3" xfId="30950" xr:uid="{00000000-0005-0000-0000-000039300000}"/>
    <cellStyle name="Финансовый 2 2 3 2 8 3" xfId="10543" xr:uid="{00000000-0005-0000-0000-00003A300000}"/>
    <cellStyle name="Финансовый 2 2 3 2 8 3 2" xfId="22521" xr:uid="{00000000-0005-0000-0000-00003B300000}"/>
    <cellStyle name="Финансовый 2 2 3 2 8 3 2 2" xfId="46476" xr:uid="{00000000-0005-0000-0000-00003C300000}"/>
    <cellStyle name="Финансовый 2 2 3 2 8 3 3" xfId="34498" xr:uid="{00000000-0005-0000-0000-00003D300000}"/>
    <cellStyle name="Финансовый 2 2 3 2 8 4" xfId="12936" xr:uid="{00000000-0005-0000-0000-00003E300000}"/>
    <cellStyle name="Финансовый 2 2 3 2 8 4 2" xfId="36891" xr:uid="{00000000-0005-0000-0000-00003F300000}"/>
    <cellStyle name="Финансовый 2 2 3 2 8 5" xfId="24914" xr:uid="{00000000-0005-0000-0000-000040300000}"/>
    <cellStyle name="Финансовый 2 2 3 2 8 6" xfId="49820" xr:uid="{00000000-0005-0000-0000-000041300000}"/>
    <cellStyle name="Финансовый 2 2 3 2 9" xfId="543" xr:uid="{00000000-0005-0000-0000-000042300000}"/>
    <cellStyle name="Финансовый 2 2 3 2 9 2" xfId="6583" xr:uid="{00000000-0005-0000-0000-000043300000}"/>
    <cellStyle name="Финансовый 2 2 3 2 9 2 2" xfId="18561" xr:uid="{00000000-0005-0000-0000-000044300000}"/>
    <cellStyle name="Финансовый 2 2 3 2 9 2 2 2" xfId="42516" xr:uid="{00000000-0005-0000-0000-000045300000}"/>
    <cellStyle name="Финансовый 2 2 3 2 9 2 3" xfId="30538" xr:uid="{00000000-0005-0000-0000-000046300000}"/>
    <cellStyle name="Финансовый 2 2 3 2 9 3" xfId="12524" xr:uid="{00000000-0005-0000-0000-000047300000}"/>
    <cellStyle name="Финансовый 2 2 3 2 9 3 2" xfId="36479" xr:uid="{00000000-0005-0000-0000-000048300000}"/>
    <cellStyle name="Финансовый 2 2 3 2 9 4" xfId="24502" xr:uid="{00000000-0005-0000-0000-000049300000}"/>
    <cellStyle name="Финансовый 2 2 3 3" xfId="86" xr:uid="{00000000-0005-0000-0000-00004A300000}"/>
    <cellStyle name="Финансовый 2 2 3 3 10" xfId="2696" xr:uid="{00000000-0005-0000-0000-00004B300000}"/>
    <cellStyle name="Финансовый 2 2 3 3 10 2" xfId="14675" xr:uid="{00000000-0005-0000-0000-00004C300000}"/>
    <cellStyle name="Финансовый 2 2 3 3 10 2 2" xfId="38630" xr:uid="{00000000-0005-0000-0000-00004D300000}"/>
    <cellStyle name="Финансовый 2 2 3 3 10 3" xfId="26653" xr:uid="{00000000-0005-0000-0000-00004E300000}"/>
    <cellStyle name="Финансовый 2 2 3 3 11" xfId="4340" xr:uid="{00000000-0005-0000-0000-00004F300000}"/>
    <cellStyle name="Финансовый 2 2 3 3 11 2" xfId="16319" xr:uid="{00000000-0005-0000-0000-000050300000}"/>
    <cellStyle name="Финансовый 2 2 3 3 11 2 2" xfId="40274" xr:uid="{00000000-0005-0000-0000-000051300000}"/>
    <cellStyle name="Финансовый 2 2 3 3 11 3" xfId="28297" xr:uid="{00000000-0005-0000-0000-000052300000}"/>
    <cellStyle name="Финансовый 2 2 3 3 12" xfId="6127" xr:uid="{00000000-0005-0000-0000-000053300000}"/>
    <cellStyle name="Финансовый 2 2 3 3 12 2" xfId="18105" xr:uid="{00000000-0005-0000-0000-000054300000}"/>
    <cellStyle name="Финансовый 2 2 3 3 12 2 2" xfId="42060" xr:uid="{00000000-0005-0000-0000-000055300000}"/>
    <cellStyle name="Финансовый 2 2 3 3 12 3" xfId="30082" xr:uid="{00000000-0005-0000-0000-000056300000}"/>
    <cellStyle name="Финансовый 2 2 3 3 13" xfId="8734" xr:uid="{00000000-0005-0000-0000-000057300000}"/>
    <cellStyle name="Финансовый 2 2 3 3 13 2" xfId="20712" xr:uid="{00000000-0005-0000-0000-000058300000}"/>
    <cellStyle name="Финансовый 2 2 3 3 13 2 2" xfId="44667" xr:uid="{00000000-0005-0000-0000-000059300000}"/>
    <cellStyle name="Финансовый 2 2 3 3 13 3" xfId="32689" xr:uid="{00000000-0005-0000-0000-00005A300000}"/>
    <cellStyle name="Финансовый 2 2 3 3 14" xfId="12068" xr:uid="{00000000-0005-0000-0000-00005B300000}"/>
    <cellStyle name="Финансовый 2 2 3 3 14 2" xfId="36023" xr:uid="{00000000-0005-0000-0000-00005C300000}"/>
    <cellStyle name="Финансовый 2 2 3 3 15" xfId="24046" xr:uid="{00000000-0005-0000-0000-00005D300000}"/>
    <cellStyle name="Финансовый 2 2 3 3 16" xfId="48004" xr:uid="{00000000-0005-0000-0000-00005E300000}"/>
    <cellStyle name="Финансовый 2 2 3 3 2" xfId="222" xr:uid="{00000000-0005-0000-0000-00005F300000}"/>
    <cellStyle name="Финансовый 2 2 3 3 2 10" xfId="8870" xr:uid="{00000000-0005-0000-0000-000060300000}"/>
    <cellStyle name="Финансовый 2 2 3 3 2 10 2" xfId="20848" xr:uid="{00000000-0005-0000-0000-000061300000}"/>
    <cellStyle name="Финансовый 2 2 3 3 2 10 2 2" xfId="44803" xr:uid="{00000000-0005-0000-0000-000062300000}"/>
    <cellStyle name="Финансовый 2 2 3 3 2 10 3" xfId="32825" xr:uid="{00000000-0005-0000-0000-000063300000}"/>
    <cellStyle name="Финансовый 2 2 3 3 2 11" xfId="12204" xr:uid="{00000000-0005-0000-0000-000064300000}"/>
    <cellStyle name="Финансовый 2 2 3 3 2 11 2" xfId="36159" xr:uid="{00000000-0005-0000-0000-000065300000}"/>
    <cellStyle name="Финансовый 2 2 3 3 2 12" xfId="24182" xr:uid="{00000000-0005-0000-0000-000066300000}"/>
    <cellStyle name="Финансовый 2 2 3 3 2 13" xfId="48140" xr:uid="{00000000-0005-0000-0000-000067300000}"/>
    <cellStyle name="Финансовый 2 2 3 3 2 2" xfId="1320" xr:uid="{00000000-0005-0000-0000-000068300000}"/>
    <cellStyle name="Финансовый 2 2 3 3 2 2 2" xfId="2278" xr:uid="{00000000-0005-0000-0000-000069300000}"/>
    <cellStyle name="Финансовый 2 2 3 3 2 2 2 2" xfId="3923" xr:uid="{00000000-0005-0000-0000-00006A300000}"/>
    <cellStyle name="Финансовый 2 2 3 3 2 2 2 2 2" xfId="11663" xr:uid="{00000000-0005-0000-0000-00006B300000}"/>
    <cellStyle name="Финансовый 2 2 3 3 2 2 2 2 2 2" xfId="23641" xr:uid="{00000000-0005-0000-0000-00006C300000}"/>
    <cellStyle name="Финансовый 2 2 3 3 2 2 2 2 2 2 2" xfId="47596" xr:uid="{00000000-0005-0000-0000-00006D300000}"/>
    <cellStyle name="Финансовый 2 2 3 3 2 2 2 2 2 3" xfId="35618" xr:uid="{00000000-0005-0000-0000-00006E300000}"/>
    <cellStyle name="Финансовый 2 2 3 3 2 2 2 2 3" xfId="15902" xr:uid="{00000000-0005-0000-0000-00006F300000}"/>
    <cellStyle name="Финансовый 2 2 3 3 2 2 2 2 3 2" xfId="39857" xr:uid="{00000000-0005-0000-0000-000070300000}"/>
    <cellStyle name="Финансовый 2 2 3 3 2 2 2 2 4" xfId="27880" xr:uid="{00000000-0005-0000-0000-000071300000}"/>
    <cellStyle name="Финансовый 2 2 3 3 2 2 2 2 5" xfId="51149" xr:uid="{00000000-0005-0000-0000-000072300000}"/>
    <cellStyle name="Финансовый 2 2 3 3 2 2 2 3" xfId="5706" xr:uid="{00000000-0005-0000-0000-000073300000}"/>
    <cellStyle name="Финансовый 2 2 3 3 2 2 2 3 2" xfId="17684" xr:uid="{00000000-0005-0000-0000-000074300000}"/>
    <cellStyle name="Финансовый 2 2 3 3 2 2 2 3 2 2" xfId="41639" xr:uid="{00000000-0005-0000-0000-000075300000}"/>
    <cellStyle name="Финансовый 2 2 3 3 2 2 2 3 3" xfId="29661" xr:uid="{00000000-0005-0000-0000-000076300000}"/>
    <cellStyle name="Финансовый 2 2 3 3 2 2 2 4" xfId="8316" xr:uid="{00000000-0005-0000-0000-000077300000}"/>
    <cellStyle name="Финансовый 2 2 3 3 2 2 2 4 2" xfId="20294" xr:uid="{00000000-0005-0000-0000-000078300000}"/>
    <cellStyle name="Финансовый 2 2 3 3 2 2 2 4 2 2" xfId="44249" xr:uid="{00000000-0005-0000-0000-000079300000}"/>
    <cellStyle name="Финансовый 2 2 3 3 2 2 2 4 3" xfId="32271" xr:uid="{00000000-0005-0000-0000-00007A300000}"/>
    <cellStyle name="Финансовый 2 2 3 3 2 2 2 5" xfId="10099" xr:uid="{00000000-0005-0000-0000-00007B300000}"/>
    <cellStyle name="Финансовый 2 2 3 3 2 2 2 5 2" xfId="22077" xr:uid="{00000000-0005-0000-0000-00007C300000}"/>
    <cellStyle name="Финансовый 2 2 3 3 2 2 2 5 2 2" xfId="46032" xr:uid="{00000000-0005-0000-0000-00007D300000}"/>
    <cellStyle name="Финансовый 2 2 3 3 2 2 2 5 3" xfId="34054" xr:uid="{00000000-0005-0000-0000-00007E300000}"/>
    <cellStyle name="Финансовый 2 2 3 3 2 2 2 6" xfId="14257" xr:uid="{00000000-0005-0000-0000-00007F300000}"/>
    <cellStyle name="Финансовый 2 2 3 3 2 2 2 6 2" xfId="38212" xr:uid="{00000000-0005-0000-0000-000080300000}"/>
    <cellStyle name="Финансовый 2 2 3 3 2 2 2 7" xfId="26235" xr:uid="{00000000-0005-0000-0000-000081300000}"/>
    <cellStyle name="Финансовый 2 2 3 3 2 2 2 8" xfId="49368" xr:uid="{00000000-0005-0000-0000-000082300000}"/>
    <cellStyle name="Финансовый 2 2 3 3 2 2 3" xfId="3104" xr:uid="{00000000-0005-0000-0000-000083300000}"/>
    <cellStyle name="Финансовый 2 2 3 3 2 2 3 2" xfId="10891" xr:uid="{00000000-0005-0000-0000-000084300000}"/>
    <cellStyle name="Финансовый 2 2 3 3 2 2 3 2 2" xfId="22869" xr:uid="{00000000-0005-0000-0000-000085300000}"/>
    <cellStyle name="Финансовый 2 2 3 3 2 2 3 2 2 2" xfId="46824" xr:uid="{00000000-0005-0000-0000-000086300000}"/>
    <cellStyle name="Финансовый 2 2 3 3 2 2 3 2 3" xfId="34846" xr:uid="{00000000-0005-0000-0000-000087300000}"/>
    <cellStyle name="Финансовый 2 2 3 3 2 2 3 3" xfId="15083" xr:uid="{00000000-0005-0000-0000-000088300000}"/>
    <cellStyle name="Финансовый 2 2 3 3 2 2 3 3 2" xfId="39038" xr:uid="{00000000-0005-0000-0000-000089300000}"/>
    <cellStyle name="Финансовый 2 2 3 3 2 2 3 4" xfId="27061" xr:uid="{00000000-0005-0000-0000-00008A300000}"/>
    <cellStyle name="Финансовый 2 2 3 3 2 2 3 5" xfId="50192" xr:uid="{00000000-0005-0000-0000-00008B300000}"/>
    <cellStyle name="Финансовый 2 2 3 3 2 2 4" xfId="4748" xr:uid="{00000000-0005-0000-0000-00008C300000}"/>
    <cellStyle name="Финансовый 2 2 3 3 2 2 4 2" xfId="16727" xr:uid="{00000000-0005-0000-0000-00008D300000}"/>
    <cellStyle name="Финансовый 2 2 3 3 2 2 4 2 2" xfId="40682" xr:uid="{00000000-0005-0000-0000-00008E300000}"/>
    <cellStyle name="Финансовый 2 2 3 3 2 2 4 3" xfId="28705" xr:uid="{00000000-0005-0000-0000-00008F300000}"/>
    <cellStyle name="Финансовый 2 2 3 3 2 2 5" xfId="7360" xr:uid="{00000000-0005-0000-0000-000090300000}"/>
    <cellStyle name="Финансовый 2 2 3 3 2 2 5 2" xfId="19338" xr:uid="{00000000-0005-0000-0000-000091300000}"/>
    <cellStyle name="Финансовый 2 2 3 3 2 2 5 2 2" xfId="43293" xr:uid="{00000000-0005-0000-0000-000092300000}"/>
    <cellStyle name="Финансовый 2 2 3 3 2 2 5 3" xfId="31315" xr:uid="{00000000-0005-0000-0000-000093300000}"/>
    <cellStyle name="Финансовый 2 2 3 3 2 2 6" xfId="9142" xr:uid="{00000000-0005-0000-0000-000094300000}"/>
    <cellStyle name="Финансовый 2 2 3 3 2 2 6 2" xfId="21120" xr:uid="{00000000-0005-0000-0000-000095300000}"/>
    <cellStyle name="Финансовый 2 2 3 3 2 2 6 2 2" xfId="45075" xr:uid="{00000000-0005-0000-0000-000096300000}"/>
    <cellStyle name="Финансовый 2 2 3 3 2 2 6 3" xfId="33097" xr:uid="{00000000-0005-0000-0000-000097300000}"/>
    <cellStyle name="Финансовый 2 2 3 3 2 2 7" xfId="13301" xr:uid="{00000000-0005-0000-0000-000098300000}"/>
    <cellStyle name="Финансовый 2 2 3 3 2 2 7 2" xfId="37256" xr:uid="{00000000-0005-0000-0000-000099300000}"/>
    <cellStyle name="Финансовый 2 2 3 3 2 2 8" xfId="25279" xr:uid="{00000000-0005-0000-0000-00009A300000}"/>
    <cellStyle name="Финансовый 2 2 3 3 2 2 9" xfId="48412" xr:uid="{00000000-0005-0000-0000-00009B300000}"/>
    <cellStyle name="Финансовый 2 2 3 3 2 3" xfId="2022" xr:uid="{00000000-0005-0000-0000-00009C300000}"/>
    <cellStyle name="Финансовый 2 2 3 3 2 3 2" xfId="3667" xr:uid="{00000000-0005-0000-0000-00009D300000}"/>
    <cellStyle name="Финансовый 2 2 3 3 2 3 2 2" xfId="11407" xr:uid="{00000000-0005-0000-0000-00009E300000}"/>
    <cellStyle name="Финансовый 2 2 3 3 2 3 2 2 2" xfId="23385" xr:uid="{00000000-0005-0000-0000-00009F300000}"/>
    <cellStyle name="Финансовый 2 2 3 3 2 3 2 2 2 2" xfId="47340" xr:uid="{00000000-0005-0000-0000-0000A0300000}"/>
    <cellStyle name="Финансовый 2 2 3 3 2 3 2 2 3" xfId="35362" xr:uid="{00000000-0005-0000-0000-0000A1300000}"/>
    <cellStyle name="Финансовый 2 2 3 3 2 3 2 3" xfId="15646" xr:uid="{00000000-0005-0000-0000-0000A2300000}"/>
    <cellStyle name="Финансовый 2 2 3 3 2 3 2 3 2" xfId="39601" xr:uid="{00000000-0005-0000-0000-0000A3300000}"/>
    <cellStyle name="Финансовый 2 2 3 3 2 3 2 4" xfId="27624" xr:uid="{00000000-0005-0000-0000-0000A4300000}"/>
    <cellStyle name="Финансовый 2 2 3 3 2 3 2 5" xfId="50893" xr:uid="{00000000-0005-0000-0000-0000A5300000}"/>
    <cellStyle name="Финансовый 2 2 3 3 2 3 3" xfId="5450" xr:uid="{00000000-0005-0000-0000-0000A6300000}"/>
    <cellStyle name="Финансовый 2 2 3 3 2 3 3 2" xfId="17428" xr:uid="{00000000-0005-0000-0000-0000A7300000}"/>
    <cellStyle name="Финансовый 2 2 3 3 2 3 3 2 2" xfId="41383" xr:uid="{00000000-0005-0000-0000-0000A8300000}"/>
    <cellStyle name="Финансовый 2 2 3 3 2 3 3 3" xfId="29405" xr:uid="{00000000-0005-0000-0000-0000A9300000}"/>
    <cellStyle name="Финансовый 2 2 3 3 2 3 4" xfId="8060" xr:uid="{00000000-0005-0000-0000-0000AA300000}"/>
    <cellStyle name="Финансовый 2 2 3 3 2 3 4 2" xfId="20038" xr:uid="{00000000-0005-0000-0000-0000AB300000}"/>
    <cellStyle name="Финансовый 2 2 3 3 2 3 4 2 2" xfId="43993" xr:uid="{00000000-0005-0000-0000-0000AC300000}"/>
    <cellStyle name="Финансовый 2 2 3 3 2 3 4 3" xfId="32015" xr:uid="{00000000-0005-0000-0000-0000AD300000}"/>
    <cellStyle name="Финансовый 2 2 3 3 2 3 5" xfId="9843" xr:uid="{00000000-0005-0000-0000-0000AE300000}"/>
    <cellStyle name="Финансовый 2 2 3 3 2 3 5 2" xfId="21821" xr:uid="{00000000-0005-0000-0000-0000AF300000}"/>
    <cellStyle name="Финансовый 2 2 3 3 2 3 5 2 2" xfId="45776" xr:uid="{00000000-0005-0000-0000-0000B0300000}"/>
    <cellStyle name="Финансовый 2 2 3 3 2 3 5 3" xfId="33798" xr:uid="{00000000-0005-0000-0000-0000B1300000}"/>
    <cellStyle name="Финансовый 2 2 3 3 2 3 6" xfId="14001" xr:uid="{00000000-0005-0000-0000-0000B2300000}"/>
    <cellStyle name="Финансовый 2 2 3 3 2 3 6 2" xfId="37956" xr:uid="{00000000-0005-0000-0000-0000B3300000}"/>
    <cellStyle name="Финансовый 2 2 3 3 2 3 7" xfId="25979" xr:uid="{00000000-0005-0000-0000-0000B4300000}"/>
    <cellStyle name="Финансовый 2 2 3 3 2 3 8" xfId="49112" xr:uid="{00000000-0005-0000-0000-0000B5300000}"/>
    <cellStyle name="Финансовый 2 2 3 3 2 4" xfId="2551" xr:uid="{00000000-0005-0000-0000-0000B6300000}"/>
    <cellStyle name="Финансовый 2 2 3 3 2 4 2" xfId="4196" xr:uid="{00000000-0005-0000-0000-0000B7300000}"/>
    <cellStyle name="Финансовый 2 2 3 3 2 4 2 2" xfId="11920" xr:uid="{00000000-0005-0000-0000-0000B8300000}"/>
    <cellStyle name="Финансовый 2 2 3 3 2 4 2 2 2" xfId="23898" xr:uid="{00000000-0005-0000-0000-0000B9300000}"/>
    <cellStyle name="Финансовый 2 2 3 3 2 4 2 2 2 2" xfId="47853" xr:uid="{00000000-0005-0000-0000-0000BA300000}"/>
    <cellStyle name="Финансовый 2 2 3 3 2 4 2 2 3" xfId="35875" xr:uid="{00000000-0005-0000-0000-0000BB300000}"/>
    <cellStyle name="Финансовый 2 2 3 3 2 4 2 3" xfId="16175" xr:uid="{00000000-0005-0000-0000-0000BC300000}"/>
    <cellStyle name="Финансовый 2 2 3 3 2 4 2 3 2" xfId="40130" xr:uid="{00000000-0005-0000-0000-0000BD300000}"/>
    <cellStyle name="Финансовый 2 2 3 3 2 4 2 4" xfId="28153" xr:uid="{00000000-0005-0000-0000-0000BE300000}"/>
    <cellStyle name="Финансовый 2 2 3 3 2 4 2 5" xfId="51422" xr:uid="{00000000-0005-0000-0000-0000BF300000}"/>
    <cellStyle name="Финансовый 2 2 3 3 2 4 3" xfId="5979" xr:uid="{00000000-0005-0000-0000-0000C0300000}"/>
    <cellStyle name="Финансовый 2 2 3 3 2 4 3 2" xfId="17957" xr:uid="{00000000-0005-0000-0000-0000C1300000}"/>
    <cellStyle name="Финансовый 2 2 3 3 2 4 3 2 2" xfId="41912" xr:uid="{00000000-0005-0000-0000-0000C2300000}"/>
    <cellStyle name="Финансовый 2 2 3 3 2 4 3 3" xfId="29934" xr:uid="{00000000-0005-0000-0000-0000C3300000}"/>
    <cellStyle name="Финансовый 2 2 3 3 2 4 4" xfId="8589" xr:uid="{00000000-0005-0000-0000-0000C4300000}"/>
    <cellStyle name="Финансовый 2 2 3 3 2 4 4 2" xfId="20567" xr:uid="{00000000-0005-0000-0000-0000C5300000}"/>
    <cellStyle name="Финансовый 2 2 3 3 2 4 4 2 2" xfId="44522" xr:uid="{00000000-0005-0000-0000-0000C6300000}"/>
    <cellStyle name="Финансовый 2 2 3 3 2 4 4 3" xfId="32544" xr:uid="{00000000-0005-0000-0000-0000C7300000}"/>
    <cellStyle name="Финансовый 2 2 3 3 2 4 5" xfId="10372" xr:uid="{00000000-0005-0000-0000-0000C8300000}"/>
    <cellStyle name="Финансовый 2 2 3 3 2 4 5 2" xfId="22350" xr:uid="{00000000-0005-0000-0000-0000C9300000}"/>
    <cellStyle name="Финансовый 2 2 3 3 2 4 5 2 2" xfId="46305" xr:uid="{00000000-0005-0000-0000-0000CA300000}"/>
    <cellStyle name="Финансовый 2 2 3 3 2 4 5 3" xfId="34327" xr:uid="{00000000-0005-0000-0000-0000CB300000}"/>
    <cellStyle name="Финансовый 2 2 3 3 2 4 6" xfId="14530" xr:uid="{00000000-0005-0000-0000-0000CC300000}"/>
    <cellStyle name="Финансовый 2 2 3 3 2 4 6 2" xfId="38485" xr:uid="{00000000-0005-0000-0000-0000CD300000}"/>
    <cellStyle name="Финансовый 2 2 3 3 2 4 7" xfId="26508" xr:uid="{00000000-0005-0000-0000-0000CE300000}"/>
    <cellStyle name="Финансовый 2 2 3 3 2 4 8" xfId="49641" xr:uid="{00000000-0005-0000-0000-0000CF300000}"/>
    <cellStyle name="Финансовый 2 2 3 3 2 5" xfId="1055" xr:uid="{00000000-0005-0000-0000-0000D0300000}"/>
    <cellStyle name="Финансовый 2 2 3 3 2 5 2" xfId="7095" xr:uid="{00000000-0005-0000-0000-0000D1300000}"/>
    <cellStyle name="Финансовый 2 2 3 3 2 5 2 2" xfId="19073" xr:uid="{00000000-0005-0000-0000-0000D2300000}"/>
    <cellStyle name="Финансовый 2 2 3 3 2 5 2 2 2" xfId="43028" xr:uid="{00000000-0005-0000-0000-0000D3300000}"/>
    <cellStyle name="Финансовый 2 2 3 3 2 5 2 3" xfId="31050" xr:uid="{00000000-0005-0000-0000-0000D4300000}"/>
    <cellStyle name="Финансовый 2 2 3 3 2 5 3" xfId="10635" xr:uid="{00000000-0005-0000-0000-0000D5300000}"/>
    <cellStyle name="Финансовый 2 2 3 3 2 5 3 2" xfId="22613" xr:uid="{00000000-0005-0000-0000-0000D6300000}"/>
    <cellStyle name="Финансовый 2 2 3 3 2 5 3 2 2" xfId="46568" xr:uid="{00000000-0005-0000-0000-0000D7300000}"/>
    <cellStyle name="Финансовый 2 2 3 3 2 5 3 3" xfId="34590" xr:uid="{00000000-0005-0000-0000-0000D8300000}"/>
    <cellStyle name="Финансовый 2 2 3 3 2 5 4" xfId="13036" xr:uid="{00000000-0005-0000-0000-0000D9300000}"/>
    <cellStyle name="Финансовый 2 2 3 3 2 5 4 2" xfId="36991" xr:uid="{00000000-0005-0000-0000-0000DA300000}"/>
    <cellStyle name="Финансовый 2 2 3 3 2 5 5" xfId="25014" xr:uid="{00000000-0005-0000-0000-0000DB300000}"/>
    <cellStyle name="Финансовый 2 2 3 3 2 5 6" xfId="49920" xr:uid="{00000000-0005-0000-0000-0000DC300000}"/>
    <cellStyle name="Финансовый 2 2 3 3 2 6" xfId="643" xr:uid="{00000000-0005-0000-0000-0000DD300000}"/>
    <cellStyle name="Финансовый 2 2 3 3 2 6 2" xfId="6683" xr:uid="{00000000-0005-0000-0000-0000DE300000}"/>
    <cellStyle name="Финансовый 2 2 3 3 2 6 2 2" xfId="18661" xr:uid="{00000000-0005-0000-0000-0000DF300000}"/>
    <cellStyle name="Финансовый 2 2 3 3 2 6 2 2 2" xfId="42616" xr:uid="{00000000-0005-0000-0000-0000E0300000}"/>
    <cellStyle name="Финансовый 2 2 3 3 2 6 2 3" xfId="30638" xr:uid="{00000000-0005-0000-0000-0000E1300000}"/>
    <cellStyle name="Финансовый 2 2 3 3 2 6 3" xfId="12624" xr:uid="{00000000-0005-0000-0000-0000E2300000}"/>
    <cellStyle name="Финансовый 2 2 3 3 2 6 3 2" xfId="36579" xr:uid="{00000000-0005-0000-0000-0000E3300000}"/>
    <cellStyle name="Финансовый 2 2 3 3 2 6 4" xfId="24602" xr:uid="{00000000-0005-0000-0000-0000E4300000}"/>
    <cellStyle name="Финансовый 2 2 3 3 2 7" xfId="2832" xr:uid="{00000000-0005-0000-0000-0000E5300000}"/>
    <cellStyle name="Финансовый 2 2 3 3 2 7 2" xfId="14811" xr:uid="{00000000-0005-0000-0000-0000E6300000}"/>
    <cellStyle name="Финансовый 2 2 3 3 2 7 2 2" xfId="38766" xr:uid="{00000000-0005-0000-0000-0000E7300000}"/>
    <cellStyle name="Финансовый 2 2 3 3 2 7 3" xfId="26789" xr:uid="{00000000-0005-0000-0000-0000E8300000}"/>
    <cellStyle name="Финансовый 2 2 3 3 2 8" xfId="4476" xr:uid="{00000000-0005-0000-0000-0000E9300000}"/>
    <cellStyle name="Финансовый 2 2 3 3 2 8 2" xfId="16455" xr:uid="{00000000-0005-0000-0000-0000EA300000}"/>
    <cellStyle name="Финансовый 2 2 3 3 2 8 2 2" xfId="40410" xr:uid="{00000000-0005-0000-0000-0000EB300000}"/>
    <cellStyle name="Финансовый 2 2 3 3 2 8 3" xfId="28433" xr:uid="{00000000-0005-0000-0000-0000EC300000}"/>
    <cellStyle name="Финансовый 2 2 3 3 2 9" xfId="6263" xr:uid="{00000000-0005-0000-0000-0000ED300000}"/>
    <cellStyle name="Финансовый 2 2 3 3 2 9 2" xfId="18241" xr:uid="{00000000-0005-0000-0000-0000EE300000}"/>
    <cellStyle name="Финансовый 2 2 3 3 2 9 2 2" xfId="42196" xr:uid="{00000000-0005-0000-0000-0000EF300000}"/>
    <cellStyle name="Финансовый 2 2 3 3 2 9 3" xfId="30218" xr:uid="{00000000-0005-0000-0000-0000F0300000}"/>
    <cellStyle name="Финансовый 2 2 3 3 3" xfId="371" xr:uid="{00000000-0005-0000-0000-0000F1300000}"/>
    <cellStyle name="Финансовый 2 2 3 3 3 10" xfId="24330" xr:uid="{00000000-0005-0000-0000-0000F2300000}"/>
    <cellStyle name="Финансовый 2 2 3 3 3 11" xfId="48276" xr:uid="{00000000-0005-0000-0000-0000F3300000}"/>
    <cellStyle name="Финансовый 2 2 3 3 3 2" xfId="2150" xr:uid="{00000000-0005-0000-0000-0000F4300000}"/>
    <cellStyle name="Финансовый 2 2 3 3 3 2 2" xfId="3795" xr:uid="{00000000-0005-0000-0000-0000F5300000}"/>
    <cellStyle name="Финансовый 2 2 3 3 3 2 2 2" xfId="11535" xr:uid="{00000000-0005-0000-0000-0000F6300000}"/>
    <cellStyle name="Финансовый 2 2 3 3 3 2 2 2 2" xfId="23513" xr:uid="{00000000-0005-0000-0000-0000F7300000}"/>
    <cellStyle name="Финансовый 2 2 3 3 3 2 2 2 2 2" xfId="47468" xr:uid="{00000000-0005-0000-0000-0000F8300000}"/>
    <cellStyle name="Финансовый 2 2 3 3 3 2 2 2 3" xfId="35490" xr:uid="{00000000-0005-0000-0000-0000F9300000}"/>
    <cellStyle name="Финансовый 2 2 3 3 3 2 2 3" xfId="15774" xr:uid="{00000000-0005-0000-0000-0000FA300000}"/>
    <cellStyle name="Финансовый 2 2 3 3 3 2 2 3 2" xfId="39729" xr:uid="{00000000-0005-0000-0000-0000FB300000}"/>
    <cellStyle name="Финансовый 2 2 3 3 3 2 2 4" xfId="27752" xr:uid="{00000000-0005-0000-0000-0000FC300000}"/>
    <cellStyle name="Финансовый 2 2 3 3 3 2 2 5" xfId="51021" xr:uid="{00000000-0005-0000-0000-0000FD300000}"/>
    <cellStyle name="Финансовый 2 2 3 3 3 2 3" xfId="5578" xr:uid="{00000000-0005-0000-0000-0000FE300000}"/>
    <cellStyle name="Финансовый 2 2 3 3 3 2 3 2" xfId="17556" xr:uid="{00000000-0005-0000-0000-0000FF300000}"/>
    <cellStyle name="Финансовый 2 2 3 3 3 2 3 2 2" xfId="41511" xr:uid="{00000000-0005-0000-0000-000000310000}"/>
    <cellStyle name="Финансовый 2 2 3 3 3 2 3 3" xfId="29533" xr:uid="{00000000-0005-0000-0000-000001310000}"/>
    <cellStyle name="Финансовый 2 2 3 3 3 2 4" xfId="8188" xr:uid="{00000000-0005-0000-0000-000002310000}"/>
    <cellStyle name="Финансовый 2 2 3 3 3 2 4 2" xfId="20166" xr:uid="{00000000-0005-0000-0000-000003310000}"/>
    <cellStyle name="Финансовый 2 2 3 3 3 2 4 2 2" xfId="44121" xr:uid="{00000000-0005-0000-0000-000004310000}"/>
    <cellStyle name="Финансовый 2 2 3 3 3 2 4 3" xfId="32143" xr:uid="{00000000-0005-0000-0000-000005310000}"/>
    <cellStyle name="Финансовый 2 2 3 3 3 2 5" xfId="9971" xr:uid="{00000000-0005-0000-0000-000006310000}"/>
    <cellStyle name="Финансовый 2 2 3 3 3 2 5 2" xfId="21949" xr:uid="{00000000-0005-0000-0000-000007310000}"/>
    <cellStyle name="Финансовый 2 2 3 3 3 2 5 2 2" xfId="45904" xr:uid="{00000000-0005-0000-0000-000008310000}"/>
    <cellStyle name="Финансовый 2 2 3 3 3 2 5 3" xfId="33926" xr:uid="{00000000-0005-0000-0000-000009310000}"/>
    <cellStyle name="Финансовый 2 2 3 3 3 2 6" xfId="14129" xr:uid="{00000000-0005-0000-0000-00000A310000}"/>
    <cellStyle name="Финансовый 2 2 3 3 3 2 6 2" xfId="38084" xr:uid="{00000000-0005-0000-0000-00000B310000}"/>
    <cellStyle name="Финансовый 2 2 3 3 3 2 7" xfId="26107" xr:uid="{00000000-0005-0000-0000-00000C310000}"/>
    <cellStyle name="Финансовый 2 2 3 3 3 2 8" xfId="49240" xr:uid="{00000000-0005-0000-0000-00000D310000}"/>
    <cellStyle name="Финансовый 2 2 3 3 3 3" xfId="1184" xr:uid="{00000000-0005-0000-0000-00000E310000}"/>
    <cellStyle name="Финансовый 2 2 3 3 3 3 2" xfId="7224" xr:uid="{00000000-0005-0000-0000-00000F310000}"/>
    <cellStyle name="Финансовый 2 2 3 3 3 3 2 2" xfId="19202" xr:uid="{00000000-0005-0000-0000-000010310000}"/>
    <cellStyle name="Финансовый 2 2 3 3 3 3 2 2 2" xfId="43157" xr:uid="{00000000-0005-0000-0000-000011310000}"/>
    <cellStyle name="Финансовый 2 2 3 3 3 3 2 3" xfId="31179" xr:uid="{00000000-0005-0000-0000-000012310000}"/>
    <cellStyle name="Финансовый 2 2 3 3 3 3 3" xfId="10763" xr:uid="{00000000-0005-0000-0000-000013310000}"/>
    <cellStyle name="Финансовый 2 2 3 3 3 3 3 2" xfId="22741" xr:uid="{00000000-0005-0000-0000-000014310000}"/>
    <cellStyle name="Финансовый 2 2 3 3 3 3 3 2 2" xfId="46696" xr:uid="{00000000-0005-0000-0000-000015310000}"/>
    <cellStyle name="Финансовый 2 2 3 3 3 3 3 3" xfId="34718" xr:uid="{00000000-0005-0000-0000-000016310000}"/>
    <cellStyle name="Финансовый 2 2 3 3 3 3 4" xfId="13165" xr:uid="{00000000-0005-0000-0000-000017310000}"/>
    <cellStyle name="Финансовый 2 2 3 3 3 3 4 2" xfId="37120" xr:uid="{00000000-0005-0000-0000-000018310000}"/>
    <cellStyle name="Финансовый 2 2 3 3 3 3 5" xfId="25143" xr:uid="{00000000-0005-0000-0000-000019310000}"/>
    <cellStyle name="Финансовый 2 2 3 3 3 3 6" xfId="50056" xr:uid="{00000000-0005-0000-0000-00001A310000}"/>
    <cellStyle name="Финансовый 2 2 3 3 3 4" xfId="791" xr:uid="{00000000-0005-0000-0000-00001B310000}"/>
    <cellStyle name="Финансовый 2 2 3 3 3 4 2" xfId="6831" xr:uid="{00000000-0005-0000-0000-00001C310000}"/>
    <cellStyle name="Финансовый 2 2 3 3 3 4 2 2" xfId="18809" xr:uid="{00000000-0005-0000-0000-00001D310000}"/>
    <cellStyle name="Финансовый 2 2 3 3 3 4 2 2 2" xfId="42764" xr:uid="{00000000-0005-0000-0000-00001E310000}"/>
    <cellStyle name="Финансовый 2 2 3 3 3 4 2 3" xfId="30786" xr:uid="{00000000-0005-0000-0000-00001F310000}"/>
    <cellStyle name="Финансовый 2 2 3 3 3 4 3" xfId="12772" xr:uid="{00000000-0005-0000-0000-000020310000}"/>
    <cellStyle name="Финансовый 2 2 3 3 3 4 3 2" xfId="36727" xr:uid="{00000000-0005-0000-0000-000021310000}"/>
    <cellStyle name="Финансовый 2 2 3 3 3 4 4" xfId="24750" xr:uid="{00000000-0005-0000-0000-000022310000}"/>
    <cellStyle name="Финансовый 2 2 3 3 3 5" xfId="2968" xr:uid="{00000000-0005-0000-0000-000023310000}"/>
    <cellStyle name="Финансовый 2 2 3 3 3 5 2" xfId="14947" xr:uid="{00000000-0005-0000-0000-000024310000}"/>
    <cellStyle name="Финансовый 2 2 3 3 3 5 2 2" xfId="38902" xr:uid="{00000000-0005-0000-0000-000025310000}"/>
    <cellStyle name="Финансовый 2 2 3 3 3 5 3" xfId="26925" xr:uid="{00000000-0005-0000-0000-000026310000}"/>
    <cellStyle name="Финансовый 2 2 3 3 3 6" xfId="4612" xr:uid="{00000000-0005-0000-0000-000027310000}"/>
    <cellStyle name="Финансовый 2 2 3 3 3 6 2" xfId="16591" xr:uid="{00000000-0005-0000-0000-000028310000}"/>
    <cellStyle name="Финансовый 2 2 3 3 3 6 2 2" xfId="40546" xr:uid="{00000000-0005-0000-0000-000029310000}"/>
    <cellStyle name="Финансовый 2 2 3 3 3 6 3" xfId="28569" xr:uid="{00000000-0005-0000-0000-00002A310000}"/>
    <cellStyle name="Финансовый 2 2 3 3 3 7" xfId="6411" xr:uid="{00000000-0005-0000-0000-00002B310000}"/>
    <cellStyle name="Финансовый 2 2 3 3 3 7 2" xfId="18389" xr:uid="{00000000-0005-0000-0000-00002C310000}"/>
    <cellStyle name="Финансовый 2 2 3 3 3 7 2 2" xfId="42344" xr:uid="{00000000-0005-0000-0000-00002D310000}"/>
    <cellStyle name="Финансовый 2 2 3 3 3 7 3" xfId="30366" xr:uid="{00000000-0005-0000-0000-00002E310000}"/>
    <cellStyle name="Финансовый 2 2 3 3 3 8" xfId="9006" xr:uid="{00000000-0005-0000-0000-00002F310000}"/>
    <cellStyle name="Финансовый 2 2 3 3 3 8 2" xfId="20984" xr:uid="{00000000-0005-0000-0000-000030310000}"/>
    <cellStyle name="Финансовый 2 2 3 3 3 8 2 2" xfId="44939" xr:uid="{00000000-0005-0000-0000-000031310000}"/>
    <cellStyle name="Финансовый 2 2 3 3 3 8 3" xfId="32961" xr:uid="{00000000-0005-0000-0000-000032310000}"/>
    <cellStyle name="Финансовый 2 2 3 3 3 9" xfId="12352" xr:uid="{00000000-0005-0000-0000-000033310000}"/>
    <cellStyle name="Финансовый 2 2 3 3 3 9 2" xfId="36307" xr:uid="{00000000-0005-0000-0000-000034310000}"/>
    <cellStyle name="Финансовый 2 2 3 3 4" xfId="1470" xr:uid="{00000000-0005-0000-0000-000035310000}"/>
    <cellStyle name="Финансовый 2 2 3 3 4 2" xfId="1894" xr:uid="{00000000-0005-0000-0000-000036310000}"/>
    <cellStyle name="Финансовый 2 2 3 3 4 2 2" xfId="3539" xr:uid="{00000000-0005-0000-0000-000037310000}"/>
    <cellStyle name="Финансовый 2 2 3 3 4 2 2 2" xfId="11279" xr:uid="{00000000-0005-0000-0000-000038310000}"/>
    <cellStyle name="Финансовый 2 2 3 3 4 2 2 2 2" xfId="23257" xr:uid="{00000000-0005-0000-0000-000039310000}"/>
    <cellStyle name="Финансовый 2 2 3 3 4 2 2 2 2 2" xfId="47212" xr:uid="{00000000-0005-0000-0000-00003A310000}"/>
    <cellStyle name="Финансовый 2 2 3 3 4 2 2 2 3" xfId="35234" xr:uid="{00000000-0005-0000-0000-00003B310000}"/>
    <cellStyle name="Финансовый 2 2 3 3 4 2 2 3" xfId="15518" xr:uid="{00000000-0005-0000-0000-00003C310000}"/>
    <cellStyle name="Финансовый 2 2 3 3 4 2 2 3 2" xfId="39473" xr:uid="{00000000-0005-0000-0000-00003D310000}"/>
    <cellStyle name="Финансовый 2 2 3 3 4 2 2 4" xfId="27496" xr:uid="{00000000-0005-0000-0000-00003E310000}"/>
    <cellStyle name="Финансовый 2 2 3 3 4 2 2 5" xfId="50765" xr:uid="{00000000-0005-0000-0000-00003F310000}"/>
    <cellStyle name="Финансовый 2 2 3 3 4 2 3" xfId="5322" xr:uid="{00000000-0005-0000-0000-000040310000}"/>
    <cellStyle name="Финансовый 2 2 3 3 4 2 3 2" xfId="17300" xr:uid="{00000000-0005-0000-0000-000041310000}"/>
    <cellStyle name="Финансовый 2 2 3 3 4 2 3 2 2" xfId="41255" xr:uid="{00000000-0005-0000-0000-000042310000}"/>
    <cellStyle name="Финансовый 2 2 3 3 4 2 3 3" xfId="29277" xr:uid="{00000000-0005-0000-0000-000043310000}"/>
    <cellStyle name="Финансовый 2 2 3 3 4 2 4" xfId="7932" xr:uid="{00000000-0005-0000-0000-000044310000}"/>
    <cellStyle name="Финансовый 2 2 3 3 4 2 4 2" xfId="19910" xr:uid="{00000000-0005-0000-0000-000045310000}"/>
    <cellStyle name="Финансовый 2 2 3 3 4 2 4 2 2" xfId="43865" xr:uid="{00000000-0005-0000-0000-000046310000}"/>
    <cellStyle name="Финансовый 2 2 3 3 4 2 4 3" xfId="31887" xr:uid="{00000000-0005-0000-0000-000047310000}"/>
    <cellStyle name="Финансовый 2 2 3 3 4 2 5" xfId="9715" xr:uid="{00000000-0005-0000-0000-000048310000}"/>
    <cellStyle name="Финансовый 2 2 3 3 4 2 5 2" xfId="21693" xr:uid="{00000000-0005-0000-0000-000049310000}"/>
    <cellStyle name="Финансовый 2 2 3 3 4 2 5 2 2" xfId="45648" xr:uid="{00000000-0005-0000-0000-00004A310000}"/>
    <cellStyle name="Финансовый 2 2 3 3 4 2 5 3" xfId="33670" xr:uid="{00000000-0005-0000-0000-00004B310000}"/>
    <cellStyle name="Финансовый 2 2 3 3 4 2 6" xfId="13873" xr:uid="{00000000-0005-0000-0000-00004C310000}"/>
    <cellStyle name="Финансовый 2 2 3 3 4 2 6 2" xfId="37828" xr:uid="{00000000-0005-0000-0000-00004D310000}"/>
    <cellStyle name="Финансовый 2 2 3 3 4 2 7" xfId="25851" xr:uid="{00000000-0005-0000-0000-00004E310000}"/>
    <cellStyle name="Финансовый 2 2 3 3 4 2 8" xfId="48984" xr:uid="{00000000-0005-0000-0000-00004F310000}"/>
    <cellStyle name="Финансовый 2 2 3 3 4 3" xfId="4898" xr:uid="{00000000-0005-0000-0000-000050310000}"/>
    <cellStyle name="Финансовый 2 2 3 3 4 3 2" xfId="16876" xr:uid="{00000000-0005-0000-0000-000051310000}"/>
    <cellStyle name="Финансовый 2 2 3 3 4 3 2 2" xfId="40831" xr:uid="{00000000-0005-0000-0000-000052310000}"/>
    <cellStyle name="Финансовый 2 2 3 3 4 3 3" xfId="28853" xr:uid="{00000000-0005-0000-0000-000053310000}"/>
    <cellStyle name="Финансовый 2 2 3 3 4 3 4" xfId="50341" xr:uid="{00000000-0005-0000-0000-000054310000}"/>
    <cellStyle name="Финансовый 2 2 3 3 4 4" xfId="7508" xr:uid="{00000000-0005-0000-0000-000055310000}"/>
    <cellStyle name="Финансовый 2 2 3 3 4 4 2" xfId="19486" xr:uid="{00000000-0005-0000-0000-000056310000}"/>
    <cellStyle name="Финансовый 2 2 3 3 4 4 2 2" xfId="43441" xr:uid="{00000000-0005-0000-0000-000057310000}"/>
    <cellStyle name="Финансовый 2 2 3 3 4 4 3" xfId="31463" xr:uid="{00000000-0005-0000-0000-000058310000}"/>
    <cellStyle name="Финансовый 2 2 3 3 4 5" xfId="9291" xr:uid="{00000000-0005-0000-0000-000059310000}"/>
    <cellStyle name="Финансовый 2 2 3 3 4 5 2" xfId="21269" xr:uid="{00000000-0005-0000-0000-00005A310000}"/>
    <cellStyle name="Финансовый 2 2 3 3 4 5 2 2" xfId="45224" xr:uid="{00000000-0005-0000-0000-00005B310000}"/>
    <cellStyle name="Финансовый 2 2 3 3 4 5 3" xfId="33246" xr:uid="{00000000-0005-0000-0000-00005C310000}"/>
    <cellStyle name="Финансовый 2 2 3 3 4 6" xfId="13449" xr:uid="{00000000-0005-0000-0000-00005D310000}"/>
    <cellStyle name="Финансовый 2 2 3 3 4 6 2" xfId="37404" xr:uid="{00000000-0005-0000-0000-00005E310000}"/>
    <cellStyle name="Финансовый 2 2 3 3 4 7" xfId="25427" xr:uid="{00000000-0005-0000-0000-00005F310000}"/>
    <cellStyle name="Финансовый 2 2 3 3 4 8" xfId="48560" xr:uid="{00000000-0005-0000-0000-000060310000}"/>
    <cellStyle name="Финансовый 2 2 3 3 5" xfId="1770" xr:uid="{00000000-0005-0000-0000-000061310000}"/>
    <cellStyle name="Финансовый 2 2 3 3 5 2" xfId="3415" xr:uid="{00000000-0005-0000-0000-000062310000}"/>
    <cellStyle name="Финансовый 2 2 3 3 5 2 2" xfId="11163" xr:uid="{00000000-0005-0000-0000-000063310000}"/>
    <cellStyle name="Финансовый 2 2 3 3 5 2 2 2" xfId="23141" xr:uid="{00000000-0005-0000-0000-000064310000}"/>
    <cellStyle name="Финансовый 2 2 3 3 5 2 2 2 2" xfId="47096" xr:uid="{00000000-0005-0000-0000-000065310000}"/>
    <cellStyle name="Финансовый 2 2 3 3 5 2 2 3" xfId="35118" xr:uid="{00000000-0005-0000-0000-000066310000}"/>
    <cellStyle name="Финансовый 2 2 3 3 5 2 3" xfId="15394" xr:uid="{00000000-0005-0000-0000-000067310000}"/>
    <cellStyle name="Финансовый 2 2 3 3 5 2 3 2" xfId="39349" xr:uid="{00000000-0005-0000-0000-000068310000}"/>
    <cellStyle name="Финансовый 2 2 3 3 5 2 4" xfId="27372" xr:uid="{00000000-0005-0000-0000-000069310000}"/>
    <cellStyle name="Финансовый 2 2 3 3 5 2 5" xfId="50641" xr:uid="{00000000-0005-0000-0000-00006A310000}"/>
    <cellStyle name="Финансовый 2 2 3 3 5 3" xfId="5198" xr:uid="{00000000-0005-0000-0000-00006B310000}"/>
    <cellStyle name="Финансовый 2 2 3 3 5 3 2" xfId="17176" xr:uid="{00000000-0005-0000-0000-00006C310000}"/>
    <cellStyle name="Финансовый 2 2 3 3 5 3 2 2" xfId="41131" xr:uid="{00000000-0005-0000-0000-00006D310000}"/>
    <cellStyle name="Финансовый 2 2 3 3 5 3 3" xfId="29153" xr:uid="{00000000-0005-0000-0000-00006E310000}"/>
    <cellStyle name="Финансовый 2 2 3 3 5 4" xfId="7808" xr:uid="{00000000-0005-0000-0000-00006F310000}"/>
    <cellStyle name="Финансовый 2 2 3 3 5 4 2" xfId="19786" xr:uid="{00000000-0005-0000-0000-000070310000}"/>
    <cellStyle name="Финансовый 2 2 3 3 5 4 2 2" xfId="43741" xr:uid="{00000000-0005-0000-0000-000071310000}"/>
    <cellStyle name="Финансовый 2 2 3 3 5 4 3" xfId="31763" xr:uid="{00000000-0005-0000-0000-000072310000}"/>
    <cellStyle name="Финансовый 2 2 3 3 5 5" xfId="9591" xr:uid="{00000000-0005-0000-0000-000073310000}"/>
    <cellStyle name="Финансовый 2 2 3 3 5 5 2" xfId="21569" xr:uid="{00000000-0005-0000-0000-000074310000}"/>
    <cellStyle name="Финансовый 2 2 3 3 5 5 2 2" xfId="45524" xr:uid="{00000000-0005-0000-0000-000075310000}"/>
    <cellStyle name="Финансовый 2 2 3 3 5 5 3" xfId="33546" xr:uid="{00000000-0005-0000-0000-000076310000}"/>
    <cellStyle name="Финансовый 2 2 3 3 5 6" xfId="13749" xr:uid="{00000000-0005-0000-0000-000077310000}"/>
    <cellStyle name="Финансовый 2 2 3 3 5 6 2" xfId="37704" xr:uid="{00000000-0005-0000-0000-000078310000}"/>
    <cellStyle name="Финансовый 2 2 3 3 5 7" xfId="25727" xr:uid="{00000000-0005-0000-0000-000079310000}"/>
    <cellStyle name="Финансовый 2 2 3 3 5 8" xfId="48860" xr:uid="{00000000-0005-0000-0000-00007A310000}"/>
    <cellStyle name="Финансовый 2 2 3 3 6" xfId="2415" xr:uid="{00000000-0005-0000-0000-00007B310000}"/>
    <cellStyle name="Финансовый 2 2 3 3 6 2" xfId="4060" xr:uid="{00000000-0005-0000-0000-00007C310000}"/>
    <cellStyle name="Финансовый 2 2 3 3 6 2 2" xfId="11792" xr:uid="{00000000-0005-0000-0000-00007D310000}"/>
    <cellStyle name="Финансовый 2 2 3 3 6 2 2 2" xfId="23770" xr:uid="{00000000-0005-0000-0000-00007E310000}"/>
    <cellStyle name="Финансовый 2 2 3 3 6 2 2 2 2" xfId="47725" xr:uid="{00000000-0005-0000-0000-00007F310000}"/>
    <cellStyle name="Финансовый 2 2 3 3 6 2 2 3" xfId="35747" xr:uid="{00000000-0005-0000-0000-000080310000}"/>
    <cellStyle name="Финансовый 2 2 3 3 6 2 3" xfId="16039" xr:uid="{00000000-0005-0000-0000-000081310000}"/>
    <cellStyle name="Финансовый 2 2 3 3 6 2 3 2" xfId="39994" xr:uid="{00000000-0005-0000-0000-000082310000}"/>
    <cellStyle name="Финансовый 2 2 3 3 6 2 4" xfId="28017" xr:uid="{00000000-0005-0000-0000-000083310000}"/>
    <cellStyle name="Финансовый 2 2 3 3 6 2 5" xfId="51286" xr:uid="{00000000-0005-0000-0000-000084310000}"/>
    <cellStyle name="Финансовый 2 2 3 3 6 3" xfId="5843" xr:uid="{00000000-0005-0000-0000-000085310000}"/>
    <cellStyle name="Финансовый 2 2 3 3 6 3 2" xfId="17821" xr:uid="{00000000-0005-0000-0000-000086310000}"/>
    <cellStyle name="Финансовый 2 2 3 3 6 3 2 2" xfId="41776" xr:uid="{00000000-0005-0000-0000-000087310000}"/>
    <cellStyle name="Финансовый 2 2 3 3 6 3 3" xfId="29798" xr:uid="{00000000-0005-0000-0000-000088310000}"/>
    <cellStyle name="Финансовый 2 2 3 3 6 4" xfId="8453" xr:uid="{00000000-0005-0000-0000-000089310000}"/>
    <cellStyle name="Финансовый 2 2 3 3 6 4 2" xfId="20431" xr:uid="{00000000-0005-0000-0000-00008A310000}"/>
    <cellStyle name="Финансовый 2 2 3 3 6 4 2 2" xfId="44386" xr:uid="{00000000-0005-0000-0000-00008B310000}"/>
    <cellStyle name="Финансовый 2 2 3 3 6 4 3" xfId="32408" xr:uid="{00000000-0005-0000-0000-00008C310000}"/>
    <cellStyle name="Финансовый 2 2 3 3 6 5" xfId="10236" xr:uid="{00000000-0005-0000-0000-00008D310000}"/>
    <cellStyle name="Финансовый 2 2 3 3 6 5 2" xfId="22214" xr:uid="{00000000-0005-0000-0000-00008E310000}"/>
    <cellStyle name="Финансовый 2 2 3 3 6 5 2 2" xfId="46169" xr:uid="{00000000-0005-0000-0000-00008F310000}"/>
    <cellStyle name="Финансовый 2 2 3 3 6 5 3" xfId="34191" xr:uid="{00000000-0005-0000-0000-000090310000}"/>
    <cellStyle name="Финансовый 2 2 3 3 6 6" xfId="14394" xr:uid="{00000000-0005-0000-0000-000091310000}"/>
    <cellStyle name="Финансовый 2 2 3 3 6 6 2" xfId="38349" xr:uid="{00000000-0005-0000-0000-000092310000}"/>
    <cellStyle name="Финансовый 2 2 3 3 6 7" xfId="26372" xr:uid="{00000000-0005-0000-0000-000093310000}"/>
    <cellStyle name="Финансовый 2 2 3 3 6 8" xfId="49505" xr:uid="{00000000-0005-0000-0000-000094310000}"/>
    <cellStyle name="Финансовый 2 2 3 3 7" xfId="1642" xr:uid="{00000000-0005-0000-0000-000095310000}"/>
    <cellStyle name="Финансовый 2 2 3 3 7 2" xfId="3287" xr:uid="{00000000-0005-0000-0000-000096310000}"/>
    <cellStyle name="Финансовый 2 2 3 3 7 2 2" xfId="11035" xr:uid="{00000000-0005-0000-0000-000097310000}"/>
    <cellStyle name="Финансовый 2 2 3 3 7 2 2 2" xfId="23013" xr:uid="{00000000-0005-0000-0000-000098310000}"/>
    <cellStyle name="Финансовый 2 2 3 3 7 2 2 2 2" xfId="46968" xr:uid="{00000000-0005-0000-0000-000099310000}"/>
    <cellStyle name="Финансовый 2 2 3 3 7 2 2 3" xfId="34990" xr:uid="{00000000-0005-0000-0000-00009A310000}"/>
    <cellStyle name="Финансовый 2 2 3 3 7 2 3" xfId="15266" xr:uid="{00000000-0005-0000-0000-00009B310000}"/>
    <cellStyle name="Финансовый 2 2 3 3 7 2 3 2" xfId="39221" xr:uid="{00000000-0005-0000-0000-00009C310000}"/>
    <cellStyle name="Финансовый 2 2 3 3 7 2 4" xfId="27244" xr:uid="{00000000-0005-0000-0000-00009D310000}"/>
    <cellStyle name="Финансовый 2 2 3 3 7 2 5" xfId="50513" xr:uid="{00000000-0005-0000-0000-00009E310000}"/>
    <cellStyle name="Финансовый 2 2 3 3 7 3" xfId="5070" xr:uid="{00000000-0005-0000-0000-00009F310000}"/>
    <cellStyle name="Финансовый 2 2 3 3 7 3 2" xfId="17048" xr:uid="{00000000-0005-0000-0000-0000A0310000}"/>
    <cellStyle name="Финансовый 2 2 3 3 7 3 2 2" xfId="41003" xr:uid="{00000000-0005-0000-0000-0000A1310000}"/>
    <cellStyle name="Финансовый 2 2 3 3 7 3 3" xfId="29025" xr:uid="{00000000-0005-0000-0000-0000A2310000}"/>
    <cellStyle name="Финансовый 2 2 3 3 7 4" xfId="7680" xr:uid="{00000000-0005-0000-0000-0000A3310000}"/>
    <cellStyle name="Финансовый 2 2 3 3 7 4 2" xfId="19658" xr:uid="{00000000-0005-0000-0000-0000A4310000}"/>
    <cellStyle name="Финансовый 2 2 3 3 7 4 2 2" xfId="43613" xr:uid="{00000000-0005-0000-0000-0000A5310000}"/>
    <cellStyle name="Финансовый 2 2 3 3 7 4 3" xfId="31635" xr:uid="{00000000-0005-0000-0000-0000A6310000}"/>
    <cellStyle name="Финансовый 2 2 3 3 7 5" xfId="9463" xr:uid="{00000000-0005-0000-0000-0000A7310000}"/>
    <cellStyle name="Финансовый 2 2 3 3 7 5 2" xfId="21441" xr:uid="{00000000-0005-0000-0000-0000A8310000}"/>
    <cellStyle name="Финансовый 2 2 3 3 7 5 2 2" xfId="45396" xr:uid="{00000000-0005-0000-0000-0000A9310000}"/>
    <cellStyle name="Финансовый 2 2 3 3 7 5 3" xfId="33418" xr:uid="{00000000-0005-0000-0000-0000AA310000}"/>
    <cellStyle name="Финансовый 2 2 3 3 7 6" xfId="13621" xr:uid="{00000000-0005-0000-0000-0000AB310000}"/>
    <cellStyle name="Финансовый 2 2 3 3 7 6 2" xfId="37576" xr:uid="{00000000-0005-0000-0000-0000AC310000}"/>
    <cellStyle name="Финансовый 2 2 3 3 7 7" xfId="25599" xr:uid="{00000000-0005-0000-0000-0000AD310000}"/>
    <cellStyle name="Финансовый 2 2 3 3 7 8" xfId="48732" xr:uid="{00000000-0005-0000-0000-0000AE310000}"/>
    <cellStyle name="Финансовый 2 2 3 3 8" xfId="919" xr:uid="{00000000-0005-0000-0000-0000AF310000}"/>
    <cellStyle name="Финансовый 2 2 3 3 8 2" xfId="6959" xr:uid="{00000000-0005-0000-0000-0000B0310000}"/>
    <cellStyle name="Финансовый 2 2 3 3 8 2 2" xfId="18937" xr:uid="{00000000-0005-0000-0000-0000B1310000}"/>
    <cellStyle name="Финансовый 2 2 3 3 8 2 2 2" xfId="42892" xr:uid="{00000000-0005-0000-0000-0000B2310000}"/>
    <cellStyle name="Финансовый 2 2 3 3 8 2 3" xfId="30914" xr:uid="{00000000-0005-0000-0000-0000B3310000}"/>
    <cellStyle name="Финансовый 2 2 3 3 8 3" xfId="10507" xr:uid="{00000000-0005-0000-0000-0000B4310000}"/>
    <cellStyle name="Финансовый 2 2 3 3 8 3 2" xfId="22485" xr:uid="{00000000-0005-0000-0000-0000B5310000}"/>
    <cellStyle name="Финансовый 2 2 3 3 8 3 2 2" xfId="46440" xr:uid="{00000000-0005-0000-0000-0000B6310000}"/>
    <cellStyle name="Финансовый 2 2 3 3 8 3 3" xfId="34462" xr:uid="{00000000-0005-0000-0000-0000B7310000}"/>
    <cellStyle name="Финансовый 2 2 3 3 8 4" xfId="12900" xr:uid="{00000000-0005-0000-0000-0000B8310000}"/>
    <cellStyle name="Финансовый 2 2 3 3 8 4 2" xfId="36855" xr:uid="{00000000-0005-0000-0000-0000B9310000}"/>
    <cellStyle name="Финансовый 2 2 3 3 8 5" xfId="24878" xr:uid="{00000000-0005-0000-0000-0000BA310000}"/>
    <cellStyle name="Финансовый 2 2 3 3 8 6" xfId="49784" xr:uid="{00000000-0005-0000-0000-0000BB310000}"/>
    <cellStyle name="Финансовый 2 2 3 3 9" xfId="507" xr:uid="{00000000-0005-0000-0000-0000BC310000}"/>
    <cellStyle name="Финансовый 2 2 3 3 9 2" xfId="6547" xr:uid="{00000000-0005-0000-0000-0000BD310000}"/>
    <cellStyle name="Финансовый 2 2 3 3 9 2 2" xfId="18525" xr:uid="{00000000-0005-0000-0000-0000BE310000}"/>
    <cellStyle name="Финансовый 2 2 3 3 9 2 2 2" xfId="42480" xr:uid="{00000000-0005-0000-0000-0000BF310000}"/>
    <cellStyle name="Финансовый 2 2 3 3 9 2 3" xfId="30502" xr:uid="{00000000-0005-0000-0000-0000C0310000}"/>
    <cellStyle name="Финансовый 2 2 3 3 9 3" xfId="12488" xr:uid="{00000000-0005-0000-0000-0000C1310000}"/>
    <cellStyle name="Финансовый 2 2 3 3 9 3 2" xfId="36443" xr:uid="{00000000-0005-0000-0000-0000C2310000}"/>
    <cellStyle name="Финансовый 2 2 3 3 9 4" xfId="24466" xr:uid="{00000000-0005-0000-0000-0000C3310000}"/>
    <cellStyle name="Финансовый 2 2 3 4" xfId="178" xr:uid="{00000000-0005-0000-0000-0000C4310000}"/>
    <cellStyle name="Финансовый 2 2 3 4 10" xfId="8826" xr:uid="{00000000-0005-0000-0000-0000C5310000}"/>
    <cellStyle name="Финансовый 2 2 3 4 10 2" xfId="20804" xr:uid="{00000000-0005-0000-0000-0000C6310000}"/>
    <cellStyle name="Финансовый 2 2 3 4 10 2 2" xfId="44759" xr:uid="{00000000-0005-0000-0000-0000C7310000}"/>
    <cellStyle name="Финансовый 2 2 3 4 10 3" xfId="32781" xr:uid="{00000000-0005-0000-0000-0000C8310000}"/>
    <cellStyle name="Финансовый 2 2 3 4 11" xfId="12160" xr:uid="{00000000-0005-0000-0000-0000C9310000}"/>
    <cellStyle name="Финансовый 2 2 3 4 11 2" xfId="36115" xr:uid="{00000000-0005-0000-0000-0000CA310000}"/>
    <cellStyle name="Финансовый 2 2 3 4 12" xfId="24138" xr:uid="{00000000-0005-0000-0000-0000CB310000}"/>
    <cellStyle name="Финансовый 2 2 3 4 13" xfId="48096" xr:uid="{00000000-0005-0000-0000-0000CC310000}"/>
    <cellStyle name="Финансовый 2 2 3 4 2" xfId="1276" xr:uid="{00000000-0005-0000-0000-0000CD310000}"/>
    <cellStyle name="Финансовый 2 2 3 4 2 2" xfId="2242" xr:uid="{00000000-0005-0000-0000-0000CE310000}"/>
    <cellStyle name="Финансовый 2 2 3 4 2 2 2" xfId="3887" xr:uid="{00000000-0005-0000-0000-0000CF310000}"/>
    <cellStyle name="Финансовый 2 2 3 4 2 2 2 2" xfId="11627" xr:uid="{00000000-0005-0000-0000-0000D0310000}"/>
    <cellStyle name="Финансовый 2 2 3 4 2 2 2 2 2" xfId="23605" xr:uid="{00000000-0005-0000-0000-0000D1310000}"/>
    <cellStyle name="Финансовый 2 2 3 4 2 2 2 2 2 2" xfId="47560" xr:uid="{00000000-0005-0000-0000-0000D2310000}"/>
    <cellStyle name="Финансовый 2 2 3 4 2 2 2 2 3" xfId="35582" xr:uid="{00000000-0005-0000-0000-0000D3310000}"/>
    <cellStyle name="Финансовый 2 2 3 4 2 2 2 3" xfId="15866" xr:uid="{00000000-0005-0000-0000-0000D4310000}"/>
    <cellStyle name="Финансовый 2 2 3 4 2 2 2 3 2" xfId="39821" xr:uid="{00000000-0005-0000-0000-0000D5310000}"/>
    <cellStyle name="Финансовый 2 2 3 4 2 2 2 4" xfId="27844" xr:uid="{00000000-0005-0000-0000-0000D6310000}"/>
    <cellStyle name="Финансовый 2 2 3 4 2 2 2 5" xfId="51113" xr:uid="{00000000-0005-0000-0000-0000D7310000}"/>
    <cellStyle name="Финансовый 2 2 3 4 2 2 3" xfId="5670" xr:uid="{00000000-0005-0000-0000-0000D8310000}"/>
    <cellStyle name="Финансовый 2 2 3 4 2 2 3 2" xfId="17648" xr:uid="{00000000-0005-0000-0000-0000D9310000}"/>
    <cellStyle name="Финансовый 2 2 3 4 2 2 3 2 2" xfId="41603" xr:uid="{00000000-0005-0000-0000-0000DA310000}"/>
    <cellStyle name="Финансовый 2 2 3 4 2 2 3 3" xfId="29625" xr:uid="{00000000-0005-0000-0000-0000DB310000}"/>
    <cellStyle name="Финансовый 2 2 3 4 2 2 4" xfId="8280" xr:uid="{00000000-0005-0000-0000-0000DC310000}"/>
    <cellStyle name="Финансовый 2 2 3 4 2 2 4 2" xfId="20258" xr:uid="{00000000-0005-0000-0000-0000DD310000}"/>
    <cellStyle name="Финансовый 2 2 3 4 2 2 4 2 2" xfId="44213" xr:uid="{00000000-0005-0000-0000-0000DE310000}"/>
    <cellStyle name="Финансовый 2 2 3 4 2 2 4 3" xfId="32235" xr:uid="{00000000-0005-0000-0000-0000DF310000}"/>
    <cellStyle name="Финансовый 2 2 3 4 2 2 5" xfId="10063" xr:uid="{00000000-0005-0000-0000-0000E0310000}"/>
    <cellStyle name="Финансовый 2 2 3 4 2 2 5 2" xfId="22041" xr:uid="{00000000-0005-0000-0000-0000E1310000}"/>
    <cellStyle name="Финансовый 2 2 3 4 2 2 5 2 2" xfId="45996" xr:uid="{00000000-0005-0000-0000-0000E2310000}"/>
    <cellStyle name="Финансовый 2 2 3 4 2 2 5 3" xfId="34018" xr:uid="{00000000-0005-0000-0000-0000E3310000}"/>
    <cellStyle name="Финансовый 2 2 3 4 2 2 6" xfId="14221" xr:uid="{00000000-0005-0000-0000-0000E4310000}"/>
    <cellStyle name="Финансовый 2 2 3 4 2 2 6 2" xfId="38176" xr:uid="{00000000-0005-0000-0000-0000E5310000}"/>
    <cellStyle name="Финансовый 2 2 3 4 2 2 7" xfId="26199" xr:uid="{00000000-0005-0000-0000-0000E6310000}"/>
    <cellStyle name="Финансовый 2 2 3 4 2 2 8" xfId="49332" xr:uid="{00000000-0005-0000-0000-0000E7310000}"/>
    <cellStyle name="Финансовый 2 2 3 4 2 3" xfId="3060" xr:uid="{00000000-0005-0000-0000-0000E8310000}"/>
    <cellStyle name="Финансовый 2 2 3 4 2 3 2" xfId="10855" xr:uid="{00000000-0005-0000-0000-0000E9310000}"/>
    <cellStyle name="Финансовый 2 2 3 4 2 3 2 2" xfId="22833" xr:uid="{00000000-0005-0000-0000-0000EA310000}"/>
    <cellStyle name="Финансовый 2 2 3 4 2 3 2 2 2" xfId="46788" xr:uid="{00000000-0005-0000-0000-0000EB310000}"/>
    <cellStyle name="Финансовый 2 2 3 4 2 3 2 3" xfId="34810" xr:uid="{00000000-0005-0000-0000-0000EC310000}"/>
    <cellStyle name="Финансовый 2 2 3 4 2 3 3" xfId="15039" xr:uid="{00000000-0005-0000-0000-0000ED310000}"/>
    <cellStyle name="Финансовый 2 2 3 4 2 3 3 2" xfId="38994" xr:uid="{00000000-0005-0000-0000-0000EE310000}"/>
    <cellStyle name="Финансовый 2 2 3 4 2 3 4" xfId="27017" xr:uid="{00000000-0005-0000-0000-0000EF310000}"/>
    <cellStyle name="Финансовый 2 2 3 4 2 3 5" xfId="50148" xr:uid="{00000000-0005-0000-0000-0000F0310000}"/>
    <cellStyle name="Финансовый 2 2 3 4 2 4" xfId="4704" xr:uid="{00000000-0005-0000-0000-0000F1310000}"/>
    <cellStyle name="Финансовый 2 2 3 4 2 4 2" xfId="16683" xr:uid="{00000000-0005-0000-0000-0000F2310000}"/>
    <cellStyle name="Финансовый 2 2 3 4 2 4 2 2" xfId="40638" xr:uid="{00000000-0005-0000-0000-0000F3310000}"/>
    <cellStyle name="Финансовый 2 2 3 4 2 4 3" xfId="28661" xr:uid="{00000000-0005-0000-0000-0000F4310000}"/>
    <cellStyle name="Финансовый 2 2 3 4 2 5" xfId="7316" xr:uid="{00000000-0005-0000-0000-0000F5310000}"/>
    <cellStyle name="Финансовый 2 2 3 4 2 5 2" xfId="19294" xr:uid="{00000000-0005-0000-0000-0000F6310000}"/>
    <cellStyle name="Финансовый 2 2 3 4 2 5 2 2" xfId="43249" xr:uid="{00000000-0005-0000-0000-0000F7310000}"/>
    <cellStyle name="Финансовый 2 2 3 4 2 5 3" xfId="31271" xr:uid="{00000000-0005-0000-0000-0000F8310000}"/>
    <cellStyle name="Финансовый 2 2 3 4 2 6" xfId="9098" xr:uid="{00000000-0005-0000-0000-0000F9310000}"/>
    <cellStyle name="Финансовый 2 2 3 4 2 6 2" xfId="21076" xr:uid="{00000000-0005-0000-0000-0000FA310000}"/>
    <cellStyle name="Финансовый 2 2 3 4 2 6 2 2" xfId="45031" xr:uid="{00000000-0005-0000-0000-0000FB310000}"/>
    <cellStyle name="Финансовый 2 2 3 4 2 6 3" xfId="33053" xr:uid="{00000000-0005-0000-0000-0000FC310000}"/>
    <cellStyle name="Финансовый 2 2 3 4 2 7" xfId="13257" xr:uid="{00000000-0005-0000-0000-0000FD310000}"/>
    <cellStyle name="Финансовый 2 2 3 4 2 7 2" xfId="37212" xr:uid="{00000000-0005-0000-0000-0000FE310000}"/>
    <cellStyle name="Финансовый 2 2 3 4 2 8" xfId="25235" xr:uid="{00000000-0005-0000-0000-0000FF310000}"/>
    <cellStyle name="Финансовый 2 2 3 4 2 9" xfId="48368" xr:uid="{00000000-0005-0000-0000-000000320000}"/>
    <cellStyle name="Финансовый 2 2 3 4 3" xfId="1986" xr:uid="{00000000-0005-0000-0000-000001320000}"/>
    <cellStyle name="Финансовый 2 2 3 4 3 2" xfId="3631" xr:uid="{00000000-0005-0000-0000-000002320000}"/>
    <cellStyle name="Финансовый 2 2 3 4 3 2 2" xfId="11371" xr:uid="{00000000-0005-0000-0000-000003320000}"/>
    <cellStyle name="Финансовый 2 2 3 4 3 2 2 2" xfId="23349" xr:uid="{00000000-0005-0000-0000-000004320000}"/>
    <cellStyle name="Финансовый 2 2 3 4 3 2 2 2 2" xfId="47304" xr:uid="{00000000-0005-0000-0000-000005320000}"/>
    <cellStyle name="Финансовый 2 2 3 4 3 2 2 3" xfId="35326" xr:uid="{00000000-0005-0000-0000-000006320000}"/>
    <cellStyle name="Финансовый 2 2 3 4 3 2 3" xfId="15610" xr:uid="{00000000-0005-0000-0000-000007320000}"/>
    <cellStyle name="Финансовый 2 2 3 4 3 2 3 2" xfId="39565" xr:uid="{00000000-0005-0000-0000-000008320000}"/>
    <cellStyle name="Финансовый 2 2 3 4 3 2 4" xfId="27588" xr:uid="{00000000-0005-0000-0000-000009320000}"/>
    <cellStyle name="Финансовый 2 2 3 4 3 2 5" xfId="50857" xr:uid="{00000000-0005-0000-0000-00000A320000}"/>
    <cellStyle name="Финансовый 2 2 3 4 3 3" xfId="5414" xr:uid="{00000000-0005-0000-0000-00000B320000}"/>
    <cellStyle name="Финансовый 2 2 3 4 3 3 2" xfId="17392" xr:uid="{00000000-0005-0000-0000-00000C320000}"/>
    <cellStyle name="Финансовый 2 2 3 4 3 3 2 2" xfId="41347" xr:uid="{00000000-0005-0000-0000-00000D320000}"/>
    <cellStyle name="Финансовый 2 2 3 4 3 3 3" xfId="29369" xr:uid="{00000000-0005-0000-0000-00000E320000}"/>
    <cellStyle name="Финансовый 2 2 3 4 3 4" xfId="8024" xr:uid="{00000000-0005-0000-0000-00000F320000}"/>
    <cellStyle name="Финансовый 2 2 3 4 3 4 2" xfId="20002" xr:uid="{00000000-0005-0000-0000-000010320000}"/>
    <cellStyle name="Финансовый 2 2 3 4 3 4 2 2" xfId="43957" xr:uid="{00000000-0005-0000-0000-000011320000}"/>
    <cellStyle name="Финансовый 2 2 3 4 3 4 3" xfId="31979" xr:uid="{00000000-0005-0000-0000-000012320000}"/>
    <cellStyle name="Финансовый 2 2 3 4 3 5" xfId="9807" xr:uid="{00000000-0005-0000-0000-000013320000}"/>
    <cellStyle name="Финансовый 2 2 3 4 3 5 2" xfId="21785" xr:uid="{00000000-0005-0000-0000-000014320000}"/>
    <cellStyle name="Финансовый 2 2 3 4 3 5 2 2" xfId="45740" xr:uid="{00000000-0005-0000-0000-000015320000}"/>
    <cellStyle name="Финансовый 2 2 3 4 3 5 3" xfId="33762" xr:uid="{00000000-0005-0000-0000-000016320000}"/>
    <cellStyle name="Финансовый 2 2 3 4 3 6" xfId="13965" xr:uid="{00000000-0005-0000-0000-000017320000}"/>
    <cellStyle name="Финансовый 2 2 3 4 3 6 2" xfId="37920" xr:uid="{00000000-0005-0000-0000-000018320000}"/>
    <cellStyle name="Финансовый 2 2 3 4 3 7" xfId="25943" xr:uid="{00000000-0005-0000-0000-000019320000}"/>
    <cellStyle name="Финансовый 2 2 3 4 3 8" xfId="49076" xr:uid="{00000000-0005-0000-0000-00001A320000}"/>
    <cellStyle name="Финансовый 2 2 3 4 4" xfId="2507" xr:uid="{00000000-0005-0000-0000-00001B320000}"/>
    <cellStyle name="Финансовый 2 2 3 4 4 2" xfId="4152" xr:uid="{00000000-0005-0000-0000-00001C320000}"/>
    <cellStyle name="Финансовый 2 2 3 4 4 2 2" xfId="11884" xr:uid="{00000000-0005-0000-0000-00001D320000}"/>
    <cellStyle name="Финансовый 2 2 3 4 4 2 2 2" xfId="23862" xr:uid="{00000000-0005-0000-0000-00001E320000}"/>
    <cellStyle name="Финансовый 2 2 3 4 4 2 2 2 2" xfId="47817" xr:uid="{00000000-0005-0000-0000-00001F320000}"/>
    <cellStyle name="Финансовый 2 2 3 4 4 2 2 3" xfId="35839" xr:uid="{00000000-0005-0000-0000-000020320000}"/>
    <cellStyle name="Финансовый 2 2 3 4 4 2 3" xfId="16131" xr:uid="{00000000-0005-0000-0000-000021320000}"/>
    <cellStyle name="Финансовый 2 2 3 4 4 2 3 2" xfId="40086" xr:uid="{00000000-0005-0000-0000-000022320000}"/>
    <cellStyle name="Финансовый 2 2 3 4 4 2 4" xfId="28109" xr:uid="{00000000-0005-0000-0000-000023320000}"/>
    <cellStyle name="Финансовый 2 2 3 4 4 2 5" xfId="51378" xr:uid="{00000000-0005-0000-0000-000024320000}"/>
    <cellStyle name="Финансовый 2 2 3 4 4 3" xfId="5935" xr:uid="{00000000-0005-0000-0000-000025320000}"/>
    <cellStyle name="Финансовый 2 2 3 4 4 3 2" xfId="17913" xr:uid="{00000000-0005-0000-0000-000026320000}"/>
    <cellStyle name="Финансовый 2 2 3 4 4 3 2 2" xfId="41868" xr:uid="{00000000-0005-0000-0000-000027320000}"/>
    <cellStyle name="Финансовый 2 2 3 4 4 3 3" xfId="29890" xr:uid="{00000000-0005-0000-0000-000028320000}"/>
    <cellStyle name="Финансовый 2 2 3 4 4 4" xfId="8545" xr:uid="{00000000-0005-0000-0000-000029320000}"/>
    <cellStyle name="Финансовый 2 2 3 4 4 4 2" xfId="20523" xr:uid="{00000000-0005-0000-0000-00002A320000}"/>
    <cellStyle name="Финансовый 2 2 3 4 4 4 2 2" xfId="44478" xr:uid="{00000000-0005-0000-0000-00002B320000}"/>
    <cellStyle name="Финансовый 2 2 3 4 4 4 3" xfId="32500" xr:uid="{00000000-0005-0000-0000-00002C320000}"/>
    <cellStyle name="Финансовый 2 2 3 4 4 5" xfId="10328" xr:uid="{00000000-0005-0000-0000-00002D320000}"/>
    <cellStyle name="Финансовый 2 2 3 4 4 5 2" xfId="22306" xr:uid="{00000000-0005-0000-0000-00002E320000}"/>
    <cellStyle name="Финансовый 2 2 3 4 4 5 2 2" xfId="46261" xr:uid="{00000000-0005-0000-0000-00002F320000}"/>
    <cellStyle name="Финансовый 2 2 3 4 4 5 3" xfId="34283" xr:uid="{00000000-0005-0000-0000-000030320000}"/>
    <cellStyle name="Финансовый 2 2 3 4 4 6" xfId="14486" xr:uid="{00000000-0005-0000-0000-000031320000}"/>
    <cellStyle name="Финансовый 2 2 3 4 4 6 2" xfId="38441" xr:uid="{00000000-0005-0000-0000-000032320000}"/>
    <cellStyle name="Финансовый 2 2 3 4 4 7" xfId="26464" xr:uid="{00000000-0005-0000-0000-000033320000}"/>
    <cellStyle name="Финансовый 2 2 3 4 4 8" xfId="49597" xr:uid="{00000000-0005-0000-0000-000034320000}"/>
    <cellStyle name="Финансовый 2 2 3 4 5" xfId="1011" xr:uid="{00000000-0005-0000-0000-000035320000}"/>
    <cellStyle name="Финансовый 2 2 3 4 5 2" xfId="7051" xr:uid="{00000000-0005-0000-0000-000036320000}"/>
    <cellStyle name="Финансовый 2 2 3 4 5 2 2" xfId="19029" xr:uid="{00000000-0005-0000-0000-000037320000}"/>
    <cellStyle name="Финансовый 2 2 3 4 5 2 2 2" xfId="42984" xr:uid="{00000000-0005-0000-0000-000038320000}"/>
    <cellStyle name="Финансовый 2 2 3 4 5 2 3" xfId="31006" xr:uid="{00000000-0005-0000-0000-000039320000}"/>
    <cellStyle name="Финансовый 2 2 3 4 5 3" xfId="10599" xr:uid="{00000000-0005-0000-0000-00003A320000}"/>
    <cellStyle name="Финансовый 2 2 3 4 5 3 2" xfId="22577" xr:uid="{00000000-0005-0000-0000-00003B320000}"/>
    <cellStyle name="Финансовый 2 2 3 4 5 3 2 2" xfId="46532" xr:uid="{00000000-0005-0000-0000-00003C320000}"/>
    <cellStyle name="Финансовый 2 2 3 4 5 3 3" xfId="34554" xr:uid="{00000000-0005-0000-0000-00003D320000}"/>
    <cellStyle name="Финансовый 2 2 3 4 5 4" xfId="12992" xr:uid="{00000000-0005-0000-0000-00003E320000}"/>
    <cellStyle name="Финансовый 2 2 3 4 5 4 2" xfId="36947" xr:uid="{00000000-0005-0000-0000-00003F320000}"/>
    <cellStyle name="Финансовый 2 2 3 4 5 5" xfId="24970" xr:uid="{00000000-0005-0000-0000-000040320000}"/>
    <cellStyle name="Финансовый 2 2 3 4 5 6" xfId="49876" xr:uid="{00000000-0005-0000-0000-000041320000}"/>
    <cellStyle name="Финансовый 2 2 3 4 6" xfId="599" xr:uid="{00000000-0005-0000-0000-000042320000}"/>
    <cellStyle name="Финансовый 2 2 3 4 6 2" xfId="6639" xr:uid="{00000000-0005-0000-0000-000043320000}"/>
    <cellStyle name="Финансовый 2 2 3 4 6 2 2" xfId="18617" xr:uid="{00000000-0005-0000-0000-000044320000}"/>
    <cellStyle name="Финансовый 2 2 3 4 6 2 2 2" xfId="42572" xr:uid="{00000000-0005-0000-0000-000045320000}"/>
    <cellStyle name="Финансовый 2 2 3 4 6 2 3" xfId="30594" xr:uid="{00000000-0005-0000-0000-000046320000}"/>
    <cellStyle name="Финансовый 2 2 3 4 6 3" xfId="12580" xr:uid="{00000000-0005-0000-0000-000047320000}"/>
    <cellStyle name="Финансовый 2 2 3 4 6 3 2" xfId="36535" xr:uid="{00000000-0005-0000-0000-000048320000}"/>
    <cellStyle name="Финансовый 2 2 3 4 6 4" xfId="24558" xr:uid="{00000000-0005-0000-0000-000049320000}"/>
    <cellStyle name="Финансовый 2 2 3 4 7" xfId="2788" xr:uid="{00000000-0005-0000-0000-00004A320000}"/>
    <cellStyle name="Финансовый 2 2 3 4 7 2" xfId="14767" xr:uid="{00000000-0005-0000-0000-00004B320000}"/>
    <cellStyle name="Финансовый 2 2 3 4 7 2 2" xfId="38722" xr:uid="{00000000-0005-0000-0000-00004C320000}"/>
    <cellStyle name="Финансовый 2 2 3 4 7 3" xfId="26745" xr:uid="{00000000-0005-0000-0000-00004D320000}"/>
    <cellStyle name="Финансовый 2 2 3 4 8" xfId="4432" xr:uid="{00000000-0005-0000-0000-00004E320000}"/>
    <cellStyle name="Финансовый 2 2 3 4 8 2" xfId="16411" xr:uid="{00000000-0005-0000-0000-00004F320000}"/>
    <cellStyle name="Финансовый 2 2 3 4 8 2 2" xfId="40366" xr:uid="{00000000-0005-0000-0000-000050320000}"/>
    <cellStyle name="Финансовый 2 2 3 4 8 3" xfId="28389" xr:uid="{00000000-0005-0000-0000-000051320000}"/>
    <cellStyle name="Финансовый 2 2 3 4 9" xfId="6219" xr:uid="{00000000-0005-0000-0000-000052320000}"/>
    <cellStyle name="Финансовый 2 2 3 4 9 2" xfId="18197" xr:uid="{00000000-0005-0000-0000-000053320000}"/>
    <cellStyle name="Финансовый 2 2 3 4 9 2 2" xfId="42152" xr:uid="{00000000-0005-0000-0000-000054320000}"/>
    <cellStyle name="Финансовый 2 2 3 4 9 3" xfId="30174" xr:uid="{00000000-0005-0000-0000-000055320000}"/>
    <cellStyle name="Финансовый 2 2 3 5" xfId="327" xr:uid="{00000000-0005-0000-0000-000056320000}"/>
    <cellStyle name="Финансовый 2 2 3 5 10" xfId="24286" xr:uid="{00000000-0005-0000-0000-000057320000}"/>
    <cellStyle name="Финансовый 2 2 3 5 11" xfId="48232" xr:uid="{00000000-0005-0000-0000-000058320000}"/>
    <cellStyle name="Финансовый 2 2 3 5 2" xfId="2114" xr:uid="{00000000-0005-0000-0000-000059320000}"/>
    <cellStyle name="Финансовый 2 2 3 5 2 2" xfId="3759" xr:uid="{00000000-0005-0000-0000-00005A320000}"/>
    <cellStyle name="Финансовый 2 2 3 5 2 2 2" xfId="11499" xr:uid="{00000000-0005-0000-0000-00005B320000}"/>
    <cellStyle name="Финансовый 2 2 3 5 2 2 2 2" xfId="23477" xr:uid="{00000000-0005-0000-0000-00005C320000}"/>
    <cellStyle name="Финансовый 2 2 3 5 2 2 2 2 2" xfId="47432" xr:uid="{00000000-0005-0000-0000-00005D320000}"/>
    <cellStyle name="Финансовый 2 2 3 5 2 2 2 3" xfId="35454" xr:uid="{00000000-0005-0000-0000-00005E320000}"/>
    <cellStyle name="Финансовый 2 2 3 5 2 2 3" xfId="15738" xr:uid="{00000000-0005-0000-0000-00005F320000}"/>
    <cellStyle name="Финансовый 2 2 3 5 2 2 3 2" xfId="39693" xr:uid="{00000000-0005-0000-0000-000060320000}"/>
    <cellStyle name="Финансовый 2 2 3 5 2 2 4" xfId="27716" xr:uid="{00000000-0005-0000-0000-000061320000}"/>
    <cellStyle name="Финансовый 2 2 3 5 2 2 5" xfId="50985" xr:uid="{00000000-0005-0000-0000-000062320000}"/>
    <cellStyle name="Финансовый 2 2 3 5 2 3" xfId="5542" xr:uid="{00000000-0005-0000-0000-000063320000}"/>
    <cellStyle name="Финансовый 2 2 3 5 2 3 2" xfId="17520" xr:uid="{00000000-0005-0000-0000-000064320000}"/>
    <cellStyle name="Финансовый 2 2 3 5 2 3 2 2" xfId="41475" xr:uid="{00000000-0005-0000-0000-000065320000}"/>
    <cellStyle name="Финансовый 2 2 3 5 2 3 3" xfId="29497" xr:uid="{00000000-0005-0000-0000-000066320000}"/>
    <cellStyle name="Финансовый 2 2 3 5 2 4" xfId="8152" xr:uid="{00000000-0005-0000-0000-000067320000}"/>
    <cellStyle name="Финансовый 2 2 3 5 2 4 2" xfId="20130" xr:uid="{00000000-0005-0000-0000-000068320000}"/>
    <cellStyle name="Финансовый 2 2 3 5 2 4 2 2" xfId="44085" xr:uid="{00000000-0005-0000-0000-000069320000}"/>
    <cellStyle name="Финансовый 2 2 3 5 2 4 3" xfId="32107" xr:uid="{00000000-0005-0000-0000-00006A320000}"/>
    <cellStyle name="Финансовый 2 2 3 5 2 5" xfId="9935" xr:uid="{00000000-0005-0000-0000-00006B320000}"/>
    <cellStyle name="Финансовый 2 2 3 5 2 5 2" xfId="21913" xr:uid="{00000000-0005-0000-0000-00006C320000}"/>
    <cellStyle name="Финансовый 2 2 3 5 2 5 2 2" xfId="45868" xr:uid="{00000000-0005-0000-0000-00006D320000}"/>
    <cellStyle name="Финансовый 2 2 3 5 2 5 3" xfId="33890" xr:uid="{00000000-0005-0000-0000-00006E320000}"/>
    <cellStyle name="Финансовый 2 2 3 5 2 6" xfId="14093" xr:uid="{00000000-0005-0000-0000-00006F320000}"/>
    <cellStyle name="Финансовый 2 2 3 5 2 6 2" xfId="38048" xr:uid="{00000000-0005-0000-0000-000070320000}"/>
    <cellStyle name="Финансовый 2 2 3 5 2 7" xfId="26071" xr:uid="{00000000-0005-0000-0000-000071320000}"/>
    <cellStyle name="Финансовый 2 2 3 5 2 8" xfId="49204" xr:uid="{00000000-0005-0000-0000-000072320000}"/>
    <cellStyle name="Финансовый 2 2 3 5 3" xfId="1147" xr:uid="{00000000-0005-0000-0000-000073320000}"/>
    <cellStyle name="Финансовый 2 2 3 5 3 2" xfId="7187" xr:uid="{00000000-0005-0000-0000-000074320000}"/>
    <cellStyle name="Финансовый 2 2 3 5 3 2 2" xfId="19165" xr:uid="{00000000-0005-0000-0000-000075320000}"/>
    <cellStyle name="Финансовый 2 2 3 5 3 2 2 2" xfId="43120" xr:uid="{00000000-0005-0000-0000-000076320000}"/>
    <cellStyle name="Финансовый 2 2 3 5 3 2 3" xfId="31142" xr:uid="{00000000-0005-0000-0000-000077320000}"/>
    <cellStyle name="Финансовый 2 2 3 5 3 3" xfId="10727" xr:uid="{00000000-0005-0000-0000-000078320000}"/>
    <cellStyle name="Финансовый 2 2 3 5 3 3 2" xfId="22705" xr:uid="{00000000-0005-0000-0000-000079320000}"/>
    <cellStyle name="Финансовый 2 2 3 5 3 3 2 2" xfId="46660" xr:uid="{00000000-0005-0000-0000-00007A320000}"/>
    <cellStyle name="Финансовый 2 2 3 5 3 3 3" xfId="34682" xr:uid="{00000000-0005-0000-0000-00007B320000}"/>
    <cellStyle name="Финансовый 2 2 3 5 3 4" xfId="13128" xr:uid="{00000000-0005-0000-0000-00007C320000}"/>
    <cellStyle name="Финансовый 2 2 3 5 3 4 2" xfId="37083" xr:uid="{00000000-0005-0000-0000-00007D320000}"/>
    <cellStyle name="Финансовый 2 2 3 5 3 5" xfId="25106" xr:uid="{00000000-0005-0000-0000-00007E320000}"/>
    <cellStyle name="Финансовый 2 2 3 5 3 6" xfId="50012" xr:uid="{00000000-0005-0000-0000-00007F320000}"/>
    <cellStyle name="Финансовый 2 2 3 5 4" xfId="747" xr:uid="{00000000-0005-0000-0000-000080320000}"/>
    <cellStyle name="Финансовый 2 2 3 5 4 2" xfId="6787" xr:uid="{00000000-0005-0000-0000-000081320000}"/>
    <cellStyle name="Финансовый 2 2 3 5 4 2 2" xfId="18765" xr:uid="{00000000-0005-0000-0000-000082320000}"/>
    <cellStyle name="Финансовый 2 2 3 5 4 2 2 2" xfId="42720" xr:uid="{00000000-0005-0000-0000-000083320000}"/>
    <cellStyle name="Финансовый 2 2 3 5 4 2 3" xfId="30742" xr:uid="{00000000-0005-0000-0000-000084320000}"/>
    <cellStyle name="Финансовый 2 2 3 5 4 3" xfId="12728" xr:uid="{00000000-0005-0000-0000-000085320000}"/>
    <cellStyle name="Финансовый 2 2 3 5 4 3 2" xfId="36683" xr:uid="{00000000-0005-0000-0000-000086320000}"/>
    <cellStyle name="Финансовый 2 2 3 5 4 4" xfId="24706" xr:uid="{00000000-0005-0000-0000-000087320000}"/>
    <cellStyle name="Финансовый 2 2 3 5 5" xfId="2924" xr:uid="{00000000-0005-0000-0000-000088320000}"/>
    <cellStyle name="Финансовый 2 2 3 5 5 2" xfId="14903" xr:uid="{00000000-0005-0000-0000-000089320000}"/>
    <cellStyle name="Финансовый 2 2 3 5 5 2 2" xfId="38858" xr:uid="{00000000-0005-0000-0000-00008A320000}"/>
    <cellStyle name="Финансовый 2 2 3 5 5 3" xfId="26881" xr:uid="{00000000-0005-0000-0000-00008B320000}"/>
    <cellStyle name="Финансовый 2 2 3 5 6" xfId="4568" xr:uid="{00000000-0005-0000-0000-00008C320000}"/>
    <cellStyle name="Финансовый 2 2 3 5 6 2" xfId="16547" xr:uid="{00000000-0005-0000-0000-00008D320000}"/>
    <cellStyle name="Финансовый 2 2 3 5 6 2 2" xfId="40502" xr:uid="{00000000-0005-0000-0000-00008E320000}"/>
    <cellStyle name="Финансовый 2 2 3 5 6 3" xfId="28525" xr:uid="{00000000-0005-0000-0000-00008F320000}"/>
    <cellStyle name="Финансовый 2 2 3 5 7" xfId="6367" xr:uid="{00000000-0005-0000-0000-000090320000}"/>
    <cellStyle name="Финансовый 2 2 3 5 7 2" xfId="18345" xr:uid="{00000000-0005-0000-0000-000091320000}"/>
    <cellStyle name="Финансовый 2 2 3 5 7 2 2" xfId="42300" xr:uid="{00000000-0005-0000-0000-000092320000}"/>
    <cellStyle name="Финансовый 2 2 3 5 7 3" xfId="30322" xr:uid="{00000000-0005-0000-0000-000093320000}"/>
    <cellStyle name="Финансовый 2 2 3 5 8" xfId="8962" xr:uid="{00000000-0005-0000-0000-000094320000}"/>
    <cellStyle name="Финансовый 2 2 3 5 8 2" xfId="20940" xr:uid="{00000000-0005-0000-0000-000095320000}"/>
    <cellStyle name="Финансовый 2 2 3 5 8 2 2" xfId="44895" xr:uid="{00000000-0005-0000-0000-000096320000}"/>
    <cellStyle name="Финансовый 2 2 3 5 8 3" xfId="32917" xr:uid="{00000000-0005-0000-0000-000097320000}"/>
    <cellStyle name="Финансовый 2 2 3 5 9" xfId="12308" xr:uid="{00000000-0005-0000-0000-000098320000}"/>
    <cellStyle name="Финансовый 2 2 3 5 9 2" xfId="36263" xr:uid="{00000000-0005-0000-0000-000099320000}"/>
    <cellStyle name="Финансовый 2 2 3 6" xfId="1468" xr:uid="{00000000-0005-0000-0000-00009A320000}"/>
    <cellStyle name="Финансовый 2 2 3 6 2" xfId="1850" xr:uid="{00000000-0005-0000-0000-00009B320000}"/>
    <cellStyle name="Финансовый 2 2 3 6 2 2" xfId="3495" xr:uid="{00000000-0005-0000-0000-00009C320000}"/>
    <cellStyle name="Финансовый 2 2 3 6 2 2 2" xfId="11243" xr:uid="{00000000-0005-0000-0000-00009D320000}"/>
    <cellStyle name="Финансовый 2 2 3 6 2 2 2 2" xfId="23221" xr:uid="{00000000-0005-0000-0000-00009E320000}"/>
    <cellStyle name="Финансовый 2 2 3 6 2 2 2 2 2" xfId="47176" xr:uid="{00000000-0005-0000-0000-00009F320000}"/>
    <cellStyle name="Финансовый 2 2 3 6 2 2 2 3" xfId="35198" xr:uid="{00000000-0005-0000-0000-0000A0320000}"/>
    <cellStyle name="Финансовый 2 2 3 6 2 2 3" xfId="15474" xr:uid="{00000000-0005-0000-0000-0000A1320000}"/>
    <cellStyle name="Финансовый 2 2 3 6 2 2 3 2" xfId="39429" xr:uid="{00000000-0005-0000-0000-0000A2320000}"/>
    <cellStyle name="Финансовый 2 2 3 6 2 2 4" xfId="27452" xr:uid="{00000000-0005-0000-0000-0000A3320000}"/>
    <cellStyle name="Финансовый 2 2 3 6 2 2 5" xfId="50721" xr:uid="{00000000-0005-0000-0000-0000A4320000}"/>
    <cellStyle name="Финансовый 2 2 3 6 2 3" xfId="5278" xr:uid="{00000000-0005-0000-0000-0000A5320000}"/>
    <cellStyle name="Финансовый 2 2 3 6 2 3 2" xfId="17256" xr:uid="{00000000-0005-0000-0000-0000A6320000}"/>
    <cellStyle name="Финансовый 2 2 3 6 2 3 2 2" xfId="41211" xr:uid="{00000000-0005-0000-0000-0000A7320000}"/>
    <cellStyle name="Финансовый 2 2 3 6 2 3 3" xfId="29233" xr:uid="{00000000-0005-0000-0000-0000A8320000}"/>
    <cellStyle name="Финансовый 2 2 3 6 2 4" xfId="7888" xr:uid="{00000000-0005-0000-0000-0000A9320000}"/>
    <cellStyle name="Финансовый 2 2 3 6 2 4 2" xfId="19866" xr:uid="{00000000-0005-0000-0000-0000AA320000}"/>
    <cellStyle name="Финансовый 2 2 3 6 2 4 2 2" xfId="43821" xr:uid="{00000000-0005-0000-0000-0000AB320000}"/>
    <cellStyle name="Финансовый 2 2 3 6 2 4 3" xfId="31843" xr:uid="{00000000-0005-0000-0000-0000AC320000}"/>
    <cellStyle name="Финансовый 2 2 3 6 2 5" xfId="9671" xr:uid="{00000000-0005-0000-0000-0000AD320000}"/>
    <cellStyle name="Финансовый 2 2 3 6 2 5 2" xfId="21649" xr:uid="{00000000-0005-0000-0000-0000AE320000}"/>
    <cellStyle name="Финансовый 2 2 3 6 2 5 2 2" xfId="45604" xr:uid="{00000000-0005-0000-0000-0000AF320000}"/>
    <cellStyle name="Финансовый 2 2 3 6 2 5 3" xfId="33626" xr:uid="{00000000-0005-0000-0000-0000B0320000}"/>
    <cellStyle name="Финансовый 2 2 3 6 2 6" xfId="13829" xr:uid="{00000000-0005-0000-0000-0000B1320000}"/>
    <cellStyle name="Финансовый 2 2 3 6 2 6 2" xfId="37784" xr:uid="{00000000-0005-0000-0000-0000B2320000}"/>
    <cellStyle name="Финансовый 2 2 3 6 2 7" xfId="25807" xr:uid="{00000000-0005-0000-0000-0000B3320000}"/>
    <cellStyle name="Финансовый 2 2 3 6 2 8" xfId="48940" xr:uid="{00000000-0005-0000-0000-0000B4320000}"/>
    <cellStyle name="Финансовый 2 2 3 6 3" xfId="4896" xr:uid="{00000000-0005-0000-0000-0000B5320000}"/>
    <cellStyle name="Финансовый 2 2 3 6 3 2" xfId="16874" xr:uid="{00000000-0005-0000-0000-0000B6320000}"/>
    <cellStyle name="Финансовый 2 2 3 6 3 2 2" xfId="40829" xr:uid="{00000000-0005-0000-0000-0000B7320000}"/>
    <cellStyle name="Финансовый 2 2 3 6 3 3" xfId="28851" xr:uid="{00000000-0005-0000-0000-0000B8320000}"/>
    <cellStyle name="Финансовый 2 2 3 6 3 4" xfId="50339" xr:uid="{00000000-0005-0000-0000-0000B9320000}"/>
    <cellStyle name="Финансовый 2 2 3 6 4" xfId="7506" xr:uid="{00000000-0005-0000-0000-0000BA320000}"/>
    <cellStyle name="Финансовый 2 2 3 6 4 2" xfId="19484" xr:uid="{00000000-0005-0000-0000-0000BB320000}"/>
    <cellStyle name="Финансовый 2 2 3 6 4 2 2" xfId="43439" xr:uid="{00000000-0005-0000-0000-0000BC320000}"/>
    <cellStyle name="Финансовый 2 2 3 6 4 3" xfId="31461" xr:uid="{00000000-0005-0000-0000-0000BD320000}"/>
    <cellStyle name="Финансовый 2 2 3 6 5" xfId="9289" xr:uid="{00000000-0005-0000-0000-0000BE320000}"/>
    <cellStyle name="Финансовый 2 2 3 6 5 2" xfId="21267" xr:uid="{00000000-0005-0000-0000-0000BF320000}"/>
    <cellStyle name="Финансовый 2 2 3 6 5 2 2" xfId="45222" xr:uid="{00000000-0005-0000-0000-0000C0320000}"/>
    <cellStyle name="Финансовый 2 2 3 6 5 3" xfId="33244" xr:uid="{00000000-0005-0000-0000-0000C1320000}"/>
    <cellStyle name="Финансовый 2 2 3 6 6" xfId="13447" xr:uid="{00000000-0005-0000-0000-0000C2320000}"/>
    <cellStyle name="Финансовый 2 2 3 6 6 2" xfId="37402" xr:uid="{00000000-0005-0000-0000-0000C3320000}"/>
    <cellStyle name="Финансовый 2 2 3 6 7" xfId="25425" xr:uid="{00000000-0005-0000-0000-0000C4320000}"/>
    <cellStyle name="Финансовый 2 2 3 6 8" xfId="48558" xr:uid="{00000000-0005-0000-0000-0000C5320000}"/>
    <cellStyle name="Финансовый 2 2 3 7" xfId="1734" xr:uid="{00000000-0005-0000-0000-0000C6320000}"/>
    <cellStyle name="Финансовый 2 2 3 7 2" xfId="3379" xr:uid="{00000000-0005-0000-0000-0000C7320000}"/>
    <cellStyle name="Финансовый 2 2 3 7 2 2" xfId="11127" xr:uid="{00000000-0005-0000-0000-0000C8320000}"/>
    <cellStyle name="Финансовый 2 2 3 7 2 2 2" xfId="23105" xr:uid="{00000000-0005-0000-0000-0000C9320000}"/>
    <cellStyle name="Финансовый 2 2 3 7 2 2 2 2" xfId="47060" xr:uid="{00000000-0005-0000-0000-0000CA320000}"/>
    <cellStyle name="Финансовый 2 2 3 7 2 2 3" xfId="35082" xr:uid="{00000000-0005-0000-0000-0000CB320000}"/>
    <cellStyle name="Финансовый 2 2 3 7 2 3" xfId="15358" xr:uid="{00000000-0005-0000-0000-0000CC320000}"/>
    <cellStyle name="Финансовый 2 2 3 7 2 3 2" xfId="39313" xr:uid="{00000000-0005-0000-0000-0000CD320000}"/>
    <cellStyle name="Финансовый 2 2 3 7 2 4" xfId="27336" xr:uid="{00000000-0005-0000-0000-0000CE320000}"/>
    <cellStyle name="Финансовый 2 2 3 7 2 5" xfId="50605" xr:uid="{00000000-0005-0000-0000-0000CF320000}"/>
    <cellStyle name="Финансовый 2 2 3 7 3" xfId="5162" xr:uid="{00000000-0005-0000-0000-0000D0320000}"/>
    <cellStyle name="Финансовый 2 2 3 7 3 2" xfId="17140" xr:uid="{00000000-0005-0000-0000-0000D1320000}"/>
    <cellStyle name="Финансовый 2 2 3 7 3 2 2" xfId="41095" xr:uid="{00000000-0005-0000-0000-0000D2320000}"/>
    <cellStyle name="Финансовый 2 2 3 7 3 3" xfId="29117" xr:uid="{00000000-0005-0000-0000-0000D3320000}"/>
    <cellStyle name="Финансовый 2 2 3 7 4" xfId="7772" xr:uid="{00000000-0005-0000-0000-0000D4320000}"/>
    <cellStyle name="Финансовый 2 2 3 7 4 2" xfId="19750" xr:uid="{00000000-0005-0000-0000-0000D5320000}"/>
    <cellStyle name="Финансовый 2 2 3 7 4 2 2" xfId="43705" xr:uid="{00000000-0005-0000-0000-0000D6320000}"/>
    <cellStyle name="Финансовый 2 2 3 7 4 3" xfId="31727" xr:uid="{00000000-0005-0000-0000-0000D7320000}"/>
    <cellStyle name="Финансовый 2 2 3 7 5" xfId="9555" xr:uid="{00000000-0005-0000-0000-0000D8320000}"/>
    <cellStyle name="Финансовый 2 2 3 7 5 2" xfId="21533" xr:uid="{00000000-0005-0000-0000-0000D9320000}"/>
    <cellStyle name="Финансовый 2 2 3 7 5 2 2" xfId="45488" xr:uid="{00000000-0005-0000-0000-0000DA320000}"/>
    <cellStyle name="Финансовый 2 2 3 7 5 3" xfId="33510" xr:uid="{00000000-0005-0000-0000-0000DB320000}"/>
    <cellStyle name="Финансовый 2 2 3 7 6" xfId="13713" xr:uid="{00000000-0005-0000-0000-0000DC320000}"/>
    <cellStyle name="Финансовый 2 2 3 7 6 2" xfId="37668" xr:uid="{00000000-0005-0000-0000-0000DD320000}"/>
    <cellStyle name="Финансовый 2 2 3 7 7" xfId="25691" xr:uid="{00000000-0005-0000-0000-0000DE320000}"/>
    <cellStyle name="Финансовый 2 2 3 7 8" xfId="48824" xr:uid="{00000000-0005-0000-0000-0000DF320000}"/>
    <cellStyle name="Финансовый 2 2 3 8" xfId="2370" xr:uid="{00000000-0005-0000-0000-0000E0320000}"/>
    <cellStyle name="Финансовый 2 2 3 8 2" xfId="4015" xr:uid="{00000000-0005-0000-0000-0000E1320000}"/>
    <cellStyle name="Финансовый 2 2 3 8 2 2" xfId="11755" xr:uid="{00000000-0005-0000-0000-0000E2320000}"/>
    <cellStyle name="Финансовый 2 2 3 8 2 2 2" xfId="23733" xr:uid="{00000000-0005-0000-0000-0000E3320000}"/>
    <cellStyle name="Финансовый 2 2 3 8 2 2 2 2" xfId="47688" xr:uid="{00000000-0005-0000-0000-0000E4320000}"/>
    <cellStyle name="Финансовый 2 2 3 8 2 2 3" xfId="35710" xr:uid="{00000000-0005-0000-0000-0000E5320000}"/>
    <cellStyle name="Финансовый 2 2 3 8 2 3" xfId="15994" xr:uid="{00000000-0005-0000-0000-0000E6320000}"/>
    <cellStyle name="Финансовый 2 2 3 8 2 3 2" xfId="39949" xr:uid="{00000000-0005-0000-0000-0000E7320000}"/>
    <cellStyle name="Финансовый 2 2 3 8 2 4" xfId="27972" xr:uid="{00000000-0005-0000-0000-0000E8320000}"/>
    <cellStyle name="Финансовый 2 2 3 8 2 5" xfId="51241" xr:uid="{00000000-0005-0000-0000-0000E9320000}"/>
    <cellStyle name="Финансовый 2 2 3 8 3" xfId="5798" xr:uid="{00000000-0005-0000-0000-0000EA320000}"/>
    <cellStyle name="Финансовый 2 2 3 8 3 2" xfId="17776" xr:uid="{00000000-0005-0000-0000-0000EB320000}"/>
    <cellStyle name="Финансовый 2 2 3 8 3 2 2" xfId="41731" xr:uid="{00000000-0005-0000-0000-0000EC320000}"/>
    <cellStyle name="Финансовый 2 2 3 8 3 3" xfId="29753" xr:uid="{00000000-0005-0000-0000-0000ED320000}"/>
    <cellStyle name="Финансовый 2 2 3 8 4" xfId="8408" xr:uid="{00000000-0005-0000-0000-0000EE320000}"/>
    <cellStyle name="Финансовый 2 2 3 8 4 2" xfId="20386" xr:uid="{00000000-0005-0000-0000-0000EF320000}"/>
    <cellStyle name="Финансовый 2 2 3 8 4 2 2" xfId="44341" xr:uid="{00000000-0005-0000-0000-0000F0320000}"/>
    <cellStyle name="Финансовый 2 2 3 8 4 3" xfId="32363" xr:uid="{00000000-0005-0000-0000-0000F1320000}"/>
    <cellStyle name="Финансовый 2 2 3 8 5" xfId="10191" xr:uid="{00000000-0005-0000-0000-0000F2320000}"/>
    <cellStyle name="Финансовый 2 2 3 8 5 2" xfId="22169" xr:uid="{00000000-0005-0000-0000-0000F3320000}"/>
    <cellStyle name="Финансовый 2 2 3 8 5 2 2" xfId="46124" xr:uid="{00000000-0005-0000-0000-0000F4320000}"/>
    <cellStyle name="Финансовый 2 2 3 8 5 3" xfId="34146" xr:uid="{00000000-0005-0000-0000-0000F5320000}"/>
    <cellStyle name="Финансовый 2 2 3 8 6" xfId="14349" xr:uid="{00000000-0005-0000-0000-0000F6320000}"/>
    <cellStyle name="Финансовый 2 2 3 8 6 2" xfId="38304" xr:uid="{00000000-0005-0000-0000-0000F7320000}"/>
    <cellStyle name="Финансовый 2 2 3 8 7" xfId="26327" xr:uid="{00000000-0005-0000-0000-0000F8320000}"/>
    <cellStyle name="Финансовый 2 2 3 8 8" xfId="49460" xr:uid="{00000000-0005-0000-0000-0000F9320000}"/>
    <cellStyle name="Финансовый 2 2 3 9" xfId="1597" xr:uid="{00000000-0005-0000-0000-0000FA320000}"/>
    <cellStyle name="Финансовый 2 2 3 9 2" xfId="3242" xr:uid="{00000000-0005-0000-0000-0000FB320000}"/>
    <cellStyle name="Финансовый 2 2 3 9 2 2" xfId="10998" xr:uid="{00000000-0005-0000-0000-0000FC320000}"/>
    <cellStyle name="Финансовый 2 2 3 9 2 2 2" xfId="22976" xr:uid="{00000000-0005-0000-0000-0000FD320000}"/>
    <cellStyle name="Финансовый 2 2 3 9 2 2 2 2" xfId="46931" xr:uid="{00000000-0005-0000-0000-0000FE320000}"/>
    <cellStyle name="Финансовый 2 2 3 9 2 2 3" xfId="34953" xr:uid="{00000000-0005-0000-0000-0000FF320000}"/>
    <cellStyle name="Финансовый 2 2 3 9 2 3" xfId="15221" xr:uid="{00000000-0005-0000-0000-000000330000}"/>
    <cellStyle name="Финансовый 2 2 3 9 2 3 2" xfId="39176" xr:uid="{00000000-0005-0000-0000-000001330000}"/>
    <cellStyle name="Финансовый 2 2 3 9 2 4" xfId="27199" xr:uid="{00000000-0005-0000-0000-000002330000}"/>
    <cellStyle name="Финансовый 2 2 3 9 2 5" xfId="50468" xr:uid="{00000000-0005-0000-0000-000003330000}"/>
    <cellStyle name="Финансовый 2 2 3 9 3" xfId="5025" xr:uid="{00000000-0005-0000-0000-000004330000}"/>
    <cellStyle name="Финансовый 2 2 3 9 3 2" xfId="17003" xr:uid="{00000000-0005-0000-0000-000005330000}"/>
    <cellStyle name="Финансовый 2 2 3 9 3 2 2" xfId="40958" xr:uid="{00000000-0005-0000-0000-000006330000}"/>
    <cellStyle name="Финансовый 2 2 3 9 3 3" xfId="28980" xr:uid="{00000000-0005-0000-0000-000007330000}"/>
    <cellStyle name="Финансовый 2 2 3 9 4" xfId="7635" xr:uid="{00000000-0005-0000-0000-000008330000}"/>
    <cellStyle name="Финансовый 2 2 3 9 4 2" xfId="19613" xr:uid="{00000000-0005-0000-0000-000009330000}"/>
    <cellStyle name="Финансовый 2 2 3 9 4 2 2" xfId="43568" xr:uid="{00000000-0005-0000-0000-00000A330000}"/>
    <cellStyle name="Финансовый 2 2 3 9 4 3" xfId="31590" xr:uid="{00000000-0005-0000-0000-00000B330000}"/>
    <cellStyle name="Финансовый 2 2 3 9 5" xfId="9418" xr:uid="{00000000-0005-0000-0000-00000C330000}"/>
    <cellStyle name="Финансовый 2 2 3 9 5 2" xfId="21396" xr:uid="{00000000-0005-0000-0000-00000D330000}"/>
    <cellStyle name="Финансовый 2 2 3 9 5 2 2" xfId="45351" xr:uid="{00000000-0005-0000-0000-00000E330000}"/>
    <cellStyle name="Финансовый 2 2 3 9 5 3" xfId="33373" xr:uid="{00000000-0005-0000-0000-00000F330000}"/>
    <cellStyle name="Финансовый 2 2 3 9 6" xfId="13576" xr:uid="{00000000-0005-0000-0000-000010330000}"/>
    <cellStyle name="Финансовый 2 2 3 9 6 2" xfId="37531" xr:uid="{00000000-0005-0000-0000-000011330000}"/>
    <cellStyle name="Финансовый 2 2 3 9 7" xfId="25554" xr:uid="{00000000-0005-0000-0000-000012330000}"/>
    <cellStyle name="Финансовый 2 2 3 9 8" xfId="48687" xr:uid="{00000000-0005-0000-0000-000013330000}"/>
    <cellStyle name="Финансовый 2 2 4" xfId="92" xr:uid="{00000000-0005-0000-0000-000014330000}"/>
    <cellStyle name="Финансовый 2 2 4 10" xfId="2702" xr:uid="{00000000-0005-0000-0000-000015330000}"/>
    <cellStyle name="Финансовый 2 2 4 10 2" xfId="14681" xr:uid="{00000000-0005-0000-0000-000016330000}"/>
    <cellStyle name="Финансовый 2 2 4 10 2 2" xfId="38636" xr:uid="{00000000-0005-0000-0000-000017330000}"/>
    <cellStyle name="Финансовый 2 2 4 10 3" xfId="26659" xr:uid="{00000000-0005-0000-0000-000018330000}"/>
    <cellStyle name="Финансовый 2 2 4 11" xfId="4346" xr:uid="{00000000-0005-0000-0000-000019330000}"/>
    <cellStyle name="Финансовый 2 2 4 11 2" xfId="16325" xr:uid="{00000000-0005-0000-0000-00001A330000}"/>
    <cellStyle name="Финансовый 2 2 4 11 2 2" xfId="40280" xr:uid="{00000000-0005-0000-0000-00001B330000}"/>
    <cellStyle name="Финансовый 2 2 4 11 3" xfId="28303" xr:uid="{00000000-0005-0000-0000-00001C330000}"/>
    <cellStyle name="Финансовый 2 2 4 12" xfId="6133" xr:uid="{00000000-0005-0000-0000-00001D330000}"/>
    <cellStyle name="Финансовый 2 2 4 12 2" xfId="18111" xr:uid="{00000000-0005-0000-0000-00001E330000}"/>
    <cellStyle name="Финансовый 2 2 4 12 2 2" xfId="42066" xr:uid="{00000000-0005-0000-0000-00001F330000}"/>
    <cellStyle name="Финансовый 2 2 4 12 3" xfId="30088" xr:uid="{00000000-0005-0000-0000-000020330000}"/>
    <cellStyle name="Финансовый 2 2 4 13" xfId="8740" xr:uid="{00000000-0005-0000-0000-000021330000}"/>
    <cellStyle name="Финансовый 2 2 4 13 2" xfId="20718" xr:uid="{00000000-0005-0000-0000-000022330000}"/>
    <cellStyle name="Финансовый 2 2 4 13 2 2" xfId="44673" xr:uid="{00000000-0005-0000-0000-000023330000}"/>
    <cellStyle name="Финансовый 2 2 4 13 3" xfId="32695" xr:uid="{00000000-0005-0000-0000-000024330000}"/>
    <cellStyle name="Финансовый 2 2 4 14" xfId="12074" xr:uid="{00000000-0005-0000-0000-000025330000}"/>
    <cellStyle name="Финансовый 2 2 4 14 2" xfId="36029" xr:uid="{00000000-0005-0000-0000-000026330000}"/>
    <cellStyle name="Финансовый 2 2 4 15" xfId="24052" xr:uid="{00000000-0005-0000-0000-000027330000}"/>
    <cellStyle name="Финансовый 2 2 4 16" xfId="48010" xr:uid="{00000000-0005-0000-0000-000028330000}"/>
    <cellStyle name="Финансовый 2 2 4 2" xfId="228" xr:uid="{00000000-0005-0000-0000-000029330000}"/>
    <cellStyle name="Финансовый 2 2 4 2 10" xfId="8876" xr:uid="{00000000-0005-0000-0000-00002A330000}"/>
    <cellStyle name="Финансовый 2 2 4 2 10 2" xfId="20854" xr:uid="{00000000-0005-0000-0000-00002B330000}"/>
    <cellStyle name="Финансовый 2 2 4 2 10 2 2" xfId="44809" xr:uid="{00000000-0005-0000-0000-00002C330000}"/>
    <cellStyle name="Финансовый 2 2 4 2 10 3" xfId="32831" xr:uid="{00000000-0005-0000-0000-00002D330000}"/>
    <cellStyle name="Финансовый 2 2 4 2 11" xfId="12210" xr:uid="{00000000-0005-0000-0000-00002E330000}"/>
    <cellStyle name="Финансовый 2 2 4 2 11 2" xfId="36165" xr:uid="{00000000-0005-0000-0000-00002F330000}"/>
    <cellStyle name="Финансовый 2 2 4 2 12" xfId="24188" xr:uid="{00000000-0005-0000-0000-000030330000}"/>
    <cellStyle name="Финансовый 2 2 4 2 13" xfId="48146" xr:uid="{00000000-0005-0000-0000-000031330000}"/>
    <cellStyle name="Финансовый 2 2 4 2 2" xfId="1326" xr:uid="{00000000-0005-0000-0000-000032330000}"/>
    <cellStyle name="Финансовый 2 2 4 2 2 2" xfId="2284" xr:uid="{00000000-0005-0000-0000-000033330000}"/>
    <cellStyle name="Финансовый 2 2 4 2 2 2 2" xfId="3929" xr:uid="{00000000-0005-0000-0000-000034330000}"/>
    <cellStyle name="Финансовый 2 2 4 2 2 2 2 2" xfId="11669" xr:uid="{00000000-0005-0000-0000-000035330000}"/>
    <cellStyle name="Финансовый 2 2 4 2 2 2 2 2 2" xfId="23647" xr:uid="{00000000-0005-0000-0000-000036330000}"/>
    <cellStyle name="Финансовый 2 2 4 2 2 2 2 2 2 2" xfId="47602" xr:uid="{00000000-0005-0000-0000-000037330000}"/>
    <cellStyle name="Финансовый 2 2 4 2 2 2 2 2 3" xfId="35624" xr:uid="{00000000-0005-0000-0000-000038330000}"/>
    <cellStyle name="Финансовый 2 2 4 2 2 2 2 3" xfId="15908" xr:uid="{00000000-0005-0000-0000-000039330000}"/>
    <cellStyle name="Финансовый 2 2 4 2 2 2 2 3 2" xfId="39863" xr:uid="{00000000-0005-0000-0000-00003A330000}"/>
    <cellStyle name="Финансовый 2 2 4 2 2 2 2 4" xfId="27886" xr:uid="{00000000-0005-0000-0000-00003B330000}"/>
    <cellStyle name="Финансовый 2 2 4 2 2 2 2 5" xfId="51155" xr:uid="{00000000-0005-0000-0000-00003C330000}"/>
    <cellStyle name="Финансовый 2 2 4 2 2 2 3" xfId="5712" xr:uid="{00000000-0005-0000-0000-00003D330000}"/>
    <cellStyle name="Финансовый 2 2 4 2 2 2 3 2" xfId="17690" xr:uid="{00000000-0005-0000-0000-00003E330000}"/>
    <cellStyle name="Финансовый 2 2 4 2 2 2 3 2 2" xfId="41645" xr:uid="{00000000-0005-0000-0000-00003F330000}"/>
    <cellStyle name="Финансовый 2 2 4 2 2 2 3 3" xfId="29667" xr:uid="{00000000-0005-0000-0000-000040330000}"/>
    <cellStyle name="Финансовый 2 2 4 2 2 2 4" xfId="8322" xr:uid="{00000000-0005-0000-0000-000041330000}"/>
    <cellStyle name="Финансовый 2 2 4 2 2 2 4 2" xfId="20300" xr:uid="{00000000-0005-0000-0000-000042330000}"/>
    <cellStyle name="Финансовый 2 2 4 2 2 2 4 2 2" xfId="44255" xr:uid="{00000000-0005-0000-0000-000043330000}"/>
    <cellStyle name="Финансовый 2 2 4 2 2 2 4 3" xfId="32277" xr:uid="{00000000-0005-0000-0000-000044330000}"/>
    <cellStyle name="Финансовый 2 2 4 2 2 2 5" xfId="10105" xr:uid="{00000000-0005-0000-0000-000045330000}"/>
    <cellStyle name="Финансовый 2 2 4 2 2 2 5 2" xfId="22083" xr:uid="{00000000-0005-0000-0000-000046330000}"/>
    <cellStyle name="Финансовый 2 2 4 2 2 2 5 2 2" xfId="46038" xr:uid="{00000000-0005-0000-0000-000047330000}"/>
    <cellStyle name="Финансовый 2 2 4 2 2 2 5 3" xfId="34060" xr:uid="{00000000-0005-0000-0000-000048330000}"/>
    <cellStyle name="Финансовый 2 2 4 2 2 2 6" xfId="14263" xr:uid="{00000000-0005-0000-0000-000049330000}"/>
    <cellStyle name="Финансовый 2 2 4 2 2 2 6 2" xfId="38218" xr:uid="{00000000-0005-0000-0000-00004A330000}"/>
    <cellStyle name="Финансовый 2 2 4 2 2 2 7" xfId="26241" xr:uid="{00000000-0005-0000-0000-00004B330000}"/>
    <cellStyle name="Финансовый 2 2 4 2 2 2 8" xfId="49374" xr:uid="{00000000-0005-0000-0000-00004C330000}"/>
    <cellStyle name="Финансовый 2 2 4 2 2 3" xfId="3110" xr:uid="{00000000-0005-0000-0000-00004D330000}"/>
    <cellStyle name="Финансовый 2 2 4 2 2 3 2" xfId="10897" xr:uid="{00000000-0005-0000-0000-00004E330000}"/>
    <cellStyle name="Финансовый 2 2 4 2 2 3 2 2" xfId="22875" xr:uid="{00000000-0005-0000-0000-00004F330000}"/>
    <cellStyle name="Финансовый 2 2 4 2 2 3 2 2 2" xfId="46830" xr:uid="{00000000-0005-0000-0000-000050330000}"/>
    <cellStyle name="Финансовый 2 2 4 2 2 3 2 3" xfId="34852" xr:uid="{00000000-0005-0000-0000-000051330000}"/>
    <cellStyle name="Финансовый 2 2 4 2 2 3 3" xfId="15089" xr:uid="{00000000-0005-0000-0000-000052330000}"/>
    <cellStyle name="Финансовый 2 2 4 2 2 3 3 2" xfId="39044" xr:uid="{00000000-0005-0000-0000-000053330000}"/>
    <cellStyle name="Финансовый 2 2 4 2 2 3 4" xfId="27067" xr:uid="{00000000-0005-0000-0000-000054330000}"/>
    <cellStyle name="Финансовый 2 2 4 2 2 3 5" xfId="50198" xr:uid="{00000000-0005-0000-0000-000055330000}"/>
    <cellStyle name="Финансовый 2 2 4 2 2 4" xfId="4754" xr:uid="{00000000-0005-0000-0000-000056330000}"/>
    <cellStyle name="Финансовый 2 2 4 2 2 4 2" xfId="16733" xr:uid="{00000000-0005-0000-0000-000057330000}"/>
    <cellStyle name="Финансовый 2 2 4 2 2 4 2 2" xfId="40688" xr:uid="{00000000-0005-0000-0000-000058330000}"/>
    <cellStyle name="Финансовый 2 2 4 2 2 4 3" xfId="28711" xr:uid="{00000000-0005-0000-0000-000059330000}"/>
    <cellStyle name="Финансовый 2 2 4 2 2 5" xfId="7366" xr:uid="{00000000-0005-0000-0000-00005A330000}"/>
    <cellStyle name="Финансовый 2 2 4 2 2 5 2" xfId="19344" xr:uid="{00000000-0005-0000-0000-00005B330000}"/>
    <cellStyle name="Финансовый 2 2 4 2 2 5 2 2" xfId="43299" xr:uid="{00000000-0005-0000-0000-00005C330000}"/>
    <cellStyle name="Финансовый 2 2 4 2 2 5 3" xfId="31321" xr:uid="{00000000-0005-0000-0000-00005D330000}"/>
    <cellStyle name="Финансовый 2 2 4 2 2 6" xfId="9148" xr:uid="{00000000-0005-0000-0000-00005E330000}"/>
    <cellStyle name="Финансовый 2 2 4 2 2 6 2" xfId="21126" xr:uid="{00000000-0005-0000-0000-00005F330000}"/>
    <cellStyle name="Финансовый 2 2 4 2 2 6 2 2" xfId="45081" xr:uid="{00000000-0005-0000-0000-000060330000}"/>
    <cellStyle name="Финансовый 2 2 4 2 2 6 3" xfId="33103" xr:uid="{00000000-0005-0000-0000-000061330000}"/>
    <cellStyle name="Финансовый 2 2 4 2 2 7" xfId="13307" xr:uid="{00000000-0005-0000-0000-000062330000}"/>
    <cellStyle name="Финансовый 2 2 4 2 2 7 2" xfId="37262" xr:uid="{00000000-0005-0000-0000-000063330000}"/>
    <cellStyle name="Финансовый 2 2 4 2 2 8" xfId="25285" xr:uid="{00000000-0005-0000-0000-000064330000}"/>
    <cellStyle name="Финансовый 2 2 4 2 2 9" xfId="48418" xr:uid="{00000000-0005-0000-0000-000065330000}"/>
    <cellStyle name="Финансовый 2 2 4 2 3" xfId="2028" xr:uid="{00000000-0005-0000-0000-000066330000}"/>
    <cellStyle name="Финансовый 2 2 4 2 3 2" xfId="3673" xr:uid="{00000000-0005-0000-0000-000067330000}"/>
    <cellStyle name="Финансовый 2 2 4 2 3 2 2" xfId="11413" xr:uid="{00000000-0005-0000-0000-000068330000}"/>
    <cellStyle name="Финансовый 2 2 4 2 3 2 2 2" xfId="23391" xr:uid="{00000000-0005-0000-0000-000069330000}"/>
    <cellStyle name="Финансовый 2 2 4 2 3 2 2 2 2" xfId="47346" xr:uid="{00000000-0005-0000-0000-00006A330000}"/>
    <cellStyle name="Финансовый 2 2 4 2 3 2 2 3" xfId="35368" xr:uid="{00000000-0005-0000-0000-00006B330000}"/>
    <cellStyle name="Финансовый 2 2 4 2 3 2 3" xfId="15652" xr:uid="{00000000-0005-0000-0000-00006C330000}"/>
    <cellStyle name="Финансовый 2 2 4 2 3 2 3 2" xfId="39607" xr:uid="{00000000-0005-0000-0000-00006D330000}"/>
    <cellStyle name="Финансовый 2 2 4 2 3 2 4" xfId="27630" xr:uid="{00000000-0005-0000-0000-00006E330000}"/>
    <cellStyle name="Финансовый 2 2 4 2 3 2 5" xfId="50899" xr:uid="{00000000-0005-0000-0000-00006F330000}"/>
    <cellStyle name="Финансовый 2 2 4 2 3 3" xfId="5456" xr:uid="{00000000-0005-0000-0000-000070330000}"/>
    <cellStyle name="Финансовый 2 2 4 2 3 3 2" xfId="17434" xr:uid="{00000000-0005-0000-0000-000071330000}"/>
    <cellStyle name="Финансовый 2 2 4 2 3 3 2 2" xfId="41389" xr:uid="{00000000-0005-0000-0000-000072330000}"/>
    <cellStyle name="Финансовый 2 2 4 2 3 3 3" xfId="29411" xr:uid="{00000000-0005-0000-0000-000073330000}"/>
    <cellStyle name="Финансовый 2 2 4 2 3 4" xfId="8066" xr:uid="{00000000-0005-0000-0000-000074330000}"/>
    <cellStyle name="Финансовый 2 2 4 2 3 4 2" xfId="20044" xr:uid="{00000000-0005-0000-0000-000075330000}"/>
    <cellStyle name="Финансовый 2 2 4 2 3 4 2 2" xfId="43999" xr:uid="{00000000-0005-0000-0000-000076330000}"/>
    <cellStyle name="Финансовый 2 2 4 2 3 4 3" xfId="32021" xr:uid="{00000000-0005-0000-0000-000077330000}"/>
    <cellStyle name="Финансовый 2 2 4 2 3 5" xfId="9849" xr:uid="{00000000-0005-0000-0000-000078330000}"/>
    <cellStyle name="Финансовый 2 2 4 2 3 5 2" xfId="21827" xr:uid="{00000000-0005-0000-0000-000079330000}"/>
    <cellStyle name="Финансовый 2 2 4 2 3 5 2 2" xfId="45782" xr:uid="{00000000-0005-0000-0000-00007A330000}"/>
    <cellStyle name="Финансовый 2 2 4 2 3 5 3" xfId="33804" xr:uid="{00000000-0005-0000-0000-00007B330000}"/>
    <cellStyle name="Финансовый 2 2 4 2 3 6" xfId="14007" xr:uid="{00000000-0005-0000-0000-00007C330000}"/>
    <cellStyle name="Финансовый 2 2 4 2 3 6 2" xfId="37962" xr:uid="{00000000-0005-0000-0000-00007D330000}"/>
    <cellStyle name="Финансовый 2 2 4 2 3 7" xfId="25985" xr:uid="{00000000-0005-0000-0000-00007E330000}"/>
    <cellStyle name="Финансовый 2 2 4 2 3 8" xfId="49118" xr:uid="{00000000-0005-0000-0000-00007F330000}"/>
    <cellStyle name="Финансовый 2 2 4 2 4" xfId="2557" xr:uid="{00000000-0005-0000-0000-000080330000}"/>
    <cellStyle name="Финансовый 2 2 4 2 4 2" xfId="4202" xr:uid="{00000000-0005-0000-0000-000081330000}"/>
    <cellStyle name="Финансовый 2 2 4 2 4 2 2" xfId="11926" xr:uid="{00000000-0005-0000-0000-000082330000}"/>
    <cellStyle name="Финансовый 2 2 4 2 4 2 2 2" xfId="23904" xr:uid="{00000000-0005-0000-0000-000083330000}"/>
    <cellStyle name="Финансовый 2 2 4 2 4 2 2 2 2" xfId="47859" xr:uid="{00000000-0005-0000-0000-000084330000}"/>
    <cellStyle name="Финансовый 2 2 4 2 4 2 2 3" xfId="35881" xr:uid="{00000000-0005-0000-0000-000085330000}"/>
    <cellStyle name="Финансовый 2 2 4 2 4 2 3" xfId="16181" xr:uid="{00000000-0005-0000-0000-000086330000}"/>
    <cellStyle name="Финансовый 2 2 4 2 4 2 3 2" xfId="40136" xr:uid="{00000000-0005-0000-0000-000087330000}"/>
    <cellStyle name="Финансовый 2 2 4 2 4 2 4" xfId="28159" xr:uid="{00000000-0005-0000-0000-000088330000}"/>
    <cellStyle name="Финансовый 2 2 4 2 4 2 5" xfId="51428" xr:uid="{00000000-0005-0000-0000-000089330000}"/>
    <cellStyle name="Финансовый 2 2 4 2 4 3" xfId="5985" xr:uid="{00000000-0005-0000-0000-00008A330000}"/>
    <cellStyle name="Финансовый 2 2 4 2 4 3 2" xfId="17963" xr:uid="{00000000-0005-0000-0000-00008B330000}"/>
    <cellStyle name="Финансовый 2 2 4 2 4 3 2 2" xfId="41918" xr:uid="{00000000-0005-0000-0000-00008C330000}"/>
    <cellStyle name="Финансовый 2 2 4 2 4 3 3" xfId="29940" xr:uid="{00000000-0005-0000-0000-00008D330000}"/>
    <cellStyle name="Финансовый 2 2 4 2 4 4" xfId="8595" xr:uid="{00000000-0005-0000-0000-00008E330000}"/>
    <cellStyle name="Финансовый 2 2 4 2 4 4 2" xfId="20573" xr:uid="{00000000-0005-0000-0000-00008F330000}"/>
    <cellStyle name="Финансовый 2 2 4 2 4 4 2 2" xfId="44528" xr:uid="{00000000-0005-0000-0000-000090330000}"/>
    <cellStyle name="Финансовый 2 2 4 2 4 4 3" xfId="32550" xr:uid="{00000000-0005-0000-0000-000091330000}"/>
    <cellStyle name="Финансовый 2 2 4 2 4 5" xfId="10378" xr:uid="{00000000-0005-0000-0000-000092330000}"/>
    <cellStyle name="Финансовый 2 2 4 2 4 5 2" xfId="22356" xr:uid="{00000000-0005-0000-0000-000093330000}"/>
    <cellStyle name="Финансовый 2 2 4 2 4 5 2 2" xfId="46311" xr:uid="{00000000-0005-0000-0000-000094330000}"/>
    <cellStyle name="Финансовый 2 2 4 2 4 5 3" xfId="34333" xr:uid="{00000000-0005-0000-0000-000095330000}"/>
    <cellStyle name="Финансовый 2 2 4 2 4 6" xfId="14536" xr:uid="{00000000-0005-0000-0000-000096330000}"/>
    <cellStyle name="Финансовый 2 2 4 2 4 6 2" xfId="38491" xr:uid="{00000000-0005-0000-0000-000097330000}"/>
    <cellStyle name="Финансовый 2 2 4 2 4 7" xfId="26514" xr:uid="{00000000-0005-0000-0000-000098330000}"/>
    <cellStyle name="Финансовый 2 2 4 2 4 8" xfId="49647" xr:uid="{00000000-0005-0000-0000-000099330000}"/>
    <cellStyle name="Финансовый 2 2 4 2 5" xfId="1061" xr:uid="{00000000-0005-0000-0000-00009A330000}"/>
    <cellStyle name="Финансовый 2 2 4 2 5 2" xfId="7101" xr:uid="{00000000-0005-0000-0000-00009B330000}"/>
    <cellStyle name="Финансовый 2 2 4 2 5 2 2" xfId="19079" xr:uid="{00000000-0005-0000-0000-00009C330000}"/>
    <cellStyle name="Финансовый 2 2 4 2 5 2 2 2" xfId="43034" xr:uid="{00000000-0005-0000-0000-00009D330000}"/>
    <cellStyle name="Финансовый 2 2 4 2 5 2 3" xfId="31056" xr:uid="{00000000-0005-0000-0000-00009E330000}"/>
    <cellStyle name="Финансовый 2 2 4 2 5 3" xfId="10641" xr:uid="{00000000-0005-0000-0000-00009F330000}"/>
    <cellStyle name="Финансовый 2 2 4 2 5 3 2" xfId="22619" xr:uid="{00000000-0005-0000-0000-0000A0330000}"/>
    <cellStyle name="Финансовый 2 2 4 2 5 3 2 2" xfId="46574" xr:uid="{00000000-0005-0000-0000-0000A1330000}"/>
    <cellStyle name="Финансовый 2 2 4 2 5 3 3" xfId="34596" xr:uid="{00000000-0005-0000-0000-0000A2330000}"/>
    <cellStyle name="Финансовый 2 2 4 2 5 4" xfId="13042" xr:uid="{00000000-0005-0000-0000-0000A3330000}"/>
    <cellStyle name="Финансовый 2 2 4 2 5 4 2" xfId="36997" xr:uid="{00000000-0005-0000-0000-0000A4330000}"/>
    <cellStyle name="Финансовый 2 2 4 2 5 5" xfId="25020" xr:uid="{00000000-0005-0000-0000-0000A5330000}"/>
    <cellStyle name="Финансовый 2 2 4 2 5 6" xfId="49926" xr:uid="{00000000-0005-0000-0000-0000A6330000}"/>
    <cellStyle name="Финансовый 2 2 4 2 6" xfId="649" xr:uid="{00000000-0005-0000-0000-0000A7330000}"/>
    <cellStyle name="Финансовый 2 2 4 2 6 2" xfId="6689" xr:uid="{00000000-0005-0000-0000-0000A8330000}"/>
    <cellStyle name="Финансовый 2 2 4 2 6 2 2" xfId="18667" xr:uid="{00000000-0005-0000-0000-0000A9330000}"/>
    <cellStyle name="Финансовый 2 2 4 2 6 2 2 2" xfId="42622" xr:uid="{00000000-0005-0000-0000-0000AA330000}"/>
    <cellStyle name="Финансовый 2 2 4 2 6 2 3" xfId="30644" xr:uid="{00000000-0005-0000-0000-0000AB330000}"/>
    <cellStyle name="Финансовый 2 2 4 2 6 3" xfId="12630" xr:uid="{00000000-0005-0000-0000-0000AC330000}"/>
    <cellStyle name="Финансовый 2 2 4 2 6 3 2" xfId="36585" xr:uid="{00000000-0005-0000-0000-0000AD330000}"/>
    <cellStyle name="Финансовый 2 2 4 2 6 4" xfId="24608" xr:uid="{00000000-0005-0000-0000-0000AE330000}"/>
    <cellStyle name="Финансовый 2 2 4 2 7" xfId="2838" xr:uid="{00000000-0005-0000-0000-0000AF330000}"/>
    <cellStyle name="Финансовый 2 2 4 2 7 2" xfId="14817" xr:uid="{00000000-0005-0000-0000-0000B0330000}"/>
    <cellStyle name="Финансовый 2 2 4 2 7 2 2" xfId="38772" xr:uid="{00000000-0005-0000-0000-0000B1330000}"/>
    <cellStyle name="Финансовый 2 2 4 2 7 3" xfId="26795" xr:uid="{00000000-0005-0000-0000-0000B2330000}"/>
    <cellStyle name="Финансовый 2 2 4 2 8" xfId="4482" xr:uid="{00000000-0005-0000-0000-0000B3330000}"/>
    <cellStyle name="Финансовый 2 2 4 2 8 2" xfId="16461" xr:uid="{00000000-0005-0000-0000-0000B4330000}"/>
    <cellStyle name="Финансовый 2 2 4 2 8 2 2" xfId="40416" xr:uid="{00000000-0005-0000-0000-0000B5330000}"/>
    <cellStyle name="Финансовый 2 2 4 2 8 3" xfId="28439" xr:uid="{00000000-0005-0000-0000-0000B6330000}"/>
    <cellStyle name="Финансовый 2 2 4 2 9" xfId="6269" xr:uid="{00000000-0005-0000-0000-0000B7330000}"/>
    <cellStyle name="Финансовый 2 2 4 2 9 2" xfId="18247" xr:uid="{00000000-0005-0000-0000-0000B8330000}"/>
    <cellStyle name="Финансовый 2 2 4 2 9 2 2" xfId="42202" xr:uid="{00000000-0005-0000-0000-0000B9330000}"/>
    <cellStyle name="Финансовый 2 2 4 2 9 3" xfId="30224" xr:uid="{00000000-0005-0000-0000-0000BA330000}"/>
    <cellStyle name="Финансовый 2 2 4 3" xfId="377" xr:uid="{00000000-0005-0000-0000-0000BB330000}"/>
    <cellStyle name="Финансовый 2 2 4 3 10" xfId="24336" xr:uid="{00000000-0005-0000-0000-0000BC330000}"/>
    <cellStyle name="Финансовый 2 2 4 3 11" xfId="48282" xr:uid="{00000000-0005-0000-0000-0000BD330000}"/>
    <cellStyle name="Финансовый 2 2 4 3 2" xfId="2156" xr:uid="{00000000-0005-0000-0000-0000BE330000}"/>
    <cellStyle name="Финансовый 2 2 4 3 2 2" xfId="3801" xr:uid="{00000000-0005-0000-0000-0000BF330000}"/>
    <cellStyle name="Финансовый 2 2 4 3 2 2 2" xfId="11541" xr:uid="{00000000-0005-0000-0000-0000C0330000}"/>
    <cellStyle name="Финансовый 2 2 4 3 2 2 2 2" xfId="23519" xr:uid="{00000000-0005-0000-0000-0000C1330000}"/>
    <cellStyle name="Финансовый 2 2 4 3 2 2 2 2 2" xfId="47474" xr:uid="{00000000-0005-0000-0000-0000C2330000}"/>
    <cellStyle name="Финансовый 2 2 4 3 2 2 2 3" xfId="35496" xr:uid="{00000000-0005-0000-0000-0000C3330000}"/>
    <cellStyle name="Финансовый 2 2 4 3 2 2 3" xfId="15780" xr:uid="{00000000-0005-0000-0000-0000C4330000}"/>
    <cellStyle name="Финансовый 2 2 4 3 2 2 3 2" xfId="39735" xr:uid="{00000000-0005-0000-0000-0000C5330000}"/>
    <cellStyle name="Финансовый 2 2 4 3 2 2 4" xfId="27758" xr:uid="{00000000-0005-0000-0000-0000C6330000}"/>
    <cellStyle name="Финансовый 2 2 4 3 2 2 5" xfId="51027" xr:uid="{00000000-0005-0000-0000-0000C7330000}"/>
    <cellStyle name="Финансовый 2 2 4 3 2 3" xfId="5584" xr:uid="{00000000-0005-0000-0000-0000C8330000}"/>
    <cellStyle name="Финансовый 2 2 4 3 2 3 2" xfId="17562" xr:uid="{00000000-0005-0000-0000-0000C9330000}"/>
    <cellStyle name="Финансовый 2 2 4 3 2 3 2 2" xfId="41517" xr:uid="{00000000-0005-0000-0000-0000CA330000}"/>
    <cellStyle name="Финансовый 2 2 4 3 2 3 3" xfId="29539" xr:uid="{00000000-0005-0000-0000-0000CB330000}"/>
    <cellStyle name="Финансовый 2 2 4 3 2 4" xfId="8194" xr:uid="{00000000-0005-0000-0000-0000CC330000}"/>
    <cellStyle name="Финансовый 2 2 4 3 2 4 2" xfId="20172" xr:uid="{00000000-0005-0000-0000-0000CD330000}"/>
    <cellStyle name="Финансовый 2 2 4 3 2 4 2 2" xfId="44127" xr:uid="{00000000-0005-0000-0000-0000CE330000}"/>
    <cellStyle name="Финансовый 2 2 4 3 2 4 3" xfId="32149" xr:uid="{00000000-0005-0000-0000-0000CF330000}"/>
    <cellStyle name="Финансовый 2 2 4 3 2 5" xfId="9977" xr:uid="{00000000-0005-0000-0000-0000D0330000}"/>
    <cellStyle name="Финансовый 2 2 4 3 2 5 2" xfId="21955" xr:uid="{00000000-0005-0000-0000-0000D1330000}"/>
    <cellStyle name="Финансовый 2 2 4 3 2 5 2 2" xfId="45910" xr:uid="{00000000-0005-0000-0000-0000D2330000}"/>
    <cellStyle name="Финансовый 2 2 4 3 2 5 3" xfId="33932" xr:uid="{00000000-0005-0000-0000-0000D3330000}"/>
    <cellStyle name="Финансовый 2 2 4 3 2 6" xfId="14135" xr:uid="{00000000-0005-0000-0000-0000D4330000}"/>
    <cellStyle name="Финансовый 2 2 4 3 2 6 2" xfId="38090" xr:uid="{00000000-0005-0000-0000-0000D5330000}"/>
    <cellStyle name="Финансовый 2 2 4 3 2 7" xfId="26113" xr:uid="{00000000-0005-0000-0000-0000D6330000}"/>
    <cellStyle name="Финансовый 2 2 4 3 2 8" xfId="49246" xr:uid="{00000000-0005-0000-0000-0000D7330000}"/>
    <cellStyle name="Финансовый 2 2 4 3 3" xfId="1190" xr:uid="{00000000-0005-0000-0000-0000D8330000}"/>
    <cellStyle name="Финансовый 2 2 4 3 3 2" xfId="7230" xr:uid="{00000000-0005-0000-0000-0000D9330000}"/>
    <cellStyle name="Финансовый 2 2 4 3 3 2 2" xfId="19208" xr:uid="{00000000-0005-0000-0000-0000DA330000}"/>
    <cellStyle name="Финансовый 2 2 4 3 3 2 2 2" xfId="43163" xr:uid="{00000000-0005-0000-0000-0000DB330000}"/>
    <cellStyle name="Финансовый 2 2 4 3 3 2 3" xfId="31185" xr:uid="{00000000-0005-0000-0000-0000DC330000}"/>
    <cellStyle name="Финансовый 2 2 4 3 3 3" xfId="10769" xr:uid="{00000000-0005-0000-0000-0000DD330000}"/>
    <cellStyle name="Финансовый 2 2 4 3 3 3 2" xfId="22747" xr:uid="{00000000-0005-0000-0000-0000DE330000}"/>
    <cellStyle name="Финансовый 2 2 4 3 3 3 2 2" xfId="46702" xr:uid="{00000000-0005-0000-0000-0000DF330000}"/>
    <cellStyle name="Финансовый 2 2 4 3 3 3 3" xfId="34724" xr:uid="{00000000-0005-0000-0000-0000E0330000}"/>
    <cellStyle name="Финансовый 2 2 4 3 3 4" xfId="13171" xr:uid="{00000000-0005-0000-0000-0000E1330000}"/>
    <cellStyle name="Финансовый 2 2 4 3 3 4 2" xfId="37126" xr:uid="{00000000-0005-0000-0000-0000E2330000}"/>
    <cellStyle name="Финансовый 2 2 4 3 3 5" xfId="25149" xr:uid="{00000000-0005-0000-0000-0000E3330000}"/>
    <cellStyle name="Финансовый 2 2 4 3 3 6" xfId="50062" xr:uid="{00000000-0005-0000-0000-0000E4330000}"/>
    <cellStyle name="Финансовый 2 2 4 3 4" xfId="797" xr:uid="{00000000-0005-0000-0000-0000E5330000}"/>
    <cellStyle name="Финансовый 2 2 4 3 4 2" xfId="6837" xr:uid="{00000000-0005-0000-0000-0000E6330000}"/>
    <cellStyle name="Финансовый 2 2 4 3 4 2 2" xfId="18815" xr:uid="{00000000-0005-0000-0000-0000E7330000}"/>
    <cellStyle name="Финансовый 2 2 4 3 4 2 2 2" xfId="42770" xr:uid="{00000000-0005-0000-0000-0000E8330000}"/>
    <cellStyle name="Финансовый 2 2 4 3 4 2 3" xfId="30792" xr:uid="{00000000-0005-0000-0000-0000E9330000}"/>
    <cellStyle name="Финансовый 2 2 4 3 4 3" xfId="12778" xr:uid="{00000000-0005-0000-0000-0000EA330000}"/>
    <cellStyle name="Финансовый 2 2 4 3 4 3 2" xfId="36733" xr:uid="{00000000-0005-0000-0000-0000EB330000}"/>
    <cellStyle name="Финансовый 2 2 4 3 4 4" xfId="24756" xr:uid="{00000000-0005-0000-0000-0000EC330000}"/>
    <cellStyle name="Финансовый 2 2 4 3 5" xfId="2974" xr:uid="{00000000-0005-0000-0000-0000ED330000}"/>
    <cellStyle name="Финансовый 2 2 4 3 5 2" xfId="14953" xr:uid="{00000000-0005-0000-0000-0000EE330000}"/>
    <cellStyle name="Финансовый 2 2 4 3 5 2 2" xfId="38908" xr:uid="{00000000-0005-0000-0000-0000EF330000}"/>
    <cellStyle name="Финансовый 2 2 4 3 5 3" xfId="26931" xr:uid="{00000000-0005-0000-0000-0000F0330000}"/>
    <cellStyle name="Финансовый 2 2 4 3 6" xfId="4618" xr:uid="{00000000-0005-0000-0000-0000F1330000}"/>
    <cellStyle name="Финансовый 2 2 4 3 6 2" xfId="16597" xr:uid="{00000000-0005-0000-0000-0000F2330000}"/>
    <cellStyle name="Финансовый 2 2 4 3 6 2 2" xfId="40552" xr:uid="{00000000-0005-0000-0000-0000F3330000}"/>
    <cellStyle name="Финансовый 2 2 4 3 6 3" xfId="28575" xr:uid="{00000000-0005-0000-0000-0000F4330000}"/>
    <cellStyle name="Финансовый 2 2 4 3 7" xfId="6417" xr:uid="{00000000-0005-0000-0000-0000F5330000}"/>
    <cellStyle name="Финансовый 2 2 4 3 7 2" xfId="18395" xr:uid="{00000000-0005-0000-0000-0000F6330000}"/>
    <cellStyle name="Финансовый 2 2 4 3 7 2 2" xfId="42350" xr:uid="{00000000-0005-0000-0000-0000F7330000}"/>
    <cellStyle name="Финансовый 2 2 4 3 7 3" xfId="30372" xr:uid="{00000000-0005-0000-0000-0000F8330000}"/>
    <cellStyle name="Финансовый 2 2 4 3 8" xfId="9012" xr:uid="{00000000-0005-0000-0000-0000F9330000}"/>
    <cellStyle name="Финансовый 2 2 4 3 8 2" xfId="20990" xr:uid="{00000000-0005-0000-0000-0000FA330000}"/>
    <cellStyle name="Финансовый 2 2 4 3 8 2 2" xfId="44945" xr:uid="{00000000-0005-0000-0000-0000FB330000}"/>
    <cellStyle name="Финансовый 2 2 4 3 8 3" xfId="32967" xr:uid="{00000000-0005-0000-0000-0000FC330000}"/>
    <cellStyle name="Финансовый 2 2 4 3 9" xfId="12358" xr:uid="{00000000-0005-0000-0000-0000FD330000}"/>
    <cellStyle name="Финансовый 2 2 4 3 9 2" xfId="36313" xr:uid="{00000000-0005-0000-0000-0000FE330000}"/>
    <cellStyle name="Финансовый 2 2 4 4" xfId="1471" xr:uid="{00000000-0005-0000-0000-0000FF330000}"/>
    <cellStyle name="Финансовый 2 2 4 4 2" xfId="1900" xr:uid="{00000000-0005-0000-0000-000000340000}"/>
    <cellStyle name="Финансовый 2 2 4 4 2 2" xfId="3545" xr:uid="{00000000-0005-0000-0000-000001340000}"/>
    <cellStyle name="Финансовый 2 2 4 4 2 2 2" xfId="11285" xr:uid="{00000000-0005-0000-0000-000002340000}"/>
    <cellStyle name="Финансовый 2 2 4 4 2 2 2 2" xfId="23263" xr:uid="{00000000-0005-0000-0000-000003340000}"/>
    <cellStyle name="Финансовый 2 2 4 4 2 2 2 2 2" xfId="47218" xr:uid="{00000000-0005-0000-0000-000004340000}"/>
    <cellStyle name="Финансовый 2 2 4 4 2 2 2 3" xfId="35240" xr:uid="{00000000-0005-0000-0000-000005340000}"/>
    <cellStyle name="Финансовый 2 2 4 4 2 2 3" xfId="15524" xr:uid="{00000000-0005-0000-0000-000006340000}"/>
    <cellStyle name="Финансовый 2 2 4 4 2 2 3 2" xfId="39479" xr:uid="{00000000-0005-0000-0000-000007340000}"/>
    <cellStyle name="Финансовый 2 2 4 4 2 2 4" xfId="27502" xr:uid="{00000000-0005-0000-0000-000008340000}"/>
    <cellStyle name="Финансовый 2 2 4 4 2 2 5" xfId="50771" xr:uid="{00000000-0005-0000-0000-000009340000}"/>
    <cellStyle name="Финансовый 2 2 4 4 2 3" xfId="5328" xr:uid="{00000000-0005-0000-0000-00000A340000}"/>
    <cellStyle name="Финансовый 2 2 4 4 2 3 2" xfId="17306" xr:uid="{00000000-0005-0000-0000-00000B340000}"/>
    <cellStyle name="Финансовый 2 2 4 4 2 3 2 2" xfId="41261" xr:uid="{00000000-0005-0000-0000-00000C340000}"/>
    <cellStyle name="Финансовый 2 2 4 4 2 3 3" xfId="29283" xr:uid="{00000000-0005-0000-0000-00000D340000}"/>
    <cellStyle name="Финансовый 2 2 4 4 2 4" xfId="7938" xr:uid="{00000000-0005-0000-0000-00000E340000}"/>
    <cellStyle name="Финансовый 2 2 4 4 2 4 2" xfId="19916" xr:uid="{00000000-0005-0000-0000-00000F340000}"/>
    <cellStyle name="Финансовый 2 2 4 4 2 4 2 2" xfId="43871" xr:uid="{00000000-0005-0000-0000-000010340000}"/>
    <cellStyle name="Финансовый 2 2 4 4 2 4 3" xfId="31893" xr:uid="{00000000-0005-0000-0000-000011340000}"/>
    <cellStyle name="Финансовый 2 2 4 4 2 5" xfId="9721" xr:uid="{00000000-0005-0000-0000-000012340000}"/>
    <cellStyle name="Финансовый 2 2 4 4 2 5 2" xfId="21699" xr:uid="{00000000-0005-0000-0000-000013340000}"/>
    <cellStyle name="Финансовый 2 2 4 4 2 5 2 2" xfId="45654" xr:uid="{00000000-0005-0000-0000-000014340000}"/>
    <cellStyle name="Финансовый 2 2 4 4 2 5 3" xfId="33676" xr:uid="{00000000-0005-0000-0000-000015340000}"/>
    <cellStyle name="Финансовый 2 2 4 4 2 6" xfId="13879" xr:uid="{00000000-0005-0000-0000-000016340000}"/>
    <cellStyle name="Финансовый 2 2 4 4 2 6 2" xfId="37834" xr:uid="{00000000-0005-0000-0000-000017340000}"/>
    <cellStyle name="Финансовый 2 2 4 4 2 7" xfId="25857" xr:uid="{00000000-0005-0000-0000-000018340000}"/>
    <cellStyle name="Финансовый 2 2 4 4 2 8" xfId="48990" xr:uid="{00000000-0005-0000-0000-000019340000}"/>
    <cellStyle name="Финансовый 2 2 4 4 3" xfId="4899" xr:uid="{00000000-0005-0000-0000-00001A340000}"/>
    <cellStyle name="Финансовый 2 2 4 4 3 2" xfId="16877" xr:uid="{00000000-0005-0000-0000-00001B340000}"/>
    <cellStyle name="Финансовый 2 2 4 4 3 2 2" xfId="40832" xr:uid="{00000000-0005-0000-0000-00001C340000}"/>
    <cellStyle name="Финансовый 2 2 4 4 3 3" xfId="28854" xr:uid="{00000000-0005-0000-0000-00001D340000}"/>
    <cellStyle name="Финансовый 2 2 4 4 3 4" xfId="50342" xr:uid="{00000000-0005-0000-0000-00001E340000}"/>
    <cellStyle name="Финансовый 2 2 4 4 4" xfId="7509" xr:uid="{00000000-0005-0000-0000-00001F340000}"/>
    <cellStyle name="Финансовый 2 2 4 4 4 2" xfId="19487" xr:uid="{00000000-0005-0000-0000-000020340000}"/>
    <cellStyle name="Финансовый 2 2 4 4 4 2 2" xfId="43442" xr:uid="{00000000-0005-0000-0000-000021340000}"/>
    <cellStyle name="Финансовый 2 2 4 4 4 3" xfId="31464" xr:uid="{00000000-0005-0000-0000-000022340000}"/>
    <cellStyle name="Финансовый 2 2 4 4 5" xfId="9292" xr:uid="{00000000-0005-0000-0000-000023340000}"/>
    <cellStyle name="Финансовый 2 2 4 4 5 2" xfId="21270" xr:uid="{00000000-0005-0000-0000-000024340000}"/>
    <cellStyle name="Финансовый 2 2 4 4 5 2 2" xfId="45225" xr:uid="{00000000-0005-0000-0000-000025340000}"/>
    <cellStyle name="Финансовый 2 2 4 4 5 3" xfId="33247" xr:uid="{00000000-0005-0000-0000-000026340000}"/>
    <cellStyle name="Финансовый 2 2 4 4 6" xfId="13450" xr:uid="{00000000-0005-0000-0000-000027340000}"/>
    <cellStyle name="Финансовый 2 2 4 4 6 2" xfId="37405" xr:uid="{00000000-0005-0000-0000-000028340000}"/>
    <cellStyle name="Финансовый 2 2 4 4 7" xfId="25428" xr:uid="{00000000-0005-0000-0000-000029340000}"/>
    <cellStyle name="Финансовый 2 2 4 4 8" xfId="48561" xr:uid="{00000000-0005-0000-0000-00002A340000}"/>
    <cellStyle name="Финансовый 2 2 4 5" xfId="1776" xr:uid="{00000000-0005-0000-0000-00002B340000}"/>
    <cellStyle name="Финансовый 2 2 4 5 2" xfId="3421" xr:uid="{00000000-0005-0000-0000-00002C340000}"/>
    <cellStyle name="Финансовый 2 2 4 5 2 2" xfId="11169" xr:uid="{00000000-0005-0000-0000-00002D340000}"/>
    <cellStyle name="Финансовый 2 2 4 5 2 2 2" xfId="23147" xr:uid="{00000000-0005-0000-0000-00002E340000}"/>
    <cellStyle name="Финансовый 2 2 4 5 2 2 2 2" xfId="47102" xr:uid="{00000000-0005-0000-0000-00002F340000}"/>
    <cellStyle name="Финансовый 2 2 4 5 2 2 3" xfId="35124" xr:uid="{00000000-0005-0000-0000-000030340000}"/>
    <cellStyle name="Финансовый 2 2 4 5 2 3" xfId="15400" xr:uid="{00000000-0005-0000-0000-000031340000}"/>
    <cellStyle name="Финансовый 2 2 4 5 2 3 2" xfId="39355" xr:uid="{00000000-0005-0000-0000-000032340000}"/>
    <cellStyle name="Финансовый 2 2 4 5 2 4" xfId="27378" xr:uid="{00000000-0005-0000-0000-000033340000}"/>
    <cellStyle name="Финансовый 2 2 4 5 2 5" xfId="50647" xr:uid="{00000000-0005-0000-0000-000034340000}"/>
    <cellStyle name="Финансовый 2 2 4 5 3" xfId="5204" xr:uid="{00000000-0005-0000-0000-000035340000}"/>
    <cellStyle name="Финансовый 2 2 4 5 3 2" xfId="17182" xr:uid="{00000000-0005-0000-0000-000036340000}"/>
    <cellStyle name="Финансовый 2 2 4 5 3 2 2" xfId="41137" xr:uid="{00000000-0005-0000-0000-000037340000}"/>
    <cellStyle name="Финансовый 2 2 4 5 3 3" xfId="29159" xr:uid="{00000000-0005-0000-0000-000038340000}"/>
    <cellStyle name="Финансовый 2 2 4 5 4" xfId="7814" xr:uid="{00000000-0005-0000-0000-000039340000}"/>
    <cellStyle name="Финансовый 2 2 4 5 4 2" xfId="19792" xr:uid="{00000000-0005-0000-0000-00003A340000}"/>
    <cellStyle name="Финансовый 2 2 4 5 4 2 2" xfId="43747" xr:uid="{00000000-0005-0000-0000-00003B340000}"/>
    <cellStyle name="Финансовый 2 2 4 5 4 3" xfId="31769" xr:uid="{00000000-0005-0000-0000-00003C340000}"/>
    <cellStyle name="Финансовый 2 2 4 5 5" xfId="9597" xr:uid="{00000000-0005-0000-0000-00003D340000}"/>
    <cellStyle name="Финансовый 2 2 4 5 5 2" xfId="21575" xr:uid="{00000000-0005-0000-0000-00003E340000}"/>
    <cellStyle name="Финансовый 2 2 4 5 5 2 2" xfId="45530" xr:uid="{00000000-0005-0000-0000-00003F340000}"/>
    <cellStyle name="Финансовый 2 2 4 5 5 3" xfId="33552" xr:uid="{00000000-0005-0000-0000-000040340000}"/>
    <cellStyle name="Финансовый 2 2 4 5 6" xfId="13755" xr:uid="{00000000-0005-0000-0000-000041340000}"/>
    <cellStyle name="Финансовый 2 2 4 5 6 2" xfId="37710" xr:uid="{00000000-0005-0000-0000-000042340000}"/>
    <cellStyle name="Финансовый 2 2 4 5 7" xfId="25733" xr:uid="{00000000-0005-0000-0000-000043340000}"/>
    <cellStyle name="Финансовый 2 2 4 5 8" xfId="48866" xr:uid="{00000000-0005-0000-0000-000044340000}"/>
    <cellStyle name="Финансовый 2 2 4 6" xfId="2421" xr:uid="{00000000-0005-0000-0000-000045340000}"/>
    <cellStyle name="Финансовый 2 2 4 6 2" xfId="4066" xr:uid="{00000000-0005-0000-0000-000046340000}"/>
    <cellStyle name="Финансовый 2 2 4 6 2 2" xfId="11798" xr:uid="{00000000-0005-0000-0000-000047340000}"/>
    <cellStyle name="Финансовый 2 2 4 6 2 2 2" xfId="23776" xr:uid="{00000000-0005-0000-0000-000048340000}"/>
    <cellStyle name="Финансовый 2 2 4 6 2 2 2 2" xfId="47731" xr:uid="{00000000-0005-0000-0000-000049340000}"/>
    <cellStyle name="Финансовый 2 2 4 6 2 2 3" xfId="35753" xr:uid="{00000000-0005-0000-0000-00004A340000}"/>
    <cellStyle name="Финансовый 2 2 4 6 2 3" xfId="16045" xr:uid="{00000000-0005-0000-0000-00004B340000}"/>
    <cellStyle name="Финансовый 2 2 4 6 2 3 2" xfId="40000" xr:uid="{00000000-0005-0000-0000-00004C340000}"/>
    <cellStyle name="Финансовый 2 2 4 6 2 4" xfId="28023" xr:uid="{00000000-0005-0000-0000-00004D340000}"/>
    <cellStyle name="Финансовый 2 2 4 6 2 5" xfId="51292" xr:uid="{00000000-0005-0000-0000-00004E340000}"/>
    <cellStyle name="Финансовый 2 2 4 6 3" xfId="5849" xr:uid="{00000000-0005-0000-0000-00004F340000}"/>
    <cellStyle name="Финансовый 2 2 4 6 3 2" xfId="17827" xr:uid="{00000000-0005-0000-0000-000050340000}"/>
    <cellStyle name="Финансовый 2 2 4 6 3 2 2" xfId="41782" xr:uid="{00000000-0005-0000-0000-000051340000}"/>
    <cellStyle name="Финансовый 2 2 4 6 3 3" xfId="29804" xr:uid="{00000000-0005-0000-0000-000052340000}"/>
    <cellStyle name="Финансовый 2 2 4 6 4" xfId="8459" xr:uid="{00000000-0005-0000-0000-000053340000}"/>
    <cellStyle name="Финансовый 2 2 4 6 4 2" xfId="20437" xr:uid="{00000000-0005-0000-0000-000054340000}"/>
    <cellStyle name="Финансовый 2 2 4 6 4 2 2" xfId="44392" xr:uid="{00000000-0005-0000-0000-000055340000}"/>
    <cellStyle name="Финансовый 2 2 4 6 4 3" xfId="32414" xr:uid="{00000000-0005-0000-0000-000056340000}"/>
    <cellStyle name="Финансовый 2 2 4 6 5" xfId="10242" xr:uid="{00000000-0005-0000-0000-000057340000}"/>
    <cellStyle name="Финансовый 2 2 4 6 5 2" xfId="22220" xr:uid="{00000000-0005-0000-0000-000058340000}"/>
    <cellStyle name="Финансовый 2 2 4 6 5 2 2" xfId="46175" xr:uid="{00000000-0005-0000-0000-000059340000}"/>
    <cellStyle name="Финансовый 2 2 4 6 5 3" xfId="34197" xr:uid="{00000000-0005-0000-0000-00005A340000}"/>
    <cellStyle name="Финансовый 2 2 4 6 6" xfId="14400" xr:uid="{00000000-0005-0000-0000-00005B340000}"/>
    <cellStyle name="Финансовый 2 2 4 6 6 2" xfId="38355" xr:uid="{00000000-0005-0000-0000-00005C340000}"/>
    <cellStyle name="Финансовый 2 2 4 6 7" xfId="26378" xr:uid="{00000000-0005-0000-0000-00005D340000}"/>
    <cellStyle name="Финансовый 2 2 4 6 8" xfId="49511" xr:uid="{00000000-0005-0000-0000-00005E340000}"/>
    <cellStyle name="Финансовый 2 2 4 7" xfId="1648" xr:uid="{00000000-0005-0000-0000-00005F340000}"/>
    <cellStyle name="Финансовый 2 2 4 7 2" xfId="3293" xr:uid="{00000000-0005-0000-0000-000060340000}"/>
    <cellStyle name="Финансовый 2 2 4 7 2 2" xfId="11041" xr:uid="{00000000-0005-0000-0000-000061340000}"/>
    <cellStyle name="Финансовый 2 2 4 7 2 2 2" xfId="23019" xr:uid="{00000000-0005-0000-0000-000062340000}"/>
    <cellStyle name="Финансовый 2 2 4 7 2 2 2 2" xfId="46974" xr:uid="{00000000-0005-0000-0000-000063340000}"/>
    <cellStyle name="Финансовый 2 2 4 7 2 2 3" xfId="34996" xr:uid="{00000000-0005-0000-0000-000064340000}"/>
    <cellStyle name="Финансовый 2 2 4 7 2 3" xfId="15272" xr:uid="{00000000-0005-0000-0000-000065340000}"/>
    <cellStyle name="Финансовый 2 2 4 7 2 3 2" xfId="39227" xr:uid="{00000000-0005-0000-0000-000066340000}"/>
    <cellStyle name="Финансовый 2 2 4 7 2 4" xfId="27250" xr:uid="{00000000-0005-0000-0000-000067340000}"/>
    <cellStyle name="Финансовый 2 2 4 7 2 5" xfId="50519" xr:uid="{00000000-0005-0000-0000-000068340000}"/>
    <cellStyle name="Финансовый 2 2 4 7 3" xfId="5076" xr:uid="{00000000-0005-0000-0000-000069340000}"/>
    <cellStyle name="Финансовый 2 2 4 7 3 2" xfId="17054" xr:uid="{00000000-0005-0000-0000-00006A340000}"/>
    <cellStyle name="Финансовый 2 2 4 7 3 2 2" xfId="41009" xr:uid="{00000000-0005-0000-0000-00006B340000}"/>
    <cellStyle name="Финансовый 2 2 4 7 3 3" xfId="29031" xr:uid="{00000000-0005-0000-0000-00006C340000}"/>
    <cellStyle name="Финансовый 2 2 4 7 4" xfId="7686" xr:uid="{00000000-0005-0000-0000-00006D340000}"/>
    <cellStyle name="Финансовый 2 2 4 7 4 2" xfId="19664" xr:uid="{00000000-0005-0000-0000-00006E340000}"/>
    <cellStyle name="Финансовый 2 2 4 7 4 2 2" xfId="43619" xr:uid="{00000000-0005-0000-0000-00006F340000}"/>
    <cellStyle name="Финансовый 2 2 4 7 4 3" xfId="31641" xr:uid="{00000000-0005-0000-0000-000070340000}"/>
    <cellStyle name="Финансовый 2 2 4 7 5" xfId="9469" xr:uid="{00000000-0005-0000-0000-000071340000}"/>
    <cellStyle name="Финансовый 2 2 4 7 5 2" xfId="21447" xr:uid="{00000000-0005-0000-0000-000072340000}"/>
    <cellStyle name="Финансовый 2 2 4 7 5 2 2" xfId="45402" xr:uid="{00000000-0005-0000-0000-000073340000}"/>
    <cellStyle name="Финансовый 2 2 4 7 5 3" xfId="33424" xr:uid="{00000000-0005-0000-0000-000074340000}"/>
    <cellStyle name="Финансовый 2 2 4 7 6" xfId="13627" xr:uid="{00000000-0005-0000-0000-000075340000}"/>
    <cellStyle name="Финансовый 2 2 4 7 6 2" xfId="37582" xr:uid="{00000000-0005-0000-0000-000076340000}"/>
    <cellStyle name="Финансовый 2 2 4 7 7" xfId="25605" xr:uid="{00000000-0005-0000-0000-000077340000}"/>
    <cellStyle name="Финансовый 2 2 4 7 8" xfId="48738" xr:uid="{00000000-0005-0000-0000-000078340000}"/>
    <cellStyle name="Финансовый 2 2 4 8" xfId="925" xr:uid="{00000000-0005-0000-0000-000079340000}"/>
    <cellStyle name="Финансовый 2 2 4 8 2" xfId="6965" xr:uid="{00000000-0005-0000-0000-00007A340000}"/>
    <cellStyle name="Финансовый 2 2 4 8 2 2" xfId="18943" xr:uid="{00000000-0005-0000-0000-00007B340000}"/>
    <cellStyle name="Финансовый 2 2 4 8 2 2 2" xfId="42898" xr:uid="{00000000-0005-0000-0000-00007C340000}"/>
    <cellStyle name="Финансовый 2 2 4 8 2 3" xfId="30920" xr:uid="{00000000-0005-0000-0000-00007D340000}"/>
    <cellStyle name="Финансовый 2 2 4 8 3" xfId="10513" xr:uid="{00000000-0005-0000-0000-00007E340000}"/>
    <cellStyle name="Финансовый 2 2 4 8 3 2" xfId="22491" xr:uid="{00000000-0005-0000-0000-00007F340000}"/>
    <cellStyle name="Финансовый 2 2 4 8 3 2 2" xfId="46446" xr:uid="{00000000-0005-0000-0000-000080340000}"/>
    <cellStyle name="Финансовый 2 2 4 8 3 3" xfId="34468" xr:uid="{00000000-0005-0000-0000-000081340000}"/>
    <cellStyle name="Финансовый 2 2 4 8 4" xfId="12906" xr:uid="{00000000-0005-0000-0000-000082340000}"/>
    <cellStyle name="Финансовый 2 2 4 8 4 2" xfId="36861" xr:uid="{00000000-0005-0000-0000-000083340000}"/>
    <cellStyle name="Финансовый 2 2 4 8 5" xfId="24884" xr:uid="{00000000-0005-0000-0000-000084340000}"/>
    <cellStyle name="Финансовый 2 2 4 8 6" xfId="49790" xr:uid="{00000000-0005-0000-0000-000085340000}"/>
    <cellStyle name="Финансовый 2 2 4 9" xfId="513" xr:uid="{00000000-0005-0000-0000-000086340000}"/>
    <cellStyle name="Финансовый 2 2 4 9 2" xfId="6553" xr:uid="{00000000-0005-0000-0000-000087340000}"/>
    <cellStyle name="Финансовый 2 2 4 9 2 2" xfId="18531" xr:uid="{00000000-0005-0000-0000-000088340000}"/>
    <cellStyle name="Финансовый 2 2 4 9 2 2 2" xfId="42486" xr:uid="{00000000-0005-0000-0000-000089340000}"/>
    <cellStyle name="Финансовый 2 2 4 9 2 3" xfId="30508" xr:uid="{00000000-0005-0000-0000-00008A340000}"/>
    <cellStyle name="Финансовый 2 2 4 9 3" xfId="12494" xr:uid="{00000000-0005-0000-0000-00008B340000}"/>
    <cellStyle name="Финансовый 2 2 4 9 3 2" xfId="36449" xr:uid="{00000000-0005-0000-0000-00008C340000}"/>
    <cellStyle name="Финансовый 2 2 4 9 4" xfId="24472" xr:uid="{00000000-0005-0000-0000-00008D340000}"/>
    <cellStyle name="Финансовый 2 2 5" xfId="98" xr:uid="{00000000-0005-0000-0000-00008E340000}"/>
    <cellStyle name="Финансовый 2 2 5 10" xfId="2708" xr:uid="{00000000-0005-0000-0000-00008F340000}"/>
    <cellStyle name="Финансовый 2 2 5 10 2" xfId="14687" xr:uid="{00000000-0005-0000-0000-000090340000}"/>
    <cellStyle name="Финансовый 2 2 5 10 2 2" xfId="38642" xr:uid="{00000000-0005-0000-0000-000091340000}"/>
    <cellStyle name="Финансовый 2 2 5 10 3" xfId="26665" xr:uid="{00000000-0005-0000-0000-000092340000}"/>
    <cellStyle name="Финансовый 2 2 5 11" xfId="4352" xr:uid="{00000000-0005-0000-0000-000093340000}"/>
    <cellStyle name="Финансовый 2 2 5 11 2" xfId="16331" xr:uid="{00000000-0005-0000-0000-000094340000}"/>
    <cellStyle name="Финансовый 2 2 5 11 2 2" xfId="40286" xr:uid="{00000000-0005-0000-0000-000095340000}"/>
    <cellStyle name="Финансовый 2 2 5 11 3" xfId="28309" xr:uid="{00000000-0005-0000-0000-000096340000}"/>
    <cellStyle name="Финансовый 2 2 5 12" xfId="6139" xr:uid="{00000000-0005-0000-0000-000097340000}"/>
    <cellStyle name="Финансовый 2 2 5 12 2" xfId="18117" xr:uid="{00000000-0005-0000-0000-000098340000}"/>
    <cellStyle name="Финансовый 2 2 5 12 2 2" xfId="42072" xr:uid="{00000000-0005-0000-0000-000099340000}"/>
    <cellStyle name="Финансовый 2 2 5 12 3" xfId="30094" xr:uid="{00000000-0005-0000-0000-00009A340000}"/>
    <cellStyle name="Финансовый 2 2 5 13" xfId="8746" xr:uid="{00000000-0005-0000-0000-00009B340000}"/>
    <cellStyle name="Финансовый 2 2 5 13 2" xfId="20724" xr:uid="{00000000-0005-0000-0000-00009C340000}"/>
    <cellStyle name="Финансовый 2 2 5 13 2 2" xfId="44679" xr:uid="{00000000-0005-0000-0000-00009D340000}"/>
    <cellStyle name="Финансовый 2 2 5 13 3" xfId="32701" xr:uid="{00000000-0005-0000-0000-00009E340000}"/>
    <cellStyle name="Финансовый 2 2 5 14" xfId="12080" xr:uid="{00000000-0005-0000-0000-00009F340000}"/>
    <cellStyle name="Финансовый 2 2 5 14 2" xfId="36035" xr:uid="{00000000-0005-0000-0000-0000A0340000}"/>
    <cellStyle name="Финансовый 2 2 5 15" xfId="24058" xr:uid="{00000000-0005-0000-0000-0000A1340000}"/>
    <cellStyle name="Финансовый 2 2 5 16" xfId="48016" xr:uid="{00000000-0005-0000-0000-0000A2340000}"/>
    <cellStyle name="Финансовый 2 2 5 2" xfId="234" xr:uid="{00000000-0005-0000-0000-0000A3340000}"/>
    <cellStyle name="Финансовый 2 2 5 2 10" xfId="8882" xr:uid="{00000000-0005-0000-0000-0000A4340000}"/>
    <cellStyle name="Финансовый 2 2 5 2 10 2" xfId="20860" xr:uid="{00000000-0005-0000-0000-0000A5340000}"/>
    <cellStyle name="Финансовый 2 2 5 2 10 2 2" xfId="44815" xr:uid="{00000000-0005-0000-0000-0000A6340000}"/>
    <cellStyle name="Финансовый 2 2 5 2 10 3" xfId="32837" xr:uid="{00000000-0005-0000-0000-0000A7340000}"/>
    <cellStyle name="Финансовый 2 2 5 2 11" xfId="12216" xr:uid="{00000000-0005-0000-0000-0000A8340000}"/>
    <cellStyle name="Финансовый 2 2 5 2 11 2" xfId="36171" xr:uid="{00000000-0005-0000-0000-0000A9340000}"/>
    <cellStyle name="Финансовый 2 2 5 2 12" xfId="24194" xr:uid="{00000000-0005-0000-0000-0000AA340000}"/>
    <cellStyle name="Финансовый 2 2 5 2 13" xfId="48152" xr:uid="{00000000-0005-0000-0000-0000AB340000}"/>
    <cellStyle name="Финансовый 2 2 5 2 2" xfId="1332" xr:uid="{00000000-0005-0000-0000-0000AC340000}"/>
    <cellStyle name="Финансовый 2 2 5 2 2 2" xfId="2290" xr:uid="{00000000-0005-0000-0000-0000AD340000}"/>
    <cellStyle name="Финансовый 2 2 5 2 2 2 2" xfId="3935" xr:uid="{00000000-0005-0000-0000-0000AE340000}"/>
    <cellStyle name="Финансовый 2 2 5 2 2 2 2 2" xfId="11675" xr:uid="{00000000-0005-0000-0000-0000AF340000}"/>
    <cellStyle name="Финансовый 2 2 5 2 2 2 2 2 2" xfId="23653" xr:uid="{00000000-0005-0000-0000-0000B0340000}"/>
    <cellStyle name="Финансовый 2 2 5 2 2 2 2 2 2 2" xfId="47608" xr:uid="{00000000-0005-0000-0000-0000B1340000}"/>
    <cellStyle name="Финансовый 2 2 5 2 2 2 2 2 3" xfId="35630" xr:uid="{00000000-0005-0000-0000-0000B2340000}"/>
    <cellStyle name="Финансовый 2 2 5 2 2 2 2 3" xfId="15914" xr:uid="{00000000-0005-0000-0000-0000B3340000}"/>
    <cellStyle name="Финансовый 2 2 5 2 2 2 2 3 2" xfId="39869" xr:uid="{00000000-0005-0000-0000-0000B4340000}"/>
    <cellStyle name="Финансовый 2 2 5 2 2 2 2 4" xfId="27892" xr:uid="{00000000-0005-0000-0000-0000B5340000}"/>
    <cellStyle name="Финансовый 2 2 5 2 2 2 2 5" xfId="51161" xr:uid="{00000000-0005-0000-0000-0000B6340000}"/>
    <cellStyle name="Финансовый 2 2 5 2 2 2 3" xfId="5718" xr:uid="{00000000-0005-0000-0000-0000B7340000}"/>
    <cellStyle name="Финансовый 2 2 5 2 2 2 3 2" xfId="17696" xr:uid="{00000000-0005-0000-0000-0000B8340000}"/>
    <cellStyle name="Финансовый 2 2 5 2 2 2 3 2 2" xfId="41651" xr:uid="{00000000-0005-0000-0000-0000B9340000}"/>
    <cellStyle name="Финансовый 2 2 5 2 2 2 3 3" xfId="29673" xr:uid="{00000000-0005-0000-0000-0000BA340000}"/>
    <cellStyle name="Финансовый 2 2 5 2 2 2 4" xfId="8328" xr:uid="{00000000-0005-0000-0000-0000BB340000}"/>
    <cellStyle name="Финансовый 2 2 5 2 2 2 4 2" xfId="20306" xr:uid="{00000000-0005-0000-0000-0000BC340000}"/>
    <cellStyle name="Финансовый 2 2 5 2 2 2 4 2 2" xfId="44261" xr:uid="{00000000-0005-0000-0000-0000BD340000}"/>
    <cellStyle name="Финансовый 2 2 5 2 2 2 4 3" xfId="32283" xr:uid="{00000000-0005-0000-0000-0000BE340000}"/>
    <cellStyle name="Финансовый 2 2 5 2 2 2 5" xfId="10111" xr:uid="{00000000-0005-0000-0000-0000BF340000}"/>
    <cellStyle name="Финансовый 2 2 5 2 2 2 5 2" xfId="22089" xr:uid="{00000000-0005-0000-0000-0000C0340000}"/>
    <cellStyle name="Финансовый 2 2 5 2 2 2 5 2 2" xfId="46044" xr:uid="{00000000-0005-0000-0000-0000C1340000}"/>
    <cellStyle name="Финансовый 2 2 5 2 2 2 5 3" xfId="34066" xr:uid="{00000000-0005-0000-0000-0000C2340000}"/>
    <cellStyle name="Финансовый 2 2 5 2 2 2 6" xfId="14269" xr:uid="{00000000-0005-0000-0000-0000C3340000}"/>
    <cellStyle name="Финансовый 2 2 5 2 2 2 6 2" xfId="38224" xr:uid="{00000000-0005-0000-0000-0000C4340000}"/>
    <cellStyle name="Финансовый 2 2 5 2 2 2 7" xfId="26247" xr:uid="{00000000-0005-0000-0000-0000C5340000}"/>
    <cellStyle name="Финансовый 2 2 5 2 2 2 8" xfId="49380" xr:uid="{00000000-0005-0000-0000-0000C6340000}"/>
    <cellStyle name="Финансовый 2 2 5 2 2 3" xfId="3116" xr:uid="{00000000-0005-0000-0000-0000C7340000}"/>
    <cellStyle name="Финансовый 2 2 5 2 2 3 2" xfId="10903" xr:uid="{00000000-0005-0000-0000-0000C8340000}"/>
    <cellStyle name="Финансовый 2 2 5 2 2 3 2 2" xfId="22881" xr:uid="{00000000-0005-0000-0000-0000C9340000}"/>
    <cellStyle name="Финансовый 2 2 5 2 2 3 2 2 2" xfId="46836" xr:uid="{00000000-0005-0000-0000-0000CA340000}"/>
    <cellStyle name="Финансовый 2 2 5 2 2 3 2 3" xfId="34858" xr:uid="{00000000-0005-0000-0000-0000CB340000}"/>
    <cellStyle name="Финансовый 2 2 5 2 2 3 3" xfId="15095" xr:uid="{00000000-0005-0000-0000-0000CC340000}"/>
    <cellStyle name="Финансовый 2 2 5 2 2 3 3 2" xfId="39050" xr:uid="{00000000-0005-0000-0000-0000CD340000}"/>
    <cellStyle name="Финансовый 2 2 5 2 2 3 4" xfId="27073" xr:uid="{00000000-0005-0000-0000-0000CE340000}"/>
    <cellStyle name="Финансовый 2 2 5 2 2 3 5" xfId="50204" xr:uid="{00000000-0005-0000-0000-0000CF340000}"/>
    <cellStyle name="Финансовый 2 2 5 2 2 4" xfId="4760" xr:uid="{00000000-0005-0000-0000-0000D0340000}"/>
    <cellStyle name="Финансовый 2 2 5 2 2 4 2" xfId="16739" xr:uid="{00000000-0005-0000-0000-0000D1340000}"/>
    <cellStyle name="Финансовый 2 2 5 2 2 4 2 2" xfId="40694" xr:uid="{00000000-0005-0000-0000-0000D2340000}"/>
    <cellStyle name="Финансовый 2 2 5 2 2 4 3" xfId="28717" xr:uid="{00000000-0005-0000-0000-0000D3340000}"/>
    <cellStyle name="Финансовый 2 2 5 2 2 5" xfId="7372" xr:uid="{00000000-0005-0000-0000-0000D4340000}"/>
    <cellStyle name="Финансовый 2 2 5 2 2 5 2" xfId="19350" xr:uid="{00000000-0005-0000-0000-0000D5340000}"/>
    <cellStyle name="Финансовый 2 2 5 2 2 5 2 2" xfId="43305" xr:uid="{00000000-0005-0000-0000-0000D6340000}"/>
    <cellStyle name="Финансовый 2 2 5 2 2 5 3" xfId="31327" xr:uid="{00000000-0005-0000-0000-0000D7340000}"/>
    <cellStyle name="Финансовый 2 2 5 2 2 6" xfId="9154" xr:uid="{00000000-0005-0000-0000-0000D8340000}"/>
    <cellStyle name="Финансовый 2 2 5 2 2 6 2" xfId="21132" xr:uid="{00000000-0005-0000-0000-0000D9340000}"/>
    <cellStyle name="Финансовый 2 2 5 2 2 6 2 2" xfId="45087" xr:uid="{00000000-0005-0000-0000-0000DA340000}"/>
    <cellStyle name="Финансовый 2 2 5 2 2 6 3" xfId="33109" xr:uid="{00000000-0005-0000-0000-0000DB340000}"/>
    <cellStyle name="Финансовый 2 2 5 2 2 7" xfId="13313" xr:uid="{00000000-0005-0000-0000-0000DC340000}"/>
    <cellStyle name="Финансовый 2 2 5 2 2 7 2" xfId="37268" xr:uid="{00000000-0005-0000-0000-0000DD340000}"/>
    <cellStyle name="Финансовый 2 2 5 2 2 8" xfId="25291" xr:uid="{00000000-0005-0000-0000-0000DE340000}"/>
    <cellStyle name="Финансовый 2 2 5 2 2 9" xfId="48424" xr:uid="{00000000-0005-0000-0000-0000DF340000}"/>
    <cellStyle name="Финансовый 2 2 5 2 3" xfId="2034" xr:uid="{00000000-0005-0000-0000-0000E0340000}"/>
    <cellStyle name="Финансовый 2 2 5 2 3 2" xfId="3679" xr:uid="{00000000-0005-0000-0000-0000E1340000}"/>
    <cellStyle name="Финансовый 2 2 5 2 3 2 2" xfId="11419" xr:uid="{00000000-0005-0000-0000-0000E2340000}"/>
    <cellStyle name="Финансовый 2 2 5 2 3 2 2 2" xfId="23397" xr:uid="{00000000-0005-0000-0000-0000E3340000}"/>
    <cellStyle name="Финансовый 2 2 5 2 3 2 2 2 2" xfId="47352" xr:uid="{00000000-0005-0000-0000-0000E4340000}"/>
    <cellStyle name="Финансовый 2 2 5 2 3 2 2 3" xfId="35374" xr:uid="{00000000-0005-0000-0000-0000E5340000}"/>
    <cellStyle name="Финансовый 2 2 5 2 3 2 3" xfId="15658" xr:uid="{00000000-0005-0000-0000-0000E6340000}"/>
    <cellStyle name="Финансовый 2 2 5 2 3 2 3 2" xfId="39613" xr:uid="{00000000-0005-0000-0000-0000E7340000}"/>
    <cellStyle name="Финансовый 2 2 5 2 3 2 4" xfId="27636" xr:uid="{00000000-0005-0000-0000-0000E8340000}"/>
    <cellStyle name="Финансовый 2 2 5 2 3 2 5" xfId="50905" xr:uid="{00000000-0005-0000-0000-0000E9340000}"/>
    <cellStyle name="Финансовый 2 2 5 2 3 3" xfId="5462" xr:uid="{00000000-0005-0000-0000-0000EA340000}"/>
    <cellStyle name="Финансовый 2 2 5 2 3 3 2" xfId="17440" xr:uid="{00000000-0005-0000-0000-0000EB340000}"/>
    <cellStyle name="Финансовый 2 2 5 2 3 3 2 2" xfId="41395" xr:uid="{00000000-0005-0000-0000-0000EC340000}"/>
    <cellStyle name="Финансовый 2 2 5 2 3 3 3" xfId="29417" xr:uid="{00000000-0005-0000-0000-0000ED340000}"/>
    <cellStyle name="Финансовый 2 2 5 2 3 4" xfId="8072" xr:uid="{00000000-0005-0000-0000-0000EE340000}"/>
    <cellStyle name="Финансовый 2 2 5 2 3 4 2" xfId="20050" xr:uid="{00000000-0005-0000-0000-0000EF340000}"/>
    <cellStyle name="Финансовый 2 2 5 2 3 4 2 2" xfId="44005" xr:uid="{00000000-0005-0000-0000-0000F0340000}"/>
    <cellStyle name="Финансовый 2 2 5 2 3 4 3" xfId="32027" xr:uid="{00000000-0005-0000-0000-0000F1340000}"/>
    <cellStyle name="Финансовый 2 2 5 2 3 5" xfId="9855" xr:uid="{00000000-0005-0000-0000-0000F2340000}"/>
    <cellStyle name="Финансовый 2 2 5 2 3 5 2" xfId="21833" xr:uid="{00000000-0005-0000-0000-0000F3340000}"/>
    <cellStyle name="Финансовый 2 2 5 2 3 5 2 2" xfId="45788" xr:uid="{00000000-0005-0000-0000-0000F4340000}"/>
    <cellStyle name="Финансовый 2 2 5 2 3 5 3" xfId="33810" xr:uid="{00000000-0005-0000-0000-0000F5340000}"/>
    <cellStyle name="Финансовый 2 2 5 2 3 6" xfId="14013" xr:uid="{00000000-0005-0000-0000-0000F6340000}"/>
    <cellStyle name="Финансовый 2 2 5 2 3 6 2" xfId="37968" xr:uid="{00000000-0005-0000-0000-0000F7340000}"/>
    <cellStyle name="Финансовый 2 2 5 2 3 7" xfId="25991" xr:uid="{00000000-0005-0000-0000-0000F8340000}"/>
    <cellStyle name="Финансовый 2 2 5 2 3 8" xfId="49124" xr:uid="{00000000-0005-0000-0000-0000F9340000}"/>
    <cellStyle name="Финансовый 2 2 5 2 4" xfId="2563" xr:uid="{00000000-0005-0000-0000-0000FA340000}"/>
    <cellStyle name="Финансовый 2 2 5 2 4 2" xfId="4208" xr:uid="{00000000-0005-0000-0000-0000FB340000}"/>
    <cellStyle name="Финансовый 2 2 5 2 4 2 2" xfId="11932" xr:uid="{00000000-0005-0000-0000-0000FC340000}"/>
    <cellStyle name="Финансовый 2 2 5 2 4 2 2 2" xfId="23910" xr:uid="{00000000-0005-0000-0000-0000FD340000}"/>
    <cellStyle name="Финансовый 2 2 5 2 4 2 2 2 2" xfId="47865" xr:uid="{00000000-0005-0000-0000-0000FE340000}"/>
    <cellStyle name="Финансовый 2 2 5 2 4 2 2 3" xfId="35887" xr:uid="{00000000-0005-0000-0000-0000FF340000}"/>
    <cellStyle name="Финансовый 2 2 5 2 4 2 3" xfId="16187" xr:uid="{00000000-0005-0000-0000-000000350000}"/>
    <cellStyle name="Финансовый 2 2 5 2 4 2 3 2" xfId="40142" xr:uid="{00000000-0005-0000-0000-000001350000}"/>
    <cellStyle name="Финансовый 2 2 5 2 4 2 4" xfId="28165" xr:uid="{00000000-0005-0000-0000-000002350000}"/>
    <cellStyle name="Финансовый 2 2 5 2 4 2 5" xfId="51434" xr:uid="{00000000-0005-0000-0000-000003350000}"/>
    <cellStyle name="Финансовый 2 2 5 2 4 3" xfId="5991" xr:uid="{00000000-0005-0000-0000-000004350000}"/>
    <cellStyle name="Финансовый 2 2 5 2 4 3 2" xfId="17969" xr:uid="{00000000-0005-0000-0000-000005350000}"/>
    <cellStyle name="Финансовый 2 2 5 2 4 3 2 2" xfId="41924" xr:uid="{00000000-0005-0000-0000-000006350000}"/>
    <cellStyle name="Финансовый 2 2 5 2 4 3 3" xfId="29946" xr:uid="{00000000-0005-0000-0000-000007350000}"/>
    <cellStyle name="Финансовый 2 2 5 2 4 4" xfId="8601" xr:uid="{00000000-0005-0000-0000-000008350000}"/>
    <cellStyle name="Финансовый 2 2 5 2 4 4 2" xfId="20579" xr:uid="{00000000-0005-0000-0000-000009350000}"/>
    <cellStyle name="Финансовый 2 2 5 2 4 4 2 2" xfId="44534" xr:uid="{00000000-0005-0000-0000-00000A350000}"/>
    <cellStyle name="Финансовый 2 2 5 2 4 4 3" xfId="32556" xr:uid="{00000000-0005-0000-0000-00000B350000}"/>
    <cellStyle name="Финансовый 2 2 5 2 4 5" xfId="10384" xr:uid="{00000000-0005-0000-0000-00000C350000}"/>
    <cellStyle name="Финансовый 2 2 5 2 4 5 2" xfId="22362" xr:uid="{00000000-0005-0000-0000-00000D350000}"/>
    <cellStyle name="Финансовый 2 2 5 2 4 5 2 2" xfId="46317" xr:uid="{00000000-0005-0000-0000-00000E350000}"/>
    <cellStyle name="Финансовый 2 2 5 2 4 5 3" xfId="34339" xr:uid="{00000000-0005-0000-0000-00000F350000}"/>
    <cellStyle name="Финансовый 2 2 5 2 4 6" xfId="14542" xr:uid="{00000000-0005-0000-0000-000010350000}"/>
    <cellStyle name="Финансовый 2 2 5 2 4 6 2" xfId="38497" xr:uid="{00000000-0005-0000-0000-000011350000}"/>
    <cellStyle name="Финансовый 2 2 5 2 4 7" xfId="26520" xr:uid="{00000000-0005-0000-0000-000012350000}"/>
    <cellStyle name="Финансовый 2 2 5 2 4 8" xfId="49653" xr:uid="{00000000-0005-0000-0000-000013350000}"/>
    <cellStyle name="Финансовый 2 2 5 2 5" xfId="1067" xr:uid="{00000000-0005-0000-0000-000014350000}"/>
    <cellStyle name="Финансовый 2 2 5 2 5 2" xfId="7107" xr:uid="{00000000-0005-0000-0000-000015350000}"/>
    <cellStyle name="Финансовый 2 2 5 2 5 2 2" xfId="19085" xr:uid="{00000000-0005-0000-0000-000016350000}"/>
    <cellStyle name="Финансовый 2 2 5 2 5 2 2 2" xfId="43040" xr:uid="{00000000-0005-0000-0000-000017350000}"/>
    <cellStyle name="Финансовый 2 2 5 2 5 2 3" xfId="31062" xr:uid="{00000000-0005-0000-0000-000018350000}"/>
    <cellStyle name="Финансовый 2 2 5 2 5 3" xfId="10647" xr:uid="{00000000-0005-0000-0000-000019350000}"/>
    <cellStyle name="Финансовый 2 2 5 2 5 3 2" xfId="22625" xr:uid="{00000000-0005-0000-0000-00001A350000}"/>
    <cellStyle name="Финансовый 2 2 5 2 5 3 2 2" xfId="46580" xr:uid="{00000000-0005-0000-0000-00001B350000}"/>
    <cellStyle name="Финансовый 2 2 5 2 5 3 3" xfId="34602" xr:uid="{00000000-0005-0000-0000-00001C350000}"/>
    <cellStyle name="Финансовый 2 2 5 2 5 4" xfId="13048" xr:uid="{00000000-0005-0000-0000-00001D350000}"/>
    <cellStyle name="Финансовый 2 2 5 2 5 4 2" xfId="37003" xr:uid="{00000000-0005-0000-0000-00001E350000}"/>
    <cellStyle name="Финансовый 2 2 5 2 5 5" xfId="25026" xr:uid="{00000000-0005-0000-0000-00001F350000}"/>
    <cellStyle name="Финансовый 2 2 5 2 5 6" xfId="49932" xr:uid="{00000000-0005-0000-0000-000020350000}"/>
    <cellStyle name="Финансовый 2 2 5 2 6" xfId="655" xr:uid="{00000000-0005-0000-0000-000021350000}"/>
    <cellStyle name="Финансовый 2 2 5 2 6 2" xfId="6695" xr:uid="{00000000-0005-0000-0000-000022350000}"/>
    <cellStyle name="Финансовый 2 2 5 2 6 2 2" xfId="18673" xr:uid="{00000000-0005-0000-0000-000023350000}"/>
    <cellStyle name="Финансовый 2 2 5 2 6 2 2 2" xfId="42628" xr:uid="{00000000-0005-0000-0000-000024350000}"/>
    <cellStyle name="Финансовый 2 2 5 2 6 2 3" xfId="30650" xr:uid="{00000000-0005-0000-0000-000025350000}"/>
    <cellStyle name="Финансовый 2 2 5 2 6 3" xfId="12636" xr:uid="{00000000-0005-0000-0000-000026350000}"/>
    <cellStyle name="Финансовый 2 2 5 2 6 3 2" xfId="36591" xr:uid="{00000000-0005-0000-0000-000027350000}"/>
    <cellStyle name="Финансовый 2 2 5 2 6 4" xfId="24614" xr:uid="{00000000-0005-0000-0000-000028350000}"/>
    <cellStyle name="Финансовый 2 2 5 2 7" xfId="2844" xr:uid="{00000000-0005-0000-0000-000029350000}"/>
    <cellStyle name="Финансовый 2 2 5 2 7 2" xfId="14823" xr:uid="{00000000-0005-0000-0000-00002A350000}"/>
    <cellStyle name="Финансовый 2 2 5 2 7 2 2" xfId="38778" xr:uid="{00000000-0005-0000-0000-00002B350000}"/>
    <cellStyle name="Финансовый 2 2 5 2 7 3" xfId="26801" xr:uid="{00000000-0005-0000-0000-00002C350000}"/>
    <cellStyle name="Финансовый 2 2 5 2 8" xfId="4488" xr:uid="{00000000-0005-0000-0000-00002D350000}"/>
    <cellStyle name="Финансовый 2 2 5 2 8 2" xfId="16467" xr:uid="{00000000-0005-0000-0000-00002E350000}"/>
    <cellStyle name="Финансовый 2 2 5 2 8 2 2" xfId="40422" xr:uid="{00000000-0005-0000-0000-00002F350000}"/>
    <cellStyle name="Финансовый 2 2 5 2 8 3" xfId="28445" xr:uid="{00000000-0005-0000-0000-000030350000}"/>
    <cellStyle name="Финансовый 2 2 5 2 9" xfId="6275" xr:uid="{00000000-0005-0000-0000-000031350000}"/>
    <cellStyle name="Финансовый 2 2 5 2 9 2" xfId="18253" xr:uid="{00000000-0005-0000-0000-000032350000}"/>
    <cellStyle name="Финансовый 2 2 5 2 9 2 2" xfId="42208" xr:uid="{00000000-0005-0000-0000-000033350000}"/>
    <cellStyle name="Финансовый 2 2 5 2 9 3" xfId="30230" xr:uid="{00000000-0005-0000-0000-000034350000}"/>
    <cellStyle name="Финансовый 2 2 5 3" xfId="383" xr:uid="{00000000-0005-0000-0000-000035350000}"/>
    <cellStyle name="Финансовый 2 2 5 3 10" xfId="24342" xr:uid="{00000000-0005-0000-0000-000036350000}"/>
    <cellStyle name="Финансовый 2 2 5 3 11" xfId="48288" xr:uid="{00000000-0005-0000-0000-000037350000}"/>
    <cellStyle name="Финансовый 2 2 5 3 2" xfId="2162" xr:uid="{00000000-0005-0000-0000-000038350000}"/>
    <cellStyle name="Финансовый 2 2 5 3 2 2" xfId="3807" xr:uid="{00000000-0005-0000-0000-000039350000}"/>
    <cellStyle name="Финансовый 2 2 5 3 2 2 2" xfId="11547" xr:uid="{00000000-0005-0000-0000-00003A350000}"/>
    <cellStyle name="Финансовый 2 2 5 3 2 2 2 2" xfId="23525" xr:uid="{00000000-0005-0000-0000-00003B350000}"/>
    <cellStyle name="Финансовый 2 2 5 3 2 2 2 2 2" xfId="47480" xr:uid="{00000000-0005-0000-0000-00003C350000}"/>
    <cellStyle name="Финансовый 2 2 5 3 2 2 2 3" xfId="35502" xr:uid="{00000000-0005-0000-0000-00003D350000}"/>
    <cellStyle name="Финансовый 2 2 5 3 2 2 3" xfId="15786" xr:uid="{00000000-0005-0000-0000-00003E350000}"/>
    <cellStyle name="Финансовый 2 2 5 3 2 2 3 2" xfId="39741" xr:uid="{00000000-0005-0000-0000-00003F350000}"/>
    <cellStyle name="Финансовый 2 2 5 3 2 2 4" xfId="27764" xr:uid="{00000000-0005-0000-0000-000040350000}"/>
    <cellStyle name="Финансовый 2 2 5 3 2 2 5" xfId="51033" xr:uid="{00000000-0005-0000-0000-000041350000}"/>
    <cellStyle name="Финансовый 2 2 5 3 2 3" xfId="5590" xr:uid="{00000000-0005-0000-0000-000042350000}"/>
    <cellStyle name="Финансовый 2 2 5 3 2 3 2" xfId="17568" xr:uid="{00000000-0005-0000-0000-000043350000}"/>
    <cellStyle name="Финансовый 2 2 5 3 2 3 2 2" xfId="41523" xr:uid="{00000000-0005-0000-0000-000044350000}"/>
    <cellStyle name="Финансовый 2 2 5 3 2 3 3" xfId="29545" xr:uid="{00000000-0005-0000-0000-000045350000}"/>
    <cellStyle name="Финансовый 2 2 5 3 2 4" xfId="8200" xr:uid="{00000000-0005-0000-0000-000046350000}"/>
    <cellStyle name="Финансовый 2 2 5 3 2 4 2" xfId="20178" xr:uid="{00000000-0005-0000-0000-000047350000}"/>
    <cellStyle name="Финансовый 2 2 5 3 2 4 2 2" xfId="44133" xr:uid="{00000000-0005-0000-0000-000048350000}"/>
    <cellStyle name="Финансовый 2 2 5 3 2 4 3" xfId="32155" xr:uid="{00000000-0005-0000-0000-000049350000}"/>
    <cellStyle name="Финансовый 2 2 5 3 2 5" xfId="9983" xr:uid="{00000000-0005-0000-0000-00004A350000}"/>
    <cellStyle name="Финансовый 2 2 5 3 2 5 2" xfId="21961" xr:uid="{00000000-0005-0000-0000-00004B350000}"/>
    <cellStyle name="Финансовый 2 2 5 3 2 5 2 2" xfId="45916" xr:uid="{00000000-0005-0000-0000-00004C350000}"/>
    <cellStyle name="Финансовый 2 2 5 3 2 5 3" xfId="33938" xr:uid="{00000000-0005-0000-0000-00004D350000}"/>
    <cellStyle name="Финансовый 2 2 5 3 2 6" xfId="14141" xr:uid="{00000000-0005-0000-0000-00004E350000}"/>
    <cellStyle name="Финансовый 2 2 5 3 2 6 2" xfId="38096" xr:uid="{00000000-0005-0000-0000-00004F350000}"/>
    <cellStyle name="Финансовый 2 2 5 3 2 7" xfId="26119" xr:uid="{00000000-0005-0000-0000-000050350000}"/>
    <cellStyle name="Финансовый 2 2 5 3 2 8" xfId="49252" xr:uid="{00000000-0005-0000-0000-000051350000}"/>
    <cellStyle name="Финансовый 2 2 5 3 3" xfId="1196" xr:uid="{00000000-0005-0000-0000-000052350000}"/>
    <cellStyle name="Финансовый 2 2 5 3 3 2" xfId="7236" xr:uid="{00000000-0005-0000-0000-000053350000}"/>
    <cellStyle name="Финансовый 2 2 5 3 3 2 2" xfId="19214" xr:uid="{00000000-0005-0000-0000-000054350000}"/>
    <cellStyle name="Финансовый 2 2 5 3 3 2 2 2" xfId="43169" xr:uid="{00000000-0005-0000-0000-000055350000}"/>
    <cellStyle name="Финансовый 2 2 5 3 3 2 3" xfId="31191" xr:uid="{00000000-0005-0000-0000-000056350000}"/>
    <cellStyle name="Финансовый 2 2 5 3 3 3" xfId="10775" xr:uid="{00000000-0005-0000-0000-000057350000}"/>
    <cellStyle name="Финансовый 2 2 5 3 3 3 2" xfId="22753" xr:uid="{00000000-0005-0000-0000-000058350000}"/>
    <cellStyle name="Финансовый 2 2 5 3 3 3 2 2" xfId="46708" xr:uid="{00000000-0005-0000-0000-000059350000}"/>
    <cellStyle name="Финансовый 2 2 5 3 3 3 3" xfId="34730" xr:uid="{00000000-0005-0000-0000-00005A350000}"/>
    <cellStyle name="Финансовый 2 2 5 3 3 4" xfId="13177" xr:uid="{00000000-0005-0000-0000-00005B350000}"/>
    <cellStyle name="Финансовый 2 2 5 3 3 4 2" xfId="37132" xr:uid="{00000000-0005-0000-0000-00005C350000}"/>
    <cellStyle name="Финансовый 2 2 5 3 3 5" xfId="25155" xr:uid="{00000000-0005-0000-0000-00005D350000}"/>
    <cellStyle name="Финансовый 2 2 5 3 3 6" xfId="50068" xr:uid="{00000000-0005-0000-0000-00005E350000}"/>
    <cellStyle name="Финансовый 2 2 5 3 4" xfId="803" xr:uid="{00000000-0005-0000-0000-00005F350000}"/>
    <cellStyle name="Финансовый 2 2 5 3 4 2" xfId="6843" xr:uid="{00000000-0005-0000-0000-000060350000}"/>
    <cellStyle name="Финансовый 2 2 5 3 4 2 2" xfId="18821" xr:uid="{00000000-0005-0000-0000-000061350000}"/>
    <cellStyle name="Финансовый 2 2 5 3 4 2 2 2" xfId="42776" xr:uid="{00000000-0005-0000-0000-000062350000}"/>
    <cellStyle name="Финансовый 2 2 5 3 4 2 3" xfId="30798" xr:uid="{00000000-0005-0000-0000-000063350000}"/>
    <cellStyle name="Финансовый 2 2 5 3 4 3" xfId="12784" xr:uid="{00000000-0005-0000-0000-000064350000}"/>
    <cellStyle name="Финансовый 2 2 5 3 4 3 2" xfId="36739" xr:uid="{00000000-0005-0000-0000-000065350000}"/>
    <cellStyle name="Финансовый 2 2 5 3 4 4" xfId="24762" xr:uid="{00000000-0005-0000-0000-000066350000}"/>
    <cellStyle name="Финансовый 2 2 5 3 5" xfId="2980" xr:uid="{00000000-0005-0000-0000-000067350000}"/>
    <cellStyle name="Финансовый 2 2 5 3 5 2" xfId="14959" xr:uid="{00000000-0005-0000-0000-000068350000}"/>
    <cellStyle name="Финансовый 2 2 5 3 5 2 2" xfId="38914" xr:uid="{00000000-0005-0000-0000-000069350000}"/>
    <cellStyle name="Финансовый 2 2 5 3 5 3" xfId="26937" xr:uid="{00000000-0005-0000-0000-00006A350000}"/>
    <cellStyle name="Финансовый 2 2 5 3 6" xfId="4624" xr:uid="{00000000-0005-0000-0000-00006B350000}"/>
    <cellStyle name="Финансовый 2 2 5 3 6 2" xfId="16603" xr:uid="{00000000-0005-0000-0000-00006C350000}"/>
    <cellStyle name="Финансовый 2 2 5 3 6 2 2" xfId="40558" xr:uid="{00000000-0005-0000-0000-00006D350000}"/>
    <cellStyle name="Финансовый 2 2 5 3 6 3" xfId="28581" xr:uid="{00000000-0005-0000-0000-00006E350000}"/>
    <cellStyle name="Финансовый 2 2 5 3 7" xfId="6423" xr:uid="{00000000-0005-0000-0000-00006F350000}"/>
    <cellStyle name="Финансовый 2 2 5 3 7 2" xfId="18401" xr:uid="{00000000-0005-0000-0000-000070350000}"/>
    <cellStyle name="Финансовый 2 2 5 3 7 2 2" xfId="42356" xr:uid="{00000000-0005-0000-0000-000071350000}"/>
    <cellStyle name="Финансовый 2 2 5 3 7 3" xfId="30378" xr:uid="{00000000-0005-0000-0000-000072350000}"/>
    <cellStyle name="Финансовый 2 2 5 3 8" xfId="9018" xr:uid="{00000000-0005-0000-0000-000073350000}"/>
    <cellStyle name="Финансовый 2 2 5 3 8 2" xfId="20996" xr:uid="{00000000-0005-0000-0000-000074350000}"/>
    <cellStyle name="Финансовый 2 2 5 3 8 2 2" xfId="44951" xr:uid="{00000000-0005-0000-0000-000075350000}"/>
    <cellStyle name="Финансовый 2 2 5 3 8 3" xfId="32973" xr:uid="{00000000-0005-0000-0000-000076350000}"/>
    <cellStyle name="Финансовый 2 2 5 3 9" xfId="12364" xr:uid="{00000000-0005-0000-0000-000077350000}"/>
    <cellStyle name="Финансовый 2 2 5 3 9 2" xfId="36319" xr:uid="{00000000-0005-0000-0000-000078350000}"/>
    <cellStyle name="Финансовый 2 2 5 4" xfId="1472" xr:uid="{00000000-0005-0000-0000-000079350000}"/>
    <cellStyle name="Финансовый 2 2 5 4 2" xfId="1906" xr:uid="{00000000-0005-0000-0000-00007A350000}"/>
    <cellStyle name="Финансовый 2 2 5 4 2 2" xfId="3551" xr:uid="{00000000-0005-0000-0000-00007B350000}"/>
    <cellStyle name="Финансовый 2 2 5 4 2 2 2" xfId="11291" xr:uid="{00000000-0005-0000-0000-00007C350000}"/>
    <cellStyle name="Финансовый 2 2 5 4 2 2 2 2" xfId="23269" xr:uid="{00000000-0005-0000-0000-00007D350000}"/>
    <cellStyle name="Финансовый 2 2 5 4 2 2 2 2 2" xfId="47224" xr:uid="{00000000-0005-0000-0000-00007E350000}"/>
    <cellStyle name="Финансовый 2 2 5 4 2 2 2 3" xfId="35246" xr:uid="{00000000-0005-0000-0000-00007F350000}"/>
    <cellStyle name="Финансовый 2 2 5 4 2 2 3" xfId="15530" xr:uid="{00000000-0005-0000-0000-000080350000}"/>
    <cellStyle name="Финансовый 2 2 5 4 2 2 3 2" xfId="39485" xr:uid="{00000000-0005-0000-0000-000081350000}"/>
    <cellStyle name="Финансовый 2 2 5 4 2 2 4" xfId="27508" xr:uid="{00000000-0005-0000-0000-000082350000}"/>
    <cellStyle name="Финансовый 2 2 5 4 2 2 5" xfId="50777" xr:uid="{00000000-0005-0000-0000-000083350000}"/>
    <cellStyle name="Финансовый 2 2 5 4 2 3" xfId="5334" xr:uid="{00000000-0005-0000-0000-000084350000}"/>
    <cellStyle name="Финансовый 2 2 5 4 2 3 2" xfId="17312" xr:uid="{00000000-0005-0000-0000-000085350000}"/>
    <cellStyle name="Финансовый 2 2 5 4 2 3 2 2" xfId="41267" xr:uid="{00000000-0005-0000-0000-000086350000}"/>
    <cellStyle name="Финансовый 2 2 5 4 2 3 3" xfId="29289" xr:uid="{00000000-0005-0000-0000-000087350000}"/>
    <cellStyle name="Финансовый 2 2 5 4 2 4" xfId="7944" xr:uid="{00000000-0005-0000-0000-000088350000}"/>
    <cellStyle name="Финансовый 2 2 5 4 2 4 2" xfId="19922" xr:uid="{00000000-0005-0000-0000-000089350000}"/>
    <cellStyle name="Финансовый 2 2 5 4 2 4 2 2" xfId="43877" xr:uid="{00000000-0005-0000-0000-00008A350000}"/>
    <cellStyle name="Финансовый 2 2 5 4 2 4 3" xfId="31899" xr:uid="{00000000-0005-0000-0000-00008B350000}"/>
    <cellStyle name="Финансовый 2 2 5 4 2 5" xfId="9727" xr:uid="{00000000-0005-0000-0000-00008C350000}"/>
    <cellStyle name="Финансовый 2 2 5 4 2 5 2" xfId="21705" xr:uid="{00000000-0005-0000-0000-00008D350000}"/>
    <cellStyle name="Финансовый 2 2 5 4 2 5 2 2" xfId="45660" xr:uid="{00000000-0005-0000-0000-00008E350000}"/>
    <cellStyle name="Финансовый 2 2 5 4 2 5 3" xfId="33682" xr:uid="{00000000-0005-0000-0000-00008F350000}"/>
    <cellStyle name="Финансовый 2 2 5 4 2 6" xfId="13885" xr:uid="{00000000-0005-0000-0000-000090350000}"/>
    <cellStyle name="Финансовый 2 2 5 4 2 6 2" xfId="37840" xr:uid="{00000000-0005-0000-0000-000091350000}"/>
    <cellStyle name="Финансовый 2 2 5 4 2 7" xfId="25863" xr:uid="{00000000-0005-0000-0000-000092350000}"/>
    <cellStyle name="Финансовый 2 2 5 4 2 8" xfId="48996" xr:uid="{00000000-0005-0000-0000-000093350000}"/>
    <cellStyle name="Финансовый 2 2 5 4 3" xfId="4900" xr:uid="{00000000-0005-0000-0000-000094350000}"/>
    <cellStyle name="Финансовый 2 2 5 4 3 2" xfId="16878" xr:uid="{00000000-0005-0000-0000-000095350000}"/>
    <cellStyle name="Финансовый 2 2 5 4 3 2 2" xfId="40833" xr:uid="{00000000-0005-0000-0000-000096350000}"/>
    <cellStyle name="Финансовый 2 2 5 4 3 3" xfId="28855" xr:uid="{00000000-0005-0000-0000-000097350000}"/>
    <cellStyle name="Финансовый 2 2 5 4 3 4" xfId="50343" xr:uid="{00000000-0005-0000-0000-000098350000}"/>
    <cellStyle name="Финансовый 2 2 5 4 4" xfId="7510" xr:uid="{00000000-0005-0000-0000-000099350000}"/>
    <cellStyle name="Финансовый 2 2 5 4 4 2" xfId="19488" xr:uid="{00000000-0005-0000-0000-00009A350000}"/>
    <cellStyle name="Финансовый 2 2 5 4 4 2 2" xfId="43443" xr:uid="{00000000-0005-0000-0000-00009B350000}"/>
    <cellStyle name="Финансовый 2 2 5 4 4 3" xfId="31465" xr:uid="{00000000-0005-0000-0000-00009C350000}"/>
    <cellStyle name="Финансовый 2 2 5 4 5" xfId="9293" xr:uid="{00000000-0005-0000-0000-00009D350000}"/>
    <cellStyle name="Финансовый 2 2 5 4 5 2" xfId="21271" xr:uid="{00000000-0005-0000-0000-00009E350000}"/>
    <cellStyle name="Финансовый 2 2 5 4 5 2 2" xfId="45226" xr:uid="{00000000-0005-0000-0000-00009F350000}"/>
    <cellStyle name="Финансовый 2 2 5 4 5 3" xfId="33248" xr:uid="{00000000-0005-0000-0000-0000A0350000}"/>
    <cellStyle name="Финансовый 2 2 5 4 6" xfId="13451" xr:uid="{00000000-0005-0000-0000-0000A1350000}"/>
    <cellStyle name="Финансовый 2 2 5 4 6 2" xfId="37406" xr:uid="{00000000-0005-0000-0000-0000A2350000}"/>
    <cellStyle name="Финансовый 2 2 5 4 7" xfId="25429" xr:uid="{00000000-0005-0000-0000-0000A3350000}"/>
    <cellStyle name="Финансовый 2 2 5 4 8" xfId="48562" xr:uid="{00000000-0005-0000-0000-0000A4350000}"/>
    <cellStyle name="Финансовый 2 2 5 5" xfId="1782" xr:uid="{00000000-0005-0000-0000-0000A5350000}"/>
    <cellStyle name="Финансовый 2 2 5 5 2" xfId="3427" xr:uid="{00000000-0005-0000-0000-0000A6350000}"/>
    <cellStyle name="Финансовый 2 2 5 5 2 2" xfId="11175" xr:uid="{00000000-0005-0000-0000-0000A7350000}"/>
    <cellStyle name="Финансовый 2 2 5 5 2 2 2" xfId="23153" xr:uid="{00000000-0005-0000-0000-0000A8350000}"/>
    <cellStyle name="Финансовый 2 2 5 5 2 2 2 2" xfId="47108" xr:uid="{00000000-0005-0000-0000-0000A9350000}"/>
    <cellStyle name="Финансовый 2 2 5 5 2 2 3" xfId="35130" xr:uid="{00000000-0005-0000-0000-0000AA350000}"/>
    <cellStyle name="Финансовый 2 2 5 5 2 3" xfId="15406" xr:uid="{00000000-0005-0000-0000-0000AB350000}"/>
    <cellStyle name="Финансовый 2 2 5 5 2 3 2" xfId="39361" xr:uid="{00000000-0005-0000-0000-0000AC350000}"/>
    <cellStyle name="Финансовый 2 2 5 5 2 4" xfId="27384" xr:uid="{00000000-0005-0000-0000-0000AD350000}"/>
    <cellStyle name="Финансовый 2 2 5 5 2 5" xfId="50653" xr:uid="{00000000-0005-0000-0000-0000AE350000}"/>
    <cellStyle name="Финансовый 2 2 5 5 3" xfId="5210" xr:uid="{00000000-0005-0000-0000-0000AF350000}"/>
    <cellStyle name="Финансовый 2 2 5 5 3 2" xfId="17188" xr:uid="{00000000-0005-0000-0000-0000B0350000}"/>
    <cellStyle name="Финансовый 2 2 5 5 3 2 2" xfId="41143" xr:uid="{00000000-0005-0000-0000-0000B1350000}"/>
    <cellStyle name="Финансовый 2 2 5 5 3 3" xfId="29165" xr:uid="{00000000-0005-0000-0000-0000B2350000}"/>
    <cellStyle name="Финансовый 2 2 5 5 4" xfId="7820" xr:uid="{00000000-0005-0000-0000-0000B3350000}"/>
    <cellStyle name="Финансовый 2 2 5 5 4 2" xfId="19798" xr:uid="{00000000-0005-0000-0000-0000B4350000}"/>
    <cellStyle name="Финансовый 2 2 5 5 4 2 2" xfId="43753" xr:uid="{00000000-0005-0000-0000-0000B5350000}"/>
    <cellStyle name="Финансовый 2 2 5 5 4 3" xfId="31775" xr:uid="{00000000-0005-0000-0000-0000B6350000}"/>
    <cellStyle name="Финансовый 2 2 5 5 5" xfId="9603" xr:uid="{00000000-0005-0000-0000-0000B7350000}"/>
    <cellStyle name="Финансовый 2 2 5 5 5 2" xfId="21581" xr:uid="{00000000-0005-0000-0000-0000B8350000}"/>
    <cellStyle name="Финансовый 2 2 5 5 5 2 2" xfId="45536" xr:uid="{00000000-0005-0000-0000-0000B9350000}"/>
    <cellStyle name="Финансовый 2 2 5 5 5 3" xfId="33558" xr:uid="{00000000-0005-0000-0000-0000BA350000}"/>
    <cellStyle name="Финансовый 2 2 5 5 6" xfId="13761" xr:uid="{00000000-0005-0000-0000-0000BB350000}"/>
    <cellStyle name="Финансовый 2 2 5 5 6 2" xfId="37716" xr:uid="{00000000-0005-0000-0000-0000BC350000}"/>
    <cellStyle name="Финансовый 2 2 5 5 7" xfId="25739" xr:uid="{00000000-0005-0000-0000-0000BD350000}"/>
    <cellStyle name="Финансовый 2 2 5 5 8" xfId="48872" xr:uid="{00000000-0005-0000-0000-0000BE350000}"/>
    <cellStyle name="Финансовый 2 2 5 6" xfId="2427" xr:uid="{00000000-0005-0000-0000-0000BF350000}"/>
    <cellStyle name="Финансовый 2 2 5 6 2" xfId="4072" xr:uid="{00000000-0005-0000-0000-0000C0350000}"/>
    <cellStyle name="Финансовый 2 2 5 6 2 2" xfId="11804" xr:uid="{00000000-0005-0000-0000-0000C1350000}"/>
    <cellStyle name="Финансовый 2 2 5 6 2 2 2" xfId="23782" xr:uid="{00000000-0005-0000-0000-0000C2350000}"/>
    <cellStyle name="Финансовый 2 2 5 6 2 2 2 2" xfId="47737" xr:uid="{00000000-0005-0000-0000-0000C3350000}"/>
    <cellStyle name="Финансовый 2 2 5 6 2 2 3" xfId="35759" xr:uid="{00000000-0005-0000-0000-0000C4350000}"/>
    <cellStyle name="Финансовый 2 2 5 6 2 3" xfId="16051" xr:uid="{00000000-0005-0000-0000-0000C5350000}"/>
    <cellStyle name="Финансовый 2 2 5 6 2 3 2" xfId="40006" xr:uid="{00000000-0005-0000-0000-0000C6350000}"/>
    <cellStyle name="Финансовый 2 2 5 6 2 4" xfId="28029" xr:uid="{00000000-0005-0000-0000-0000C7350000}"/>
    <cellStyle name="Финансовый 2 2 5 6 2 5" xfId="51298" xr:uid="{00000000-0005-0000-0000-0000C8350000}"/>
    <cellStyle name="Финансовый 2 2 5 6 3" xfId="5855" xr:uid="{00000000-0005-0000-0000-0000C9350000}"/>
    <cellStyle name="Финансовый 2 2 5 6 3 2" xfId="17833" xr:uid="{00000000-0005-0000-0000-0000CA350000}"/>
    <cellStyle name="Финансовый 2 2 5 6 3 2 2" xfId="41788" xr:uid="{00000000-0005-0000-0000-0000CB350000}"/>
    <cellStyle name="Финансовый 2 2 5 6 3 3" xfId="29810" xr:uid="{00000000-0005-0000-0000-0000CC350000}"/>
    <cellStyle name="Финансовый 2 2 5 6 4" xfId="8465" xr:uid="{00000000-0005-0000-0000-0000CD350000}"/>
    <cellStyle name="Финансовый 2 2 5 6 4 2" xfId="20443" xr:uid="{00000000-0005-0000-0000-0000CE350000}"/>
    <cellStyle name="Финансовый 2 2 5 6 4 2 2" xfId="44398" xr:uid="{00000000-0005-0000-0000-0000CF350000}"/>
    <cellStyle name="Финансовый 2 2 5 6 4 3" xfId="32420" xr:uid="{00000000-0005-0000-0000-0000D0350000}"/>
    <cellStyle name="Финансовый 2 2 5 6 5" xfId="10248" xr:uid="{00000000-0005-0000-0000-0000D1350000}"/>
    <cellStyle name="Финансовый 2 2 5 6 5 2" xfId="22226" xr:uid="{00000000-0005-0000-0000-0000D2350000}"/>
    <cellStyle name="Финансовый 2 2 5 6 5 2 2" xfId="46181" xr:uid="{00000000-0005-0000-0000-0000D3350000}"/>
    <cellStyle name="Финансовый 2 2 5 6 5 3" xfId="34203" xr:uid="{00000000-0005-0000-0000-0000D4350000}"/>
    <cellStyle name="Финансовый 2 2 5 6 6" xfId="14406" xr:uid="{00000000-0005-0000-0000-0000D5350000}"/>
    <cellStyle name="Финансовый 2 2 5 6 6 2" xfId="38361" xr:uid="{00000000-0005-0000-0000-0000D6350000}"/>
    <cellStyle name="Финансовый 2 2 5 6 7" xfId="26384" xr:uid="{00000000-0005-0000-0000-0000D7350000}"/>
    <cellStyle name="Финансовый 2 2 5 6 8" xfId="49517" xr:uid="{00000000-0005-0000-0000-0000D8350000}"/>
    <cellStyle name="Финансовый 2 2 5 7" xfId="1654" xr:uid="{00000000-0005-0000-0000-0000D9350000}"/>
    <cellStyle name="Финансовый 2 2 5 7 2" xfId="3299" xr:uid="{00000000-0005-0000-0000-0000DA350000}"/>
    <cellStyle name="Финансовый 2 2 5 7 2 2" xfId="11047" xr:uid="{00000000-0005-0000-0000-0000DB350000}"/>
    <cellStyle name="Финансовый 2 2 5 7 2 2 2" xfId="23025" xr:uid="{00000000-0005-0000-0000-0000DC350000}"/>
    <cellStyle name="Финансовый 2 2 5 7 2 2 2 2" xfId="46980" xr:uid="{00000000-0005-0000-0000-0000DD350000}"/>
    <cellStyle name="Финансовый 2 2 5 7 2 2 3" xfId="35002" xr:uid="{00000000-0005-0000-0000-0000DE350000}"/>
    <cellStyle name="Финансовый 2 2 5 7 2 3" xfId="15278" xr:uid="{00000000-0005-0000-0000-0000DF350000}"/>
    <cellStyle name="Финансовый 2 2 5 7 2 3 2" xfId="39233" xr:uid="{00000000-0005-0000-0000-0000E0350000}"/>
    <cellStyle name="Финансовый 2 2 5 7 2 4" xfId="27256" xr:uid="{00000000-0005-0000-0000-0000E1350000}"/>
    <cellStyle name="Финансовый 2 2 5 7 2 5" xfId="50525" xr:uid="{00000000-0005-0000-0000-0000E2350000}"/>
    <cellStyle name="Финансовый 2 2 5 7 3" xfId="5082" xr:uid="{00000000-0005-0000-0000-0000E3350000}"/>
    <cellStyle name="Финансовый 2 2 5 7 3 2" xfId="17060" xr:uid="{00000000-0005-0000-0000-0000E4350000}"/>
    <cellStyle name="Финансовый 2 2 5 7 3 2 2" xfId="41015" xr:uid="{00000000-0005-0000-0000-0000E5350000}"/>
    <cellStyle name="Финансовый 2 2 5 7 3 3" xfId="29037" xr:uid="{00000000-0005-0000-0000-0000E6350000}"/>
    <cellStyle name="Финансовый 2 2 5 7 4" xfId="7692" xr:uid="{00000000-0005-0000-0000-0000E7350000}"/>
    <cellStyle name="Финансовый 2 2 5 7 4 2" xfId="19670" xr:uid="{00000000-0005-0000-0000-0000E8350000}"/>
    <cellStyle name="Финансовый 2 2 5 7 4 2 2" xfId="43625" xr:uid="{00000000-0005-0000-0000-0000E9350000}"/>
    <cellStyle name="Финансовый 2 2 5 7 4 3" xfId="31647" xr:uid="{00000000-0005-0000-0000-0000EA350000}"/>
    <cellStyle name="Финансовый 2 2 5 7 5" xfId="9475" xr:uid="{00000000-0005-0000-0000-0000EB350000}"/>
    <cellStyle name="Финансовый 2 2 5 7 5 2" xfId="21453" xr:uid="{00000000-0005-0000-0000-0000EC350000}"/>
    <cellStyle name="Финансовый 2 2 5 7 5 2 2" xfId="45408" xr:uid="{00000000-0005-0000-0000-0000ED350000}"/>
    <cellStyle name="Финансовый 2 2 5 7 5 3" xfId="33430" xr:uid="{00000000-0005-0000-0000-0000EE350000}"/>
    <cellStyle name="Финансовый 2 2 5 7 6" xfId="13633" xr:uid="{00000000-0005-0000-0000-0000EF350000}"/>
    <cellStyle name="Финансовый 2 2 5 7 6 2" xfId="37588" xr:uid="{00000000-0005-0000-0000-0000F0350000}"/>
    <cellStyle name="Финансовый 2 2 5 7 7" xfId="25611" xr:uid="{00000000-0005-0000-0000-0000F1350000}"/>
    <cellStyle name="Финансовый 2 2 5 7 8" xfId="48744" xr:uid="{00000000-0005-0000-0000-0000F2350000}"/>
    <cellStyle name="Финансовый 2 2 5 8" xfId="931" xr:uid="{00000000-0005-0000-0000-0000F3350000}"/>
    <cellStyle name="Финансовый 2 2 5 8 2" xfId="6971" xr:uid="{00000000-0005-0000-0000-0000F4350000}"/>
    <cellStyle name="Финансовый 2 2 5 8 2 2" xfId="18949" xr:uid="{00000000-0005-0000-0000-0000F5350000}"/>
    <cellStyle name="Финансовый 2 2 5 8 2 2 2" xfId="42904" xr:uid="{00000000-0005-0000-0000-0000F6350000}"/>
    <cellStyle name="Финансовый 2 2 5 8 2 3" xfId="30926" xr:uid="{00000000-0005-0000-0000-0000F7350000}"/>
    <cellStyle name="Финансовый 2 2 5 8 3" xfId="10519" xr:uid="{00000000-0005-0000-0000-0000F8350000}"/>
    <cellStyle name="Финансовый 2 2 5 8 3 2" xfId="22497" xr:uid="{00000000-0005-0000-0000-0000F9350000}"/>
    <cellStyle name="Финансовый 2 2 5 8 3 2 2" xfId="46452" xr:uid="{00000000-0005-0000-0000-0000FA350000}"/>
    <cellStyle name="Финансовый 2 2 5 8 3 3" xfId="34474" xr:uid="{00000000-0005-0000-0000-0000FB350000}"/>
    <cellStyle name="Финансовый 2 2 5 8 4" xfId="12912" xr:uid="{00000000-0005-0000-0000-0000FC350000}"/>
    <cellStyle name="Финансовый 2 2 5 8 4 2" xfId="36867" xr:uid="{00000000-0005-0000-0000-0000FD350000}"/>
    <cellStyle name="Финансовый 2 2 5 8 5" xfId="24890" xr:uid="{00000000-0005-0000-0000-0000FE350000}"/>
    <cellStyle name="Финансовый 2 2 5 8 6" xfId="49796" xr:uid="{00000000-0005-0000-0000-0000FF350000}"/>
    <cellStyle name="Финансовый 2 2 5 9" xfId="519" xr:uid="{00000000-0005-0000-0000-000000360000}"/>
    <cellStyle name="Финансовый 2 2 5 9 2" xfId="6559" xr:uid="{00000000-0005-0000-0000-000001360000}"/>
    <cellStyle name="Финансовый 2 2 5 9 2 2" xfId="18537" xr:uid="{00000000-0005-0000-0000-000002360000}"/>
    <cellStyle name="Финансовый 2 2 5 9 2 2 2" xfId="42492" xr:uid="{00000000-0005-0000-0000-000003360000}"/>
    <cellStyle name="Финансовый 2 2 5 9 2 3" xfId="30514" xr:uid="{00000000-0005-0000-0000-000004360000}"/>
    <cellStyle name="Финансовый 2 2 5 9 3" xfId="12500" xr:uid="{00000000-0005-0000-0000-000005360000}"/>
    <cellStyle name="Финансовый 2 2 5 9 3 2" xfId="36455" xr:uid="{00000000-0005-0000-0000-000006360000}"/>
    <cellStyle name="Финансовый 2 2 5 9 4" xfId="24478" xr:uid="{00000000-0005-0000-0000-000007360000}"/>
    <cellStyle name="Финансовый 2 2 6" xfId="110" xr:uid="{00000000-0005-0000-0000-000008360000}"/>
    <cellStyle name="Финансовый 2 2 6 10" xfId="2720" xr:uid="{00000000-0005-0000-0000-000009360000}"/>
    <cellStyle name="Финансовый 2 2 6 10 2" xfId="14699" xr:uid="{00000000-0005-0000-0000-00000A360000}"/>
    <cellStyle name="Финансовый 2 2 6 10 2 2" xfId="38654" xr:uid="{00000000-0005-0000-0000-00000B360000}"/>
    <cellStyle name="Финансовый 2 2 6 10 3" xfId="26677" xr:uid="{00000000-0005-0000-0000-00000C360000}"/>
    <cellStyle name="Финансовый 2 2 6 11" xfId="4364" xr:uid="{00000000-0005-0000-0000-00000D360000}"/>
    <cellStyle name="Финансовый 2 2 6 11 2" xfId="16343" xr:uid="{00000000-0005-0000-0000-00000E360000}"/>
    <cellStyle name="Финансовый 2 2 6 11 2 2" xfId="40298" xr:uid="{00000000-0005-0000-0000-00000F360000}"/>
    <cellStyle name="Финансовый 2 2 6 11 3" xfId="28321" xr:uid="{00000000-0005-0000-0000-000010360000}"/>
    <cellStyle name="Финансовый 2 2 6 12" xfId="6151" xr:uid="{00000000-0005-0000-0000-000011360000}"/>
    <cellStyle name="Финансовый 2 2 6 12 2" xfId="18129" xr:uid="{00000000-0005-0000-0000-000012360000}"/>
    <cellStyle name="Финансовый 2 2 6 12 2 2" xfId="42084" xr:uid="{00000000-0005-0000-0000-000013360000}"/>
    <cellStyle name="Финансовый 2 2 6 12 3" xfId="30106" xr:uid="{00000000-0005-0000-0000-000014360000}"/>
    <cellStyle name="Финансовый 2 2 6 13" xfId="8758" xr:uid="{00000000-0005-0000-0000-000015360000}"/>
    <cellStyle name="Финансовый 2 2 6 13 2" xfId="20736" xr:uid="{00000000-0005-0000-0000-000016360000}"/>
    <cellStyle name="Финансовый 2 2 6 13 2 2" xfId="44691" xr:uid="{00000000-0005-0000-0000-000017360000}"/>
    <cellStyle name="Финансовый 2 2 6 13 3" xfId="32713" xr:uid="{00000000-0005-0000-0000-000018360000}"/>
    <cellStyle name="Финансовый 2 2 6 14" xfId="12092" xr:uid="{00000000-0005-0000-0000-000019360000}"/>
    <cellStyle name="Финансовый 2 2 6 14 2" xfId="36047" xr:uid="{00000000-0005-0000-0000-00001A360000}"/>
    <cellStyle name="Финансовый 2 2 6 15" xfId="24070" xr:uid="{00000000-0005-0000-0000-00001B360000}"/>
    <cellStyle name="Финансовый 2 2 6 16" xfId="48028" xr:uid="{00000000-0005-0000-0000-00001C360000}"/>
    <cellStyle name="Финансовый 2 2 6 2" xfId="246" xr:uid="{00000000-0005-0000-0000-00001D360000}"/>
    <cellStyle name="Финансовый 2 2 6 2 10" xfId="8894" xr:uid="{00000000-0005-0000-0000-00001E360000}"/>
    <cellStyle name="Финансовый 2 2 6 2 10 2" xfId="20872" xr:uid="{00000000-0005-0000-0000-00001F360000}"/>
    <cellStyle name="Финансовый 2 2 6 2 10 2 2" xfId="44827" xr:uid="{00000000-0005-0000-0000-000020360000}"/>
    <cellStyle name="Финансовый 2 2 6 2 10 3" xfId="32849" xr:uid="{00000000-0005-0000-0000-000021360000}"/>
    <cellStyle name="Финансовый 2 2 6 2 11" xfId="12228" xr:uid="{00000000-0005-0000-0000-000022360000}"/>
    <cellStyle name="Финансовый 2 2 6 2 11 2" xfId="36183" xr:uid="{00000000-0005-0000-0000-000023360000}"/>
    <cellStyle name="Финансовый 2 2 6 2 12" xfId="24206" xr:uid="{00000000-0005-0000-0000-000024360000}"/>
    <cellStyle name="Финансовый 2 2 6 2 13" xfId="48164" xr:uid="{00000000-0005-0000-0000-000025360000}"/>
    <cellStyle name="Финансовый 2 2 6 2 2" xfId="1344" xr:uid="{00000000-0005-0000-0000-000026360000}"/>
    <cellStyle name="Финансовый 2 2 6 2 2 2" xfId="2302" xr:uid="{00000000-0005-0000-0000-000027360000}"/>
    <cellStyle name="Финансовый 2 2 6 2 2 2 2" xfId="3947" xr:uid="{00000000-0005-0000-0000-000028360000}"/>
    <cellStyle name="Финансовый 2 2 6 2 2 2 2 2" xfId="11687" xr:uid="{00000000-0005-0000-0000-000029360000}"/>
    <cellStyle name="Финансовый 2 2 6 2 2 2 2 2 2" xfId="23665" xr:uid="{00000000-0005-0000-0000-00002A360000}"/>
    <cellStyle name="Финансовый 2 2 6 2 2 2 2 2 2 2" xfId="47620" xr:uid="{00000000-0005-0000-0000-00002B360000}"/>
    <cellStyle name="Финансовый 2 2 6 2 2 2 2 2 3" xfId="35642" xr:uid="{00000000-0005-0000-0000-00002C360000}"/>
    <cellStyle name="Финансовый 2 2 6 2 2 2 2 3" xfId="15926" xr:uid="{00000000-0005-0000-0000-00002D360000}"/>
    <cellStyle name="Финансовый 2 2 6 2 2 2 2 3 2" xfId="39881" xr:uid="{00000000-0005-0000-0000-00002E360000}"/>
    <cellStyle name="Финансовый 2 2 6 2 2 2 2 4" xfId="27904" xr:uid="{00000000-0005-0000-0000-00002F360000}"/>
    <cellStyle name="Финансовый 2 2 6 2 2 2 2 5" xfId="51173" xr:uid="{00000000-0005-0000-0000-000030360000}"/>
    <cellStyle name="Финансовый 2 2 6 2 2 2 3" xfId="5730" xr:uid="{00000000-0005-0000-0000-000031360000}"/>
    <cellStyle name="Финансовый 2 2 6 2 2 2 3 2" xfId="17708" xr:uid="{00000000-0005-0000-0000-000032360000}"/>
    <cellStyle name="Финансовый 2 2 6 2 2 2 3 2 2" xfId="41663" xr:uid="{00000000-0005-0000-0000-000033360000}"/>
    <cellStyle name="Финансовый 2 2 6 2 2 2 3 3" xfId="29685" xr:uid="{00000000-0005-0000-0000-000034360000}"/>
    <cellStyle name="Финансовый 2 2 6 2 2 2 4" xfId="8340" xr:uid="{00000000-0005-0000-0000-000035360000}"/>
    <cellStyle name="Финансовый 2 2 6 2 2 2 4 2" xfId="20318" xr:uid="{00000000-0005-0000-0000-000036360000}"/>
    <cellStyle name="Финансовый 2 2 6 2 2 2 4 2 2" xfId="44273" xr:uid="{00000000-0005-0000-0000-000037360000}"/>
    <cellStyle name="Финансовый 2 2 6 2 2 2 4 3" xfId="32295" xr:uid="{00000000-0005-0000-0000-000038360000}"/>
    <cellStyle name="Финансовый 2 2 6 2 2 2 5" xfId="10123" xr:uid="{00000000-0005-0000-0000-000039360000}"/>
    <cellStyle name="Финансовый 2 2 6 2 2 2 5 2" xfId="22101" xr:uid="{00000000-0005-0000-0000-00003A360000}"/>
    <cellStyle name="Финансовый 2 2 6 2 2 2 5 2 2" xfId="46056" xr:uid="{00000000-0005-0000-0000-00003B360000}"/>
    <cellStyle name="Финансовый 2 2 6 2 2 2 5 3" xfId="34078" xr:uid="{00000000-0005-0000-0000-00003C360000}"/>
    <cellStyle name="Финансовый 2 2 6 2 2 2 6" xfId="14281" xr:uid="{00000000-0005-0000-0000-00003D360000}"/>
    <cellStyle name="Финансовый 2 2 6 2 2 2 6 2" xfId="38236" xr:uid="{00000000-0005-0000-0000-00003E360000}"/>
    <cellStyle name="Финансовый 2 2 6 2 2 2 7" xfId="26259" xr:uid="{00000000-0005-0000-0000-00003F360000}"/>
    <cellStyle name="Финансовый 2 2 6 2 2 2 8" xfId="49392" xr:uid="{00000000-0005-0000-0000-000040360000}"/>
    <cellStyle name="Финансовый 2 2 6 2 2 3" xfId="3128" xr:uid="{00000000-0005-0000-0000-000041360000}"/>
    <cellStyle name="Финансовый 2 2 6 2 2 3 2" xfId="10915" xr:uid="{00000000-0005-0000-0000-000042360000}"/>
    <cellStyle name="Финансовый 2 2 6 2 2 3 2 2" xfId="22893" xr:uid="{00000000-0005-0000-0000-000043360000}"/>
    <cellStyle name="Финансовый 2 2 6 2 2 3 2 2 2" xfId="46848" xr:uid="{00000000-0005-0000-0000-000044360000}"/>
    <cellStyle name="Финансовый 2 2 6 2 2 3 2 3" xfId="34870" xr:uid="{00000000-0005-0000-0000-000045360000}"/>
    <cellStyle name="Финансовый 2 2 6 2 2 3 3" xfId="15107" xr:uid="{00000000-0005-0000-0000-000046360000}"/>
    <cellStyle name="Финансовый 2 2 6 2 2 3 3 2" xfId="39062" xr:uid="{00000000-0005-0000-0000-000047360000}"/>
    <cellStyle name="Финансовый 2 2 6 2 2 3 4" xfId="27085" xr:uid="{00000000-0005-0000-0000-000048360000}"/>
    <cellStyle name="Финансовый 2 2 6 2 2 3 5" xfId="50216" xr:uid="{00000000-0005-0000-0000-000049360000}"/>
    <cellStyle name="Финансовый 2 2 6 2 2 4" xfId="4772" xr:uid="{00000000-0005-0000-0000-00004A360000}"/>
    <cellStyle name="Финансовый 2 2 6 2 2 4 2" xfId="16751" xr:uid="{00000000-0005-0000-0000-00004B360000}"/>
    <cellStyle name="Финансовый 2 2 6 2 2 4 2 2" xfId="40706" xr:uid="{00000000-0005-0000-0000-00004C360000}"/>
    <cellStyle name="Финансовый 2 2 6 2 2 4 3" xfId="28729" xr:uid="{00000000-0005-0000-0000-00004D360000}"/>
    <cellStyle name="Финансовый 2 2 6 2 2 5" xfId="7384" xr:uid="{00000000-0005-0000-0000-00004E360000}"/>
    <cellStyle name="Финансовый 2 2 6 2 2 5 2" xfId="19362" xr:uid="{00000000-0005-0000-0000-00004F360000}"/>
    <cellStyle name="Финансовый 2 2 6 2 2 5 2 2" xfId="43317" xr:uid="{00000000-0005-0000-0000-000050360000}"/>
    <cellStyle name="Финансовый 2 2 6 2 2 5 3" xfId="31339" xr:uid="{00000000-0005-0000-0000-000051360000}"/>
    <cellStyle name="Финансовый 2 2 6 2 2 6" xfId="9166" xr:uid="{00000000-0005-0000-0000-000052360000}"/>
    <cellStyle name="Финансовый 2 2 6 2 2 6 2" xfId="21144" xr:uid="{00000000-0005-0000-0000-000053360000}"/>
    <cellStyle name="Финансовый 2 2 6 2 2 6 2 2" xfId="45099" xr:uid="{00000000-0005-0000-0000-000054360000}"/>
    <cellStyle name="Финансовый 2 2 6 2 2 6 3" xfId="33121" xr:uid="{00000000-0005-0000-0000-000055360000}"/>
    <cellStyle name="Финансовый 2 2 6 2 2 7" xfId="13325" xr:uid="{00000000-0005-0000-0000-000056360000}"/>
    <cellStyle name="Финансовый 2 2 6 2 2 7 2" xfId="37280" xr:uid="{00000000-0005-0000-0000-000057360000}"/>
    <cellStyle name="Финансовый 2 2 6 2 2 8" xfId="25303" xr:uid="{00000000-0005-0000-0000-000058360000}"/>
    <cellStyle name="Финансовый 2 2 6 2 2 9" xfId="48436" xr:uid="{00000000-0005-0000-0000-000059360000}"/>
    <cellStyle name="Финансовый 2 2 6 2 3" xfId="2046" xr:uid="{00000000-0005-0000-0000-00005A360000}"/>
    <cellStyle name="Финансовый 2 2 6 2 3 2" xfId="3691" xr:uid="{00000000-0005-0000-0000-00005B360000}"/>
    <cellStyle name="Финансовый 2 2 6 2 3 2 2" xfId="11431" xr:uid="{00000000-0005-0000-0000-00005C360000}"/>
    <cellStyle name="Финансовый 2 2 6 2 3 2 2 2" xfId="23409" xr:uid="{00000000-0005-0000-0000-00005D360000}"/>
    <cellStyle name="Финансовый 2 2 6 2 3 2 2 2 2" xfId="47364" xr:uid="{00000000-0005-0000-0000-00005E360000}"/>
    <cellStyle name="Финансовый 2 2 6 2 3 2 2 3" xfId="35386" xr:uid="{00000000-0005-0000-0000-00005F360000}"/>
    <cellStyle name="Финансовый 2 2 6 2 3 2 3" xfId="15670" xr:uid="{00000000-0005-0000-0000-000060360000}"/>
    <cellStyle name="Финансовый 2 2 6 2 3 2 3 2" xfId="39625" xr:uid="{00000000-0005-0000-0000-000061360000}"/>
    <cellStyle name="Финансовый 2 2 6 2 3 2 4" xfId="27648" xr:uid="{00000000-0005-0000-0000-000062360000}"/>
    <cellStyle name="Финансовый 2 2 6 2 3 2 5" xfId="50917" xr:uid="{00000000-0005-0000-0000-000063360000}"/>
    <cellStyle name="Финансовый 2 2 6 2 3 3" xfId="5474" xr:uid="{00000000-0005-0000-0000-000064360000}"/>
    <cellStyle name="Финансовый 2 2 6 2 3 3 2" xfId="17452" xr:uid="{00000000-0005-0000-0000-000065360000}"/>
    <cellStyle name="Финансовый 2 2 6 2 3 3 2 2" xfId="41407" xr:uid="{00000000-0005-0000-0000-000066360000}"/>
    <cellStyle name="Финансовый 2 2 6 2 3 3 3" xfId="29429" xr:uid="{00000000-0005-0000-0000-000067360000}"/>
    <cellStyle name="Финансовый 2 2 6 2 3 4" xfId="8084" xr:uid="{00000000-0005-0000-0000-000068360000}"/>
    <cellStyle name="Финансовый 2 2 6 2 3 4 2" xfId="20062" xr:uid="{00000000-0005-0000-0000-000069360000}"/>
    <cellStyle name="Финансовый 2 2 6 2 3 4 2 2" xfId="44017" xr:uid="{00000000-0005-0000-0000-00006A360000}"/>
    <cellStyle name="Финансовый 2 2 6 2 3 4 3" xfId="32039" xr:uid="{00000000-0005-0000-0000-00006B360000}"/>
    <cellStyle name="Финансовый 2 2 6 2 3 5" xfId="9867" xr:uid="{00000000-0005-0000-0000-00006C360000}"/>
    <cellStyle name="Финансовый 2 2 6 2 3 5 2" xfId="21845" xr:uid="{00000000-0005-0000-0000-00006D360000}"/>
    <cellStyle name="Финансовый 2 2 6 2 3 5 2 2" xfId="45800" xr:uid="{00000000-0005-0000-0000-00006E360000}"/>
    <cellStyle name="Финансовый 2 2 6 2 3 5 3" xfId="33822" xr:uid="{00000000-0005-0000-0000-00006F360000}"/>
    <cellStyle name="Финансовый 2 2 6 2 3 6" xfId="14025" xr:uid="{00000000-0005-0000-0000-000070360000}"/>
    <cellStyle name="Финансовый 2 2 6 2 3 6 2" xfId="37980" xr:uid="{00000000-0005-0000-0000-000071360000}"/>
    <cellStyle name="Финансовый 2 2 6 2 3 7" xfId="26003" xr:uid="{00000000-0005-0000-0000-000072360000}"/>
    <cellStyle name="Финансовый 2 2 6 2 3 8" xfId="49136" xr:uid="{00000000-0005-0000-0000-000073360000}"/>
    <cellStyle name="Финансовый 2 2 6 2 4" xfId="2575" xr:uid="{00000000-0005-0000-0000-000074360000}"/>
    <cellStyle name="Финансовый 2 2 6 2 4 2" xfId="4220" xr:uid="{00000000-0005-0000-0000-000075360000}"/>
    <cellStyle name="Финансовый 2 2 6 2 4 2 2" xfId="11944" xr:uid="{00000000-0005-0000-0000-000076360000}"/>
    <cellStyle name="Финансовый 2 2 6 2 4 2 2 2" xfId="23922" xr:uid="{00000000-0005-0000-0000-000077360000}"/>
    <cellStyle name="Финансовый 2 2 6 2 4 2 2 2 2" xfId="47877" xr:uid="{00000000-0005-0000-0000-000078360000}"/>
    <cellStyle name="Финансовый 2 2 6 2 4 2 2 3" xfId="35899" xr:uid="{00000000-0005-0000-0000-000079360000}"/>
    <cellStyle name="Финансовый 2 2 6 2 4 2 3" xfId="16199" xr:uid="{00000000-0005-0000-0000-00007A360000}"/>
    <cellStyle name="Финансовый 2 2 6 2 4 2 3 2" xfId="40154" xr:uid="{00000000-0005-0000-0000-00007B360000}"/>
    <cellStyle name="Финансовый 2 2 6 2 4 2 4" xfId="28177" xr:uid="{00000000-0005-0000-0000-00007C360000}"/>
    <cellStyle name="Финансовый 2 2 6 2 4 2 5" xfId="51446" xr:uid="{00000000-0005-0000-0000-00007D360000}"/>
    <cellStyle name="Финансовый 2 2 6 2 4 3" xfId="6003" xr:uid="{00000000-0005-0000-0000-00007E360000}"/>
    <cellStyle name="Финансовый 2 2 6 2 4 3 2" xfId="17981" xr:uid="{00000000-0005-0000-0000-00007F360000}"/>
    <cellStyle name="Финансовый 2 2 6 2 4 3 2 2" xfId="41936" xr:uid="{00000000-0005-0000-0000-000080360000}"/>
    <cellStyle name="Финансовый 2 2 6 2 4 3 3" xfId="29958" xr:uid="{00000000-0005-0000-0000-000081360000}"/>
    <cellStyle name="Финансовый 2 2 6 2 4 4" xfId="8613" xr:uid="{00000000-0005-0000-0000-000082360000}"/>
    <cellStyle name="Финансовый 2 2 6 2 4 4 2" xfId="20591" xr:uid="{00000000-0005-0000-0000-000083360000}"/>
    <cellStyle name="Финансовый 2 2 6 2 4 4 2 2" xfId="44546" xr:uid="{00000000-0005-0000-0000-000084360000}"/>
    <cellStyle name="Финансовый 2 2 6 2 4 4 3" xfId="32568" xr:uid="{00000000-0005-0000-0000-000085360000}"/>
    <cellStyle name="Финансовый 2 2 6 2 4 5" xfId="10396" xr:uid="{00000000-0005-0000-0000-000086360000}"/>
    <cellStyle name="Финансовый 2 2 6 2 4 5 2" xfId="22374" xr:uid="{00000000-0005-0000-0000-000087360000}"/>
    <cellStyle name="Финансовый 2 2 6 2 4 5 2 2" xfId="46329" xr:uid="{00000000-0005-0000-0000-000088360000}"/>
    <cellStyle name="Финансовый 2 2 6 2 4 5 3" xfId="34351" xr:uid="{00000000-0005-0000-0000-000089360000}"/>
    <cellStyle name="Финансовый 2 2 6 2 4 6" xfId="14554" xr:uid="{00000000-0005-0000-0000-00008A360000}"/>
    <cellStyle name="Финансовый 2 2 6 2 4 6 2" xfId="38509" xr:uid="{00000000-0005-0000-0000-00008B360000}"/>
    <cellStyle name="Финансовый 2 2 6 2 4 7" xfId="26532" xr:uid="{00000000-0005-0000-0000-00008C360000}"/>
    <cellStyle name="Финансовый 2 2 6 2 4 8" xfId="49665" xr:uid="{00000000-0005-0000-0000-00008D360000}"/>
    <cellStyle name="Финансовый 2 2 6 2 5" xfId="1079" xr:uid="{00000000-0005-0000-0000-00008E360000}"/>
    <cellStyle name="Финансовый 2 2 6 2 5 2" xfId="7119" xr:uid="{00000000-0005-0000-0000-00008F360000}"/>
    <cellStyle name="Финансовый 2 2 6 2 5 2 2" xfId="19097" xr:uid="{00000000-0005-0000-0000-000090360000}"/>
    <cellStyle name="Финансовый 2 2 6 2 5 2 2 2" xfId="43052" xr:uid="{00000000-0005-0000-0000-000091360000}"/>
    <cellStyle name="Финансовый 2 2 6 2 5 2 3" xfId="31074" xr:uid="{00000000-0005-0000-0000-000092360000}"/>
    <cellStyle name="Финансовый 2 2 6 2 5 3" xfId="10659" xr:uid="{00000000-0005-0000-0000-000093360000}"/>
    <cellStyle name="Финансовый 2 2 6 2 5 3 2" xfId="22637" xr:uid="{00000000-0005-0000-0000-000094360000}"/>
    <cellStyle name="Финансовый 2 2 6 2 5 3 2 2" xfId="46592" xr:uid="{00000000-0005-0000-0000-000095360000}"/>
    <cellStyle name="Финансовый 2 2 6 2 5 3 3" xfId="34614" xr:uid="{00000000-0005-0000-0000-000096360000}"/>
    <cellStyle name="Финансовый 2 2 6 2 5 4" xfId="13060" xr:uid="{00000000-0005-0000-0000-000097360000}"/>
    <cellStyle name="Финансовый 2 2 6 2 5 4 2" xfId="37015" xr:uid="{00000000-0005-0000-0000-000098360000}"/>
    <cellStyle name="Финансовый 2 2 6 2 5 5" xfId="25038" xr:uid="{00000000-0005-0000-0000-000099360000}"/>
    <cellStyle name="Финансовый 2 2 6 2 5 6" xfId="49944" xr:uid="{00000000-0005-0000-0000-00009A360000}"/>
    <cellStyle name="Финансовый 2 2 6 2 6" xfId="667" xr:uid="{00000000-0005-0000-0000-00009B360000}"/>
    <cellStyle name="Финансовый 2 2 6 2 6 2" xfId="6707" xr:uid="{00000000-0005-0000-0000-00009C360000}"/>
    <cellStyle name="Финансовый 2 2 6 2 6 2 2" xfId="18685" xr:uid="{00000000-0005-0000-0000-00009D360000}"/>
    <cellStyle name="Финансовый 2 2 6 2 6 2 2 2" xfId="42640" xr:uid="{00000000-0005-0000-0000-00009E360000}"/>
    <cellStyle name="Финансовый 2 2 6 2 6 2 3" xfId="30662" xr:uid="{00000000-0005-0000-0000-00009F360000}"/>
    <cellStyle name="Финансовый 2 2 6 2 6 3" xfId="12648" xr:uid="{00000000-0005-0000-0000-0000A0360000}"/>
    <cellStyle name="Финансовый 2 2 6 2 6 3 2" xfId="36603" xr:uid="{00000000-0005-0000-0000-0000A1360000}"/>
    <cellStyle name="Финансовый 2 2 6 2 6 4" xfId="24626" xr:uid="{00000000-0005-0000-0000-0000A2360000}"/>
    <cellStyle name="Финансовый 2 2 6 2 7" xfId="2856" xr:uid="{00000000-0005-0000-0000-0000A3360000}"/>
    <cellStyle name="Финансовый 2 2 6 2 7 2" xfId="14835" xr:uid="{00000000-0005-0000-0000-0000A4360000}"/>
    <cellStyle name="Финансовый 2 2 6 2 7 2 2" xfId="38790" xr:uid="{00000000-0005-0000-0000-0000A5360000}"/>
    <cellStyle name="Финансовый 2 2 6 2 7 3" xfId="26813" xr:uid="{00000000-0005-0000-0000-0000A6360000}"/>
    <cellStyle name="Финансовый 2 2 6 2 8" xfId="4500" xr:uid="{00000000-0005-0000-0000-0000A7360000}"/>
    <cellStyle name="Финансовый 2 2 6 2 8 2" xfId="16479" xr:uid="{00000000-0005-0000-0000-0000A8360000}"/>
    <cellStyle name="Финансовый 2 2 6 2 8 2 2" xfId="40434" xr:uid="{00000000-0005-0000-0000-0000A9360000}"/>
    <cellStyle name="Финансовый 2 2 6 2 8 3" xfId="28457" xr:uid="{00000000-0005-0000-0000-0000AA360000}"/>
    <cellStyle name="Финансовый 2 2 6 2 9" xfId="6287" xr:uid="{00000000-0005-0000-0000-0000AB360000}"/>
    <cellStyle name="Финансовый 2 2 6 2 9 2" xfId="18265" xr:uid="{00000000-0005-0000-0000-0000AC360000}"/>
    <cellStyle name="Финансовый 2 2 6 2 9 2 2" xfId="42220" xr:uid="{00000000-0005-0000-0000-0000AD360000}"/>
    <cellStyle name="Финансовый 2 2 6 2 9 3" xfId="30242" xr:uid="{00000000-0005-0000-0000-0000AE360000}"/>
    <cellStyle name="Финансовый 2 2 6 3" xfId="395" xr:uid="{00000000-0005-0000-0000-0000AF360000}"/>
    <cellStyle name="Финансовый 2 2 6 3 10" xfId="24354" xr:uid="{00000000-0005-0000-0000-0000B0360000}"/>
    <cellStyle name="Финансовый 2 2 6 3 11" xfId="48300" xr:uid="{00000000-0005-0000-0000-0000B1360000}"/>
    <cellStyle name="Финансовый 2 2 6 3 2" xfId="2174" xr:uid="{00000000-0005-0000-0000-0000B2360000}"/>
    <cellStyle name="Финансовый 2 2 6 3 2 2" xfId="3819" xr:uid="{00000000-0005-0000-0000-0000B3360000}"/>
    <cellStyle name="Финансовый 2 2 6 3 2 2 2" xfId="11559" xr:uid="{00000000-0005-0000-0000-0000B4360000}"/>
    <cellStyle name="Финансовый 2 2 6 3 2 2 2 2" xfId="23537" xr:uid="{00000000-0005-0000-0000-0000B5360000}"/>
    <cellStyle name="Финансовый 2 2 6 3 2 2 2 2 2" xfId="47492" xr:uid="{00000000-0005-0000-0000-0000B6360000}"/>
    <cellStyle name="Финансовый 2 2 6 3 2 2 2 3" xfId="35514" xr:uid="{00000000-0005-0000-0000-0000B7360000}"/>
    <cellStyle name="Финансовый 2 2 6 3 2 2 3" xfId="15798" xr:uid="{00000000-0005-0000-0000-0000B8360000}"/>
    <cellStyle name="Финансовый 2 2 6 3 2 2 3 2" xfId="39753" xr:uid="{00000000-0005-0000-0000-0000B9360000}"/>
    <cellStyle name="Финансовый 2 2 6 3 2 2 4" xfId="27776" xr:uid="{00000000-0005-0000-0000-0000BA360000}"/>
    <cellStyle name="Финансовый 2 2 6 3 2 2 5" xfId="51045" xr:uid="{00000000-0005-0000-0000-0000BB360000}"/>
    <cellStyle name="Финансовый 2 2 6 3 2 3" xfId="5602" xr:uid="{00000000-0005-0000-0000-0000BC360000}"/>
    <cellStyle name="Финансовый 2 2 6 3 2 3 2" xfId="17580" xr:uid="{00000000-0005-0000-0000-0000BD360000}"/>
    <cellStyle name="Финансовый 2 2 6 3 2 3 2 2" xfId="41535" xr:uid="{00000000-0005-0000-0000-0000BE360000}"/>
    <cellStyle name="Финансовый 2 2 6 3 2 3 3" xfId="29557" xr:uid="{00000000-0005-0000-0000-0000BF360000}"/>
    <cellStyle name="Финансовый 2 2 6 3 2 4" xfId="8212" xr:uid="{00000000-0005-0000-0000-0000C0360000}"/>
    <cellStyle name="Финансовый 2 2 6 3 2 4 2" xfId="20190" xr:uid="{00000000-0005-0000-0000-0000C1360000}"/>
    <cellStyle name="Финансовый 2 2 6 3 2 4 2 2" xfId="44145" xr:uid="{00000000-0005-0000-0000-0000C2360000}"/>
    <cellStyle name="Финансовый 2 2 6 3 2 4 3" xfId="32167" xr:uid="{00000000-0005-0000-0000-0000C3360000}"/>
    <cellStyle name="Финансовый 2 2 6 3 2 5" xfId="9995" xr:uid="{00000000-0005-0000-0000-0000C4360000}"/>
    <cellStyle name="Финансовый 2 2 6 3 2 5 2" xfId="21973" xr:uid="{00000000-0005-0000-0000-0000C5360000}"/>
    <cellStyle name="Финансовый 2 2 6 3 2 5 2 2" xfId="45928" xr:uid="{00000000-0005-0000-0000-0000C6360000}"/>
    <cellStyle name="Финансовый 2 2 6 3 2 5 3" xfId="33950" xr:uid="{00000000-0005-0000-0000-0000C7360000}"/>
    <cellStyle name="Финансовый 2 2 6 3 2 6" xfId="14153" xr:uid="{00000000-0005-0000-0000-0000C8360000}"/>
    <cellStyle name="Финансовый 2 2 6 3 2 6 2" xfId="38108" xr:uid="{00000000-0005-0000-0000-0000C9360000}"/>
    <cellStyle name="Финансовый 2 2 6 3 2 7" xfId="26131" xr:uid="{00000000-0005-0000-0000-0000CA360000}"/>
    <cellStyle name="Финансовый 2 2 6 3 2 8" xfId="49264" xr:uid="{00000000-0005-0000-0000-0000CB360000}"/>
    <cellStyle name="Финансовый 2 2 6 3 3" xfId="1208" xr:uid="{00000000-0005-0000-0000-0000CC360000}"/>
    <cellStyle name="Финансовый 2 2 6 3 3 2" xfId="7248" xr:uid="{00000000-0005-0000-0000-0000CD360000}"/>
    <cellStyle name="Финансовый 2 2 6 3 3 2 2" xfId="19226" xr:uid="{00000000-0005-0000-0000-0000CE360000}"/>
    <cellStyle name="Финансовый 2 2 6 3 3 2 2 2" xfId="43181" xr:uid="{00000000-0005-0000-0000-0000CF360000}"/>
    <cellStyle name="Финансовый 2 2 6 3 3 2 3" xfId="31203" xr:uid="{00000000-0005-0000-0000-0000D0360000}"/>
    <cellStyle name="Финансовый 2 2 6 3 3 3" xfId="10787" xr:uid="{00000000-0005-0000-0000-0000D1360000}"/>
    <cellStyle name="Финансовый 2 2 6 3 3 3 2" xfId="22765" xr:uid="{00000000-0005-0000-0000-0000D2360000}"/>
    <cellStyle name="Финансовый 2 2 6 3 3 3 2 2" xfId="46720" xr:uid="{00000000-0005-0000-0000-0000D3360000}"/>
    <cellStyle name="Финансовый 2 2 6 3 3 3 3" xfId="34742" xr:uid="{00000000-0005-0000-0000-0000D4360000}"/>
    <cellStyle name="Финансовый 2 2 6 3 3 4" xfId="13189" xr:uid="{00000000-0005-0000-0000-0000D5360000}"/>
    <cellStyle name="Финансовый 2 2 6 3 3 4 2" xfId="37144" xr:uid="{00000000-0005-0000-0000-0000D6360000}"/>
    <cellStyle name="Финансовый 2 2 6 3 3 5" xfId="25167" xr:uid="{00000000-0005-0000-0000-0000D7360000}"/>
    <cellStyle name="Финансовый 2 2 6 3 3 6" xfId="50080" xr:uid="{00000000-0005-0000-0000-0000D8360000}"/>
    <cellStyle name="Финансовый 2 2 6 3 4" xfId="815" xr:uid="{00000000-0005-0000-0000-0000D9360000}"/>
    <cellStyle name="Финансовый 2 2 6 3 4 2" xfId="6855" xr:uid="{00000000-0005-0000-0000-0000DA360000}"/>
    <cellStyle name="Финансовый 2 2 6 3 4 2 2" xfId="18833" xr:uid="{00000000-0005-0000-0000-0000DB360000}"/>
    <cellStyle name="Финансовый 2 2 6 3 4 2 2 2" xfId="42788" xr:uid="{00000000-0005-0000-0000-0000DC360000}"/>
    <cellStyle name="Финансовый 2 2 6 3 4 2 3" xfId="30810" xr:uid="{00000000-0005-0000-0000-0000DD360000}"/>
    <cellStyle name="Финансовый 2 2 6 3 4 3" xfId="12796" xr:uid="{00000000-0005-0000-0000-0000DE360000}"/>
    <cellStyle name="Финансовый 2 2 6 3 4 3 2" xfId="36751" xr:uid="{00000000-0005-0000-0000-0000DF360000}"/>
    <cellStyle name="Финансовый 2 2 6 3 4 4" xfId="24774" xr:uid="{00000000-0005-0000-0000-0000E0360000}"/>
    <cellStyle name="Финансовый 2 2 6 3 5" xfId="2992" xr:uid="{00000000-0005-0000-0000-0000E1360000}"/>
    <cellStyle name="Финансовый 2 2 6 3 5 2" xfId="14971" xr:uid="{00000000-0005-0000-0000-0000E2360000}"/>
    <cellStyle name="Финансовый 2 2 6 3 5 2 2" xfId="38926" xr:uid="{00000000-0005-0000-0000-0000E3360000}"/>
    <cellStyle name="Финансовый 2 2 6 3 5 3" xfId="26949" xr:uid="{00000000-0005-0000-0000-0000E4360000}"/>
    <cellStyle name="Финансовый 2 2 6 3 6" xfId="4636" xr:uid="{00000000-0005-0000-0000-0000E5360000}"/>
    <cellStyle name="Финансовый 2 2 6 3 6 2" xfId="16615" xr:uid="{00000000-0005-0000-0000-0000E6360000}"/>
    <cellStyle name="Финансовый 2 2 6 3 6 2 2" xfId="40570" xr:uid="{00000000-0005-0000-0000-0000E7360000}"/>
    <cellStyle name="Финансовый 2 2 6 3 6 3" xfId="28593" xr:uid="{00000000-0005-0000-0000-0000E8360000}"/>
    <cellStyle name="Финансовый 2 2 6 3 7" xfId="6435" xr:uid="{00000000-0005-0000-0000-0000E9360000}"/>
    <cellStyle name="Финансовый 2 2 6 3 7 2" xfId="18413" xr:uid="{00000000-0005-0000-0000-0000EA360000}"/>
    <cellStyle name="Финансовый 2 2 6 3 7 2 2" xfId="42368" xr:uid="{00000000-0005-0000-0000-0000EB360000}"/>
    <cellStyle name="Финансовый 2 2 6 3 7 3" xfId="30390" xr:uid="{00000000-0005-0000-0000-0000EC360000}"/>
    <cellStyle name="Финансовый 2 2 6 3 8" xfId="9030" xr:uid="{00000000-0005-0000-0000-0000ED360000}"/>
    <cellStyle name="Финансовый 2 2 6 3 8 2" xfId="21008" xr:uid="{00000000-0005-0000-0000-0000EE360000}"/>
    <cellStyle name="Финансовый 2 2 6 3 8 2 2" xfId="44963" xr:uid="{00000000-0005-0000-0000-0000EF360000}"/>
    <cellStyle name="Финансовый 2 2 6 3 8 3" xfId="32985" xr:uid="{00000000-0005-0000-0000-0000F0360000}"/>
    <cellStyle name="Финансовый 2 2 6 3 9" xfId="12376" xr:uid="{00000000-0005-0000-0000-0000F1360000}"/>
    <cellStyle name="Финансовый 2 2 6 3 9 2" xfId="36331" xr:uid="{00000000-0005-0000-0000-0000F2360000}"/>
    <cellStyle name="Финансовый 2 2 6 4" xfId="1459" xr:uid="{00000000-0005-0000-0000-0000F3360000}"/>
    <cellStyle name="Финансовый 2 2 6 4 2" xfId="1918" xr:uid="{00000000-0005-0000-0000-0000F4360000}"/>
    <cellStyle name="Финансовый 2 2 6 4 2 2" xfId="3563" xr:uid="{00000000-0005-0000-0000-0000F5360000}"/>
    <cellStyle name="Финансовый 2 2 6 4 2 2 2" xfId="11303" xr:uid="{00000000-0005-0000-0000-0000F6360000}"/>
    <cellStyle name="Финансовый 2 2 6 4 2 2 2 2" xfId="23281" xr:uid="{00000000-0005-0000-0000-0000F7360000}"/>
    <cellStyle name="Финансовый 2 2 6 4 2 2 2 2 2" xfId="47236" xr:uid="{00000000-0005-0000-0000-0000F8360000}"/>
    <cellStyle name="Финансовый 2 2 6 4 2 2 2 3" xfId="35258" xr:uid="{00000000-0005-0000-0000-0000F9360000}"/>
    <cellStyle name="Финансовый 2 2 6 4 2 2 3" xfId="15542" xr:uid="{00000000-0005-0000-0000-0000FA360000}"/>
    <cellStyle name="Финансовый 2 2 6 4 2 2 3 2" xfId="39497" xr:uid="{00000000-0005-0000-0000-0000FB360000}"/>
    <cellStyle name="Финансовый 2 2 6 4 2 2 4" xfId="27520" xr:uid="{00000000-0005-0000-0000-0000FC360000}"/>
    <cellStyle name="Финансовый 2 2 6 4 2 2 5" xfId="50789" xr:uid="{00000000-0005-0000-0000-0000FD360000}"/>
    <cellStyle name="Финансовый 2 2 6 4 2 3" xfId="5346" xr:uid="{00000000-0005-0000-0000-0000FE360000}"/>
    <cellStyle name="Финансовый 2 2 6 4 2 3 2" xfId="17324" xr:uid="{00000000-0005-0000-0000-0000FF360000}"/>
    <cellStyle name="Финансовый 2 2 6 4 2 3 2 2" xfId="41279" xr:uid="{00000000-0005-0000-0000-000000370000}"/>
    <cellStyle name="Финансовый 2 2 6 4 2 3 3" xfId="29301" xr:uid="{00000000-0005-0000-0000-000001370000}"/>
    <cellStyle name="Финансовый 2 2 6 4 2 4" xfId="7956" xr:uid="{00000000-0005-0000-0000-000002370000}"/>
    <cellStyle name="Финансовый 2 2 6 4 2 4 2" xfId="19934" xr:uid="{00000000-0005-0000-0000-000003370000}"/>
    <cellStyle name="Финансовый 2 2 6 4 2 4 2 2" xfId="43889" xr:uid="{00000000-0005-0000-0000-000004370000}"/>
    <cellStyle name="Финансовый 2 2 6 4 2 4 3" xfId="31911" xr:uid="{00000000-0005-0000-0000-000005370000}"/>
    <cellStyle name="Финансовый 2 2 6 4 2 5" xfId="9739" xr:uid="{00000000-0005-0000-0000-000006370000}"/>
    <cellStyle name="Финансовый 2 2 6 4 2 5 2" xfId="21717" xr:uid="{00000000-0005-0000-0000-000007370000}"/>
    <cellStyle name="Финансовый 2 2 6 4 2 5 2 2" xfId="45672" xr:uid="{00000000-0005-0000-0000-000008370000}"/>
    <cellStyle name="Финансовый 2 2 6 4 2 5 3" xfId="33694" xr:uid="{00000000-0005-0000-0000-000009370000}"/>
    <cellStyle name="Финансовый 2 2 6 4 2 6" xfId="13897" xr:uid="{00000000-0005-0000-0000-00000A370000}"/>
    <cellStyle name="Финансовый 2 2 6 4 2 6 2" xfId="37852" xr:uid="{00000000-0005-0000-0000-00000B370000}"/>
    <cellStyle name="Финансовый 2 2 6 4 2 7" xfId="25875" xr:uid="{00000000-0005-0000-0000-00000C370000}"/>
    <cellStyle name="Финансовый 2 2 6 4 2 8" xfId="49008" xr:uid="{00000000-0005-0000-0000-00000D370000}"/>
    <cellStyle name="Финансовый 2 2 6 4 3" xfId="4887" xr:uid="{00000000-0005-0000-0000-00000E370000}"/>
    <cellStyle name="Финансовый 2 2 6 4 3 2" xfId="16865" xr:uid="{00000000-0005-0000-0000-00000F370000}"/>
    <cellStyle name="Финансовый 2 2 6 4 3 2 2" xfId="40820" xr:uid="{00000000-0005-0000-0000-000010370000}"/>
    <cellStyle name="Финансовый 2 2 6 4 3 3" xfId="28842" xr:uid="{00000000-0005-0000-0000-000011370000}"/>
    <cellStyle name="Финансовый 2 2 6 4 3 4" xfId="50330" xr:uid="{00000000-0005-0000-0000-000012370000}"/>
    <cellStyle name="Финансовый 2 2 6 4 4" xfId="7497" xr:uid="{00000000-0005-0000-0000-000013370000}"/>
    <cellStyle name="Финансовый 2 2 6 4 4 2" xfId="19475" xr:uid="{00000000-0005-0000-0000-000014370000}"/>
    <cellStyle name="Финансовый 2 2 6 4 4 2 2" xfId="43430" xr:uid="{00000000-0005-0000-0000-000015370000}"/>
    <cellStyle name="Финансовый 2 2 6 4 4 3" xfId="31452" xr:uid="{00000000-0005-0000-0000-000016370000}"/>
    <cellStyle name="Финансовый 2 2 6 4 5" xfId="9280" xr:uid="{00000000-0005-0000-0000-000017370000}"/>
    <cellStyle name="Финансовый 2 2 6 4 5 2" xfId="21258" xr:uid="{00000000-0005-0000-0000-000018370000}"/>
    <cellStyle name="Финансовый 2 2 6 4 5 2 2" xfId="45213" xr:uid="{00000000-0005-0000-0000-000019370000}"/>
    <cellStyle name="Финансовый 2 2 6 4 5 3" xfId="33235" xr:uid="{00000000-0005-0000-0000-00001A370000}"/>
    <cellStyle name="Финансовый 2 2 6 4 6" xfId="13438" xr:uid="{00000000-0005-0000-0000-00001B370000}"/>
    <cellStyle name="Финансовый 2 2 6 4 6 2" xfId="37393" xr:uid="{00000000-0005-0000-0000-00001C370000}"/>
    <cellStyle name="Финансовый 2 2 6 4 7" xfId="25416" xr:uid="{00000000-0005-0000-0000-00001D370000}"/>
    <cellStyle name="Финансовый 2 2 6 4 8" xfId="48549" xr:uid="{00000000-0005-0000-0000-00001E370000}"/>
    <cellStyle name="Финансовый 2 2 6 5" xfId="1794" xr:uid="{00000000-0005-0000-0000-00001F370000}"/>
    <cellStyle name="Финансовый 2 2 6 5 2" xfId="3439" xr:uid="{00000000-0005-0000-0000-000020370000}"/>
    <cellStyle name="Финансовый 2 2 6 5 2 2" xfId="11187" xr:uid="{00000000-0005-0000-0000-000021370000}"/>
    <cellStyle name="Финансовый 2 2 6 5 2 2 2" xfId="23165" xr:uid="{00000000-0005-0000-0000-000022370000}"/>
    <cellStyle name="Финансовый 2 2 6 5 2 2 2 2" xfId="47120" xr:uid="{00000000-0005-0000-0000-000023370000}"/>
    <cellStyle name="Финансовый 2 2 6 5 2 2 3" xfId="35142" xr:uid="{00000000-0005-0000-0000-000024370000}"/>
    <cellStyle name="Финансовый 2 2 6 5 2 3" xfId="15418" xr:uid="{00000000-0005-0000-0000-000025370000}"/>
    <cellStyle name="Финансовый 2 2 6 5 2 3 2" xfId="39373" xr:uid="{00000000-0005-0000-0000-000026370000}"/>
    <cellStyle name="Финансовый 2 2 6 5 2 4" xfId="27396" xr:uid="{00000000-0005-0000-0000-000027370000}"/>
    <cellStyle name="Финансовый 2 2 6 5 2 5" xfId="50665" xr:uid="{00000000-0005-0000-0000-000028370000}"/>
    <cellStyle name="Финансовый 2 2 6 5 3" xfId="5222" xr:uid="{00000000-0005-0000-0000-000029370000}"/>
    <cellStyle name="Финансовый 2 2 6 5 3 2" xfId="17200" xr:uid="{00000000-0005-0000-0000-00002A370000}"/>
    <cellStyle name="Финансовый 2 2 6 5 3 2 2" xfId="41155" xr:uid="{00000000-0005-0000-0000-00002B370000}"/>
    <cellStyle name="Финансовый 2 2 6 5 3 3" xfId="29177" xr:uid="{00000000-0005-0000-0000-00002C370000}"/>
    <cellStyle name="Финансовый 2 2 6 5 4" xfId="7832" xr:uid="{00000000-0005-0000-0000-00002D370000}"/>
    <cellStyle name="Финансовый 2 2 6 5 4 2" xfId="19810" xr:uid="{00000000-0005-0000-0000-00002E370000}"/>
    <cellStyle name="Финансовый 2 2 6 5 4 2 2" xfId="43765" xr:uid="{00000000-0005-0000-0000-00002F370000}"/>
    <cellStyle name="Финансовый 2 2 6 5 4 3" xfId="31787" xr:uid="{00000000-0005-0000-0000-000030370000}"/>
    <cellStyle name="Финансовый 2 2 6 5 5" xfId="9615" xr:uid="{00000000-0005-0000-0000-000031370000}"/>
    <cellStyle name="Финансовый 2 2 6 5 5 2" xfId="21593" xr:uid="{00000000-0005-0000-0000-000032370000}"/>
    <cellStyle name="Финансовый 2 2 6 5 5 2 2" xfId="45548" xr:uid="{00000000-0005-0000-0000-000033370000}"/>
    <cellStyle name="Финансовый 2 2 6 5 5 3" xfId="33570" xr:uid="{00000000-0005-0000-0000-000034370000}"/>
    <cellStyle name="Финансовый 2 2 6 5 6" xfId="13773" xr:uid="{00000000-0005-0000-0000-000035370000}"/>
    <cellStyle name="Финансовый 2 2 6 5 6 2" xfId="37728" xr:uid="{00000000-0005-0000-0000-000036370000}"/>
    <cellStyle name="Финансовый 2 2 6 5 7" xfId="25751" xr:uid="{00000000-0005-0000-0000-000037370000}"/>
    <cellStyle name="Финансовый 2 2 6 5 8" xfId="48884" xr:uid="{00000000-0005-0000-0000-000038370000}"/>
    <cellStyle name="Финансовый 2 2 6 6" xfId="2439" xr:uid="{00000000-0005-0000-0000-000039370000}"/>
    <cellStyle name="Финансовый 2 2 6 6 2" xfId="4084" xr:uid="{00000000-0005-0000-0000-00003A370000}"/>
    <cellStyle name="Финансовый 2 2 6 6 2 2" xfId="11816" xr:uid="{00000000-0005-0000-0000-00003B370000}"/>
    <cellStyle name="Финансовый 2 2 6 6 2 2 2" xfId="23794" xr:uid="{00000000-0005-0000-0000-00003C370000}"/>
    <cellStyle name="Финансовый 2 2 6 6 2 2 2 2" xfId="47749" xr:uid="{00000000-0005-0000-0000-00003D370000}"/>
    <cellStyle name="Финансовый 2 2 6 6 2 2 3" xfId="35771" xr:uid="{00000000-0005-0000-0000-00003E370000}"/>
    <cellStyle name="Финансовый 2 2 6 6 2 3" xfId="16063" xr:uid="{00000000-0005-0000-0000-00003F370000}"/>
    <cellStyle name="Финансовый 2 2 6 6 2 3 2" xfId="40018" xr:uid="{00000000-0005-0000-0000-000040370000}"/>
    <cellStyle name="Финансовый 2 2 6 6 2 4" xfId="28041" xr:uid="{00000000-0005-0000-0000-000041370000}"/>
    <cellStyle name="Финансовый 2 2 6 6 2 5" xfId="51310" xr:uid="{00000000-0005-0000-0000-000042370000}"/>
    <cellStyle name="Финансовый 2 2 6 6 3" xfId="5867" xr:uid="{00000000-0005-0000-0000-000043370000}"/>
    <cellStyle name="Финансовый 2 2 6 6 3 2" xfId="17845" xr:uid="{00000000-0005-0000-0000-000044370000}"/>
    <cellStyle name="Финансовый 2 2 6 6 3 2 2" xfId="41800" xr:uid="{00000000-0005-0000-0000-000045370000}"/>
    <cellStyle name="Финансовый 2 2 6 6 3 3" xfId="29822" xr:uid="{00000000-0005-0000-0000-000046370000}"/>
    <cellStyle name="Финансовый 2 2 6 6 4" xfId="8477" xr:uid="{00000000-0005-0000-0000-000047370000}"/>
    <cellStyle name="Финансовый 2 2 6 6 4 2" xfId="20455" xr:uid="{00000000-0005-0000-0000-000048370000}"/>
    <cellStyle name="Финансовый 2 2 6 6 4 2 2" xfId="44410" xr:uid="{00000000-0005-0000-0000-000049370000}"/>
    <cellStyle name="Финансовый 2 2 6 6 4 3" xfId="32432" xr:uid="{00000000-0005-0000-0000-00004A370000}"/>
    <cellStyle name="Финансовый 2 2 6 6 5" xfId="10260" xr:uid="{00000000-0005-0000-0000-00004B370000}"/>
    <cellStyle name="Финансовый 2 2 6 6 5 2" xfId="22238" xr:uid="{00000000-0005-0000-0000-00004C370000}"/>
    <cellStyle name="Финансовый 2 2 6 6 5 2 2" xfId="46193" xr:uid="{00000000-0005-0000-0000-00004D370000}"/>
    <cellStyle name="Финансовый 2 2 6 6 5 3" xfId="34215" xr:uid="{00000000-0005-0000-0000-00004E370000}"/>
    <cellStyle name="Финансовый 2 2 6 6 6" xfId="14418" xr:uid="{00000000-0005-0000-0000-00004F370000}"/>
    <cellStyle name="Финансовый 2 2 6 6 6 2" xfId="38373" xr:uid="{00000000-0005-0000-0000-000050370000}"/>
    <cellStyle name="Финансовый 2 2 6 6 7" xfId="26396" xr:uid="{00000000-0005-0000-0000-000051370000}"/>
    <cellStyle name="Финансовый 2 2 6 6 8" xfId="49529" xr:uid="{00000000-0005-0000-0000-000052370000}"/>
    <cellStyle name="Финансовый 2 2 6 7" xfId="1666" xr:uid="{00000000-0005-0000-0000-000053370000}"/>
    <cellStyle name="Финансовый 2 2 6 7 2" xfId="3311" xr:uid="{00000000-0005-0000-0000-000054370000}"/>
    <cellStyle name="Финансовый 2 2 6 7 2 2" xfId="11059" xr:uid="{00000000-0005-0000-0000-000055370000}"/>
    <cellStyle name="Финансовый 2 2 6 7 2 2 2" xfId="23037" xr:uid="{00000000-0005-0000-0000-000056370000}"/>
    <cellStyle name="Финансовый 2 2 6 7 2 2 2 2" xfId="46992" xr:uid="{00000000-0005-0000-0000-000057370000}"/>
    <cellStyle name="Финансовый 2 2 6 7 2 2 3" xfId="35014" xr:uid="{00000000-0005-0000-0000-000058370000}"/>
    <cellStyle name="Финансовый 2 2 6 7 2 3" xfId="15290" xr:uid="{00000000-0005-0000-0000-000059370000}"/>
    <cellStyle name="Финансовый 2 2 6 7 2 3 2" xfId="39245" xr:uid="{00000000-0005-0000-0000-00005A370000}"/>
    <cellStyle name="Финансовый 2 2 6 7 2 4" xfId="27268" xr:uid="{00000000-0005-0000-0000-00005B370000}"/>
    <cellStyle name="Финансовый 2 2 6 7 2 5" xfId="50537" xr:uid="{00000000-0005-0000-0000-00005C370000}"/>
    <cellStyle name="Финансовый 2 2 6 7 3" xfId="5094" xr:uid="{00000000-0005-0000-0000-00005D370000}"/>
    <cellStyle name="Финансовый 2 2 6 7 3 2" xfId="17072" xr:uid="{00000000-0005-0000-0000-00005E370000}"/>
    <cellStyle name="Финансовый 2 2 6 7 3 2 2" xfId="41027" xr:uid="{00000000-0005-0000-0000-00005F370000}"/>
    <cellStyle name="Финансовый 2 2 6 7 3 3" xfId="29049" xr:uid="{00000000-0005-0000-0000-000060370000}"/>
    <cellStyle name="Финансовый 2 2 6 7 4" xfId="7704" xr:uid="{00000000-0005-0000-0000-000061370000}"/>
    <cellStyle name="Финансовый 2 2 6 7 4 2" xfId="19682" xr:uid="{00000000-0005-0000-0000-000062370000}"/>
    <cellStyle name="Финансовый 2 2 6 7 4 2 2" xfId="43637" xr:uid="{00000000-0005-0000-0000-000063370000}"/>
    <cellStyle name="Финансовый 2 2 6 7 4 3" xfId="31659" xr:uid="{00000000-0005-0000-0000-000064370000}"/>
    <cellStyle name="Финансовый 2 2 6 7 5" xfId="9487" xr:uid="{00000000-0005-0000-0000-000065370000}"/>
    <cellStyle name="Финансовый 2 2 6 7 5 2" xfId="21465" xr:uid="{00000000-0005-0000-0000-000066370000}"/>
    <cellStyle name="Финансовый 2 2 6 7 5 2 2" xfId="45420" xr:uid="{00000000-0005-0000-0000-000067370000}"/>
    <cellStyle name="Финансовый 2 2 6 7 5 3" xfId="33442" xr:uid="{00000000-0005-0000-0000-000068370000}"/>
    <cellStyle name="Финансовый 2 2 6 7 6" xfId="13645" xr:uid="{00000000-0005-0000-0000-000069370000}"/>
    <cellStyle name="Финансовый 2 2 6 7 6 2" xfId="37600" xr:uid="{00000000-0005-0000-0000-00006A370000}"/>
    <cellStyle name="Финансовый 2 2 6 7 7" xfId="25623" xr:uid="{00000000-0005-0000-0000-00006B370000}"/>
    <cellStyle name="Финансовый 2 2 6 7 8" xfId="48756" xr:uid="{00000000-0005-0000-0000-00006C370000}"/>
    <cellStyle name="Финансовый 2 2 6 8" xfId="943" xr:uid="{00000000-0005-0000-0000-00006D370000}"/>
    <cellStyle name="Финансовый 2 2 6 8 2" xfId="6983" xr:uid="{00000000-0005-0000-0000-00006E370000}"/>
    <cellStyle name="Финансовый 2 2 6 8 2 2" xfId="18961" xr:uid="{00000000-0005-0000-0000-00006F370000}"/>
    <cellStyle name="Финансовый 2 2 6 8 2 2 2" xfId="42916" xr:uid="{00000000-0005-0000-0000-000070370000}"/>
    <cellStyle name="Финансовый 2 2 6 8 2 3" xfId="30938" xr:uid="{00000000-0005-0000-0000-000071370000}"/>
    <cellStyle name="Финансовый 2 2 6 8 3" xfId="10531" xr:uid="{00000000-0005-0000-0000-000072370000}"/>
    <cellStyle name="Финансовый 2 2 6 8 3 2" xfId="22509" xr:uid="{00000000-0005-0000-0000-000073370000}"/>
    <cellStyle name="Финансовый 2 2 6 8 3 2 2" xfId="46464" xr:uid="{00000000-0005-0000-0000-000074370000}"/>
    <cellStyle name="Финансовый 2 2 6 8 3 3" xfId="34486" xr:uid="{00000000-0005-0000-0000-000075370000}"/>
    <cellStyle name="Финансовый 2 2 6 8 4" xfId="12924" xr:uid="{00000000-0005-0000-0000-000076370000}"/>
    <cellStyle name="Финансовый 2 2 6 8 4 2" xfId="36879" xr:uid="{00000000-0005-0000-0000-000077370000}"/>
    <cellStyle name="Финансовый 2 2 6 8 5" xfId="24902" xr:uid="{00000000-0005-0000-0000-000078370000}"/>
    <cellStyle name="Финансовый 2 2 6 8 6" xfId="49808" xr:uid="{00000000-0005-0000-0000-000079370000}"/>
    <cellStyle name="Финансовый 2 2 6 9" xfId="531" xr:uid="{00000000-0005-0000-0000-00007A370000}"/>
    <cellStyle name="Финансовый 2 2 6 9 2" xfId="6571" xr:uid="{00000000-0005-0000-0000-00007B370000}"/>
    <cellStyle name="Финансовый 2 2 6 9 2 2" xfId="18549" xr:uid="{00000000-0005-0000-0000-00007C370000}"/>
    <cellStyle name="Финансовый 2 2 6 9 2 2 2" xfId="42504" xr:uid="{00000000-0005-0000-0000-00007D370000}"/>
    <cellStyle name="Финансовый 2 2 6 9 2 3" xfId="30526" xr:uid="{00000000-0005-0000-0000-00007E370000}"/>
    <cellStyle name="Финансовый 2 2 6 9 3" xfId="12512" xr:uid="{00000000-0005-0000-0000-00007F370000}"/>
    <cellStyle name="Финансовый 2 2 6 9 3 2" xfId="36467" xr:uid="{00000000-0005-0000-0000-000080370000}"/>
    <cellStyle name="Финансовый 2 2 6 9 4" xfId="24490" xr:uid="{00000000-0005-0000-0000-000081370000}"/>
    <cellStyle name="Финансовый 2 2 7" xfId="65" xr:uid="{00000000-0005-0000-0000-000082370000}"/>
    <cellStyle name="Финансовый 2 2 7 10" xfId="2675" xr:uid="{00000000-0005-0000-0000-000083370000}"/>
    <cellStyle name="Финансовый 2 2 7 10 2" xfId="14654" xr:uid="{00000000-0005-0000-0000-000084370000}"/>
    <cellStyle name="Финансовый 2 2 7 10 2 2" xfId="38609" xr:uid="{00000000-0005-0000-0000-000085370000}"/>
    <cellStyle name="Финансовый 2 2 7 10 3" xfId="26632" xr:uid="{00000000-0005-0000-0000-000086370000}"/>
    <cellStyle name="Финансовый 2 2 7 11" xfId="4319" xr:uid="{00000000-0005-0000-0000-000087370000}"/>
    <cellStyle name="Финансовый 2 2 7 11 2" xfId="16298" xr:uid="{00000000-0005-0000-0000-000088370000}"/>
    <cellStyle name="Финансовый 2 2 7 11 2 2" xfId="40253" xr:uid="{00000000-0005-0000-0000-000089370000}"/>
    <cellStyle name="Финансовый 2 2 7 11 3" xfId="28276" xr:uid="{00000000-0005-0000-0000-00008A370000}"/>
    <cellStyle name="Финансовый 2 2 7 12" xfId="6106" xr:uid="{00000000-0005-0000-0000-00008B370000}"/>
    <cellStyle name="Финансовый 2 2 7 12 2" xfId="18084" xr:uid="{00000000-0005-0000-0000-00008C370000}"/>
    <cellStyle name="Финансовый 2 2 7 12 2 2" xfId="42039" xr:uid="{00000000-0005-0000-0000-00008D370000}"/>
    <cellStyle name="Финансовый 2 2 7 12 3" xfId="30061" xr:uid="{00000000-0005-0000-0000-00008E370000}"/>
    <cellStyle name="Финансовый 2 2 7 13" xfId="8713" xr:uid="{00000000-0005-0000-0000-00008F370000}"/>
    <cellStyle name="Финансовый 2 2 7 13 2" xfId="20691" xr:uid="{00000000-0005-0000-0000-000090370000}"/>
    <cellStyle name="Финансовый 2 2 7 13 2 2" xfId="44646" xr:uid="{00000000-0005-0000-0000-000091370000}"/>
    <cellStyle name="Финансовый 2 2 7 13 3" xfId="32668" xr:uid="{00000000-0005-0000-0000-000092370000}"/>
    <cellStyle name="Финансовый 2 2 7 14" xfId="12047" xr:uid="{00000000-0005-0000-0000-000093370000}"/>
    <cellStyle name="Финансовый 2 2 7 14 2" xfId="36002" xr:uid="{00000000-0005-0000-0000-000094370000}"/>
    <cellStyle name="Финансовый 2 2 7 15" xfId="24025" xr:uid="{00000000-0005-0000-0000-000095370000}"/>
    <cellStyle name="Финансовый 2 2 7 16" xfId="47983" xr:uid="{00000000-0005-0000-0000-000096370000}"/>
    <cellStyle name="Финансовый 2 2 7 2" xfId="201" xr:uid="{00000000-0005-0000-0000-000097370000}"/>
    <cellStyle name="Финансовый 2 2 7 2 10" xfId="8849" xr:uid="{00000000-0005-0000-0000-000098370000}"/>
    <cellStyle name="Финансовый 2 2 7 2 10 2" xfId="20827" xr:uid="{00000000-0005-0000-0000-000099370000}"/>
    <cellStyle name="Финансовый 2 2 7 2 10 2 2" xfId="44782" xr:uid="{00000000-0005-0000-0000-00009A370000}"/>
    <cellStyle name="Финансовый 2 2 7 2 10 3" xfId="32804" xr:uid="{00000000-0005-0000-0000-00009B370000}"/>
    <cellStyle name="Финансовый 2 2 7 2 11" xfId="12183" xr:uid="{00000000-0005-0000-0000-00009C370000}"/>
    <cellStyle name="Финансовый 2 2 7 2 11 2" xfId="36138" xr:uid="{00000000-0005-0000-0000-00009D370000}"/>
    <cellStyle name="Финансовый 2 2 7 2 12" xfId="24161" xr:uid="{00000000-0005-0000-0000-00009E370000}"/>
    <cellStyle name="Финансовый 2 2 7 2 13" xfId="48119" xr:uid="{00000000-0005-0000-0000-00009F370000}"/>
    <cellStyle name="Финансовый 2 2 7 2 2" xfId="1299" xr:uid="{00000000-0005-0000-0000-0000A0370000}"/>
    <cellStyle name="Финансовый 2 2 7 2 2 2" xfId="2265" xr:uid="{00000000-0005-0000-0000-0000A1370000}"/>
    <cellStyle name="Финансовый 2 2 7 2 2 2 2" xfId="3910" xr:uid="{00000000-0005-0000-0000-0000A2370000}"/>
    <cellStyle name="Финансовый 2 2 7 2 2 2 2 2" xfId="11650" xr:uid="{00000000-0005-0000-0000-0000A3370000}"/>
    <cellStyle name="Финансовый 2 2 7 2 2 2 2 2 2" xfId="23628" xr:uid="{00000000-0005-0000-0000-0000A4370000}"/>
    <cellStyle name="Финансовый 2 2 7 2 2 2 2 2 2 2" xfId="47583" xr:uid="{00000000-0005-0000-0000-0000A5370000}"/>
    <cellStyle name="Финансовый 2 2 7 2 2 2 2 2 3" xfId="35605" xr:uid="{00000000-0005-0000-0000-0000A6370000}"/>
    <cellStyle name="Финансовый 2 2 7 2 2 2 2 3" xfId="15889" xr:uid="{00000000-0005-0000-0000-0000A7370000}"/>
    <cellStyle name="Финансовый 2 2 7 2 2 2 2 3 2" xfId="39844" xr:uid="{00000000-0005-0000-0000-0000A8370000}"/>
    <cellStyle name="Финансовый 2 2 7 2 2 2 2 4" xfId="27867" xr:uid="{00000000-0005-0000-0000-0000A9370000}"/>
    <cellStyle name="Финансовый 2 2 7 2 2 2 2 5" xfId="51136" xr:uid="{00000000-0005-0000-0000-0000AA370000}"/>
    <cellStyle name="Финансовый 2 2 7 2 2 2 3" xfId="5693" xr:uid="{00000000-0005-0000-0000-0000AB370000}"/>
    <cellStyle name="Финансовый 2 2 7 2 2 2 3 2" xfId="17671" xr:uid="{00000000-0005-0000-0000-0000AC370000}"/>
    <cellStyle name="Финансовый 2 2 7 2 2 2 3 2 2" xfId="41626" xr:uid="{00000000-0005-0000-0000-0000AD370000}"/>
    <cellStyle name="Финансовый 2 2 7 2 2 2 3 3" xfId="29648" xr:uid="{00000000-0005-0000-0000-0000AE370000}"/>
    <cellStyle name="Финансовый 2 2 7 2 2 2 4" xfId="8303" xr:uid="{00000000-0005-0000-0000-0000AF370000}"/>
    <cellStyle name="Финансовый 2 2 7 2 2 2 4 2" xfId="20281" xr:uid="{00000000-0005-0000-0000-0000B0370000}"/>
    <cellStyle name="Финансовый 2 2 7 2 2 2 4 2 2" xfId="44236" xr:uid="{00000000-0005-0000-0000-0000B1370000}"/>
    <cellStyle name="Финансовый 2 2 7 2 2 2 4 3" xfId="32258" xr:uid="{00000000-0005-0000-0000-0000B2370000}"/>
    <cellStyle name="Финансовый 2 2 7 2 2 2 5" xfId="10086" xr:uid="{00000000-0005-0000-0000-0000B3370000}"/>
    <cellStyle name="Финансовый 2 2 7 2 2 2 5 2" xfId="22064" xr:uid="{00000000-0005-0000-0000-0000B4370000}"/>
    <cellStyle name="Финансовый 2 2 7 2 2 2 5 2 2" xfId="46019" xr:uid="{00000000-0005-0000-0000-0000B5370000}"/>
    <cellStyle name="Финансовый 2 2 7 2 2 2 5 3" xfId="34041" xr:uid="{00000000-0005-0000-0000-0000B6370000}"/>
    <cellStyle name="Финансовый 2 2 7 2 2 2 6" xfId="14244" xr:uid="{00000000-0005-0000-0000-0000B7370000}"/>
    <cellStyle name="Финансовый 2 2 7 2 2 2 6 2" xfId="38199" xr:uid="{00000000-0005-0000-0000-0000B8370000}"/>
    <cellStyle name="Финансовый 2 2 7 2 2 2 7" xfId="26222" xr:uid="{00000000-0005-0000-0000-0000B9370000}"/>
    <cellStyle name="Финансовый 2 2 7 2 2 2 8" xfId="49355" xr:uid="{00000000-0005-0000-0000-0000BA370000}"/>
    <cellStyle name="Финансовый 2 2 7 2 2 3" xfId="3083" xr:uid="{00000000-0005-0000-0000-0000BB370000}"/>
    <cellStyle name="Финансовый 2 2 7 2 2 3 2" xfId="10878" xr:uid="{00000000-0005-0000-0000-0000BC370000}"/>
    <cellStyle name="Финансовый 2 2 7 2 2 3 2 2" xfId="22856" xr:uid="{00000000-0005-0000-0000-0000BD370000}"/>
    <cellStyle name="Финансовый 2 2 7 2 2 3 2 2 2" xfId="46811" xr:uid="{00000000-0005-0000-0000-0000BE370000}"/>
    <cellStyle name="Финансовый 2 2 7 2 2 3 2 3" xfId="34833" xr:uid="{00000000-0005-0000-0000-0000BF370000}"/>
    <cellStyle name="Финансовый 2 2 7 2 2 3 3" xfId="15062" xr:uid="{00000000-0005-0000-0000-0000C0370000}"/>
    <cellStyle name="Финансовый 2 2 7 2 2 3 3 2" xfId="39017" xr:uid="{00000000-0005-0000-0000-0000C1370000}"/>
    <cellStyle name="Финансовый 2 2 7 2 2 3 4" xfId="27040" xr:uid="{00000000-0005-0000-0000-0000C2370000}"/>
    <cellStyle name="Финансовый 2 2 7 2 2 3 5" xfId="50171" xr:uid="{00000000-0005-0000-0000-0000C3370000}"/>
    <cellStyle name="Финансовый 2 2 7 2 2 4" xfId="4727" xr:uid="{00000000-0005-0000-0000-0000C4370000}"/>
    <cellStyle name="Финансовый 2 2 7 2 2 4 2" xfId="16706" xr:uid="{00000000-0005-0000-0000-0000C5370000}"/>
    <cellStyle name="Финансовый 2 2 7 2 2 4 2 2" xfId="40661" xr:uid="{00000000-0005-0000-0000-0000C6370000}"/>
    <cellStyle name="Финансовый 2 2 7 2 2 4 3" xfId="28684" xr:uid="{00000000-0005-0000-0000-0000C7370000}"/>
    <cellStyle name="Финансовый 2 2 7 2 2 5" xfId="7339" xr:uid="{00000000-0005-0000-0000-0000C8370000}"/>
    <cellStyle name="Финансовый 2 2 7 2 2 5 2" xfId="19317" xr:uid="{00000000-0005-0000-0000-0000C9370000}"/>
    <cellStyle name="Финансовый 2 2 7 2 2 5 2 2" xfId="43272" xr:uid="{00000000-0005-0000-0000-0000CA370000}"/>
    <cellStyle name="Финансовый 2 2 7 2 2 5 3" xfId="31294" xr:uid="{00000000-0005-0000-0000-0000CB370000}"/>
    <cellStyle name="Финансовый 2 2 7 2 2 6" xfId="9121" xr:uid="{00000000-0005-0000-0000-0000CC370000}"/>
    <cellStyle name="Финансовый 2 2 7 2 2 6 2" xfId="21099" xr:uid="{00000000-0005-0000-0000-0000CD370000}"/>
    <cellStyle name="Финансовый 2 2 7 2 2 6 2 2" xfId="45054" xr:uid="{00000000-0005-0000-0000-0000CE370000}"/>
    <cellStyle name="Финансовый 2 2 7 2 2 6 3" xfId="33076" xr:uid="{00000000-0005-0000-0000-0000CF370000}"/>
    <cellStyle name="Финансовый 2 2 7 2 2 7" xfId="13280" xr:uid="{00000000-0005-0000-0000-0000D0370000}"/>
    <cellStyle name="Финансовый 2 2 7 2 2 7 2" xfId="37235" xr:uid="{00000000-0005-0000-0000-0000D1370000}"/>
    <cellStyle name="Финансовый 2 2 7 2 2 8" xfId="25258" xr:uid="{00000000-0005-0000-0000-0000D2370000}"/>
    <cellStyle name="Финансовый 2 2 7 2 2 9" xfId="48391" xr:uid="{00000000-0005-0000-0000-0000D3370000}"/>
    <cellStyle name="Финансовый 2 2 7 2 3" xfId="2009" xr:uid="{00000000-0005-0000-0000-0000D4370000}"/>
    <cellStyle name="Финансовый 2 2 7 2 3 2" xfId="3654" xr:uid="{00000000-0005-0000-0000-0000D5370000}"/>
    <cellStyle name="Финансовый 2 2 7 2 3 2 2" xfId="11394" xr:uid="{00000000-0005-0000-0000-0000D6370000}"/>
    <cellStyle name="Финансовый 2 2 7 2 3 2 2 2" xfId="23372" xr:uid="{00000000-0005-0000-0000-0000D7370000}"/>
    <cellStyle name="Финансовый 2 2 7 2 3 2 2 2 2" xfId="47327" xr:uid="{00000000-0005-0000-0000-0000D8370000}"/>
    <cellStyle name="Финансовый 2 2 7 2 3 2 2 3" xfId="35349" xr:uid="{00000000-0005-0000-0000-0000D9370000}"/>
    <cellStyle name="Финансовый 2 2 7 2 3 2 3" xfId="15633" xr:uid="{00000000-0005-0000-0000-0000DA370000}"/>
    <cellStyle name="Финансовый 2 2 7 2 3 2 3 2" xfId="39588" xr:uid="{00000000-0005-0000-0000-0000DB370000}"/>
    <cellStyle name="Финансовый 2 2 7 2 3 2 4" xfId="27611" xr:uid="{00000000-0005-0000-0000-0000DC370000}"/>
    <cellStyle name="Финансовый 2 2 7 2 3 2 5" xfId="50880" xr:uid="{00000000-0005-0000-0000-0000DD370000}"/>
    <cellStyle name="Финансовый 2 2 7 2 3 3" xfId="5437" xr:uid="{00000000-0005-0000-0000-0000DE370000}"/>
    <cellStyle name="Финансовый 2 2 7 2 3 3 2" xfId="17415" xr:uid="{00000000-0005-0000-0000-0000DF370000}"/>
    <cellStyle name="Финансовый 2 2 7 2 3 3 2 2" xfId="41370" xr:uid="{00000000-0005-0000-0000-0000E0370000}"/>
    <cellStyle name="Финансовый 2 2 7 2 3 3 3" xfId="29392" xr:uid="{00000000-0005-0000-0000-0000E1370000}"/>
    <cellStyle name="Финансовый 2 2 7 2 3 4" xfId="8047" xr:uid="{00000000-0005-0000-0000-0000E2370000}"/>
    <cellStyle name="Финансовый 2 2 7 2 3 4 2" xfId="20025" xr:uid="{00000000-0005-0000-0000-0000E3370000}"/>
    <cellStyle name="Финансовый 2 2 7 2 3 4 2 2" xfId="43980" xr:uid="{00000000-0005-0000-0000-0000E4370000}"/>
    <cellStyle name="Финансовый 2 2 7 2 3 4 3" xfId="32002" xr:uid="{00000000-0005-0000-0000-0000E5370000}"/>
    <cellStyle name="Финансовый 2 2 7 2 3 5" xfId="9830" xr:uid="{00000000-0005-0000-0000-0000E6370000}"/>
    <cellStyle name="Финансовый 2 2 7 2 3 5 2" xfId="21808" xr:uid="{00000000-0005-0000-0000-0000E7370000}"/>
    <cellStyle name="Финансовый 2 2 7 2 3 5 2 2" xfId="45763" xr:uid="{00000000-0005-0000-0000-0000E8370000}"/>
    <cellStyle name="Финансовый 2 2 7 2 3 5 3" xfId="33785" xr:uid="{00000000-0005-0000-0000-0000E9370000}"/>
    <cellStyle name="Финансовый 2 2 7 2 3 6" xfId="13988" xr:uid="{00000000-0005-0000-0000-0000EA370000}"/>
    <cellStyle name="Финансовый 2 2 7 2 3 6 2" xfId="37943" xr:uid="{00000000-0005-0000-0000-0000EB370000}"/>
    <cellStyle name="Финансовый 2 2 7 2 3 7" xfId="25966" xr:uid="{00000000-0005-0000-0000-0000EC370000}"/>
    <cellStyle name="Финансовый 2 2 7 2 3 8" xfId="49099" xr:uid="{00000000-0005-0000-0000-0000ED370000}"/>
    <cellStyle name="Финансовый 2 2 7 2 4" xfId="2530" xr:uid="{00000000-0005-0000-0000-0000EE370000}"/>
    <cellStyle name="Финансовый 2 2 7 2 4 2" xfId="4175" xr:uid="{00000000-0005-0000-0000-0000EF370000}"/>
    <cellStyle name="Финансовый 2 2 7 2 4 2 2" xfId="11907" xr:uid="{00000000-0005-0000-0000-0000F0370000}"/>
    <cellStyle name="Финансовый 2 2 7 2 4 2 2 2" xfId="23885" xr:uid="{00000000-0005-0000-0000-0000F1370000}"/>
    <cellStyle name="Финансовый 2 2 7 2 4 2 2 2 2" xfId="47840" xr:uid="{00000000-0005-0000-0000-0000F2370000}"/>
    <cellStyle name="Финансовый 2 2 7 2 4 2 2 3" xfId="35862" xr:uid="{00000000-0005-0000-0000-0000F3370000}"/>
    <cellStyle name="Финансовый 2 2 7 2 4 2 3" xfId="16154" xr:uid="{00000000-0005-0000-0000-0000F4370000}"/>
    <cellStyle name="Финансовый 2 2 7 2 4 2 3 2" xfId="40109" xr:uid="{00000000-0005-0000-0000-0000F5370000}"/>
    <cellStyle name="Финансовый 2 2 7 2 4 2 4" xfId="28132" xr:uid="{00000000-0005-0000-0000-0000F6370000}"/>
    <cellStyle name="Финансовый 2 2 7 2 4 2 5" xfId="51401" xr:uid="{00000000-0005-0000-0000-0000F7370000}"/>
    <cellStyle name="Финансовый 2 2 7 2 4 3" xfId="5958" xr:uid="{00000000-0005-0000-0000-0000F8370000}"/>
    <cellStyle name="Финансовый 2 2 7 2 4 3 2" xfId="17936" xr:uid="{00000000-0005-0000-0000-0000F9370000}"/>
    <cellStyle name="Финансовый 2 2 7 2 4 3 2 2" xfId="41891" xr:uid="{00000000-0005-0000-0000-0000FA370000}"/>
    <cellStyle name="Финансовый 2 2 7 2 4 3 3" xfId="29913" xr:uid="{00000000-0005-0000-0000-0000FB370000}"/>
    <cellStyle name="Финансовый 2 2 7 2 4 4" xfId="8568" xr:uid="{00000000-0005-0000-0000-0000FC370000}"/>
    <cellStyle name="Финансовый 2 2 7 2 4 4 2" xfId="20546" xr:uid="{00000000-0005-0000-0000-0000FD370000}"/>
    <cellStyle name="Финансовый 2 2 7 2 4 4 2 2" xfId="44501" xr:uid="{00000000-0005-0000-0000-0000FE370000}"/>
    <cellStyle name="Финансовый 2 2 7 2 4 4 3" xfId="32523" xr:uid="{00000000-0005-0000-0000-0000FF370000}"/>
    <cellStyle name="Финансовый 2 2 7 2 4 5" xfId="10351" xr:uid="{00000000-0005-0000-0000-000000380000}"/>
    <cellStyle name="Финансовый 2 2 7 2 4 5 2" xfId="22329" xr:uid="{00000000-0005-0000-0000-000001380000}"/>
    <cellStyle name="Финансовый 2 2 7 2 4 5 2 2" xfId="46284" xr:uid="{00000000-0005-0000-0000-000002380000}"/>
    <cellStyle name="Финансовый 2 2 7 2 4 5 3" xfId="34306" xr:uid="{00000000-0005-0000-0000-000003380000}"/>
    <cellStyle name="Финансовый 2 2 7 2 4 6" xfId="14509" xr:uid="{00000000-0005-0000-0000-000004380000}"/>
    <cellStyle name="Финансовый 2 2 7 2 4 6 2" xfId="38464" xr:uid="{00000000-0005-0000-0000-000005380000}"/>
    <cellStyle name="Финансовый 2 2 7 2 4 7" xfId="26487" xr:uid="{00000000-0005-0000-0000-000006380000}"/>
    <cellStyle name="Финансовый 2 2 7 2 4 8" xfId="49620" xr:uid="{00000000-0005-0000-0000-000007380000}"/>
    <cellStyle name="Финансовый 2 2 7 2 5" xfId="1034" xr:uid="{00000000-0005-0000-0000-000008380000}"/>
    <cellStyle name="Финансовый 2 2 7 2 5 2" xfId="7074" xr:uid="{00000000-0005-0000-0000-000009380000}"/>
    <cellStyle name="Финансовый 2 2 7 2 5 2 2" xfId="19052" xr:uid="{00000000-0005-0000-0000-00000A380000}"/>
    <cellStyle name="Финансовый 2 2 7 2 5 2 2 2" xfId="43007" xr:uid="{00000000-0005-0000-0000-00000B380000}"/>
    <cellStyle name="Финансовый 2 2 7 2 5 2 3" xfId="31029" xr:uid="{00000000-0005-0000-0000-00000C380000}"/>
    <cellStyle name="Финансовый 2 2 7 2 5 3" xfId="10622" xr:uid="{00000000-0005-0000-0000-00000D380000}"/>
    <cellStyle name="Финансовый 2 2 7 2 5 3 2" xfId="22600" xr:uid="{00000000-0005-0000-0000-00000E380000}"/>
    <cellStyle name="Финансовый 2 2 7 2 5 3 2 2" xfId="46555" xr:uid="{00000000-0005-0000-0000-00000F380000}"/>
    <cellStyle name="Финансовый 2 2 7 2 5 3 3" xfId="34577" xr:uid="{00000000-0005-0000-0000-000010380000}"/>
    <cellStyle name="Финансовый 2 2 7 2 5 4" xfId="13015" xr:uid="{00000000-0005-0000-0000-000011380000}"/>
    <cellStyle name="Финансовый 2 2 7 2 5 4 2" xfId="36970" xr:uid="{00000000-0005-0000-0000-000012380000}"/>
    <cellStyle name="Финансовый 2 2 7 2 5 5" xfId="24993" xr:uid="{00000000-0005-0000-0000-000013380000}"/>
    <cellStyle name="Финансовый 2 2 7 2 5 6" xfId="49899" xr:uid="{00000000-0005-0000-0000-000014380000}"/>
    <cellStyle name="Финансовый 2 2 7 2 6" xfId="622" xr:uid="{00000000-0005-0000-0000-000015380000}"/>
    <cellStyle name="Финансовый 2 2 7 2 6 2" xfId="6662" xr:uid="{00000000-0005-0000-0000-000016380000}"/>
    <cellStyle name="Финансовый 2 2 7 2 6 2 2" xfId="18640" xr:uid="{00000000-0005-0000-0000-000017380000}"/>
    <cellStyle name="Финансовый 2 2 7 2 6 2 2 2" xfId="42595" xr:uid="{00000000-0005-0000-0000-000018380000}"/>
    <cellStyle name="Финансовый 2 2 7 2 6 2 3" xfId="30617" xr:uid="{00000000-0005-0000-0000-000019380000}"/>
    <cellStyle name="Финансовый 2 2 7 2 6 3" xfId="12603" xr:uid="{00000000-0005-0000-0000-00001A380000}"/>
    <cellStyle name="Финансовый 2 2 7 2 6 3 2" xfId="36558" xr:uid="{00000000-0005-0000-0000-00001B380000}"/>
    <cellStyle name="Финансовый 2 2 7 2 6 4" xfId="24581" xr:uid="{00000000-0005-0000-0000-00001C380000}"/>
    <cellStyle name="Финансовый 2 2 7 2 7" xfId="2811" xr:uid="{00000000-0005-0000-0000-00001D380000}"/>
    <cellStyle name="Финансовый 2 2 7 2 7 2" xfId="14790" xr:uid="{00000000-0005-0000-0000-00001E380000}"/>
    <cellStyle name="Финансовый 2 2 7 2 7 2 2" xfId="38745" xr:uid="{00000000-0005-0000-0000-00001F380000}"/>
    <cellStyle name="Финансовый 2 2 7 2 7 3" xfId="26768" xr:uid="{00000000-0005-0000-0000-000020380000}"/>
    <cellStyle name="Финансовый 2 2 7 2 8" xfId="4455" xr:uid="{00000000-0005-0000-0000-000021380000}"/>
    <cellStyle name="Финансовый 2 2 7 2 8 2" xfId="16434" xr:uid="{00000000-0005-0000-0000-000022380000}"/>
    <cellStyle name="Финансовый 2 2 7 2 8 2 2" xfId="40389" xr:uid="{00000000-0005-0000-0000-000023380000}"/>
    <cellStyle name="Финансовый 2 2 7 2 8 3" xfId="28412" xr:uid="{00000000-0005-0000-0000-000024380000}"/>
    <cellStyle name="Финансовый 2 2 7 2 9" xfId="6242" xr:uid="{00000000-0005-0000-0000-000025380000}"/>
    <cellStyle name="Финансовый 2 2 7 2 9 2" xfId="18220" xr:uid="{00000000-0005-0000-0000-000026380000}"/>
    <cellStyle name="Финансовый 2 2 7 2 9 2 2" xfId="42175" xr:uid="{00000000-0005-0000-0000-000027380000}"/>
    <cellStyle name="Финансовый 2 2 7 2 9 3" xfId="30197" xr:uid="{00000000-0005-0000-0000-000028380000}"/>
    <cellStyle name="Финансовый 2 2 7 3" xfId="350" xr:uid="{00000000-0005-0000-0000-000029380000}"/>
    <cellStyle name="Финансовый 2 2 7 3 10" xfId="24309" xr:uid="{00000000-0005-0000-0000-00002A380000}"/>
    <cellStyle name="Финансовый 2 2 7 3 11" xfId="48255" xr:uid="{00000000-0005-0000-0000-00002B380000}"/>
    <cellStyle name="Финансовый 2 2 7 3 2" xfId="2137" xr:uid="{00000000-0005-0000-0000-00002C380000}"/>
    <cellStyle name="Финансовый 2 2 7 3 2 2" xfId="3782" xr:uid="{00000000-0005-0000-0000-00002D380000}"/>
    <cellStyle name="Финансовый 2 2 7 3 2 2 2" xfId="11522" xr:uid="{00000000-0005-0000-0000-00002E380000}"/>
    <cellStyle name="Финансовый 2 2 7 3 2 2 2 2" xfId="23500" xr:uid="{00000000-0005-0000-0000-00002F380000}"/>
    <cellStyle name="Финансовый 2 2 7 3 2 2 2 2 2" xfId="47455" xr:uid="{00000000-0005-0000-0000-000030380000}"/>
    <cellStyle name="Финансовый 2 2 7 3 2 2 2 3" xfId="35477" xr:uid="{00000000-0005-0000-0000-000031380000}"/>
    <cellStyle name="Финансовый 2 2 7 3 2 2 3" xfId="15761" xr:uid="{00000000-0005-0000-0000-000032380000}"/>
    <cellStyle name="Финансовый 2 2 7 3 2 2 3 2" xfId="39716" xr:uid="{00000000-0005-0000-0000-000033380000}"/>
    <cellStyle name="Финансовый 2 2 7 3 2 2 4" xfId="27739" xr:uid="{00000000-0005-0000-0000-000034380000}"/>
    <cellStyle name="Финансовый 2 2 7 3 2 2 5" xfId="51008" xr:uid="{00000000-0005-0000-0000-000035380000}"/>
    <cellStyle name="Финансовый 2 2 7 3 2 3" xfId="5565" xr:uid="{00000000-0005-0000-0000-000036380000}"/>
    <cellStyle name="Финансовый 2 2 7 3 2 3 2" xfId="17543" xr:uid="{00000000-0005-0000-0000-000037380000}"/>
    <cellStyle name="Финансовый 2 2 7 3 2 3 2 2" xfId="41498" xr:uid="{00000000-0005-0000-0000-000038380000}"/>
    <cellStyle name="Финансовый 2 2 7 3 2 3 3" xfId="29520" xr:uid="{00000000-0005-0000-0000-000039380000}"/>
    <cellStyle name="Финансовый 2 2 7 3 2 4" xfId="8175" xr:uid="{00000000-0005-0000-0000-00003A380000}"/>
    <cellStyle name="Финансовый 2 2 7 3 2 4 2" xfId="20153" xr:uid="{00000000-0005-0000-0000-00003B380000}"/>
    <cellStyle name="Финансовый 2 2 7 3 2 4 2 2" xfId="44108" xr:uid="{00000000-0005-0000-0000-00003C380000}"/>
    <cellStyle name="Финансовый 2 2 7 3 2 4 3" xfId="32130" xr:uid="{00000000-0005-0000-0000-00003D380000}"/>
    <cellStyle name="Финансовый 2 2 7 3 2 5" xfId="9958" xr:uid="{00000000-0005-0000-0000-00003E380000}"/>
    <cellStyle name="Финансовый 2 2 7 3 2 5 2" xfId="21936" xr:uid="{00000000-0005-0000-0000-00003F380000}"/>
    <cellStyle name="Финансовый 2 2 7 3 2 5 2 2" xfId="45891" xr:uid="{00000000-0005-0000-0000-000040380000}"/>
    <cellStyle name="Финансовый 2 2 7 3 2 5 3" xfId="33913" xr:uid="{00000000-0005-0000-0000-000041380000}"/>
    <cellStyle name="Финансовый 2 2 7 3 2 6" xfId="14116" xr:uid="{00000000-0005-0000-0000-000042380000}"/>
    <cellStyle name="Финансовый 2 2 7 3 2 6 2" xfId="38071" xr:uid="{00000000-0005-0000-0000-000043380000}"/>
    <cellStyle name="Финансовый 2 2 7 3 2 7" xfId="26094" xr:uid="{00000000-0005-0000-0000-000044380000}"/>
    <cellStyle name="Финансовый 2 2 7 3 2 8" xfId="49227" xr:uid="{00000000-0005-0000-0000-000045380000}"/>
    <cellStyle name="Финансовый 2 2 7 3 3" xfId="1170" xr:uid="{00000000-0005-0000-0000-000046380000}"/>
    <cellStyle name="Финансовый 2 2 7 3 3 2" xfId="7210" xr:uid="{00000000-0005-0000-0000-000047380000}"/>
    <cellStyle name="Финансовый 2 2 7 3 3 2 2" xfId="19188" xr:uid="{00000000-0005-0000-0000-000048380000}"/>
    <cellStyle name="Финансовый 2 2 7 3 3 2 2 2" xfId="43143" xr:uid="{00000000-0005-0000-0000-000049380000}"/>
    <cellStyle name="Финансовый 2 2 7 3 3 2 3" xfId="31165" xr:uid="{00000000-0005-0000-0000-00004A380000}"/>
    <cellStyle name="Финансовый 2 2 7 3 3 3" xfId="10750" xr:uid="{00000000-0005-0000-0000-00004B380000}"/>
    <cellStyle name="Финансовый 2 2 7 3 3 3 2" xfId="22728" xr:uid="{00000000-0005-0000-0000-00004C380000}"/>
    <cellStyle name="Финансовый 2 2 7 3 3 3 2 2" xfId="46683" xr:uid="{00000000-0005-0000-0000-00004D380000}"/>
    <cellStyle name="Финансовый 2 2 7 3 3 3 3" xfId="34705" xr:uid="{00000000-0005-0000-0000-00004E380000}"/>
    <cellStyle name="Финансовый 2 2 7 3 3 4" xfId="13151" xr:uid="{00000000-0005-0000-0000-00004F380000}"/>
    <cellStyle name="Финансовый 2 2 7 3 3 4 2" xfId="37106" xr:uid="{00000000-0005-0000-0000-000050380000}"/>
    <cellStyle name="Финансовый 2 2 7 3 3 5" xfId="25129" xr:uid="{00000000-0005-0000-0000-000051380000}"/>
    <cellStyle name="Финансовый 2 2 7 3 3 6" xfId="50035" xr:uid="{00000000-0005-0000-0000-000052380000}"/>
    <cellStyle name="Финансовый 2 2 7 3 4" xfId="770" xr:uid="{00000000-0005-0000-0000-000053380000}"/>
    <cellStyle name="Финансовый 2 2 7 3 4 2" xfId="6810" xr:uid="{00000000-0005-0000-0000-000054380000}"/>
    <cellStyle name="Финансовый 2 2 7 3 4 2 2" xfId="18788" xr:uid="{00000000-0005-0000-0000-000055380000}"/>
    <cellStyle name="Финансовый 2 2 7 3 4 2 2 2" xfId="42743" xr:uid="{00000000-0005-0000-0000-000056380000}"/>
    <cellStyle name="Финансовый 2 2 7 3 4 2 3" xfId="30765" xr:uid="{00000000-0005-0000-0000-000057380000}"/>
    <cellStyle name="Финансовый 2 2 7 3 4 3" xfId="12751" xr:uid="{00000000-0005-0000-0000-000058380000}"/>
    <cellStyle name="Финансовый 2 2 7 3 4 3 2" xfId="36706" xr:uid="{00000000-0005-0000-0000-000059380000}"/>
    <cellStyle name="Финансовый 2 2 7 3 4 4" xfId="24729" xr:uid="{00000000-0005-0000-0000-00005A380000}"/>
    <cellStyle name="Финансовый 2 2 7 3 5" xfId="2947" xr:uid="{00000000-0005-0000-0000-00005B380000}"/>
    <cellStyle name="Финансовый 2 2 7 3 5 2" xfId="14926" xr:uid="{00000000-0005-0000-0000-00005C380000}"/>
    <cellStyle name="Финансовый 2 2 7 3 5 2 2" xfId="38881" xr:uid="{00000000-0005-0000-0000-00005D380000}"/>
    <cellStyle name="Финансовый 2 2 7 3 5 3" xfId="26904" xr:uid="{00000000-0005-0000-0000-00005E380000}"/>
    <cellStyle name="Финансовый 2 2 7 3 6" xfId="4591" xr:uid="{00000000-0005-0000-0000-00005F380000}"/>
    <cellStyle name="Финансовый 2 2 7 3 6 2" xfId="16570" xr:uid="{00000000-0005-0000-0000-000060380000}"/>
    <cellStyle name="Финансовый 2 2 7 3 6 2 2" xfId="40525" xr:uid="{00000000-0005-0000-0000-000061380000}"/>
    <cellStyle name="Финансовый 2 2 7 3 6 3" xfId="28548" xr:uid="{00000000-0005-0000-0000-000062380000}"/>
    <cellStyle name="Финансовый 2 2 7 3 7" xfId="6390" xr:uid="{00000000-0005-0000-0000-000063380000}"/>
    <cellStyle name="Финансовый 2 2 7 3 7 2" xfId="18368" xr:uid="{00000000-0005-0000-0000-000064380000}"/>
    <cellStyle name="Финансовый 2 2 7 3 7 2 2" xfId="42323" xr:uid="{00000000-0005-0000-0000-000065380000}"/>
    <cellStyle name="Финансовый 2 2 7 3 7 3" xfId="30345" xr:uid="{00000000-0005-0000-0000-000066380000}"/>
    <cellStyle name="Финансовый 2 2 7 3 8" xfId="8985" xr:uid="{00000000-0005-0000-0000-000067380000}"/>
    <cellStyle name="Финансовый 2 2 7 3 8 2" xfId="20963" xr:uid="{00000000-0005-0000-0000-000068380000}"/>
    <cellStyle name="Финансовый 2 2 7 3 8 2 2" xfId="44918" xr:uid="{00000000-0005-0000-0000-000069380000}"/>
    <cellStyle name="Финансовый 2 2 7 3 8 3" xfId="32940" xr:uid="{00000000-0005-0000-0000-00006A380000}"/>
    <cellStyle name="Финансовый 2 2 7 3 9" xfId="12331" xr:uid="{00000000-0005-0000-0000-00006B380000}"/>
    <cellStyle name="Финансовый 2 2 7 3 9 2" xfId="36286" xr:uid="{00000000-0005-0000-0000-00006C380000}"/>
    <cellStyle name="Финансовый 2 2 7 4" xfId="1473" xr:uid="{00000000-0005-0000-0000-00006D380000}"/>
    <cellStyle name="Финансовый 2 2 7 4 2" xfId="1873" xr:uid="{00000000-0005-0000-0000-00006E380000}"/>
    <cellStyle name="Финансовый 2 2 7 4 2 2" xfId="3518" xr:uid="{00000000-0005-0000-0000-00006F380000}"/>
    <cellStyle name="Финансовый 2 2 7 4 2 2 2" xfId="11266" xr:uid="{00000000-0005-0000-0000-000070380000}"/>
    <cellStyle name="Финансовый 2 2 7 4 2 2 2 2" xfId="23244" xr:uid="{00000000-0005-0000-0000-000071380000}"/>
    <cellStyle name="Финансовый 2 2 7 4 2 2 2 2 2" xfId="47199" xr:uid="{00000000-0005-0000-0000-000072380000}"/>
    <cellStyle name="Финансовый 2 2 7 4 2 2 2 3" xfId="35221" xr:uid="{00000000-0005-0000-0000-000073380000}"/>
    <cellStyle name="Финансовый 2 2 7 4 2 2 3" xfId="15497" xr:uid="{00000000-0005-0000-0000-000074380000}"/>
    <cellStyle name="Финансовый 2 2 7 4 2 2 3 2" xfId="39452" xr:uid="{00000000-0005-0000-0000-000075380000}"/>
    <cellStyle name="Финансовый 2 2 7 4 2 2 4" xfId="27475" xr:uid="{00000000-0005-0000-0000-000076380000}"/>
    <cellStyle name="Финансовый 2 2 7 4 2 2 5" xfId="50744" xr:uid="{00000000-0005-0000-0000-000077380000}"/>
    <cellStyle name="Финансовый 2 2 7 4 2 3" xfId="5301" xr:uid="{00000000-0005-0000-0000-000078380000}"/>
    <cellStyle name="Финансовый 2 2 7 4 2 3 2" xfId="17279" xr:uid="{00000000-0005-0000-0000-000079380000}"/>
    <cellStyle name="Финансовый 2 2 7 4 2 3 2 2" xfId="41234" xr:uid="{00000000-0005-0000-0000-00007A380000}"/>
    <cellStyle name="Финансовый 2 2 7 4 2 3 3" xfId="29256" xr:uid="{00000000-0005-0000-0000-00007B380000}"/>
    <cellStyle name="Финансовый 2 2 7 4 2 4" xfId="7911" xr:uid="{00000000-0005-0000-0000-00007C380000}"/>
    <cellStyle name="Финансовый 2 2 7 4 2 4 2" xfId="19889" xr:uid="{00000000-0005-0000-0000-00007D380000}"/>
    <cellStyle name="Финансовый 2 2 7 4 2 4 2 2" xfId="43844" xr:uid="{00000000-0005-0000-0000-00007E380000}"/>
    <cellStyle name="Финансовый 2 2 7 4 2 4 3" xfId="31866" xr:uid="{00000000-0005-0000-0000-00007F380000}"/>
    <cellStyle name="Финансовый 2 2 7 4 2 5" xfId="9694" xr:uid="{00000000-0005-0000-0000-000080380000}"/>
    <cellStyle name="Финансовый 2 2 7 4 2 5 2" xfId="21672" xr:uid="{00000000-0005-0000-0000-000081380000}"/>
    <cellStyle name="Финансовый 2 2 7 4 2 5 2 2" xfId="45627" xr:uid="{00000000-0005-0000-0000-000082380000}"/>
    <cellStyle name="Финансовый 2 2 7 4 2 5 3" xfId="33649" xr:uid="{00000000-0005-0000-0000-000083380000}"/>
    <cellStyle name="Финансовый 2 2 7 4 2 6" xfId="13852" xr:uid="{00000000-0005-0000-0000-000084380000}"/>
    <cellStyle name="Финансовый 2 2 7 4 2 6 2" xfId="37807" xr:uid="{00000000-0005-0000-0000-000085380000}"/>
    <cellStyle name="Финансовый 2 2 7 4 2 7" xfId="25830" xr:uid="{00000000-0005-0000-0000-000086380000}"/>
    <cellStyle name="Финансовый 2 2 7 4 2 8" xfId="48963" xr:uid="{00000000-0005-0000-0000-000087380000}"/>
    <cellStyle name="Финансовый 2 2 7 4 3" xfId="4901" xr:uid="{00000000-0005-0000-0000-000088380000}"/>
    <cellStyle name="Финансовый 2 2 7 4 3 2" xfId="16879" xr:uid="{00000000-0005-0000-0000-000089380000}"/>
    <cellStyle name="Финансовый 2 2 7 4 3 2 2" xfId="40834" xr:uid="{00000000-0005-0000-0000-00008A380000}"/>
    <cellStyle name="Финансовый 2 2 7 4 3 3" xfId="28856" xr:uid="{00000000-0005-0000-0000-00008B380000}"/>
    <cellStyle name="Финансовый 2 2 7 4 3 4" xfId="50344" xr:uid="{00000000-0005-0000-0000-00008C380000}"/>
    <cellStyle name="Финансовый 2 2 7 4 4" xfId="7511" xr:uid="{00000000-0005-0000-0000-00008D380000}"/>
    <cellStyle name="Финансовый 2 2 7 4 4 2" xfId="19489" xr:uid="{00000000-0005-0000-0000-00008E380000}"/>
    <cellStyle name="Финансовый 2 2 7 4 4 2 2" xfId="43444" xr:uid="{00000000-0005-0000-0000-00008F380000}"/>
    <cellStyle name="Финансовый 2 2 7 4 4 3" xfId="31466" xr:uid="{00000000-0005-0000-0000-000090380000}"/>
    <cellStyle name="Финансовый 2 2 7 4 5" xfId="9294" xr:uid="{00000000-0005-0000-0000-000091380000}"/>
    <cellStyle name="Финансовый 2 2 7 4 5 2" xfId="21272" xr:uid="{00000000-0005-0000-0000-000092380000}"/>
    <cellStyle name="Финансовый 2 2 7 4 5 2 2" xfId="45227" xr:uid="{00000000-0005-0000-0000-000093380000}"/>
    <cellStyle name="Финансовый 2 2 7 4 5 3" xfId="33249" xr:uid="{00000000-0005-0000-0000-000094380000}"/>
    <cellStyle name="Финансовый 2 2 7 4 6" xfId="13452" xr:uid="{00000000-0005-0000-0000-000095380000}"/>
    <cellStyle name="Финансовый 2 2 7 4 6 2" xfId="37407" xr:uid="{00000000-0005-0000-0000-000096380000}"/>
    <cellStyle name="Финансовый 2 2 7 4 7" xfId="25430" xr:uid="{00000000-0005-0000-0000-000097380000}"/>
    <cellStyle name="Финансовый 2 2 7 4 8" xfId="48563" xr:uid="{00000000-0005-0000-0000-000098380000}"/>
    <cellStyle name="Финансовый 2 2 7 5" xfId="1757" xr:uid="{00000000-0005-0000-0000-000099380000}"/>
    <cellStyle name="Финансовый 2 2 7 5 2" xfId="3402" xr:uid="{00000000-0005-0000-0000-00009A380000}"/>
    <cellStyle name="Финансовый 2 2 7 5 2 2" xfId="11150" xr:uid="{00000000-0005-0000-0000-00009B380000}"/>
    <cellStyle name="Финансовый 2 2 7 5 2 2 2" xfId="23128" xr:uid="{00000000-0005-0000-0000-00009C380000}"/>
    <cellStyle name="Финансовый 2 2 7 5 2 2 2 2" xfId="47083" xr:uid="{00000000-0005-0000-0000-00009D380000}"/>
    <cellStyle name="Финансовый 2 2 7 5 2 2 3" xfId="35105" xr:uid="{00000000-0005-0000-0000-00009E380000}"/>
    <cellStyle name="Финансовый 2 2 7 5 2 3" xfId="15381" xr:uid="{00000000-0005-0000-0000-00009F380000}"/>
    <cellStyle name="Финансовый 2 2 7 5 2 3 2" xfId="39336" xr:uid="{00000000-0005-0000-0000-0000A0380000}"/>
    <cellStyle name="Финансовый 2 2 7 5 2 4" xfId="27359" xr:uid="{00000000-0005-0000-0000-0000A1380000}"/>
    <cellStyle name="Финансовый 2 2 7 5 2 5" xfId="50628" xr:uid="{00000000-0005-0000-0000-0000A2380000}"/>
    <cellStyle name="Финансовый 2 2 7 5 3" xfId="5185" xr:uid="{00000000-0005-0000-0000-0000A3380000}"/>
    <cellStyle name="Финансовый 2 2 7 5 3 2" xfId="17163" xr:uid="{00000000-0005-0000-0000-0000A4380000}"/>
    <cellStyle name="Финансовый 2 2 7 5 3 2 2" xfId="41118" xr:uid="{00000000-0005-0000-0000-0000A5380000}"/>
    <cellStyle name="Финансовый 2 2 7 5 3 3" xfId="29140" xr:uid="{00000000-0005-0000-0000-0000A6380000}"/>
    <cellStyle name="Финансовый 2 2 7 5 4" xfId="7795" xr:uid="{00000000-0005-0000-0000-0000A7380000}"/>
    <cellStyle name="Финансовый 2 2 7 5 4 2" xfId="19773" xr:uid="{00000000-0005-0000-0000-0000A8380000}"/>
    <cellStyle name="Финансовый 2 2 7 5 4 2 2" xfId="43728" xr:uid="{00000000-0005-0000-0000-0000A9380000}"/>
    <cellStyle name="Финансовый 2 2 7 5 4 3" xfId="31750" xr:uid="{00000000-0005-0000-0000-0000AA380000}"/>
    <cellStyle name="Финансовый 2 2 7 5 5" xfId="9578" xr:uid="{00000000-0005-0000-0000-0000AB380000}"/>
    <cellStyle name="Финансовый 2 2 7 5 5 2" xfId="21556" xr:uid="{00000000-0005-0000-0000-0000AC380000}"/>
    <cellStyle name="Финансовый 2 2 7 5 5 2 2" xfId="45511" xr:uid="{00000000-0005-0000-0000-0000AD380000}"/>
    <cellStyle name="Финансовый 2 2 7 5 5 3" xfId="33533" xr:uid="{00000000-0005-0000-0000-0000AE380000}"/>
    <cellStyle name="Финансовый 2 2 7 5 6" xfId="13736" xr:uid="{00000000-0005-0000-0000-0000AF380000}"/>
    <cellStyle name="Финансовый 2 2 7 5 6 2" xfId="37691" xr:uid="{00000000-0005-0000-0000-0000B0380000}"/>
    <cellStyle name="Финансовый 2 2 7 5 7" xfId="25714" xr:uid="{00000000-0005-0000-0000-0000B1380000}"/>
    <cellStyle name="Финансовый 2 2 7 5 8" xfId="48847" xr:uid="{00000000-0005-0000-0000-0000B2380000}"/>
    <cellStyle name="Финансовый 2 2 7 6" xfId="2394" xr:uid="{00000000-0005-0000-0000-0000B3380000}"/>
    <cellStyle name="Финансовый 2 2 7 6 2" xfId="4039" xr:uid="{00000000-0005-0000-0000-0000B4380000}"/>
    <cellStyle name="Финансовый 2 2 7 6 2 2" xfId="11779" xr:uid="{00000000-0005-0000-0000-0000B5380000}"/>
    <cellStyle name="Финансовый 2 2 7 6 2 2 2" xfId="23757" xr:uid="{00000000-0005-0000-0000-0000B6380000}"/>
    <cellStyle name="Финансовый 2 2 7 6 2 2 2 2" xfId="47712" xr:uid="{00000000-0005-0000-0000-0000B7380000}"/>
    <cellStyle name="Финансовый 2 2 7 6 2 2 3" xfId="35734" xr:uid="{00000000-0005-0000-0000-0000B8380000}"/>
    <cellStyle name="Финансовый 2 2 7 6 2 3" xfId="16018" xr:uid="{00000000-0005-0000-0000-0000B9380000}"/>
    <cellStyle name="Финансовый 2 2 7 6 2 3 2" xfId="39973" xr:uid="{00000000-0005-0000-0000-0000BA380000}"/>
    <cellStyle name="Финансовый 2 2 7 6 2 4" xfId="27996" xr:uid="{00000000-0005-0000-0000-0000BB380000}"/>
    <cellStyle name="Финансовый 2 2 7 6 2 5" xfId="51265" xr:uid="{00000000-0005-0000-0000-0000BC380000}"/>
    <cellStyle name="Финансовый 2 2 7 6 3" xfId="5822" xr:uid="{00000000-0005-0000-0000-0000BD380000}"/>
    <cellStyle name="Финансовый 2 2 7 6 3 2" xfId="17800" xr:uid="{00000000-0005-0000-0000-0000BE380000}"/>
    <cellStyle name="Финансовый 2 2 7 6 3 2 2" xfId="41755" xr:uid="{00000000-0005-0000-0000-0000BF380000}"/>
    <cellStyle name="Финансовый 2 2 7 6 3 3" xfId="29777" xr:uid="{00000000-0005-0000-0000-0000C0380000}"/>
    <cellStyle name="Финансовый 2 2 7 6 4" xfId="8432" xr:uid="{00000000-0005-0000-0000-0000C1380000}"/>
    <cellStyle name="Финансовый 2 2 7 6 4 2" xfId="20410" xr:uid="{00000000-0005-0000-0000-0000C2380000}"/>
    <cellStyle name="Финансовый 2 2 7 6 4 2 2" xfId="44365" xr:uid="{00000000-0005-0000-0000-0000C3380000}"/>
    <cellStyle name="Финансовый 2 2 7 6 4 3" xfId="32387" xr:uid="{00000000-0005-0000-0000-0000C4380000}"/>
    <cellStyle name="Финансовый 2 2 7 6 5" xfId="10215" xr:uid="{00000000-0005-0000-0000-0000C5380000}"/>
    <cellStyle name="Финансовый 2 2 7 6 5 2" xfId="22193" xr:uid="{00000000-0005-0000-0000-0000C6380000}"/>
    <cellStyle name="Финансовый 2 2 7 6 5 2 2" xfId="46148" xr:uid="{00000000-0005-0000-0000-0000C7380000}"/>
    <cellStyle name="Финансовый 2 2 7 6 5 3" xfId="34170" xr:uid="{00000000-0005-0000-0000-0000C8380000}"/>
    <cellStyle name="Финансовый 2 2 7 6 6" xfId="14373" xr:uid="{00000000-0005-0000-0000-0000C9380000}"/>
    <cellStyle name="Финансовый 2 2 7 6 6 2" xfId="38328" xr:uid="{00000000-0005-0000-0000-0000CA380000}"/>
    <cellStyle name="Финансовый 2 2 7 6 7" xfId="26351" xr:uid="{00000000-0005-0000-0000-0000CB380000}"/>
    <cellStyle name="Финансовый 2 2 7 6 8" xfId="49484" xr:uid="{00000000-0005-0000-0000-0000CC380000}"/>
    <cellStyle name="Финансовый 2 2 7 7" xfId="1621" xr:uid="{00000000-0005-0000-0000-0000CD380000}"/>
    <cellStyle name="Финансовый 2 2 7 7 2" xfId="3266" xr:uid="{00000000-0005-0000-0000-0000CE380000}"/>
    <cellStyle name="Финансовый 2 2 7 7 2 2" xfId="11022" xr:uid="{00000000-0005-0000-0000-0000CF380000}"/>
    <cellStyle name="Финансовый 2 2 7 7 2 2 2" xfId="23000" xr:uid="{00000000-0005-0000-0000-0000D0380000}"/>
    <cellStyle name="Финансовый 2 2 7 7 2 2 2 2" xfId="46955" xr:uid="{00000000-0005-0000-0000-0000D1380000}"/>
    <cellStyle name="Финансовый 2 2 7 7 2 2 3" xfId="34977" xr:uid="{00000000-0005-0000-0000-0000D2380000}"/>
    <cellStyle name="Финансовый 2 2 7 7 2 3" xfId="15245" xr:uid="{00000000-0005-0000-0000-0000D3380000}"/>
    <cellStyle name="Финансовый 2 2 7 7 2 3 2" xfId="39200" xr:uid="{00000000-0005-0000-0000-0000D4380000}"/>
    <cellStyle name="Финансовый 2 2 7 7 2 4" xfId="27223" xr:uid="{00000000-0005-0000-0000-0000D5380000}"/>
    <cellStyle name="Финансовый 2 2 7 7 2 5" xfId="50492" xr:uid="{00000000-0005-0000-0000-0000D6380000}"/>
    <cellStyle name="Финансовый 2 2 7 7 3" xfId="5049" xr:uid="{00000000-0005-0000-0000-0000D7380000}"/>
    <cellStyle name="Финансовый 2 2 7 7 3 2" xfId="17027" xr:uid="{00000000-0005-0000-0000-0000D8380000}"/>
    <cellStyle name="Финансовый 2 2 7 7 3 2 2" xfId="40982" xr:uid="{00000000-0005-0000-0000-0000D9380000}"/>
    <cellStyle name="Финансовый 2 2 7 7 3 3" xfId="29004" xr:uid="{00000000-0005-0000-0000-0000DA380000}"/>
    <cellStyle name="Финансовый 2 2 7 7 4" xfId="7659" xr:uid="{00000000-0005-0000-0000-0000DB380000}"/>
    <cellStyle name="Финансовый 2 2 7 7 4 2" xfId="19637" xr:uid="{00000000-0005-0000-0000-0000DC380000}"/>
    <cellStyle name="Финансовый 2 2 7 7 4 2 2" xfId="43592" xr:uid="{00000000-0005-0000-0000-0000DD380000}"/>
    <cellStyle name="Финансовый 2 2 7 7 4 3" xfId="31614" xr:uid="{00000000-0005-0000-0000-0000DE380000}"/>
    <cellStyle name="Финансовый 2 2 7 7 5" xfId="9442" xr:uid="{00000000-0005-0000-0000-0000DF380000}"/>
    <cellStyle name="Финансовый 2 2 7 7 5 2" xfId="21420" xr:uid="{00000000-0005-0000-0000-0000E0380000}"/>
    <cellStyle name="Финансовый 2 2 7 7 5 2 2" xfId="45375" xr:uid="{00000000-0005-0000-0000-0000E1380000}"/>
    <cellStyle name="Финансовый 2 2 7 7 5 3" xfId="33397" xr:uid="{00000000-0005-0000-0000-0000E2380000}"/>
    <cellStyle name="Финансовый 2 2 7 7 6" xfId="13600" xr:uid="{00000000-0005-0000-0000-0000E3380000}"/>
    <cellStyle name="Финансовый 2 2 7 7 6 2" xfId="37555" xr:uid="{00000000-0005-0000-0000-0000E4380000}"/>
    <cellStyle name="Финансовый 2 2 7 7 7" xfId="25578" xr:uid="{00000000-0005-0000-0000-0000E5380000}"/>
    <cellStyle name="Финансовый 2 2 7 7 8" xfId="48711" xr:uid="{00000000-0005-0000-0000-0000E6380000}"/>
    <cellStyle name="Финансовый 2 2 7 8" xfId="906" xr:uid="{00000000-0005-0000-0000-0000E7380000}"/>
    <cellStyle name="Финансовый 2 2 7 8 2" xfId="6946" xr:uid="{00000000-0005-0000-0000-0000E8380000}"/>
    <cellStyle name="Финансовый 2 2 7 8 2 2" xfId="18924" xr:uid="{00000000-0005-0000-0000-0000E9380000}"/>
    <cellStyle name="Финансовый 2 2 7 8 2 2 2" xfId="42879" xr:uid="{00000000-0005-0000-0000-0000EA380000}"/>
    <cellStyle name="Финансовый 2 2 7 8 2 3" xfId="30901" xr:uid="{00000000-0005-0000-0000-0000EB380000}"/>
    <cellStyle name="Финансовый 2 2 7 8 3" xfId="10494" xr:uid="{00000000-0005-0000-0000-0000EC380000}"/>
    <cellStyle name="Финансовый 2 2 7 8 3 2" xfId="22472" xr:uid="{00000000-0005-0000-0000-0000ED380000}"/>
    <cellStyle name="Финансовый 2 2 7 8 3 2 2" xfId="46427" xr:uid="{00000000-0005-0000-0000-0000EE380000}"/>
    <cellStyle name="Финансовый 2 2 7 8 3 3" xfId="34449" xr:uid="{00000000-0005-0000-0000-0000EF380000}"/>
    <cellStyle name="Финансовый 2 2 7 8 4" xfId="12887" xr:uid="{00000000-0005-0000-0000-0000F0380000}"/>
    <cellStyle name="Финансовый 2 2 7 8 4 2" xfId="36842" xr:uid="{00000000-0005-0000-0000-0000F1380000}"/>
    <cellStyle name="Финансовый 2 2 7 8 5" xfId="24865" xr:uid="{00000000-0005-0000-0000-0000F2380000}"/>
    <cellStyle name="Финансовый 2 2 7 8 6" xfId="49763" xr:uid="{00000000-0005-0000-0000-0000F3380000}"/>
    <cellStyle name="Финансовый 2 2 7 9" xfId="486" xr:uid="{00000000-0005-0000-0000-0000F4380000}"/>
    <cellStyle name="Финансовый 2 2 7 9 2" xfId="6526" xr:uid="{00000000-0005-0000-0000-0000F5380000}"/>
    <cellStyle name="Финансовый 2 2 7 9 2 2" xfId="18504" xr:uid="{00000000-0005-0000-0000-0000F6380000}"/>
    <cellStyle name="Финансовый 2 2 7 9 2 2 2" xfId="42459" xr:uid="{00000000-0005-0000-0000-0000F7380000}"/>
    <cellStyle name="Финансовый 2 2 7 9 2 3" xfId="30481" xr:uid="{00000000-0005-0000-0000-0000F8380000}"/>
    <cellStyle name="Финансовый 2 2 7 9 3" xfId="12467" xr:uid="{00000000-0005-0000-0000-0000F9380000}"/>
    <cellStyle name="Финансовый 2 2 7 9 3 2" xfId="36422" xr:uid="{00000000-0005-0000-0000-0000FA380000}"/>
    <cellStyle name="Финансовый 2 2 7 9 4" xfId="24445" xr:uid="{00000000-0005-0000-0000-0000FB380000}"/>
    <cellStyle name="Финансовый 2 2 8" xfId="52" xr:uid="{00000000-0005-0000-0000-0000FC380000}"/>
    <cellStyle name="Финансовый 2 2 8 10" xfId="2664" xr:uid="{00000000-0005-0000-0000-0000FD380000}"/>
    <cellStyle name="Финансовый 2 2 8 10 2" xfId="14643" xr:uid="{00000000-0005-0000-0000-0000FE380000}"/>
    <cellStyle name="Финансовый 2 2 8 10 2 2" xfId="38598" xr:uid="{00000000-0005-0000-0000-0000FF380000}"/>
    <cellStyle name="Финансовый 2 2 8 10 3" xfId="26621" xr:uid="{00000000-0005-0000-0000-000000390000}"/>
    <cellStyle name="Финансовый 2 2 8 11" xfId="4307" xr:uid="{00000000-0005-0000-0000-000001390000}"/>
    <cellStyle name="Финансовый 2 2 8 11 2" xfId="16286" xr:uid="{00000000-0005-0000-0000-000002390000}"/>
    <cellStyle name="Финансовый 2 2 8 11 2 2" xfId="40241" xr:uid="{00000000-0005-0000-0000-000003390000}"/>
    <cellStyle name="Финансовый 2 2 8 11 3" xfId="28264" xr:uid="{00000000-0005-0000-0000-000004390000}"/>
    <cellStyle name="Финансовый 2 2 8 12" xfId="6095" xr:uid="{00000000-0005-0000-0000-000005390000}"/>
    <cellStyle name="Финансовый 2 2 8 12 2" xfId="18073" xr:uid="{00000000-0005-0000-0000-000006390000}"/>
    <cellStyle name="Финансовый 2 2 8 12 2 2" xfId="42028" xr:uid="{00000000-0005-0000-0000-000007390000}"/>
    <cellStyle name="Финансовый 2 2 8 12 3" xfId="30050" xr:uid="{00000000-0005-0000-0000-000008390000}"/>
    <cellStyle name="Финансовый 2 2 8 13" xfId="8702" xr:uid="{00000000-0005-0000-0000-000009390000}"/>
    <cellStyle name="Финансовый 2 2 8 13 2" xfId="20680" xr:uid="{00000000-0005-0000-0000-00000A390000}"/>
    <cellStyle name="Финансовый 2 2 8 13 2 2" xfId="44635" xr:uid="{00000000-0005-0000-0000-00000B390000}"/>
    <cellStyle name="Финансовый 2 2 8 13 3" xfId="32657" xr:uid="{00000000-0005-0000-0000-00000C390000}"/>
    <cellStyle name="Финансовый 2 2 8 14" xfId="12036" xr:uid="{00000000-0005-0000-0000-00000D390000}"/>
    <cellStyle name="Финансовый 2 2 8 14 2" xfId="35991" xr:uid="{00000000-0005-0000-0000-00000E390000}"/>
    <cellStyle name="Финансовый 2 2 8 15" xfId="24014" xr:uid="{00000000-0005-0000-0000-00000F390000}"/>
    <cellStyle name="Финансовый 2 2 8 16" xfId="47972" xr:uid="{00000000-0005-0000-0000-000010390000}"/>
    <cellStyle name="Финансовый 2 2 8 2" xfId="190" xr:uid="{00000000-0005-0000-0000-000011390000}"/>
    <cellStyle name="Финансовый 2 2 8 2 10" xfId="8838" xr:uid="{00000000-0005-0000-0000-000012390000}"/>
    <cellStyle name="Финансовый 2 2 8 2 10 2" xfId="20816" xr:uid="{00000000-0005-0000-0000-000013390000}"/>
    <cellStyle name="Финансовый 2 2 8 2 10 2 2" xfId="44771" xr:uid="{00000000-0005-0000-0000-000014390000}"/>
    <cellStyle name="Финансовый 2 2 8 2 10 3" xfId="32793" xr:uid="{00000000-0005-0000-0000-000015390000}"/>
    <cellStyle name="Финансовый 2 2 8 2 11" xfId="12172" xr:uid="{00000000-0005-0000-0000-000016390000}"/>
    <cellStyle name="Финансовый 2 2 8 2 11 2" xfId="36127" xr:uid="{00000000-0005-0000-0000-000017390000}"/>
    <cellStyle name="Финансовый 2 2 8 2 12" xfId="24150" xr:uid="{00000000-0005-0000-0000-000018390000}"/>
    <cellStyle name="Финансовый 2 2 8 2 13" xfId="48108" xr:uid="{00000000-0005-0000-0000-000019390000}"/>
    <cellStyle name="Финансовый 2 2 8 2 2" xfId="1288" xr:uid="{00000000-0005-0000-0000-00001A390000}"/>
    <cellStyle name="Финансовый 2 2 8 2 2 2" xfId="2254" xr:uid="{00000000-0005-0000-0000-00001B390000}"/>
    <cellStyle name="Финансовый 2 2 8 2 2 2 2" xfId="3899" xr:uid="{00000000-0005-0000-0000-00001C390000}"/>
    <cellStyle name="Финансовый 2 2 8 2 2 2 2 2" xfId="11639" xr:uid="{00000000-0005-0000-0000-00001D390000}"/>
    <cellStyle name="Финансовый 2 2 8 2 2 2 2 2 2" xfId="23617" xr:uid="{00000000-0005-0000-0000-00001E390000}"/>
    <cellStyle name="Финансовый 2 2 8 2 2 2 2 2 2 2" xfId="47572" xr:uid="{00000000-0005-0000-0000-00001F390000}"/>
    <cellStyle name="Финансовый 2 2 8 2 2 2 2 2 3" xfId="35594" xr:uid="{00000000-0005-0000-0000-000020390000}"/>
    <cellStyle name="Финансовый 2 2 8 2 2 2 2 3" xfId="15878" xr:uid="{00000000-0005-0000-0000-000021390000}"/>
    <cellStyle name="Финансовый 2 2 8 2 2 2 2 3 2" xfId="39833" xr:uid="{00000000-0005-0000-0000-000022390000}"/>
    <cellStyle name="Финансовый 2 2 8 2 2 2 2 4" xfId="27856" xr:uid="{00000000-0005-0000-0000-000023390000}"/>
    <cellStyle name="Финансовый 2 2 8 2 2 2 2 5" xfId="51125" xr:uid="{00000000-0005-0000-0000-000024390000}"/>
    <cellStyle name="Финансовый 2 2 8 2 2 2 3" xfId="5682" xr:uid="{00000000-0005-0000-0000-000025390000}"/>
    <cellStyle name="Финансовый 2 2 8 2 2 2 3 2" xfId="17660" xr:uid="{00000000-0005-0000-0000-000026390000}"/>
    <cellStyle name="Финансовый 2 2 8 2 2 2 3 2 2" xfId="41615" xr:uid="{00000000-0005-0000-0000-000027390000}"/>
    <cellStyle name="Финансовый 2 2 8 2 2 2 3 3" xfId="29637" xr:uid="{00000000-0005-0000-0000-000028390000}"/>
    <cellStyle name="Финансовый 2 2 8 2 2 2 4" xfId="8292" xr:uid="{00000000-0005-0000-0000-000029390000}"/>
    <cellStyle name="Финансовый 2 2 8 2 2 2 4 2" xfId="20270" xr:uid="{00000000-0005-0000-0000-00002A390000}"/>
    <cellStyle name="Финансовый 2 2 8 2 2 2 4 2 2" xfId="44225" xr:uid="{00000000-0005-0000-0000-00002B390000}"/>
    <cellStyle name="Финансовый 2 2 8 2 2 2 4 3" xfId="32247" xr:uid="{00000000-0005-0000-0000-00002C390000}"/>
    <cellStyle name="Финансовый 2 2 8 2 2 2 5" xfId="10075" xr:uid="{00000000-0005-0000-0000-00002D390000}"/>
    <cellStyle name="Финансовый 2 2 8 2 2 2 5 2" xfId="22053" xr:uid="{00000000-0005-0000-0000-00002E390000}"/>
    <cellStyle name="Финансовый 2 2 8 2 2 2 5 2 2" xfId="46008" xr:uid="{00000000-0005-0000-0000-00002F390000}"/>
    <cellStyle name="Финансовый 2 2 8 2 2 2 5 3" xfId="34030" xr:uid="{00000000-0005-0000-0000-000030390000}"/>
    <cellStyle name="Финансовый 2 2 8 2 2 2 6" xfId="14233" xr:uid="{00000000-0005-0000-0000-000031390000}"/>
    <cellStyle name="Финансовый 2 2 8 2 2 2 6 2" xfId="38188" xr:uid="{00000000-0005-0000-0000-000032390000}"/>
    <cellStyle name="Финансовый 2 2 8 2 2 2 7" xfId="26211" xr:uid="{00000000-0005-0000-0000-000033390000}"/>
    <cellStyle name="Финансовый 2 2 8 2 2 2 8" xfId="49344" xr:uid="{00000000-0005-0000-0000-000034390000}"/>
    <cellStyle name="Финансовый 2 2 8 2 2 3" xfId="3072" xr:uid="{00000000-0005-0000-0000-000035390000}"/>
    <cellStyle name="Финансовый 2 2 8 2 2 3 2" xfId="10867" xr:uid="{00000000-0005-0000-0000-000036390000}"/>
    <cellStyle name="Финансовый 2 2 8 2 2 3 2 2" xfId="22845" xr:uid="{00000000-0005-0000-0000-000037390000}"/>
    <cellStyle name="Финансовый 2 2 8 2 2 3 2 2 2" xfId="46800" xr:uid="{00000000-0005-0000-0000-000038390000}"/>
    <cellStyle name="Финансовый 2 2 8 2 2 3 2 3" xfId="34822" xr:uid="{00000000-0005-0000-0000-000039390000}"/>
    <cellStyle name="Финансовый 2 2 8 2 2 3 3" xfId="15051" xr:uid="{00000000-0005-0000-0000-00003A390000}"/>
    <cellStyle name="Финансовый 2 2 8 2 2 3 3 2" xfId="39006" xr:uid="{00000000-0005-0000-0000-00003B390000}"/>
    <cellStyle name="Финансовый 2 2 8 2 2 3 4" xfId="27029" xr:uid="{00000000-0005-0000-0000-00003C390000}"/>
    <cellStyle name="Финансовый 2 2 8 2 2 3 5" xfId="50160" xr:uid="{00000000-0005-0000-0000-00003D390000}"/>
    <cellStyle name="Финансовый 2 2 8 2 2 4" xfId="4716" xr:uid="{00000000-0005-0000-0000-00003E390000}"/>
    <cellStyle name="Финансовый 2 2 8 2 2 4 2" xfId="16695" xr:uid="{00000000-0005-0000-0000-00003F390000}"/>
    <cellStyle name="Финансовый 2 2 8 2 2 4 2 2" xfId="40650" xr:uid="{00000000-0005-0000-0000-000040390000}"/>
    <cellStyle name="Финансовый 2 2 8 2 2 4 3" xfId="28673" xr:uid="{00000000-0005-0000-0000-000041390000}"/>
    <cellStyle name="Финансовый 2 2 8 2 2 5" xfId="7328" xr:uid="{00000000-0005-0000-0000-000042390000}"/>
    <cellStyle name="Финансовый 2 2 8 2 2 5 2" xfId="19306" xr:uid="{00000000-0005-0000-0000-000043390000}"/>
    <cellStyle name="Финансовый 2 2 8 2 2 5 2 2" xfId="43261" xr:uid="{00000000-0005-0000-0000-000044390000}"/>
    <cellStyle name="Финансовый 2 2 8 2 2 5 3" xfId="31283" xr:uid="{00000000-0005-0000-0000-000045390000}"/>
    <cellStyle name="Финансовый 2 2 8 2 2 6" xfId="9110" xr:uid="{00000000-0005-0000-0000-000046390000}"/>
    <cellStyle name="Финансовый 2 2 8 2 2 6 2" xfId="21088" xr:uid="{00000000-0005-0000-0000-000047390000}"/>
    <cellStyle name="Финансовый 2 2 8 2 2 6 2 2" xfId="45043" xr:uid="{00000000-0005-0000-0000-000048390000}"/>
    <cellStyle name="Финансовый 2 2 8 2 2 6 3" xfId="33065" xr:uid="{00000000-0005-0000-0000-000049390000}"/>
    <cellStyle name="Финансовый 2 2 8 2 2 7" xfId="13269" xr:uid="{00000000-0005-0000-0000-00004A390000}"/>
    <cellStyle name="Финансовый 2 2 8 2 2 7 2" xfId="37224" xr:uid="{00000000-0005-0000-0000-00004B390000}"/>
    <cellStyle name="Финансовый 2 2 8 2 2 8" xfId="25247" xr:uid="{00000000-0005-0000-0000-00004C390000}"/>
    <cellStyle name="Финансовый 2 2 8 2 2 9" xfId="48380" xr:uid="{00000000-0005-0000-0000-00004D390000}"/>
    <cellStyle name="Финансовый 2 2 8 2 3" xfId="1998" xr:uid="{00000000-0005-0000-0000-00004E390000}"/>
    <cellStyle name="Финансовый 2 2 8 2 3 2" xfId="3643" xr:uid="{00000000-0005-0000-0000-00004F390000}"/>
    <cellStyle name="Финансовый 2 2 8 2 3 2 2" xfId="11383" xr:uid="{00000000-0005-0000-0000-000050390000}"/>
    <cellStyle name="Финансовый 2 2 8 2 3 2 2 2" xfId="23361" xr:uid="{00000000-0005-0000-0000-000051390000}"/>
    <cellStyle name="Финансовый 2 2 8 2 3 2 2 2 2" xfId="47316" xr:uid="{00000000-0005-0000-0000-000052390000}"/>
    <cellStyle name="Финансовый 2 2 8 2 3 2 2 3" xfId="35338" xr:uid="{00000000-0005-0000-0000-000053390000}"/>
    <cellStyle name="Финансовый 2 2 8 2 3 2 3" xfId="15622" xr:uid="{00000000-0005-0000-0000-000054390000}"/>
    <cellStyle name="Финансовый 2 2 8 2 3 2 3 2" xfId="39577" xr:uid="{00000000-0005-0000-0000-000055390000}"/>
    <cellStyle name="Финансовый 2 2 8 2 3 2 4" xfId="27600" xr:uid="{00000000-0005-0000-0000-000056390000}"/>
    <cellStyle name="Финансовый 2 2 8 2 3 2 5" xfId="50869" xr:uid="{00000000-0005-0000-0000-000057390000}"/>
    <cellStyle name="Финансовый 2 2 8 2 3 3" xfId="5426" xr:uid="{00000000-0005-0000-0000-000058390000}"/>
    <cellStyle name="Финансовый 2 2 8 2 3 3 2" xfId="17404" xr:uid="{00000000-0005-0000-0000-000059390000}"/>
    <cellStyle name="Финансовый 2 2 8 2 3 3 2 2" xfId="41359" xr:uid="{00000000-0005-0000-0000-00005A390000}"/>
    <cellStyle name="Финансовый 2 2 8 2 3 3 3" xfId="29381" xr:uid="{00000000-0005-0000-0000-00005B390000}"/>
    <cellStyle name="Финансовый 2 2 8 2 3 4" xfId="8036" xr:uid="{00000000-0005-0000-0000-00005C390000}"/>
    <cellStyle name="Финансовый 2 2 8 2 3 4 2" xfId="20014" xr:uid="{00000000-0005-0000-0000-00005D390000}"/>
    <cellStyle name="Финансовый 2 2 8 2 3 4 2 2" xfId="43969" xr:uid="{00000000-0005-0000-0000-00005E390000}"/>
    <cellStyle name="Финансовый 2 2 8 2 3 4 3" xfId="31991" xr:uid="{00000000-0005-0000-0000-00005F390000}"/>
    <cellStyle name="Финансовый 2 2 8 2 3 5" xfId="9819" xr:uid="{00000000-0005-0000-0000-000060390000}"/>
    <cellStyle name="Финансовый 2 2 8 2 3 5 2" xfId="21797" xr:uid="{00000000-0005-0000-0000-000061390000}"/>
    <cellStyle name="Финансовый 2 2 8 2 3 5 2 2" xfId="45752" xr:uid="{00000000-0005-0000-0000-000062390000}"/>
    <cellStyle name="Финансовый 2 2 8 2 3 5 3" xfId="33774" xr:uid="{00000000-0005-0000-0000-000063390000}"/>
    <cellStyle name="Финансовый 2 2 8 2 3 6" xfId="13977" xr:uid="{00000000-0005-0000-0000-000064390000}"/>
    <cellStyle name="Финансовый 2 2 8 2 3 6 2" xfId="37932" xr:uid="{00000000-0005-0000-0000-000065390000}"/>
    <cellStyle name="Финансовый 2 2 8 2 3 7" xfId="25955" xr:uid="{00000000-0005-0000-0000-000066390000}"/>
    <cellStyle name="Финансовый 2 2 8 2 3 8" xfId="49088" xr:uid="{00000000-0005-0000-0000-000067390000}"/>
    <cellStyle name="Финансовый 2 2 8 2 4" xfId="2519" xr:uid="{00000000-0005-0000-0000-000068390000}"/>
    <cellStyle name="Финансовый 2 2 8 2 4 2" xfId="4164" xr:uid="{00000000-0005-0000-0000-000069390000}"/>
    <cellStyle name="Финансовый 2 2 8 2 4 2 2" xfId="11896" xr:uid="{00000000-0005-0000-0000-00006A390000}"/>
    <cellStyle name="Финансовый 2 2 8 2 4 2 2 2" xfId="23874" xr:uid="{00000000-0005-0000-0000-00006B390000}"/>
    <cellStyle name="Финансовый 2 2 8 2 4 2 2 2 2" xfId="47829" xr:uid="{00000000-0005-0000-0000-00006C390000}"/>
    <cellStyle name="Финансовый 2 2 8 2 4 2 2 3" xfId="35851" xr:uid="{00000000-0005-0000-0000-00006D390000}"/>
    <cellStyle name="Финансовый 2 2 8 2 4 2 3" xfId="16143" xr:uid="{00000000-0005-0000-0000-00006E390000}"/>
    <cellStyle name="Финансовый 2 2 8 2 4 2 3 2" xfId="40098" xr:uid="{00000000-0005-0000-0000-00006F390000}"/>
    <cellStyle name="Финансовый 2 2 8 2 4 2 4" xfId="28121" xr:uid="{00000000-0005-0000-0000-000070390000}"/>
    <cellStyle name="Финансовый 2 2 8 2 4 2 5" xfId="51390" xr:uid="{00000000-0005-0000-0000-000071390000}"/>
    <cellStyle name="Финансовый 2 2 8 2 4 3" xfId="5947" xr:uid="{00000000-0005-0000-0000-000072390000}"/>
    <cellStyle name="Финансовый 2 2 8 2 4 3 2" xfId="17925" xr:uid="{00000000-0005-0000-0000-000073390000}"/>
    <cellStyle name="Финансовый 2 2 8 2 4 3 2 2" xfId="41880" xr:uid="{00000000-0005-0000-0000-000074390000}"/>
    <cellStyle name="Финансовый 2 2 8 2 4 3 3" xfId="29902" xr:uid="{00000000-0005-0000-0000-000075390000}"/>
    <cellStyle name="Финансовый 2 2 8 2 4 4" xfId="8557" xr:uid="{00000000-0005-0000-0000-000076390000}"/>
    <cellStyle name="Финансовый 2 2 8 2 4 4 2" xfId="20535" xr:uid="{00000000-0005-0000-0000-000077390000}"/>
    <cellStyle name="Финансовый 2 2 8 2 4 4 2 2" xfId="44490" xr:uid="{00000000-0005-0000-0000-000078390000}"/>
    <cellStyle name="Финансовый 2 2 8 2 4 4 3" xfId="32512" xr:uid="{00000000-0005-0000-0000-000079390000}"/>
    <cellStyle name="Финансовый 2 2 8 2 4 5" xfId="10340" xr:uid="{00000000-0005-0000-0000-00007A390000}"/>
    <cellStyle name="Финансовый 2 2 8 2 4 5 2" xfId="22318" xr:uid="{00000000-0005-0000-0000-00007B390000}"/>
    <cellStyle name="Финансовый 2 2 8 2 4 5 2 2" xfId="46273" xr:uid="{00000000-0005-0000-0000-00007C390000}"/>
    <cellStyle name="Финансовый 2 2 8 2 4 5 3" xfId="34295" xr:uid="{00000000-0005-0000-0000-00007D390000}"/>
    <cellStyle name="Финансовый 2 2 8 2 4 6" xfId="14498" xr:uid="{00000000-0005-0000-0000-00007E390000}"/>
    <cellStyle name="Финансовый 2 2 8 2 4 6 2" xfId="38453" xr:uid="{00000000-0005-0000-0000-00007F390000}"/>
    <cellStyle name="Финансовый 2 2 8 2 4 7" xfId="26476" xr:uid="{00000000-0005-0000-0000-000080390000}"/>
    <cellStyle name="Финансовый 2 2 8 2 4 8" xfId="49609" xr:uid="{00000000-0005-0000-0000-000081390000}"/>
    <cellStyle name="Финансовый 2 2 8 2 5" xfId="1023" xr:uid="{00000000-0005-0000-0000-000082390000}"/>
    <cellStyle name="Финансовый 2 2 8 2 5 2" xfId="7063" xr:uid="{00000000-0005-0000-0000-000083390000}"/>
    <cellStyle name="Финансовый 2 2 8 2 5 2 2" xfId="19041" xr:uid="{00000000-0005-0000-0000-000084390000}"/>
    <cellStyle name="Финансовый 2 2 8 2 5 2 2 2" xfId="42996" xr:uid="{00000000-0005-0000-0000-000085390000}"/>
    <cellStyle name="Финансовый 2 2 8 2 5 2 3" xfId="31018" xr:uid="{00000000-0005-0000-0000-000086390000}"/>
    <cellStyle name="Финансовый 2 2 8 2 5 3" xfId="10611" xr:uid="{00000000-0005-0000-0000-000087390000}"/>
    <cellStyle name="Финансовый 2 2 8 2 5 3 2" xfId="22589" xr:uid="{00000000-0005-0000-0000-000088390000}"/>
    <cellStyle name="Финансовый 2 2 8 2 5 3 2 2" xfId="46544" xr:uid="{00000000-0005-0000-0000-000089390000}"/>
    <cellStyle name="Финансовый 2 2 8 2 5 3 3" xfId="34566" xr:uid="{00000000-0005-0000-0000-00008A390000}"/>
    <cellStyle name="Финансовый 2 2 8 2 5 4" xfId="13004" xr:uid="{00000000-0005-0000-0000-00008B390000}"/>
    <cellStyle name="Финансовый 2 2 8 2 5 4 2" xfId="36959" xr:uid="{00000000-0005-0000-0000-00008C390000}"/>
    <cellStyle name="Финансовый 2 2 8 2 5 5" xfId="24982" xr:uid="{00000000-0005-0000-0000-00008D390000}"/>
    <cellStyle name="Финансовый 2 2 8 2 5 6" xfId="49888" xr:uid="{00000000-0005-0000-0000-00008E390000}"/>
    <cellStyle name="Финансовый 2 2 8 2 6" xfId="611" xr:uid="{00000000-0005-0000-0000-00008F390000}"/>
    <cellStyle name="Финансовый 2 2 8 2 6 2" xfId="6651" xr:uid="{00000000-0005-0000-0000-000090390000}"/>
    <cellStyle name="Финансовый 2 2 8 2 6 2 2" xfId="18629" xr:uid="{00000000-0005-0000-0000-000091390000}"/>
    <cellStyle name="Финансовый 2 2 8 2 6 2 2 2" xfId="42584" xr:uid="{00000000-0005-0000-0000-000092390000}"/>
    <cellStyle name="Финансовый 2 2 8 2 6 2 3" xfId="30606" xr:uid="{00000000-0005-0000-0000-000093390000}"/>
    <cellStyle name="Финансовый 2 2 8 2 6 3" xfId="12592" xr:uid="{00000000-0005-0000-0000-000094390000}"/>
    <cellStyle name="Финансовый 2 2 8 2 6 3 2" xfId="36547" xr:uid="{00000000-0005-0000-0000-000095390000}"/>
    <cellStyle name="Финансовый 2 2 8 2 6 4" xfId="24570" xr:uid="{00000000-0005-0000-0000-000096390000}"/>
    <cellStyle name="Финансовый 2 2 8 2 7" xfId="2800" xr:uid="{00000000-0005-0000-0000-000097390000}"/>
    <cellStyle name="Финансовый 2 2 8 2 7 2" xfId="14779" xr:uid="{00000000-0005-0000-0000-000098390000}"/>
    <cellStyle name="Финансовый 2 2 8 2 7 2 2" xfId="38734" xr:uid="{00000000-0005-0000-0000-000099390000}"/>
    <cellStyle name="Финансовый 2 2 8 2 7 3" xfId="26757" xr:uid="{00000000-0005-0000-0000-00009A390000}"/>
    <cellStyle name="Финансовый 2 2 8 2 8" xfId="4444" xr:uid="{00000000-0005-0000-0000-00009B390000}"/>
    <cellStyle name="Финансовый 2 2 8 2 8 2" xfId="16423" xr:uid="{00000000-0005-0000-0000-00009C390000}"/>
    <cellStyle name="Финансовый 2 2 8 2 8 2 2" xfId="40378" xr:uid="{00000000-0005-0000-0000-00009D390000}"/>
    <cellStyle name="Финансовый 2 2 8 2 8 3" xfId="28401" xr:uid="{00000000-0005-0000-0000-00009E390000}"/>
    <cellStyle name="Финансовый 2 2 8 2 9" xfId="6231" xr:uid="{00000000-0005-0000-0000-00009F390000}"/>
    <cellStyle name="Финансовый 2 2 8 2 9 2" xfId="18209" xr:uid="{00000000-0005-0000-0000-0000A0390000}"/>
    <cellStyle name="Финансовый 2 2 8 2 9 2 2" xfId="42164" xr:uid="{00000000-0005-0000-0000-0000A1390000}"/>
    <cellStyle name="Финансовый 2 2 8 2 9 3" xfId="30186" xr:uid="{00000000-0005-0000-0000-0000A2390000}"/>
    <cellStyle name="Финансовый 2 2 8 3" xfId="339" xr:uid="{00000000-0005-0000-0000-0000A3390000}"/>
    <cellStyle name="Финансовый 2 2 8 3 10" xfId="24298" xr:uid="{00000000-0005-0000-0000-0000A4390000}"/>
    <cellStyle name="Финансовый 2 2 8 3 11" xfId="48244" xr:uid="{00000000-0005-0000-0000-0000A5390000}"/>
    <cellStyle name="Финансовый 2 2 8 3 2" xfId="2126" xr:uid="{00000000-0005-0000-0000-0000A6390000}"/>
    <cellStyle name="Финансовый 2 2 8 3 2 2" xfId="3771" xr:uid="{00000000-0005-0000-0000-0000A7390000}"/>
    <cellStyle name="Финансовый 2 2 8 3 2 2 2" xfId="11511" xr:uid="{00000000-0005-0000-0000-0000A8390000}"/>
    <cellStyle name="Финансовый 2 2 8 3 2 2 2 2" xfId="23489" xr:uid="{00000000-0005-0000-0000-0000A9390000}"/>
    <cellStyle name="Финансовый 2 2 8 3 2 2 2 2 2" xfId="47444" xr:uid="{00000000-0005-0000-0000-0000AA390000}"/>
    <cellStyle name="Финансовый 2 2 8 3 2 2 2 3" xfId="35466" xr:uid="{00000000-0005-0000-0000-0000AB390000}"/>
    <cellStyle name="Финансовый 2 2 8 3 2 2 3" xfId="15750" xr:uid="{00000000-0005-0000-0000-0000AC390000}"/>
    <cellStyle name="Финансовый 2 2 8 3 2 2 3 2" xfId="39705" xr:uid="{00000000-0005-0000-0000-0000AD390000}"/>
    <cellStyle name="Финансовый 2 2 8 3 2 2 4" xfId="27728" xr:uid="{00000000-0005-0000-0000-0000AE390000}"/>
    <cellStyle name="Финансовый 2 2 8 3 2 2 5" xfId="50997" xr:uid="{00000000-0005-0000-0000-0000AF390000}"/>
    <cellStyle name="Финансовый 2 2 8 3 2 3" xfId="5554" xr:uid="{00000000-0005-0000-0000-0000B0390000}"/>
    <cellStyle name="Финансовый 2 2 8 3 2 3 2" xfId="17532" xr:uid="{00000000-0005-0000-0000-0000B1390000}"/>
    <cellStyle name="Финансовый 2 2 8 3 2 3 2 2" xfId="41487" xr:uid="{00000000-0005-0000-0000-0000B2390000}"/>
    <cellStyle name="Финансовый 2 2 8 3 2 3 3" xfId="29509" xr:uid="{00000000-0005-0000-0000-0000B3390000}"/>
    <cellStyle name="Финансовый 2 2 8 3 2 4" xfId="8164" xr:uid="{00000000-0005-0000-0000-0000B4390000}"/>
    <cellStyle name="Финансовый 2 2 8 3 2 4 2" xfId="20142" xr:uid="{00000000-0005-0000-0000-0000B5390000}"/>
    <cellStyle name="Финансовый 2 2 8 3 2 4 2 2" xfId="44097" xr:uid="{00000000-0005-0000-0000-0000B6390000}"/>
    <cellStyle name="Финансовый 2 2 8 3 2 4 3" xfId="32119" xr:uid="{00000000-0005-0000-0000-0000B7390000}"/>
    <cellStyle name="Финансовый 2 2 8 3 2 5" xfId="9947" xr:uid="{00000000-0005-0000-0000-0000B8390000}"/>
    <cellStyle name="Финансовый 2 2 8 3 2 5 2" xfId="21925" xr:uid="{00000000-0005-0000-0000-0000B9390000}"/>
    <cellStyle name="Финансовый 2 2 8 3 2 5 2 2" xfId="45880" xr:uid="{00000000-0005-0000-0000-0000BA390000}"/>
    <cellStyle name="Финансовый 2 2 8 3 2 5 3" xfId="33902" xr:uid="{00000000-0005-0000-0000-0000BB390000}"/>
    <cellStyle name="Финансовый 2 2 8 3 2 6" xfId="14105" xr:uid="{00000000-0005-0000-0000-0000BC390000}"/>
    <cellStyle name="Финансовый 2 2 8 3 2 6 2" xfId="38060" xr:uid="{00000000-0005-0000-0000-0000BD390000}"/>
    <cellStyle name="Финансовый 2 2 8 3 2 7" xfId="26083" xr:uid="{00000000-0005-0000-0000-0000BE390000}"/>
    <cellStyle name="Финансовый 2 2 8 3 2 8" xfId="49216" xr:uid="{00000000-0005-0000-0000-0000BF390000}"/>
    <cellStyle name="Финансовый 2 2 8 3 3" xfId="1159" xr:uid="{00000000-0005-0000-0000-0000C0390000}"/>
    <cellStyle name="Финансовый 2 2 8 3 3 2" xfId="7199" xr:uid="{00000000-0005-0000-0000-0000C1390000}"/>
    <cellStyle name="Финансовый 2 2 8 3 3 2 2" xfId="19177" xr:uid="{00000000-0005-0000-0000-0000C2390000}"/>
    <cellStyle name="Финансовый 2 2 8 3 3 2 2 2" xfId="43132" xr:uid="{00000000-0005-0000-0000-0000C3390000}"/>
    <cellStyle name="Финансовый 2 2 8 3 3 2 3" xfId="31154" xr:uid="{00000000-0005-0000-0000-0000C4390000}"/>
    <cellStyle name="Финансовый 2 2 8 3 3 3" xfId="10739" xr:uid="{00000000-0005-0000-0000-0000C5390000}"/>
    <cellStyle name="Финансовый 2 2 8 3 3 3 2" xfId="22717" xr:uid="{00000000-0005-0000-0000-0000C6390000}"/>
    <cellStyle name="Финансовый 2 2 8 3 3 3 2 2" xfId="46672" xr:uid="{00000000-0005-0000-0000-0000C7390000}"/>
    <cellStyle name="Финансовый 2 2 8 3 3 3 3" xfId="34694" xr:uid="{00000000-0005-0000-0000-0000C8390000}"/>
    <cellStyle name="Финансовый 2 2 8 3 3 4" xfId="13140" xr:uid="{00000000-0005-0000-0000-0000C9390000}"/>
    <cellStyle name="Финансовый 2 2 8 3 3 4 2" xfId="37095" xr:uid="{00000000-0005-0000-0000-0000CA390000}"/>
    <cellStyle name="Финансовый 2 2 8 3 3 5" xfId="25118" xr:uid="{00000000-0005-0000-0000-0000CB390000}"/>
    <cellStyle name="Финансовый 2 2 8 3 3 6" xfId="50024" xr:uid="{00000000-0005-0000-0000-0000CC390000}"/>
    <cellStyle name="Финансовый 2 2 8 3 4" xfId="759" xr:uid="{00000000-0005-0000-0000-0000CD390000}"/>
    <cellStyle name="Финансовый 2 2 8 3 4 2" xfId="6799" xr:uid="{00000000-0005-0000-0000-0000CE390000}"/>
    <cellStyle name="Финансовый 2 2 8 3 4 2 2" xfId="18777" xr:uid="{00000000-0005-0000-0000-0000CF390000}"/>
    <cellStyle name="Финансовый 2 2 8 3 4 2 2 2" xfId="42732" xr:uid="{00000000-0005-0000-0000-0000D0390000}"/>
    <cellStyle name="Финансовый 2 2 8 3 4 2 3" xfId="30754" xr:uid="{00000000-0005-0000-0000-0000D1390000}"/>
    <cellStyle name="Финансовый 2 2 8 3 4 3" xfId="12740" xr:uid="{00000000-0005-0000-0000-0000D2390000}"/>
    <cellStyle name="Финансовый 2 2 8 3 4 3 2" xfId="36695" xr:uid="{00000000-0005-0000-0000-0000D3390000}"/>
    <cellStyle name="Финансовый 2 2 8 3 4 4" xfId="24718" xr:uid="{00000000-0005-0000-0000-0000D4390000}"/>
    <cellStyle name="Финансовый 2 2 8 3 5" xfId="2936" xr:uid="{00000000-0005-0000-0000-0000D5390000}"/>
    <cellStyle name="Финансовый 2 2 8 3 5 2" xfId="14915" xr:uid="{00000000-0005-0000-0000-0000D6390000}"/>
    <cellStyle name="Финансовый 2 2 8 3 5 2 2" xfId="38870" xr:uid="{00000000-0005-0000-0000-0000D7390000}"/>
    <cellStyle name="Финансовый 2 2 8 3 5 3" xfId="26893" xr:uid="{00000000-0005-0000-0000-0000D8390000}"/>
    <cellStyle name="Финансовый 2 2 8 3 6" xfId="4580" xr:uid="{00000000-0005-0000-0000-0000D9390000}"/>
    <cellStyle name="Финансовый 2 2 8 3 6 2" xfId="16559" xr:uid="{00000000-0005-0000-0000-0000DA390000}"/>
    <cellStyle name="Финансовый 2 2 8 3 6 2 2" xfId="40514" xr:uid="{00000000-0005-0000-0000-0000DB390000}"/>
    <cellStyle name="Финансовый 2 2 8 3 6 3" xfId="28537" xr:uid="{00000000-0005-0000-0000-0000DC390000}"/>
    <cellStyle name="Финансовый 2 2 8 3 7" xfId="6379" xr:uid="{00000000-0005-0000-0000-0000DD390000}"/>
    <cellStyle name="Финансовый 2 2 8 3 7 2" xfId="18357" xr:uid="{00000000-0005-0000-0000-0000DE390000}"/>
    <cellStyle name="Финансовый 2 2 8 3 7 2 2" xfId="42312" xr:uid="{00000000-0005-0000-0000-0000DF390000}"/>
    <cellStyle name="Финансовый 2 2 8 3 7 3" xfId="30334" xr:uid="{00000000-0005-0000-0000-0000E0390000}"/>
    <cellStyle name="Финансовый 2 2 8 3 8" xfId="8974" xr:uid="{00000000-0005-0000-0000-0000E1390000}"/>
    <cellStyle name="Финансовый 2 2 8 3 8 2" xfId="20952" xr:uid="{00000000-0005-0000-0000-0000E2390000}"/>
    <cellStyle name="Финансовый 2 2 8 3 8 2 2" xfId="44907" xr:uid="{00000000-0005-0000-0000-0000E3390000}"/>
    <cellStyle name="Финансовый 2 2 8 3 8 3" xfId="32929" xr:uid="{00000000-0005-0000-0000-0000E4390000}"/>
    <cellStyle name="Финансовый 2 2 8 3 9" xfId="12320" xr:uid="{00000000-0005-0000-0000-0000E5390000}"/>
    <cellStyle name="Финансовый 2 2 8 3 9 2" xfId="36275" xr:uid="{00000000-0005-0000-0000-0000E6390000}"/>
    <cellStyle name="Финансовый 2 2 8 4" xfId="1474" xr:uid="{00000000-0005-0000-0000-0000E7390000}"/>
    <cellStyle name="Финансовый 2 2 8 4 2" xfId="1862" xr:uid="{00000000-0005-0000-0000-0000E8390000}"/>
    <cellStyle name="Финансовый 2 2 8 4 2 2" xfId="3507" xr:uid="{00000000-0005-0000-0000-0000E9390000}"/>
    <cellStyle name="Финансовый 2 2 8 4 2 2 2" xfId="11255" xr:uid="{00000000-0005-0000-0000-0000EA390000}"/>
    <cellStyle name="Финансовый 2 2 8 4 2 2 2 2" xfId="23233" xr:uid="{00000000-0005-0000-0000-0000EB390000}"/>
    <cellStyle name="Финансовый 2 2 8 4 2 2 2 2 2" xfId="47188" xr:uid="{00000000-0005-0000-0000-0000EC390000}"/>
    <cellStyle name="Финансовый 2 2 8 4 2 2 2 3" xfId="35210" xr:uid="{00000000-0005-0000-0000-0000ED390000}"/>
    <cellStyle name="Финансовый 2 2 8 4 2 2 3" xfId="15486" xr:uid="{00000000-0005-0000-0000-0000EE390000}"/>
    <cellStyle name="Финансовый 2 2 8 4 2 2 3 2" xfId="39441" xr:uid="{00000000-0005-0000-0000-0000EF390000}"/>
    <cellStyle name="Финансовый 2 2 8 4 2 2 4" xfId="27464" xr:uid="{00000000-0005-0000-0000-0000F0390000}"/>
    <cellStyle name="Финансовый 2 2 8 4 2 2 5" xfId="50733" xr:uid="{00000000-0005-0000-0000-0000F1390000}"/>
    <cellStyle name="Финансовый 2 2 8 4 2 3" xfId="5290" xr:uid="{00000000-0005-0000-0000-0000F2390000}"/>
    <cellStyle name="Финансовый 2 2 8 4 2 3 2" xfId="17268" xr:uid="{00000000-0005-0000-0000-0000F3390000}"/>
    <cellStyle name="Финансовый 2 2 8 4 2 3 2 2" xfId="41223" xr:uid="{00000000-0005-0000-0000-0000F4390000}"/>
    <cellStyle name="Финансовый 2 2 8 4 2 3 3" xfId="29245" xr:uid="{00000000-0005-0000-0000-0000F5390000}"/>
    <cellStyle name="Финансовый 2 2 8 4 2 4" xfId="7900" xr:uid="{00000000-0005-0000-0000-0000F6390000}"/>
    <cellStyle name="Финансовый 2 2 8 4 2 4 2" xfId="19878" xr:uid="{00000000-0005-0000-0000-0000F7390000}"/>
    <cellStyle name="Финансовый 2 2 8 4 2 4 2 2" xfId="43833" xr:uid="{00000000-0005-0000-0000-0000F8390000}"/>
    <cellStyle name="Финансовый 2 2 8 4 2 4 3" xfId="31855" xr:uid="{00000000-0005-0000-0000-0000F9390000}"/>
    <cellStyle name="Финансовый 2 2 8 4 2 5" xfId="9683" xr:uid="{00000000-0005-0000-0000-0000FA390000}"/>
    <cellStyle name="Финансовый 2 2 8 4 2 5 2" xfId="21661" xr:uid="{00000000-0005-0000-0000-0000FB390000}"/>
    <cellStyle name="Финансовый 2 2 8 4 2 5 2 2" xfId="45616" xr:uid="{00000000-0005-0000-0000-0000FC390000}"/>
    <cellStyle name="Финансовый 2 2 8 4 2 5 3" xfId="33638" xr:uid="{00000000-0005-0000-0000-0000FD390000}"/>
    <cellStyle name="Финансовый 2 2 8 4 2 6" xfId="13841" xr:uid="{00000000-0005-0000-0000-0000FE390000}"/>
    <cellStyle name="Финансовый 2 2 8 4 2 6 2" xfId="37796" xr:uid="{00000000-0005-0000-0000-0000FF390000}"/>
    <cellStyle name="Финансовый 2 2 8 4 2 7" xfId="25819" xr:uid="{00000000-0005-0000-0000-0000003A0000}"/>
    <cellStyle name="Финансовый 2 2 8 4 2 8" xfId="48952" xr:uid="{00000000-0005-0000-0000-0000013A0000}"/>
    <cellStyle name="Финансовый 2 2 8 4 3" xfId="4902" xr:uid="{00000000-0005-0000-0000-0000023A0000}"/>
    <cellStyle name="Финансовый 2 2 8 4 3 2" xfId="16880" xr:uid="{00000000-0005-0000-0000-0000033A0000}"/>
    <cellStyle name="Финансовый 2 2 8 4 3 2 2" xfId="40835" xr:uid="{00000000-0005-0000-0000-0000043A0000}"/>
    <cellStyle name="Финансовый 2 2 8 4 3 3" xfId="28857" xr:uid="{00000000-0005-0000-0000-0000053A0000}"/>
    <cellStyle name="Финансовый 2 2 8 4 3 4" xfId="50345" xr:uid="{00000000-0005-0000-0000-0000063A0000}"/>
    <cellStyle name="Финансовый 2 2 8 4 4" xfId="7512" xr:uid="{00000000-0005-0000-0000-0000073A0000}"/>
    <cellStyle name="Финансовый 2 2 8 4 4 2" xfId="19490" xr:uid="{00000000-0005-0000-0000-0000083A0000}"/>
    <cellStyle name="Финансовый 2 2 8 4 4 2 2" xfId="43445" xr:uid="{00000000-0005-0000-0000-0000093A0000}"/>
    <cellStyle name="Финансовый 2 2 8 4 4 3" xfId="31467" xr:uid="{00000000-0005-0000-0000-00000A3A0000}"/>
    <cellStyle name="Финансовый 2 2 8 4 5" xfId="9295" xr:uid="{00000000-0005-0000-0000-00000B3A0000}"/>
    <cellStyle name="Финансовый 2 2 8 4 5 2" xfId="21273" xr:uid="{00000000-0005-0000-0000-00000C3A0000}"/>
    <cellStyle name="Финансовый 2 2 8 4 5 2 2" xfId="45228" xr:uid="{00000000-0005-0000-0000-00000D3A0000}"/>
    <cellStyle name="Финансовый 2 2 8 4 5 3" xfId="33250" xr:uid="{00000000-0005-0000-0000-00000E3A0000}"/>
    <cellStyle name="Финансовый 2 2 8 4 6" xfId="13453" xr:uid="{00000000-0005-0000-0000-00000F3A0000}"/>
    <cellStyle name="Финансовый 2 2 8 4 6 2" xfId="37408" xr:uid="{00000000-0005-0000-0000-0000103A0000}"/>
    <cellStyle name="Финансовый 2 2 8 4 7" xfId="25431" xr:uid="{00000000-0005-0000-0000-0000113A0000}"/>
    <cellStyle name="Финансовый 2 2 8 4 8" xfId="48564" xr:uid="{00000000-0005-0000-0000-0000123A0000}"/>
    <cellStyle name="Финансовый 2 2 8 5" xfId="1746" xr:uid="{00000000-0005-0000-0000-0000133A0000}"/>
    <cellStyle name="Финансовый 2 2 8 5 2" xfId="3391" xr:uid="{00000000-0005-0000-0000-0000143A0000}"/>
    <cellStyle name="Финансовый 2 2 8 5 2 2" xfId="11139" xr:uid="{00000000-0005-0000-0000-0000153A0000}"/>
    <cellStyle name="Финансовый 2 2 8 5 2 2 2" xfId="23117" xr:uid="{00000000-0005-0000-0000-0000163A0000}"/>
    <cellStyle name="Финансовый 2 2 8 5 2 2 2 2" xfId="47072" xr:uid="{00000000-0005-0000-0000-0000173A0000}"/>
    <cellStyle name="Финансовый 2 2 8 5 2 2 3" xfId="35094" xr:uid="{00000000-0005-0000-0000-0000183A0000}"/>
    <cellStyle name="Финансовый 2 2 8 5 2 3" xfId="15370" xr:uid="{00000000-0005-0000-0000-0000193A0000}"/>
    <cellStyle name="Финансовый 2 2 8 5 2 3 2" xfId="39325" xr:uid="{00000000-0005-0000-0000-00001A3A0000}"/>
    <cellStyle name="Финансовый 2 2 8 5 2 4" xfId="27348" xr:uid="{00000000-0005-0000-0000-00001B3A0000}"/>
    <cellStyle name="Финансовый 2 2 8 5 2 5" xfId="50617" xr:uid="{00000000-0005-0000-0000-00001C3A0000}"/>
    <cellStyle name="Финансовый 2 2 8 5 3" xfId="5174" xr:uid="{00000000-0005-0000-0000-00001D3A0000}"/>
    <cellStyle name="Финансовый 2 2 8 5 3 2" xfId="17152" xr:uid="{00000000-0005-0000-0000-00001E3A0000}"/>
    <cellStyle name="Финансовый 2 2 8 5 3 2 2" xfId="41107" xr:uid="{00000000-0005-0000-0000-00001F3A0000}"/>
    <cellStyle name="Финансовый 2 2 8 5 3 3" xfId="29129" xr:uid="{00000000-0005-0000-0000-0000203A0000}"/>
    <cellStyle name="Финансовый 2 2 8 5 4" xfId="7784" xr:uid="{00000000-0005-0000-0000-0000213A0000}"/>
    <cellStyle name="Финансовый 2 2 8 5 4 2" xfId="19762" xr:uid="{00000000-0005-0000-0000-0000223A0000}"/>
    <cellStyle name="Финансовый 2 2 8 5 4 2 2" xfId="43717" xr:uid="{00000000-0005-0000-0000-0000233A0000}"/>
    <cellStyle name="Финансовый 2 2 8 5 4 3" xfId="31739" xr:uid="{00000000-0005-0000-0000-0000243A0000}"/>
    <cellStyle name="Финансовый 2 2 8 5 5" xfId="9567" xr:uid="{00000000-0005-0000-0000-0000253A0000}"/>
    <cellStyle name="Финансовый 2 2 8 5 5 2" xfId="21545" xr:uid="{00000000-0005-0000-0000-0000263A0000}"/>
    <cellStyle name="Финансовый 2 2 8 5 5 2 2" xfId="45500" xr:uid="{00000000-0005-0000-0000-0000273A0000}"/>
    <cellStyle name="Финансовый 2 2 8 5 5 3" xfId="33522" xr:uid="{00000000-0005-0000-0000-0000283A0000}"/>
    <cellStyle name="Финансовый 2 2 8 5 6" xfId="13725" xr:uid="{00000000-0005-0000-0000-0000293A0000}"/>
    <cellStyle name="Финансовый 2 2 8 5 6 2" xfId="37680" xr:uid="{00000000-0005-0000-0000-00002A3A0000}"/>
    <cellStyle name="Финансовый 2 2 8 5 7" xfId="25703" xr:uid="{00000000-0005-0000-0000-00002B3A0000}"/>
    <cellStyle name="Финансовый 2 2 8 5 8" xfId="48836" xr:uid="{00000000-0005-0000-0000-00002C3A0000}"/>
    <cellStyle name="Финансовый 2 2 8 6" xfId="2382" xr:uid="{00000000-0005-0000-0000-00002D3A0000}"/>
    <cellStyle name="Финансовый 2 2 8 6 2" xfId="4027" xr:uid="{00000000-0005-0000-0000-00002E3A0000}"/>
    <cellStyle name="Финансовый 2 2 8 6 2 2" xfId="11767" xr:uid="{00000000-0005-0000-0000-00002F3A0000}"/>
    <cellStyle name="Финансовый 2 2 8 6 2 2 2" xfId="23745" xr:uid="{00000000-0005-0000-0000-0000303A0000}"/>
    <cellStyle name="Финансовый 2 2 8 6 2 2 2 2" xfId="47700" xr:uid="{00000000-0005-0000-0000-0000313A0000}"/>
    <cellStyle name="Финансовый 2 2 8 6 2 2 3" xfId="35722" xr:uid="{00000000-0005-0000-0000-0000323A0000}"/>
    <cellStyle name="Финансовый 2 2 8 6 2 3" xfId="16006" xr:uid="{00000000-0005-0000-0000-0000333A0000}"/>
    <cellStyle name="Финансовый 2 2 8 6 2 3 2" xfId="39961" xr:uid="{00000000-0005-0000-0000-0000343A0000}"/>
    <cellStyle name="Финансовый 2 2 8 6 2 4" xfId="27984" xr:uid="{00000000-0005-0000-0000-0000353A0000}"/>
    <cellStyle name="Финансовый 2 2 8 6 2 5" xfId="51253" xr:uid="{00000000-0005-0000-0000-0000363A0000}"/>
    <cellStyle name="Финансовый 2 2 8 6 3" xfId="5810" xr:uid="{00000000-0005-0000-0000-0000373A0000}"/>
    <cellStyle name="Финансовый 2 2 8 6 3 2" xfId="17788" xr:uid="{00000000-0005-0000-0000-0000383A0000}"/>
    <cellStyle name="Финансовый 2 2 8 6 3 2 2" xfId="41743" xr:uid="{00000000-0005-0000-0000-0000393A0000}"/>
    <cellStyle name="Финансовый 2 2 8 6 3 3" xfId="29765" xr:uid="{00000000-0005-0000-0000-00003A3A0000}"/>
    <cellStyle name="Финансовый 2 2 8 6 4" xfId="8420" xr:uid="{00000000-0005-0000-0000-00003B3A0000}"/>
    <cellStyle name="Финансовый 2 2 8 6 4 2" xfId="20398" xr:uid="{00000000-0005-0000-0000-00003C3A0000}"/>
    <cellStyle name="Финансовый 2 2 8 6 4 2 2" xfId="44353" xr:uid="{00000000-0005-0000-0000-00003D3A0000}"/>
    <cellStyle name="Финансовый 2 2 8 6 4 3" xfId="32375" xr:uid="{00000000-0005-0000-0000-00003E3A0000}"/>
    <cellStyle name="Финансовый 2 2 8 6 5" xfId="10203" xr:uid="{00000000-0005-0000-0000-00003F3A0000}"/>
    <cellStyle name="Финансовый 2 2 8 6 5 2" xfId="22181" xr:uid="{00000000-0005-0000-0000-0000403A0000}"/>
    <cellStyle name="Финансовый 2 2 8 6 5 2 2" xfId="46136" xr:uid="{00000000-0005-0000-0000-0000413A0000}"/>
    <cellStyle name="Финансовый 2 2 8 6 5 3" xfId="34158" xr:uid="{00000000-0005-0000-0000-0000423A0000}"/>
    <cellStyle name="Финансовый 2 2 8 6 6" xfId="14361" xr:uid="{00000000-0005-0000-0000-0000433A0000}"/>
    <cellStyle name="Финансовый 2 2 8 6 6 2" xfId="38316" xr:uid="{00000000-0005-0000-0000-0000443A0000}"/>
    <cellStyle name="Финансовый 2 2 8 6 7" xfId="26339" xr:uid="{00000000-0005-0000-0000-0000453A0000}"/>
    <cellStyle name="Финансовый 2 2 8 6 8" xfId="49472" xr:uid="{00000000-0005-0000-0000-0000463A0000}"/>
    <cellStyle name="Финансовый 2 2 8 7" xfId="1609" xr:uid="{00000000-0005-0000-0000-0000473A0000}"/>
    <cellStyle name="Финансовый 2 2 8 7 2" xfId="3254" xr:uid="{00000000-0005-0000-0000-0000483A0000}"/>
    <cellStyle name="Финансовый 2 2 8 7 2 2" xfId="11010" xr:uid="{00000000-0005-0000-0000-0000493A0000}"/>
    <cellStyle name="Финансовый 2 2 8 7 2 2 2" xfId="22988" xr:uid="{00000000-0005-0000-0000-00004A3A0000}"/>
    <cellStyle name="Финансовый 2 2 8 7 2 2 2 2" xfId="46943" xr:uid="{00000000-0005-0000-0000-00004B3A0000}"/>
    <cellStyle name="Финансовый 2 2 8 7 2 2 3" xfId="34965" xr:uid="{00000000-0005-0000-0000-00004C3A0000}"/>
    <cellStyle name="Финансовый 2 2 8 7 2 3" xfId="15233" xr:uid="{00000000-0005-0000-0000-00004D3A0000}"/>
    <cellStyle name="Финансовый 2 2 8 7 2 3 2" xfId="39188" xr:uid="{00000000-0005-0000-0000-00004E3A0000}"/>
    <cellStyle name="Финансовый 2 2 8 7 2 4" xfId="27211" xr:uid="{00000000-0005-0000-0000-00004F3A0000}"/>
    <cellStyle name="Финансовый 2 2 8 7 2 5" xfId="50480" xr:uid="{00000000-0005-0000-0000-0000503A0000}"/>
    <cellStyle name="Финансовый 2 2 8 7 3" xfId="5037" xr:uid="{00000000-0005-0000-0000-0000513A0000}"/>
    <cellStyle name="Финансовый 2 2 8 7 3 2" xfId="17015" xr:uid="{00000000-0005-0000-0000-0000523A0000}"/>
    <cellStyle name="Финансовый 2 2 8 7 3 2 2" xfId="40970" xr:uid="{00000000-0005-0000-0000-0000533A0000}"/>
    <cellStyle name="Финансовый 2 2 8 7 3 3" xfId="28992" xr:uid="{00000000-0005-0000-0000-0000543A0000}"/>
    <cellStyle name="Финансовый 2 2 8 7 4" xfId="7647" xr:uid="{00000000-0005-0000-0000-0000553A0000}"/>
    <cellStyle name="Финансовый 2 2 8 7 4 2" xfId="19625" xr:uid="{00000000-0005-0000-0000-0000563A0000}"/>
    <cellStyle name="Финансовый 2 2 8 7 4 2 2" xfId="43580" xr:uid="{00000000-0005-0000-0000-0000573A0000}"/>
    <cellStyle name="Финансовый 2 2 8 7 4 3" xfId="31602" xr:uid="{00000000-0005-0000-0000-0000583A0000}"/>
    <cellStyle name="Финансовый 2 2 8 7 5" xfId="9430" xr:uid="{00000000-0005-0000-0000-0000593A0000}"/>
    <cellStyle name="Финансовый 2 2 8 7 5 2" xfId="21408" xr:uid="{00000000-0005-0000-0000-00005A3A0000}"/>
    <cellStyle name="Финансовый 2 2 8 7 5 2 2" xfId="45363" xr:uid="{00000000-0005-0000-0000-00005B3A0000}"/>
    <cellStyle name="Финансовый 2 2 8 7 5 3" xfId="33385" xr:uid="{00000000-0005-0000-0000-00005C3A0000}"/>
    <cellStyle name="Финансовый 2 2 8 7 6" xfId="13588" xr:uid="{00000000-0005-0000-0000-00005D3A0000}"/>
    <cellStyle name="Финансовый 2 2 8 7 6 2" xfId="37543" xr:uid="{00000000-0005-0000-0000-00005E3A0000}"/>
    <cellStyle name="Финансовый 2 2 8 7 7" xfId="25566" xr:uid="{00000000-0005-0000-0000-00005F3A0000}"/>
    <cellStyle name="Финансовый 2 2 8 7 8" xfId="48699" xr:uid="{00000000-0005-0000-0000-0000603A0000}"/>
    <cellStyle name="Финансовый 2 2 8 8" xfId="895" xr:uid="{00000000-0005-0000-0000-0000613A0000}"/>
    <cellStyle name="Финансовый 2 2 8 8 2" xfId="6935" xr:uid="{00000000-0005-0000-0000-0000623A0000}"/>
    <cellStyle name="Финансовый 2 2 8 8 2 2" xfId="18913" xr:uid="{00000000-0005-0000-0000-0000633A0000}"/>
    <cellStyle name="Финансовый 2 2 8 8 2 2 2" xfId="42868" xr:uid="{00000000-0005-0000-0000-0000643A0000}"/>
    <cellStyle name="Финансовый 2 2 8 8 2 3" xfId="30890" xr:uid="{00000000-0005-0000-0000-0000653A0000}"/>
    <cellStyle name="Финансовый 2 2 8 8 3" xfId="10483" xr:uid="{00000000-0005-0000-0000-0000663A0000}"/>
    <cellStyle name="Финансовый 2 2 8 8 3 2" xfId="22461" xr:uid="{00000000-0005-0000-0000-0000673A0000}"/>
    <cellStyle name="Финансовый 2 2 8 8 3 2 2" xfId="46416" xr:uid="{00000000-0005-0000-0000-0000683A0000}"/>
    <cellStyle name="Финансовый 2 2 8 8 3 3" xfId="34438" xr:uid="{00000000-0005-0000-0000-0000693A0000}"/>
    <cellStyle name="Финансовый 2 2 8 8 4" xfId="12876" xr:uid="{00000000-0005-0000-0000-00006A3A0000}"/>
    <cellStyle name="Финансовый 2 2 8 8 4 2" xfId="36831" xr:uid="{00000000-0005-0000-0000-00006B3A0000}"/>
    <cellStyle name="Финансовый 2 2 8 8 5" xfId="24854" xr:uid="{00000000-0005-0000-0000-00006C3A0000}"/>
    <cellStyle name="Финансовый 2 2 8 8 6" xfId="49752" xr:uid="{00000000-0005-0000-0000-00006D3A0000}"/>
    <cellStyle name="Финансовый 2 2 8 9" xfId="475" xr:uid="{00000000-0005-0000-0000-00006E3A0000}"/>
    <cellStyle name="Финансовый 2 2 8 9 2" xfId="6515" xr:uid="{00000000-0005-0000-0000-00006F3A0000}"/>
    <cellStyle name="Финансовый 2 2 8 9 2 2" xfId="18493" xr:uid="{00000000-0005-0000-0000-0000703A0000}"/>
    <cellStyle name="Финансовый 2 2 8 9 2 2 2" xfId="42448" xr:uid="{00000000-0005-0000-0000-0000713A0000}"/>
    <cellStyle name="Финансовый 2 2 8 9 2 3" xfId="30470" xr:uid="{00000000-0005-0000-0000-0000723A0000}"/>
    <cellStyle name="Финансовый 2 2 8 9 3" xfId="12456" xr:uid="{00000000-0005-0000-0000-0000733A0000}"/>
    <cellStyle name="Финансовый 2 2 8 9 3 2" xfId="36411" xr:uid="{00000000-0005-0000-0000-0000743A0000}"/>
    <cellStyle name="Финансовый 2 2 8 9 4" xfId="24434" xr:uid="{00000000-0005-0000-0000-0000753A0000}"/>
    <cellStyle name="Финансовый 2 2 9" xfId="130" xr:uid="{00000000-0005-0000-0000-0000763A0000}"/>
    <cellStyle name="Финансовый 2 2 9 10" xfId="2740" xr:uid="{00000000-0005-0000-0000-0000773A0000}"/>
    <cellStyle name="Финансовый 2 2 9 10 2" xfId="14719" xr:uid="{00000000-0005-0000-0000-0000783A0000}"/>
    <cellStyle name="Финансовый 2 2 9 10 2 2" xfId="38674" xr:uid="{00000000-0005-0000-0000-0000793A0000}"/>
    <cellStyle name="Финансовый 2 2 9 10 3" xfId="26697" xr:uid="{00000000-0005-0000-0000-00007A3A0000}"/>
    <cellStyle name="Финансовый 2 2 9 11" xfId="4384" xr:uid="{00000000-0005-0000-0000-00007B3A0000}"/>
    <cellStyle name="Финансовый 2 2 9 11 2" xfId="16363" xr:uid="{00000000-0005-0000-0000-00007C3A0000}"/>
    <cellStyle name="Финансовый 2 2 9 11 2 2" xfId="40318" xr:uid="{00000000-0005-0000-0000-00007D3A0000}"/>
    <cellStyle name="Финансовый 2 2 9 11 3" xfId="28341" xr:uid="{00000000-0005-0000-0000-00007E3A0000}"/>
    <cellStyle name="Финансовый 2 2 9 12" xfId="6171" xr:uid="{00000000-0005-0000-0000-00007F3A0000}"/>
    <cellStyle name="Финансовый 2 2 9 12 2" xfId="18149" xr:uid="{00000000-0005-0000-0000-0000803A0000}"/>
    <cellStyle name="Финансовый 2 2 9 12 2 2" xfId="42104" xr:uid="{00000000-0005-0000-0000-0000813A0000}"/>
    <cellStyle name="Финансовый 2 2 9 12 3" xfId="30126" xr:uid="{00000000-0005-0000-0000-0000823A0000}"/>
    <cellStyle name="Финансовый 2 2 9 13" xfId="8778" xr:uid="{00000000-0005-0000-0000-0000833A0000}"/>
    <cellStyle name="Финансовый 2 2 9 13 2" xfId="20756" xr:uid="{00000000-0005-0000-0000-0000843A0000}"/>
    <cellStyle name="Финансовый 2 2 9 13 2 2" xfId="44711" xr:uid="{00000000-0005-0000-0000-0000853A0000}"/>
    <cellStyle name="Финансовый 2 2 9 13 3" xfId="32733" xr:uid="{00000000-0005-0000-0000-0000863A0000}"/>
    <cellStyle name="Финансовый 2 2 9 14" xfId="12112" xr:uid="{00000000-0005-0000-0000-0000873A0000}"/>
    <cellStyle name="Финансовый 2 2 9 14 2" xfId="36067" xr:uid="{00000000-0005-0000-0000-0000883A0000}"/>
    <cellStyle name="Финансовый 2 2 9 15" xfId="24090" xr:uid="{00000000-0005-0000-0000-0000893A0000}"/>
    <cellStyle name="Финансовый 2 2 9 16" xfId="48048" xr:uid="{00000000-0005-0000-0000-00008A3A0000}"/>
    <cellStyle name="Финансовый 2 2 9 2" xfId="266" xr:uid="{00000000-0005-0000-0000-00008B3A0000}"/>
    <cellStyle name="Финансовый 2 2 9 2 10" xfId="8914" xr:uid="{00000000-0005-0000-0000-00008C3A0000}"/>
    <cellStyle name="Финансовый 2 2 9 2 10 2" xfId="20892" xr:uid="{00000000-0005-0000-0000-00008D3A0000}"/>
    <cellStyle name="Финансовый 2 2 9 2 10 2 2" xfId="44847" xr:uid="{00000000-0005-0000-0000-00008E3A0000}"/>
    <cellStyle name="Финансовый 2 2 9 2 10 3" xfId="32869" xr:uid="{00000000-0005-0000-0000-00008F3A0000}"/>
    <cellStyle name="Финансовый 2 2 9 2 11" xfId="12248" xr:uid="{00000000-0005-0000-0000-0000903A0000}"/>
    <cellStyle name="Финансовый 2 2 9 2 11 2" xfId="36203" xr:uid="{00000000-0005-0000-0000-0000913A0000}"/>
    <cellStyle name="Финансовый 2 2 9 2 12" xfId="24226" xr:uid="{00000000-0005-0000-0000-0000923A0000}"/>
    <cellStyle name="Финансовый 2 2 9 2 13" xfId="48184" xr:uid="{00000000-0005-0000-0000-0000933A0000}"/>
    <cellStyle name="Финансовый 2 2 9 2 2" xfId="1364" xr:uid="{00000000-0005-0000-0000-0000943A0000}"/>
    <cellStyle name="Финансовый 2 2 9 2 2 2" xfId="2322" xr:uid="{00000000-0005-0000-0000-0000953A0000}"/>
    <cellStyle name="Финансовый 2 2 9 2 2 2 2" xfId="3967" xr:uid="{00000000-0005-0000-0000-0000963A0000}"/>
    <cellStyle name="Финансовый 2 2 9 2 2 2 2 2" xfId="11707" xr:uid="{00000000-0005-0000-0000-0000973A0000}"/>
    <cellStyle name="Финансовый 2 2 9 2 2 2 2 2 2" xfId="23685" xr:uid="{00000000-0005-0000-0000-0000983A0000}"/>
    <cellStyle name="Финансовый 2 2 9 2 2 2 2 2 2 2" xfId="47640" xr:uid="{00000000-0005-0000-0000-0000993A0000}"/>
    <cellStyle name="Финансовый 2 2 9 2 2 2 2 2 3" xfId="35662" xr:uid="{00000000-0005-0000-0000-00009A3A0000}"/>
    <cellStyle name="Финансовый 2 2 9 2 2 2 2 3" xfId="15946" xr:uid="{00000000-0005-0000-0000-00009B3A0000}"/>
    <cellStyle name="Финансовый 2 2 9 2 2 2 2 3 2" xfId="39901" xr:uid="{00000000-0005-0000-0000-00009C3A0000}"/>
    <cellStyle name="Финансовый 2 2 9 2 2 2 2 4" xfId="27924" xr:uid="{00000000-0005-0000-0000-00009D3A0000}"/>
    <cellStyle name="Финансовый 2 2 9 2 2 2 2 5" xfId="51193" xr:uid="{00000000-0005-0000-0000-00009E3A0000}"/>
    <cellStyle name="Финансовый 2 2 9 2 2 2 3" xfId="5750" xr:uid="{00000000-0005-0000-0000-00009F3A0000}"/>
    <cellStyle name="Финансовый 2 2 9 2 2 2 3 2" xfId="17728" xr:uid="{00000000-0005-0000-0000-0000A03A0000}"/>
    <cellStyle name="Финансовый 2 2 9 2 2 2 3 2 2" xfId="41683" xr:uid="{00000000-0005-0000-0000-0000A13A0000}"/>
    <cellStyle name="Финансовый 2 2 9 2 2 2 3 3" xfId="29705" xr:uid="{00000000-0005-0000-0000-0000A23A0000}"/>
    <cellStyle name="Финансовый 2 2 9 2 2 2 4" xfId="8360" xr:uid="{00000000-0005-0000-0000-0000A33A0000}"/>
    <cellStyle name="Финансовый 2 2 9 2 2 2 4 2" xfId="20338" xr:uid="{00000000-0005-0000-0000-0000A43A0000}"/>
    <cellStyle name="Финансовый 2 2 9 2 2 2 4 2 2" xfId="44293" xr:uid="{00000000-0005-0000-0000-0000A53A0000}"/>
    <cellStyle name="Финансовый 2 2 9 2 2 2 4 3" xfId="32315" xr:uid="{00000000-0005-0000-0000-0000A63A0000}"/>
    <cellStyle name="Финансовый 2 2 9 2 2 2 5" xfId="10143" xr:uid="{00000000-0005-0000-0000-0000A73A0000}"/>
    <cellStyle name="Финансовый 2 2 9 2 2 2 5 2" xfId="22121" xr:uid="{00000000-0005-0000-0000-0000A83A0000}"/>
    <cellStyle name="Финансовый 2 2 9 2 2 2 5 2 2" xfId="46076" xr:uid="{00000000-0005-0000-0000-0000A93A0000}"/>
    <cellStyle name="Финансовый 2 2 9 2 2 2 5 3" xfId="34098" xr:uid="{00000000-0005-0000-0000-0000AA3A0000}"/>
    <cellStyle name="Финансовый 2 2 9 2 2 2 6" xfId="14301" xr:uid="{00000000-0005-0000-0000-0000AB3A0000}"/>
    <cellStyle name="Финансовый 2 2 9 2 2 2 6 2" xfId="38256" xr:uid="{00000000-0005-0000-0000-0000AC3A0000}"/>
    <cellStyle name="Финансовый 2 2 9 2 2 2 7" xfId="26279" xr:uid="{00000000-0005-0000-0000-0000AD3A0000}"/>
    <cellStyle name="Финансовый 2 2 9 2 2 2 8" xfId="49412" xr:uid="{00000000-0005-0000-0000-0000AE3A0000}"/>
    <cellStyle name="Финансовый 2 2 9 2 2 3" xfId="3148" xr:uid="{00000000-0005-0000-0000-0000AF3A0000}"/>
    <cellStyle name="Финансовый 2 2 9 2 2 3 2" xfId="10935" xr:uid="{00000000-0005-0000-0000-0000B03A0000}"/>
    <cellStyle name="Финансовый 2 2 9 2 2 3 2 2" xfId="22913" xr:uid="{00000000-0005-0000-0000-0000B13A0000}"/>
    <cellStyle name="Финансовый 2 2 9 2 2 3 2 2 2" xfId="46868" xr:uid="{00000000-0005-0000-0000-0000B23A0000}"/>
    <cellStyle name="Финансовый 2 2 9 2 2 3 2 3" xfId="34890" xr:uid="{00000000-0005-0000-0000-0000B33A0000}"/>
    <cellStyle name="Финансовый 2 2 9 2 2 3 3" xfId="15127" xr:uid="{00000000-0005-0000-0000-0000B43A0000}"/>
    <cellStyle name="Финансовый 2 2 9 2 2 3 3 2" xfId="39082" xr:uid="{00000000-0005-0000-0000-0000B53A0000}"/>
    <cellStyle name="Финансовый 2 2 9 2 2 3 4" xfId="27105" xr:uid="{00000000-0005-0000-0000-0000B63A0000}"/>
    <cellStyle name="Финансовый 2 2 9 2 2 3 5" xfId="50236" xr:uid="{00000000-0005-0000-0000-0000B73A0000}"/>
    <cellStyle name="Финансовый 2 2 9 2 2 4" xfId="4792" xr:uid="{00000000-0005-0000-0000-0000B83A0000}"/>
    <cellStyle name="Финансовый 2 2 9 2 2 4 2" xfId="16771" xr:uid="{00000000-0005-0000-0000-0000B93A0000}"/>
    <cellStyle name="Финансовый 2 2 9 2 2 4 2 2" xfId="40726" xr:uid="{00000000-0005-0000-0000-0000BA3A0000}"/>
    <cellStyle name="Финансовый 2 2 9 2 2 4 3" xfId="28749" xr:uid="{00000000-0005-0000-0000-0000BB3A0000}"/>
    <cellStyle name="Финансовый 2 2 9 2 2 5" xfId="7404" xr:uid="{00000000-0005-0000-0000-0000BC3A0000}"/>
    <cellStyle name="Финансовый 2 2 9 2 2 5 2" xfId="19382" xr:uid="{00000000-0005-0000-0000-0000BD3A0000}"/>
    <cellStyle name="Финансовый 2 2 9 2 2 5 2 2" xfId="43337" xr:uid="{00000000-0005-0000-0000-0000BE3A0000}"/>
    <cellStyle name="Финансовый 2 2 9 2 2 5 3" xfId="31359" xr:uid="{00000000-0005-0000-0000-0000BF3A0000}"/>
    <cellStyle name="Финансовый 2 2 9 2 2 6" xfId="9186" xr:uid="{00000000-0005-0000-0000-0000C03A0000}"/>
    <cellStyle name="Финансовый 2 2 9 2 2 6 2" xfId="21164" xr:uid="{00000000-0005-0000-0000-0000C13A0000}"/>
    <cellStyle name="Финансовый 2 2 9 2 2 6 2 2" xfId="45119" xr:uid="{00000000-0005-0000-0000-0000C23A0000}"/>
    <cellStyle name="Финансовый 2 2 9 2 2 6 3" xfId="33141" xr:uid="{00000000-0005-0000-0000-0000C33A0000}"/>
    <cellStyle name="Финансовый 2 2 9 2 2 7" xfId="13345" xr:uid="{00000000-0005-0000-0000-0000C43A0000}"/>
    <cellStyle name="Финансовый 2 2 9 2 2 7 2" xfId="37300" xr:uid="{00000000-0005-0000-0000-0000C53A0000}"/>
    <cellStyle name="Финансовый 2 2 9 2 2 8" xfId="25323" xr:uid="{00000000-0005-0000-0000-0000C63A0000}"/>
    <cellStyle name="Финансовый 2 2 9 2 2 9" xfId="48456" xr:uid="{00000000-0005-0000-0000-0000C73A0000}"/>
    <cellStyle name="Финансовый 2 2 9 2 3" xfId="2066" xr:uid="{00000000-0005-0000-0000-0000C83A0000}"/>
    <cellStyle name="Финансовый 2 2 9 2 3 2" xfId="3711" xr:uid="{00000000-0005-0000-0000-0000C93A0000}"/>
    <cellStyle name="Финансовый 2 2 9 2 3 2 2" xfId="11451" xr:uid="{00000000-0005-0000-0000-0000CA3A0000}"/>
    <cellStyle name="Финансовый 2 2 9 2 3 2 2 2" xfId="23429" xr:uid="{00000000-0005-0000-0000-0000CB3A0000}"/>
    <cellStyle name="Финансовый 2 2 9 2 3 2 2 2 2" xfId="47384" xr:uid="{00000000-0005-0000-0000-0000CC3A0000}"/>
    <cellStyle name="Финансовый 2 2 9 2 3 2 2 3" xfId="35406" xr:uid="{00000000-0005-0000-0000-0000CD3A0000}"/>
    <cellStyle name="Финансовый 2 2 9 2 3 2 3" xfId="15690" xr:uid="{00000000-0005-0000-0000-0000CE3A0000}"/>
    <cellStyle name="Финансовый 2 2 9 2 3 2 3 2" xfId="39645" xr:uid="{00000000-0005-0000-0000-0000CF3A0000}"/>
    <cellStyle name="Финансовый 2 2 9 2 3 2 4" xfId="27668" xr:uid="{00000000-0005-0000-0000-0000D03A0000}"/>
    <cellStyle name="Финансовый 2 2 9 2 3 2 5" xfId="50937" xr:uid="{00000000-0005-0000-0000-0000D13A0000}"/>
    <cellStyle name="Финансовый 2 2 9 2 3 3" xfId="5494" xr:uid="{00000000-0005-0000-0000-0000D23A0000}"/>
    <cellStyle name="Финансовый 2 2 9 2 3 3 2" xfId="17472" xr:uid="{00000000-0005-0000-0000-0000D33A0000}"/>
    <cellStyle name="Финансовый 2 2 9 2 3 3 2 2" xfId="41427" xr:uid="{00000000-0005-0000-0000-0000D43A0000}"/>
    <cellStyle name="Финансовый 2 2 9 2 3 3 3" xfId="29449" xr:uid="{00000000-0005-0000-0000-0000D53A0000}"/>
    <cellStyle name="Финансовый 2 2 9 2 3 4" xfId="8104" xr:uid="{00000000-0005-0000-0000-0000D63A0000}"/>
    <cellStyle name="Финансовый 2 2 9 2 3 4 2" xfId="20082" xr:uid="{00000000-0005-0000-0000-0000D73A0000}"/>
    <cellStyle name="Финансовый 2 2 9 2 3 4 2 2" xfId="44037" xr:uid="{00000000-0005-0000-0000-0000D83A0000}"/>
    <cellStyle name="Финансовый 2 2 9 2 3 4 3" xfId="32059" xr:uid="{00000000-0005-0000-0000-0000D93A0000}"/>
    <cellStyle name="Финансовый 2 2 9 2 3 5" xfId="9887" xr:uid="{00000000-0005-0000-0000-0000DA3A0000}"/>
    <cellStyle name="Финансовый 2 2 9 2 3 5 2" xfId="21865" xr:uid="{00000000-0005-0000-0000-0000DB3A0000}"/>
    <cellStyle name="Финансовый 2 2 9 2 3 5 2 2" xfId="45820" xr:uid="{00000000-0005-0000-0000-0000DC3A0000}"/>
    <cellStyle name="Финансовый 2 2 9 2 3 5 3" xfId="33842" xr:uid="{00000000-0005-0000-0000-0000DD3A0000}"/>
    <cellStyle name="Финансовый 2 2 9 2 3 6" xfId="14045" xr:uid="{00000000-0005-0000-0000-0000DE3A0000}"/>
    <cellStyle name="Финансовый 2 2 9 2 3 6 2" xfId="38000" xr:uid="{00000000-0005-0000-0000-0000DF3A0000}"/>
    <cellStyle name="Финансовый 2 2 9 2 3 7" xfId="26023" xr:uid="{00000000-0005-0000-0000-0000E03A0000}"/>
    <cellStyle name="Финансовый 2 2 9 2 3 8" xfId="49156" xr:uid="{00000000-0005-0000-0000-0000E13A0000}"/>
    <cellStyle name="Финансовый 2 2 9 2 4" xfId="2595" xr:uid="{00000000-0005-0000-0000-0000E23A0000}"/>
    <cellStyle name="Финансовый 2 2 9 2 4 2" xfId="4240" xr:uid="{00000000-0005-0000-0000-0000E33A0000}"/>
    <cellStyle name="Финансовый 2 2 9 2 4 2 2" xfId="11964" xr:uid="{00000000-0005-0000-0000-0000E43A0000}"/>
    <cellStyle name="Финансовый 2 2 9 2 4 2 2 2" xfId="23942" xr:uid="{00000000-0005-0000-0000-0000E53A0000}"/>
    <cellStyle name="Финансовый 2 2 9 2 4 2 2 2 2" xfId="47897" xr:uid="{00000000-0005-0000-0000-0000E63A0000}"/>
    <cellStyle name="Финансовый 2 2 9 2 4 2 2 3" xfId="35919" xr:uid="{00000000-0005-0000-0000-0000E73A0000}"/>
    <cellStyle name="Финансовый 2 2 9 2 4 2 3" xfId="16219" xr:uid="{00000000-0005-0000-0000-0000E83A0000}"/>
    <cellStyle name="Финансовый 2 2 9 2 4 2 3 2" xfId="40174" xr:uid="{00000000-0005-0000-0000-0000E93A0000}"/>
    <cellStyle name="Финансовый 2 2 9 2 4 2 4" xfId="28197" xr:uid="{00000000-0005-0000-0000-0000EA3A0000}"/>
    <cellStyle name="Финансовый 2 2 9 2 4 2 5" xfId="51466" xr:uid="{00000000-0005-0000-0000-0000EB3A0000}"/>
    <cellStyle name="Финансовый 2 2 9 2 4 3" xfId="6023" xr:uid="{00000000-0005-0000-0000-0000EC3A0000}"/>
    <cellStyle name="Финансовый 2 2 9 2 4 3 2" xfId="18001" xr:uid="{00000000-0005-0000-0000-0000ED3A0000}"/>
    <cellStyle name="Финансовый 2 2 9 2 4 3 2 2" xfId="41956" xr:uid="{00000000-0005-0000-0000-0000EE3A0000}"/>
    <cellStyle name="Финансовый 2 2 9 2 4 3 3" xfId="29978" xr:uid="{00000000-0005-0000-0000-0000EF3A0000}"/>
    <cellStyle name="Финансовый 2 2 9 2 4 4" xfId="8633" xr:uid="{00000000-0005-0000-0000-0000F03A0000}"/>
    <cellStyle name="Финансовый 2 2 9 2 4 4 2" xfId="20611" xr:uid="{00000000-0005-0000-0000-0000F13A0000}"/>
    <cellStyle name="Финансовый 2 2 9 2 4 4 2 2" xfId="44566" xr:uid="{00000000-0005-0000-0000-0000F23A0000}"/>
    <cellStyle name="Финансовый 2 2 9 2 4 4 3" xfId="32588" xr:uid="{00000000-0005-0000-0000-0000F33A0000}"/>
    <cellStyle name="Финансовый 2 2 9 2 4 5" xfId="10416" xr:uid="{00000000-0005-0000-0000-0000F43A0000}"/>
    <cellStyle name="Финансовый 2 2 9 2 4 5 2" xfId="22394" xr:uid="{00000000-0005-0000-0000-0000F53A0000}"/>
    <cellStyle name="Финансовый 2 2 9 2 4 5 2 2" xfId="46349" xr:uid="{00000000-0005-0000-0000-0000F63A0000}"/>
    <cellStyle name="Финансовый 2 2 9 2 4 5 3" xfId="34371" xr:uid="{00000000-0005-0000-0000-0000F73A0000}"/>
    <cellStyle name="Финансовый 2 2 9 2 4 6" xfId="14574" xr:uid="{00000000-0005-0000-0000-0000F83A0000}"/>
    <cellStyle name="Финансовый 2 2 9 2 4 6 2" xfId="38529" xr:uid="{00000000-0005-0000-0000-0000F93A0000}"/>
    <cellStyle name="Финансовый 2 2 9 2 4 7" xfId="26552" xr:uid="{00000000-0005-0000-0000-0000FA3A0000}"/>
    <cellStyle name="Финансовый 2 2 9 2 4 8" xfId="49685" xr:uid="{00000000-0005-0000-0000-0000FB3A0000}"/>
    <cellStyle name="Финансовый 2 2 9 2 5" xfId="1099" xr:uid="{00000000-0005-0000-0000-0000FC3A0000}"/>
    <cellStyle name="Финансовый 2 2 9 2 5 2" xfId="7139" xr:uid="{00000000-0005-0000-0000-0000FD3A0000}"/>
    <cellStyle name="Финансовый 2 2 9 2 5 2 2" xfId="19117" xr:uid="{00000000-0005-0000-0000-0000FE3A0000}"/>
    <cellStyle name="Финансовый 2 2 9 2 5 2 2 2" xfId="43072" xr:uid="{00000000-0005-0000-0000-0000FF3A0000}"/>
    <cellStyle name="Финансовый 2 2 9 2 5 2 3" xfId="31094" xr:uid="{00000000-0005-0000-0000-0000003B0000}"/>
    <cellStyle name="Финансовый 2 2 9 2 5 3" xfId="10679" xr:uid="{00000000-0005-0000-0000-0000013B0000}"/>
    <cellStyle name="Финансовый 2 2 9 2 5 3 2" xfId="22657" xr:uid="{00000000-0005-0000-0000-0000023B0000}"/>
    <cellStyle name="Финансовый 2 2 9 2 5 3 2 2" xfId="46612" xr:uid="{00000000-0005-0000-0000-0000033B0000}"/>
    <cellStyle name="Финансовый 2 2 9 2 5 3 3" xfId="34634" xr:uid="{00000000-0005-0000-0000-0000043B0000}"/>
    <cellStyle name="Финансовый 2 2 9 2 5 4" xfId="13080" xr:uid="{00000000-0005-0000-0000-0000053B0000}"/>
    <cellStyle name="Финансовый 2 2 9 2 5 4 2" xfId="37035" xr:uid="{00000000-0005-0000-0000-0000063B0000}"/>
    <cellStyle name="Финансовый 2 2 9 2 5 5" xfId="25058" xr:uid="{00000000-0005-0000-0000-0000073B0000}"/>
    <cellStyle name="Финансовый 2 2 9 2 5 6" xfId="49964" xr:uid="{00000000-0005-0000-0000-0000083B0000}"/>
    <cellStyle name="Финансовый 2 2 9 2 6" xfId="687" xr:uid="{00000000-0005-0000-0000-0000093B0000}"/>
    <cellStyle name="Финансовый 2 2 9 2 6 2" xfId="6727" xr:uid="{00000000-0005-0000-0000-00000A3B0000}"/>
    <cellStyle name="Финансовый 2 2 9 2 6 2 2" xfId="18705" xr:uid="{00000000-0005-0000-0000-00000B3B0000}"/>
    <cellStyle name="Финансовый 2 2 9 2 6 2 2 2" xfId="42660" xr:uid="{00000000-0005-0000-0000-00000C3B0000}"/>
    <cellStyle name="Финансовый 2 2 9 2 6 2 3" xfId="30682" xr:uid="{00000000-0005-0000-0000-00000D3B0000}"/>
    <cellStyle name="Финансовый 2 2 9 2 6 3" xfId="12668" xr:uid="{00000000-0005-0000-0000-00000E3B0000}"/>
    <cellStyle name="Финансовый 2 2 9 2 6 3 2" xfId="36623" xr:uid="{00000000-0005-0000-0000-00000F3B0000}"/>
    <cellStyle name="Финансовый 2 2 9 2 6 4" xfId="24646" xr:uid="{00000000-0005-0000-0000-0000103B0000}"/>
    <cellStyle name="Финансовый 2 2 9 2 7" xfId="2876" xr:uid="{00000000-0005-0000-0000-0000113B0000}"/>
    <cellStyle name="Финансовый 2 2 9 2 7 2" xfId="14855" xr:uid="{00000000-0005-0000-0000-0000123B0000}"/>
    <cellStyle name="Финансовый 2 2 9 2 7 2 2" xfId="38810" xr:uid="{00000000-0005-0000-0000-0000133B0000}"/>
    <cellStyle name="Финансовый 2 2 9 2 7 3" xfId="26833" xr:uid="{00000000-0005-0000-0000-0000143B0000}"/>
    <cellStyle name="Финансовый 2 2 9 2 8" xfId="4520" xr:uid="{00000000-0005-0000-0000-0000153B0000}"/>
    <cellStyle name="Финансовый 2 2 9 2 8 2" xfId="16499" xr:uid="{00000000-0005-0000-0000-0000163B0000}"/>
    <cellStyle name="Финансовый 2 2 9 2 8 2 2" xfId="40454" xr:uid="{00000000-0005-0000-0000-0000173B0000}"/>
    <cellStyle name="Финансовый 2 2 9 2 8 3" xfId="28477" xr:uid="{00000000-0005-0000-0000-0000183B0000}"/>
    <cellStyle name="Финансовый 2 2 9 2 9" xfId="6307" xr:uid="{00000000-0005-0000-0000-0000193B0000}"/>
    <cellStyle name="Финансовый 2 2 9 2 9 2" xfId="18285" xr:uid="{00000000-0005-0000-0000-00001A3B0000}"/>
    <cellStyle name="Финансовый 2 2 9 2 9 2 2" xfId="42240" xr:uid="{00000000-0005-0000-0000-00001B3B0000}"/>
    <cellStyle name="Финансовый 2 2 9 2 9 3" xfId="30262" xr:uid="{00000000-0005-0000-0000-00001C3B0000}"/>
    <cellStyle name="Финансовый 2 2 9 3" xfId="415" xr:uid="{00000000-0005-0000-0000-00001D3B0000}"/>
    <cellStyle name="Финансовый 2 2 9 3 10" xfId="24374" xr:uid="{00000000-0005-0000-0000-00001E3B0000}"/>
    <cellStyle name="Финансовый 2 2 9 3 11" xfId="48320" xr:uid="{00000000-0005-0000-0000-00001F3B0000}"/>
    <cellStyle name="Финансовый 2 2 9 3 2" xfId="2194" xr:uid="{00000000-0005-0000-0000-0000203B0000}"/>
    <cellStyle name="Финансовый 2 2 9 3 2 2" xfId="3839" xr:uid="{00000000-0005-0000-0000-0000213B0000}"/>
    <cellStyle name="Финансовый 2 2 9 3 2 2 2" xfId="11579" xr:uid="{00000000-0005-0000-0000-0000223B0000}"/>
    <cellStyle name="Финансовый 2 2 9 3 2 2 2 2" xfId="23557" xr:uid="{00000000-0005-0000-0000-0000233B0000}"/>
    <cellStyle name="Финансовый 2 2 9 3 2 2 2 2 2" xfId="47512" xr:uid="{00000000-0005-0000-0000-0000243B0000}"/>
    <cellStyle name="Финансовый 2 2 9 3 2 2 2 3" xfId="35534" xr:uid="{00000000-0005-0000-0000-0000253B0000}"/>
    <cellStyle name="Финансовый 2 2 9 3 2 2 3" xfId="15818" xr:uid="{00000000-0005-0000-0000-0000263B0000}"/>
    <cellStyle name="Финансовый 2 2 9 3 2 2 3 2" xfId="39773" xr:uid="{00000000-0005-0000-0000-0000273B0000}"/>
    <cellStyle name="Финансовый 2 2 9 3 2 2 4" xfId="27796" xr:uid="{00000000-0005-0000-0000-0000283B0000}"/>
    <cellStyle name="Финансовый 2 2 9 3 2 2 5" xfId="51065" xr:uid="{00000000-0005-0000-0000-0000293B0000}"/>
    <cellStyle name="Финансовый 2 2 9 3 2 3" xfId="5622" xr:uid="{00000000-0005-0000-0000-00002A3B0000}"/>
    <cellStyle name="Финансовый 2 2 9 3 2 3 2" xfId="17600" xr:uid="{00000000-0005-0000-0000-00002B3B0000}"/>
    <cellStyle name="Финансовый 2 2 9 3 2 3 2 2" xfId="41555" xr:uid="{00000000-0005-0000-0000-00002C3B0000}"/>
    <cellStyle name="Финансовый 2 2 9 3 2 3 3" xfId="29577" xr:uid="{00000000-0005-0000-0000-00002D3B0000}"/>
    <cellStyle name="Финансовый 2 2 9 3 2 4" xfId="8232" xr:uid="{00000000-0005-0000-0000-00002E3B0000}"/>
    <cellStyle name="Финансовый 2 2 9 3 2 4 2" xfId="20210" xr:uid="{00000000-0005-0000-0000-00002F3B0000}"/>
    <cellStyle name="Финансовый 2 2 9 3 2 4 2 2" xfId="44165" xr:uid="{00000000-0005-0000-0000-0000303B0000}"/>
    <cellStyle name="Финансовый 2 2 9 3 2 4 3" xfId="32187" xr:uid="{00000000-0005-0000-0000-0000313B0000}"/>
    <cellStyle name="Финансовый 2 2 9 3 2 5" xfId="10015" xr:uid="{00000000-0005-0000-0000-0000323B0000}"/>
    <cellStyle name="Финансовый 2 2 9 3 2 5 2" xfId="21993" xr:uid="{00000000-0005-0000-0000-0000333B0000}"/>
    <cellStyle name="Финансовый 2 2 9 3 2 5 2 2" xfId="45948" xr:uid="{00000000-0005-0000-0000-0000343B0000}"/>
    <cellStyle name="Финансовый 2 2 9 3 2 5 3" xfId="33970" xr:uid="{00000000-0005-0000-0000-0000353B0000}"/>
    <cellStyle name="Финансовый 2 2 9 3 2 6" xfId="14173" xr:uid="{00000000-0005-0000-0000-0000363B0000}"/>
    <cellStyle name="Финансовый 2 2 9 3 2 6 2" xfId="38128" xr:uid="{00000000-0005-0000-0000-0000373B0000}"/>
    <cellStyle name="Финансовый 2 2 9 3 2 7" xfId="26151" xr:uid="{00000000-0005-0000-0000-0000383B0000}"/>
    <cellStyle name="Финансовый 2 2 9 3 2 8" xfId="49284" xr:uid="{00000000-0005-0000-0000-0000393B0000}"/>
    <cellStyle name="Финансовый 2 2 9 3 3" xfId="1228" xr:uid="{00000000-0005-0000-0000-00003A3B0000}"/>
    <cellStyle name="Финансовый 2 2 9 3 3 2" xfId="7268" xr:uid="{00000000-0005-0000-0000-00003B3B0000}"/>
    <cellStyle name="Финансовый 2 2 9 3 3 2 2" xfId="19246" xr:uid="{00000000-0005-0000-0000-00003C3B0000}"/>
    <cellStyle name="Финансовый 2 2 9 3 3 2 2 2" xfId="43201" xr:uid="{00000000-0005-0000-0000-00003D3B0000}"/>
    <cellStyle name="Финансовый 2 2 9 3 3 2 3" xfId="31223" xr:uid="{00000000-0005-0000-0000-00003E3B0000}"/>
    <cellStyle name="Финансовый 2 2 9 3 3 3" xfId="10807" xr:uid="{00000000-0005-0000-0000-00003F3B0000}"/>
    <cellStyle name="Финансовый 2 2 9 3 3 3 2" xfId="22785" xr:uid="{00000000-0005-0000-0000-0000403B0000}"/>
    <cellStyle name="Финансовый 2 2 9 3 3 3 2 2" xfId="46740" xr:uid="{00000000-0005-0000-0000-0000413B0000}"/>
    <cellStyle name="Финансовый 2 2 9 3 3 3 3" xfId="34762" xr:uid="{00000000-0005-0000-0000-0000423B0000}"/>
    <cellStyle name="Финансовый 2 2 9 3 3 4" xfId="13209" xr:uid="{00000000-0005-0000-0000-0000433B0000}"/>
    <cellStyle name="Финансовый 2 2 9 3 3 4 2" xfId="37164" xr:uid="{00000000-0005-0000-0000-0000443B0000}"/>
    <cellStyle name="Финансовый 2 2 9 3 3 5" xfId="25187" xr:uid="{00000000-0005-0000-0000-0000453B0000}"/>
    <cellStyle name="Финансовый 2 2 9 3 3 6" xfId="50100" xr:uid="{00000000-0005-0000-0000-0000463B0000}"/>
    <cellStyle name="Финансовый 2 2 9 3 4" xfId="835" xr:uid="{00000000-0005-0000-0000-0000473B0000}"/>
    <cellStyle name="Финансовый 2 2 9 3 4 2" xfId="6875" xr:uid="{00000000-0005-0000-0000-0000483B0000}"/>
    <cellStyle name="Финансовый 2 2 9 3 4 2 2" xfId="18853" xr:uid="{00000000-0005-0000-0000-0000493B0000}"/>
    <cellStyle name="Финансовый 2 2 9 3 4 2 2 2" xfId="42808" xr:uid="{00000000-0005-0000-0000-00004A3B0000}"/>
    <cellStyle name="Финансовый 2 2 9 3 4 2 3" xfId="30830" xr:uid="{00000000-0005-0000-0000-00004B3B0000}"/>
    <cellStyle name="Финансовый 2 2 9 3 4 3" xfId="12816" xr:uid="{00000000-0005-0000-0000-00004C3B0000}"/>
    <cellStyle name="Финансовый 2 2 9 3 4 3 2" xfId="36771" xr:uid="{00000000-0005-0000-0000-00004D3B0000}"/>
    <cellStyle name="Финансовый 2 2 9 3 4 4" xfId="24794" xr:uid="{00000000-0005-0000-0000-00004E3B0000}"/>
    <cellStyle name="Финансовый 2 2 9 3 5" xfId="3012" xr:uid="{00000000-0005-0000-0000-00004F3B0000}"/>
    <cellStyle name="Финансовый 2 2 9 3 5 2" xfId="14991" xr:uid="{00000000-0005-0000-0000-0000503B0000}"/>
    <cellStyle name="Финансовый 2 2 9 3 5 2 2" xfId="38946" xr:uid="{00000000-0005-0000-0000-0000513B0000}"/>
    <cellStyle name="Финансовый 2 2 9 3 5 3" xfId="26969" xr:uid="{00000000-0005-0000-0000-0000523B0000}"/>
    <cellStyle name="Финансовый 2 2 9 3 6" xfId="4656" xr:uid="{00000000-0005-0000-0000-0000533B0000}"/>
    <cellStyle name="Финансовый 2 2 9 3 6 2" xfId="16635" xr:uid="{00000000-0005-0000-0000-0000543B0000}"/>
    <cellStyle name="Финансовый 2 2 9 3 6 2 2" xfId="40590" xr:uid="{00000000-0005-0000-0000-0000553B0000}"/>
    <cellStyle name="Финансовый 2 2 9 3 6 3" xfId="28613" xr:uid="{00000000-0005-0000-0000-0000563B0000}"/>
    <cellStyle name="Финансовый 2 2 9 3 7" xfId="6455" xr:uid="{00000000-0005-0000-0000-0000573B0000}"/>
    <cellStyle name="Финансовый 2 2 9 3 7 2" xfId="18433" xr:uid="{00000000-0005-0000-0000-0000583B0000}"/>
    <cellStyle name="Финансовый 2 2 9 3 7 2 2" xfId="42388" xr:uid="{00000000-0005-0000-0000-0000593B0000}"/>
    <cellStyle name="Финансовый 2 2 9 3 7 3" xfId="30410" xr:uid="{00000000-0005-0000-0000-00005A3B0000}"/>
    <cellStyle name="Финансовый 2 2 9 3 8" xfId="9050" xr:uid="{00000000-0005-0000-0000-00005B3B0000}"/>
    <cellStyle name="Финансовый 2 2 9 3 8 2" xfId="21028" xr:uid="{00000000-0005-0000-0000-00005C3B0000}"/>
    <cellStyle name="Финансовый 2 2 9 3 8 2 2" xfId="44983" xr:uid="{00000000-0005-0000-0000-00005D3B0000}"/>
    <cellStyle name="Финансовый 2 2 9 3 8 3" xfId="33005" xr:uid="{00000000-0005-0000-0000-00005E3B0000}"/>
    <cellStyle name="Финансовый 2 2 9 3 9" xfId="12396" xr:uid="{00000000-0005-0000-0000-00005F3B0000}"/>
    <cellStyle name="Финансовый 2 2 9 3 9 2" xfId="36351" xr:uid="{00000000-0005-0000-0000-0000603B0000}"/>
    <cellStyle name="Финансовый 2 2 9 4" xfId="1475" xr:uid="{00000000-0005-0000-0000-0000613B0000}"/>
    <cellStyle name="Финансовый 2 2 9 4 2" xfId="1938" xr:uid="{00000000-0005-0000-0000-0000623B0000}"/>
    <cellStyle name="Финансовый 2 2 9 4 2 2" xfId="3583" xr:uid="{00000000-0005-0000-0000-0000633B0000}"/>
    <cellStyle name="Финансовый 2 2 9 4 2 2 2" xfId="11323" xr:uid="{00000000-0005-0000-0000-0000643B0000}"/>
    <cellStyle name="Финансовый 2 2 9 4 2 2 2 2" xfId="23301" xr:uid="{00000000-0005-0000-0000-0000653B0000}"/>
    <cellStyle name="Финансовый 2 2 9 4 2 2 2 2 2" xfId="47256" xr:uid="{00000000-0005-0000-0000-0000663B0000}"/>
    <cellStyle name="Финансовый 2 2 9 4 2 2 2 3" xfId="35278" xr:uid="{00000000-0005-0000-0000-0000673B0000}"/>
    <cellStyle name="Финансовый 2 2 9 4 2 2 3" xfId="15562" xr:uid="{00000000-0005-0000-0000-0000683B0000}"/>
    <cellStyle name="Финансовый 2 2 9 4 2 2 3 2" xfId="39517" xr:uid="{00000000-0005-0000-0000-0000693B0000}"/>
    <cellStyle name="Финансовый 2 2 9 4 2 2 4" xfId="27540" xr:uid="{00000000-0005-0000-0000-00006A3B0000}"/>
    <cellStyle name="Финансовый 2 2 9 4 2 2 5" xfId="50809" xr:uid="{00000000-0005-0000-0000-00006B3B0000}"/>
    <cellStyle name="Финансовый 2 2 9 4 2 3" xfId="5366" xr:uid="{00000000-0005-0000-0000-00006C3B0000}"/>
    <cellStyle name="Финансовый 2 2 9 4 2 3 2" xfId="17344" xr:uid="{00000000-0005-0000-0000-00006D3B0000}"/>
    <cellStyle name="Финансовый 2 2 9 4 2 3 2 2" xfId="41299" xr:uid="{00000000-0005-0000-0000-00006E3B0000}"/>
    <cellStyle name="Финансовый 2 2 9 4 2 3 3" xfId="29321" xr:uid="{00000000-0005-0000-0000-00006F3B0000}"/>
    <cellStyle name="Финансовый 2 2 9 4 2 4" xfId="7976" xr:uid="{00000000-0005-0000-0000-0000703B0000}"/>
    <cellStyle name="Финансовый 2 2 9 4 2 4 2" xfId="19954" xr:uid="{00000000-0005-0000-0000-0000713B0000}"/>
    <cellStyle name="Финансовый 2 2 9 4 2 4 2 2" xfId="43909" xr:uid="{00000000-0005-0000-0000-0000723B0000}"/>
    <cellStyle name="Финансовый 2 2 9 4 2 4 3" xfId="31931" xr:uid="{00000000-0005-0000-0000-0000733B0000}"/>
    <cellStyle name="Финансовый 2 2 9 4 2 5" xfId="9759" xr:uid="{00000000-0005-0000-0000-0000743B0000}"/>
    <cellStyle name="Финансовый 2 2 9 4 2 5 2" xfId="21737" xr:uid="{00000000-0005-0000-0000-0000753B0000}"/>
    <cellStyle name="Финансовый 2 2 9 4 2 5 2 2" xfId="45692" xr:uid="{00000000-0005-0000-0000-0000763B0000}"/>
    <cellStyle name="Финансовый 2 2 9 4 2 5 3" xfId="33714" xr:uid="{00000000-0005-0000-0000-0000773B0000}"/>
    <cellStyle name="Финансовый 2 2 9 4 2 6" xfId="13917" xr:uid="{00000000-0005-0000-0000-0000783B0000}"/>
    <cellStyle name="Финансовый 2 2 9 4 2 6 2" xfId="37872" xr:uid="{00000000-0005-0000-0000-0000793B0000}"/>
    <cellStyle name="Финансовый 2 2 9 4 2 7" xfId="25895" xr:uid="{00000000-0005-0000-0000-00007A3B0000}"/>
    <cellStyle name="Финансовый 2 2 9 4 2 8" xfId="49028" xr:uid="{00000000-0005-0000-0000-00007B3B0000}"/>
    <cellStyle name="Финансовый 2 2 9 4 3" xfId="4903" xr:uid="{00000000-0005-0000-0000-00007C3B0000}"/>
    <cellStyle name="Финансовый 2 2 9 4 3 2" xfId="16881" xr:uid="{00000000-0005-0000-0000-00007D3B0000}"/>
    <cellStyle name="Финансовый 2 2 9 4 3 2 2" xfId="40836" xr:uid="{00000000-0005-0000-0000-00007E3B0000}"/>
    <cellStyle name="Финансовый 2 2 9 4 3 3" xfId="28858" xr:uid="{00000000-0005-0000-0000-00007F3B0000}"/>
    <cellStyle name="Финансовый 2 2 9 4 3 4" xfId="50346" xr:uid="{00000000-0005-0000-0000-0000803B0000}"/>
    <cellStyle name="Финансовый 2 2 9 4 4" xfId="7513" xr:uid="{00000000-0005-0000-0000-0000813B0000}"/>
    <cellStyle name="Финансовый 2 2 9 4 4 2" xfId="19491" xr:uid="{00000000-0005-0000-0000-0000823B0000}"/>
    <cellStyle name="Финансовый 2 2 9 4 4 2 2" xfId="43446" xr:uid="{00000000-0005-0000-0000-0000833B0000}"/>
    <cellStyle name="Финансовый 2 2 9 4 4 3" xfId="31468" xr:uid="{00000000-0005-0000-0000-0000843B0000}"/>
    <cellStyle name="Финансовый 2 2 9 4 5" xfId="9296" xr:uid="{00000000-0005-0000-0000-0000853B0000}"/>
    <cellStyle name="Финансовый 2 2 9 4 5 2" xfId="21274" xr:uid="{00000000-0005-0000-0000-0000863B0000}"/>
    <cellStyle name="Финансовый 2 2 9 4 5 2 2" xfId="45229" xr:uid="{00000000-0005-0000-0000-0000873B0000}"/>
    <cellStyle name="Финансовый 2 2 9 4 5 3" xfId="33251" xr:uid="{00000000-0005-0000-0000-0000883B0000}"/>
    <cellStyle name="Финансовый 2 2 9 4 6" xfId="13454" xr:uid="{00000000-0005-0000-0000-0000893B0000}"/>
    <cellStyle name="Финансовый 2 2 9 4 6 2" xfId="37409" xr:uid="{00000000-0005-0000-0000-00008A3B0000}"/>
    <cellStyle name="Финансовый 2 2 9 4 7" xfId="25432" xr:uid="{00000000-0005-0000-0000-00008B3B0000}"/>
    <cellStyle name="Финансовый 2 2 9 4 8" xfId="48565" xr:uid="{00000000-0005-0000-0000-00008C3B0000}"/>
    <cellStyle name="Финансовый 2 2 9 5" xfId="1814" xr:uid="{00000000-0005-0000-0000-00008D3B0000}"/>
    <cellStyle name="Финансовый 2 2 9 5 2" xfId="3459" xr:uid="{00000000-0005-0000-0000-00008E3B0000}"/>
    <cellStyle name="Финансовый 2 2 9 5 2 2" xfId="11207" xr:uid="{00000000-0005-0000-0000-00008F3B0000}"/>
    <cellStyle name="Финансовый 2 2 9 5 2 2 2" xfId="23185" xr:uid="{00000000-0005-0000-0000-0000903B0000}"/>
    <cellStyle name="Финансовый 2 2 9 5 2 2 2 2" xfId="47140" xr:uid="{00000000-0005-0000-0000-0000913B0000}"/>
    <cellStyle name="Финансовый 2 2 9 5 2 2 3" xfId="35162" xr:uid="{00000000-0005-0000-0000-0000923B0000}"/>
    <cellStyle name="Финансовый 2 2 9 5 2 3" xfId="15438" xr:uid="{00000000-0005-0000-0000-0000933B0000}"/>
    <cellStyle name="Финансовый 2 2 9 5 2 3 2" xfId="39393" xr:uid="{00000000-0005-0000-0000-0000943B0000}"/>
    <cellStyle name="Финансовый 2 2 9 5 2 4" xfId="27416" xr:uid="{00000000-0005-0000-0000-0000953B0000}"/>
    <cellStyle name="Финансовый 2 2 9 5 2 5" xfId="50685" xr:uid="{00000000-0005-0000-0000-0000963B0000}"/>
    <cellStyle name="Финансовый 2 2 9 5 3" xfId="5242" xr:uid="{00000000-0005-0000-0000-0000973B0000}"/>
    <cellStyle name="Финансовый 2 2 9 5 3 2" xfId="17220" xr:uid="{00000000-0005-0000-0000-0000983B0000}"/>
    <cellStyle name="Финансовый 2 2 9 5 3 2 2" xfId="41175" xr:uid="{00000000-0005-0000-0000-0000993B0000}"/>
    <cellStyle name="Финансовый 2 2 9 5 3 3" xfId="29197" xr:uid="{00000000-0005-0000-0000-00009A3B0000}"/>
    <cellStyle name="Финансовый 2 2 9 5 4" xfId="7852" xr:uid="{00000000-0005-0000-0000-00009B3B0000}"/>
    <cellStyle name="Финансовый 2 2 9 5 4 2" xfId="19830" xr:uid="{00000000-0005-0000-0000-00009C3B0000}"/>
    <cellStyle name="Финансовый 2 2 9 5 4 2 2" xfId="43785" xr:uid="{00000000-0005-0000-0000-00009D3B0000}"/>
    <cellStyle name="Финансовый 2 2 9 5 4 3" xfId="31807" xr:uid="{00000000-0005-0000-0000-00009E3B0000}"/>
    <cellStyle name="Финансовый 2 2 9 5 5" xfId="9635" xr:uid="{00000000-0005-0000-0000-00009F3B0000}"/>
    <cellStyle name="Финансовый 2 2 9 5 5 2" xfId="21613" xr:uid="{00000000-0005-0000-0000-0000A03B0000}"/>
    <cellStyle name="Финансовый 2 2 9 5 5 2 2" xfId="45568" xr:uid="{00000000-0005-0000-0000-0000A13B0000}"/>
    <cellStyle name="Финансовый 2 2 9 5 5 3" xfId="33590" xr:uid="{00000000-0005-0000-0000-0000A23B0000}"/>
    <cellStyle name="Финансовый 2 2 9 5 6" xfId="13793" xr:uid="{00000000-0005-0000-0000-0000A33B0000}"/>
    <cellStyle name="Финансовый 2 2 9 5 6 2" xfId="37748" xr:uid="{00000000-0005-0000-0000-0000A43B0000}"/>
    <cellStyle name="Финансовый 2 2 9 5 7" xfId="25771" xr:uid="{00000000-0005-0000-0000-0000A53B0000}"/>
    <cellStyle name="Финансовый 2 2 9 5 8" xfId="48904" xr:uid="{00000000-0005-0000-0000-0000A63B0000}"/>
    <cellStyle name="Финансовый 2 2 9 6" xfId="2459" xr:uid="{00000000-0005-0000-0000-0000A73B0000}"/>
    <cellStyle name="Финансовый 2 2 9 6 2" xfId="4104" xr:uid="{00000000-0005-0000-0000-0000A83B0000}"/>
    <cellStyle name="Финансовый 2 2 9 6 2 2" xfId="11836" xr:uid="{00000000-0005-0000-0000-0000A93B0000}"/>
    <cellStyle name="Финансовый 2 2 9 6 2 2 2" xfId="23814" xr:uid="{00000000-0005-0000-0000-0000AA3B0000}"/>
    <cellStyle name="Финансовый 2 2 9 6 2 2 2 2" xfId="47769" xr:uid="{00000000-0005-0000-0000-0000AB3B0000}"/>
    <cellStyle name="Финансовый 2 2 9 6 2 2 3" xfId="35791" xr:uid="{00000000-0005-0000-0000-0000AC3B0000}"/>
    <cellStyle name="Финансовый 2 2 9 6 2 3" xfId="16083" xr:uid="{00000000-0005-0000-0000-0000AD3B0000}"/>
    <cellStyle name="Финансовый 2 2 9 6 2 3 2" xfId="40038" xr:uid="{00000000-0005-0000-0000-0000AE3B0000}"/>
    <cellStyle name="Финансовый 2 2 9 6 2 4" xfId="28061" xr:uid="{00000000-0005-0000-0000-0000AF3B0000}"/>
    <cellStyle name="Финансовый 2 2 9 6 2 5" xfId="51330" xr:uid="{00000000-0005-0000-0000-0000B03B0000}"/>
    <cellStyle name="Финансовый 2 2 9 6 3" xfId="5887" xr:uid="{00000000-0005-0000-0000-0000B13B0000}"/>
    <cellStyle name="Финансовый 2 2 9 6 3 2" xfId="17865" xr:uid="{00000000-0005-0000-0000-0000B23B0000}"/>
    <cellStyle name="Финансовый 2 2 9 6 3 2 2" xfId="41820" xr:uid="{00000000-0005-0000-0000-0000B33B0000}"/>
    <cellStyle name="Финансовый 2 2 9 6 3 3" xfId="29842" xr:uid="{00000000-0005-0000-0000-0000B43B0000}"/>
    <cellStyle name="Финансовый 2 2 9 6 4" xfId="8497" xr:uid="{00000000-0005-0000-0000-0000B53B0000}"/>
    <cellStyle name="Финансовый 2 2 9 6 4 2" xfId="20475" xr:uid="{00000000-0005-0000-0000-0000B63B0000}"/>
    <cellStyle name="Финансовый 2 2 9 6 4 2 2" xfId="44430" xr:uid="{00000000-0005-0000-0000-0000B73B0000}"/>
    <cellStyle name="Финансовый 2 2 9 6 4 3" xfId="32452" xr:uid="{00000000-0005-0000-0000-0000B83B0000}"/>
    <cellStyle name="Финансовый 2 2 9 6 5" xfId="10280" xr:uid="{00000000-0005-0000-0000-0000B93B0000}"/>
    <cellStyle name="Финансовый 2 2 9 6 5 2" xfId="22258" xr:uid="{00000000-0005-0000-0000-0000BA3B0000}"/>
    <cellStyle name="Финансовый 2 2 9 6 5 2 2" xfId="46213" xr:uid="{00000000-0005-0000-0000-0000BB3B0000}"/>
    <cellStyle name="Финансовый 2 2 9 6 5 3" xfId="34235" xr:uid="{00000000-0005-0000-0000-0000BC3B0000}"/>
    <cellStyle name="Финансовый 2 2 9 6 6" xfId="14438" xr:uid="{00000000-0005-0000-0000-0000BD3B0000}"/>
    <cellStyle name="Финансовый 2 2 9 6 6 2" xfId="38393" xr:uid="{00000000-0005-0000-0000-0000BE3B0000}"/>
    <cellStyle name="Финансовый 2 2 9 6 7" xfId="26416" xr:uid="{00000000-0005-0000-0000-0000BF3B0000}"/>
    <cellStyle name="Финансовый 2 2 9 6 8" xfId="49549" xr:uid="{00000000-0005-0000-0000-0000C03B0000}"/>
    <cellStyle name="Финансовый 2 2 9 7" xfId="1686" xr:uid="{00000000-0005-0000-0000-0000C13B0000}"/>
    <cellStyle name="Финансовый 2 2 9 7 2" xfId="3331" xr:uid="{00000000-0005-0000-0000-0000C23B0000}"/>
    <cellStyle name="Финансовый 2 2 9 7 2 2" xfId="11079" xr:uid="{00000000-0005-0000-0000-0000C33B0000}"/>
    <cellStyle name="Финансовый 2 2 9 7 2 2 2" xfId="23057" xr:uid="{00000000-0005-0000-0000-0000C43B0000}"/>
    <cellStyle name="Финансовый 2 2 9 7 2 2 2 2" xfId="47012" xr:uid="{00000000-0005-0000-0000-0000C53B0000}"/>
    <cellStyle name="Финансовый 2 2 9 7 2 2 3" xfId="35034" xr:uid="{00000000-0005-0000-0000-0000C63B0000}"/>
    <cellStyle name="Финансовый 2 2 9 7 2 3" xfId="15310" xr:uid="{00000000-0005-0000-0000-0000C73B0000}"/>
    <cellStyle name="Финансовый 2 2 9 7 2 3 2" xfId="39265" xr:uid="{00000000-0005-0000-0000-0000C83B0000}"/>
    <cellStyle name="Финансовый 2 2 9 7 2 4" xfId="27288" xr:uid="{00000000-0005-0000-0000-0000C93B0000}"/>
    <cellStyle name="Финансовый 2 2 9 7 2 5" xfId="50557" xr:uid="{00000000-0005-0000-0000-0000CA3B0000}"/>
    <cellStyle name="Финансовый 2 2 9 7 3" xfId="5114" xr:uid="{00000000-0005-0000-0000-0000CB3B0000}"/>
    <cellStyle name="Финансовый 2 2 9 7 3 2" xfId="17092" xr:uid="{00000000-0005-0000-0000-0000CC3B0000}"/>
    <cellStyle name="Финансовый 2 2 9 7 3 2 2" xfId="41047" xr:uid="{00000000-0005-0000-0000-0000CD3B0000}"/>
    <cellStyle name="Финансовый 2 2 9 7 3 3" xfId="29069" xr:uid="{00000000-0005-0000-0000-0000CE3B0000}"/>
    <cellStyle name="Финансовый 2 2 9 7 4" xfId="7724" xr:uid="{00000000-0005-0000-0000-0000CF3B0000}"/>
    <cellStyle name="Финансовый 2 2 9 7 4 2" xfId="19702" xr:uid="{00000000-0005-0000-0000-0000D03B0000}"/>
    <cellStyle name="Финансовый 2 2 9 7 4 2 2" xfId="43657" xr:uid="{00000000-0005-0000-0000-0000D13B0000}"/>
    <cellStyle name="Финансовый 2 2 9 7 4 3" xfId="31679" xr:uid="{00000000-0005-0000-0000-0000D23B0000}"/>
    <cellStyle name="Финансовый 2 2 9 7 5" xfId="9507" xr:uid="{00000000-0005-0000-0000-0000D33B0000}"/>
    <cellStyle name="Финансовый 2 2 9 7 5 2" xfId="21485" xr:uid="{00000000-0005-0000-0000-0000D43B0000}"/>
    <cellStyle name="Финансовый 2 2 9 7 5 2 2" xfId="45440" xr:uid="{00000000-0005-0000-0000-0000D53B0000}"/>
    <cellStyle name="Финансовый 2 2 9 7 5 3" xfId="33462" xr:uid="{00000000-0005-0000-0000-0000D63B0000}"/>
    <cellStyle name="Финансовый 2 2 9 7 6" xfId="13665" xr:uid="{00000000-0005-0000-0000-0000D73B0000}"/>
    <cellStyle name="Финансовый 2 2 9 7 6 2" xfId="37620" xr:uid="{00000000-0005-0000-0000-0000D83B0000}"/>
    <cellStyle name="Финансовый 2 2 9 7 7" xfId="25643" xr:uid="{00000000-0005-0000-0000-0000D93B0000}"/>
    <cellStyle name="Финансовый 2 2 9 7 8" xfId="48776" xr:uid="{00000000-0005-0000-0000-0000DA3B0000}"/>
    <cellStyle name="Финансовый 2 2 9 8" xfId="963" xr:uid="{00000000-0005-0000-0000-0000DB3B0000}"/>
    <cellStyle name="Финансовый 2 2 9 8 2" xfId="7003" xr:uid="{00000000-0005-0000-0000-0000DC3B0000}"/>
    <cellStyle name="Финансовый 2 2 9 8 2 2" xfId="18981" xr:uid="{00000000-0005-0000-0000-0000DD3B0000}"/>
    <cellStyle name="Финансовый 2 2 9 8 2 2 2" xfId="42936" xr:uid="{00000000-0005-0000-0000-0000DE3B0000}"/>
    <cellStyle name="Финансовый 2 2 9 8 2 3" xfId="30958" xr:uid="{00000000-0005-0000-0000-0000DF3B0000}"/>
    <cellStyle name="Финансовый 2 2 9 8 3" xfId="10551" xr:uid="{00000000-0005-0000-0000-0000E03B0000}"/>
    <cellStyle name="Финансовый 2 2 9 8 3 2" xfId="22529" xr:uid="{00000000-0005-0000-0000-0000E13B0000}"/>
    <cellStyle name="Финансовый 2 2 9 8 3 2 2" xfId="46484" xr:uid="{00000000-0005-0000-0000-0000E23B0000}"/>
    <cellStyle name="Финансовый 2 2 9 8 3 3" xfId="34506" xr:uid="{00000000-0005-0000-0000-0000E33B0000}"/>
    <cellStyle name="Финансовый 2 2 9 8 4" xfId="12944" xr:uid="{00000000-0005-0000-0000-0000E43B0000}"/>
    <cellStyle name="Финансовый 2 2 9 8 4 2" xfId="36899" xr:uid="{00000000-0005-0000-0000-0000E53B0000}"/>
    <cellStyle name="Финансовый 2 2 9 8 5" xfId="24922" xr:uid="{00000000-0005-0000-0000-0000E63B0000}"/>
    <cellStyle name="Финансовый 2 2 9 8 6" xfId="49828" xr:uid="{00000000-0005-0000-0000-0000E73B0000}"/>
    <cellStyle name="Финансовый 2 2 9 9" xfId="551" xr:uid="{00000000-0005-0000-0000-0000E83B0000}"/>
    <cellStyle name="Финансовый 2 2 9 9 2" xfId="6591" xr:uid="{00000000-0005-0000-0000-0000E93B0000}"/>
    <cellStyle name="Финансовый 2 2 9 9 2 2" xfId="18569" xr:uid="{00000000-0005-0000-0000-0000EA3B0000}"/>
    <cellStyle name="Финансовый 2 2 9 9 2 2 2" xfId="42524" xr:uid="{00000000-0005-0000-0000-0000EB3B0000}"/>
    <cellStyle name="Финансовый 2 2 9 9 2 3" xfId="30546" xr:uid="{00000000-0005-0000-0000-0000EC3B0000}"/>
    <cellStyle name="Финансовый 2 2 9 9 3" xfId="12532" xr:uid="{00000000-0005-0000-0000-0000ED3B0000}"/>
    <cellStyle name="Финансовый 2 2 9 9 3 2" xfId="36487" xr:uid="{00000000-0005-0000-0000-0000EE3B0000}"/>
    <cellStyle name="Финансовый 2 2 9 9 4" xfId="24510" xr:uid="{00000000-0005-0000-0000-0000EF3B0000}"/>
    <cellStyle name="Финансовый 2 20" xfId="1559" xr:uid="{00000000-0005-0000-0000-0000F03B0000}"/>
    <cellStyle name="Финансовый 2 20 2" xfId="3204" xr:uid="{00000000-0005-0000-0000-0000F13B0000}"/>
    <cellStyle name="Финансовый 2 20 2 2" xfId="10960" xr:uid="{00000000-0005-0000-0000-0000F23B0000}"/>
    <cellStyle name="Финансовый 2 20 2 2 2" xfId="22938" xr:uid="{00000000-0005-0000-0000-0000F33B0000}"/>
    <cellStyle name="Финансовый 2 20 2 2 2 2" xfId="46893" xr:uid="{00000000-0005-0000-0000-0000F43B0000}"/>
    <cellStyle name="Финансовый 2 20 2 2 3" xfId="34915" xr:uid="{00000000-0005-0000-0000-0000F53B0000}"/>
    <cellStyle name="Финансовый 2 20 2 3" xfId="15183" xr:uid="{00000000-0005-0000-0000-0000F63B0000}"/>
    <cellStyle name="Финансовый 2 20 2 3 2" xfId="39138" xr:uid="{00000000-0005-0000-0000-0000F73B0000}"/>
    <cellStyle name="Финансовый 2 20 2 4" xfId="27161" xr:uid="{00000000-0005-0000-0000-0000F83B0000}"/>
    <cellStyle name="Финансовый 2 20 2 5" xfId="50430" xr:uid="{00000000-0005-0000-0000-0000F93B0000}"/>
    <cellStyle name="Финансовый 2 20 3" xfId="4987" xr:uid="{00000000-0005-0000-0000-0000FA3B0000}"/>
    <cellStyle name="Финансовый 2 20 3 2" xfId="16965" xr:uid="{00000000-0005-0000-0000-0000FB3B0000}"/>
    <cellStyle name="Финансовый 2 20 3 2 2" xfId="40920" xr:uid="{00000000-0005-0000-0000-0000FC3B0000}"/>
    <cellStyle name="Финансовый 2 20 3 3" xfId="28942" xr:uid="{00000000-0005-0000-0000-0000FD3B0000}"/>
    <cellStyle name="Финансовый 2 20 4" xfId="7597" xr:uid="{00000000-0005-0000-0000-0000FE3B0000}"/>
    <cellStyle name="Финансовый 2 20 4 2" xfId="19575" xr:uid="{00000000-0005-0000-0000-0000FF3B0000}"/>
    <cellStyle name="Финансовый 2 20 4 2 2" xfId="43530" xr:uid="{00000000-0005-0000-0000-0000003C0000}"/>
    <cellStyle name="Финансовый 2 20 4 3" xfId="31552" xr:uid="{00000000-0005-0000-0000-0000013C0000}"/>
    <cellStyle name="Финансовый 2 20 5" xfId="9380" xr:uid="{00000000-0005-0000-0000-0000023C0000}"/>
    <cellStyle name="Финансовый 2 20 5 2" xfId="21358" xr:uid="{00000000-0005-0000-0000-0000033C0000}"/>
    <cellStyle name="Финансовый 2 20 5 2 2" xfId="45313" xr:uid="{00000000-0005-0000-0000-0000043C0000}"/>
    <cellStyle name="Финансовый 2 20 5 3" xfId="33335" xr:uid="{00000000-0005-0000-0000-0000053C0000}"/>
    <cellStyle name="Финансовый 2 20 6" xfId="13538" xr:uid="{00000000-0005-0000-0000-0000063C0000}"/>
    <cellStyle name="Финансовый 2 20 6 2" xfId="37493" xr:uid="{00000000-0005-0000-0000-0000073C0000}"/>
    <cellStyle name="Финансовый 2 20 7" xfId="25516" xr:uid="{00000000-0005-0000-0000-0000083C0000}"/>
    <cellStyle name="Финансовый 2 20 8" xfId="48649" xr:uid="{00000000-0005-0000-0000-0000093C0000}"/>
    <cellStyle name="Финансовый 2 21" xfId="845" xr:uid="{00000000-0005-0000-0000-00000A3C0000}"/>
    <cellStyle name="Финансовый 2 21 2" xfId="6885" xr:uid="{00000000-0005-0000-0000-00000B3C0000}"/>
    <cellStyle name="Финансовый 2 21 2 2" xfId="18863" xr:uid="{00000000-0005-0000-0000-00000C3C0000}"/>
    <cellStyle name="Финансовый 2 21 2 2 2" xfId="42818" xr:uid="{00000000-0005-0000-0000-00000D3C0000}"/>
    <cellStyle name="Финансовый 2 21 2 3" xfId="30840" xr:uid="{00000000-0005-0000-0000-00000E3C0000}"/>
    <cellStyle name="Финансовый 2 21 3" xfId="10433" xr:uid="{00000000-0005-0000-0000-00000F3C0000}"/>
    <cellStyle name="Финансовый 2 21 3 2" xfId="22411" xr:uid="{00000000-0005-0000-0000-0000103C0000}"/>
    <cellStyle name="Финансовый 2 21 3 2 2" xfId="46366" xr:uid="{00000000-0005-0000-0000-0000113C0000}"/>
    <cellStyle name="Финансовый 2 21 3 3" xfId="34388" xr:uid="{00000000-0005-0000-0000-0000123C0000}"/>
    <cellStyle name="Финансовый 2 21 4" xfId="12826" xr:uid="{00000000-0005-0000-0000-0000133C0000}"/>
    <cellStyle name="Финансовый 2 21 4 2" xfId="36781" xr:uid="{00000000-0005-0000-0000-0000143C0000}"/>
    <cellStyle name="Финансовый 2 21 5" xfId="24804" xr:uid="{00000000-0005-0000-0000-0000153C0000}"/>
    <cellStyle name="Финансовый 2 21 6" xfId="49702" xr:uid="{00000000-0005-0000-0000-0000163C0000}"/>
    <cellStyle name="Финансовый 2 22" xfId="425" xr:uid="{00000000-0005-0000-0000-0000173C0000}"/>
    <cellStyle name="Финансовый 2 22 2" xfId="6465" xr:uid="{00000000-0005-0000-0000-0000183C0000}"/>
    <cellStyle name="Финансовый 2 22 2 2" xfId="18443" xr:uid="{00000000-0005-0000-0000-0000193C0000}"/>
    <cellStyle name="Финансовый 2 22 2 2 2" xfId="42398" xr:uid="{00000000-0005-0000-0000-00001A3C0000}"/>
    <cellStyle name="Финансовый 2 22 2 3" xfId="30420" xr:uid="{00000000-0005-0000-0000-00001B3C0000}"/>
    <cellStyle name="Финансовый 2 22 3" xfId="12406" xr:uid="{00000000-0005-0000-0000-00001C3C0000}"/>
    <cellStyle name="Финансовый 2 22 3 2" xfId="36361" xr:uid="{00000000-0005-0000-0000-00001D3C0000}"/>
    <cellStyle name="Финансовый 2 22 4" xfId="24384" xr:uid="{00000000-0005-0000-0000-00001E3C0000}"/>
    <cellStyle name="Финансовый 2 22 5" xfId="51483" xr:uid="{00000000-0005-0000-0000-00001F3C0000}"/>
    <cellStyle name="Финансовый 2 23" xfId="2614" xr:uid="{00000000-0005-0000-0000-0000203C0000}"/>
    <cellStyle name="Финансовый 2 23 2" xfId="14593" xr:uid="{00000000-0005-0000-0000-0000213C0000}"/>
    <cellStyle name="Финансовый 2 23 2 2" xfId="38548" xr:uid="{00000000-0005-0000-0000-0000223C0000}"/>
    <cellStyle name="Финансовый 2 23 3" xfId="26571" xr:uid="{00000000-0005-0000-0000-0000233C0000}"/>
    <cellStyle name="Финансовый 2 24" xfId="4257" xr:uid="{00000000-0005-0000-0000-0000243C0000}"/>
    <cellStyle name="Финансовый 2 24 2" xfId="16236" xr:uid="{00000000-0005-0000-0000-0000253C0000}"/>
    <cellStyle name="Финансовый 2 24 2 2" xfId="40191" xr:uid="{00000000-0005-0000-0000-0000263C0000}"/>
    <cellStyle name="Финансовый 2 24 3" xfId="28214" xr:uid="{00000000-0005-0000-0000-0000273C0000}"/>
    <cellStyle name="Финансовый 2 25" xfId="6045" xr:uid="{00000000-0005-0000-0000-0000283C0000}"/>
    <cellStyle name="Финансовый 2 25 2" xfId="18023" xr:uid="{00000000-0005-0000-0000-0000293C0000}"/>
    <cellStyle name="Финансовый 2 25 2 2" xfId="41978" xr:uid="{00000000-0005-0000-0000-00002A3C0000}"/>
    <cellStyle name="Финансовый 2 25 3" xfId="30000" xr:uid="{00000000-0005-0000-0000-00002B3C0000}"/>
    <cellStyle name="Финансовый 2 26" xfId="8652" xr:uid="{00000000-0005-0000-0000-00002C3C0000}"/>
    <cellStyle name="Финансовый 2 26 2" xfId="20630" xr:uid="{00000000-0005-0000-0000-00002D3C0000}"/>
    <cellStyle name="Финансовый 2 26 2 2" xfId="44585" xr:uid="{00000000-0005-0000-0000-00002E3C0000}"/>
    <cellStyle name="Финансовый 2 26 3" xfId="32607" xr:uid="{00000000-0005-0000-0000-00002F3C0000}"/>
    <cellStyle name="Финансовый 2 27" xfId="11986" xr:uid="{00000000-0005-0000-0000-0000303C0000}"/>
    <cellStyle name="Финансовый 2 27 2" xfId="35941" xr:uid="{00000000-0005-0000-0000-0000313C0000}"/>
    <cellStyle name="Финансовый 2 28" xfId="23964" xr:uid="{00000000-0005-0000-0000-0000323C0000}"/>
    <cellStyle name="Финансовый 2 29" xfId="47922" xr:uid="{00000000-0005-0000-0000-0000333C0000}"/>
    <cellStyle name="Финансовый 2 3" xfId="6" xr:uid="{00000000-0005-0000-0000-0000343C0000}"/>
    <cellStyle name="Финансовый 2 3 10" xfId="30" xr:uid="{00000000-0005-0000-0000-0000353C0000}"/>
    <cellStyle name="Финансовый 2 3 10 10" xfId="2642" xr:uid="{00000000-0005-0000-0000-0000363C0000}"/>
    <cellStyle name="Финансовый 2 3 10 10 2" xfId="14621" xr:uid="{00000000-0005-0000-0000-0000373C0000}"/>
    <cellStyle name="Финансовый 2 3 10 10 2 2" xfId="38576" xr:uid="{00000000-0005-0000-0000-0000383C0000}"/>
    <cellStyle name="Финансовый 2 3 10 10 3" xfId="26599" xr:uid="{00000000-0005-0000-0000-0000393C0000}"/>
    <cellStyle name="Финансовый 2 3 10 11" xfId="4285" xr:uid="{00000000-0005-0000-0000-00003A3C0000}"/>
    <cellStyle name="Финансовый 2 3 10 11 2" xfId="16264" xr:uid="{00000000-0005-0000-0000-00003B3C0000}"/>
    <cellStyle name="Финансовый 2 3 10 11 2 2" xfId="40219" xr:uid="{00000000-0005-0000-0000-00003C3C0000}"/>
    <cellStyle name="Финансовый 2 3 10 11 3" xfId="28242" xr:uid="{00000000-0005-0000-0000-00003D3C0000}"/>
    <cellStyle name="Финансовый 2 3 10 12" xfId="6073" xr:uid="{00000000-0005-0000-0000-00003E3C0000}"/>
    <cellStyle name="Финансовый 2 3 10 12 2" xfId="18051" xr:uid="{00000000-0005-0000-0000-00003F3C0000}"/>
    <cellStyle name="Финансовый 2 3 10 12 2 2" xfId="42006" xr:uid="{00000000-0005-0000-0000-0000403C0000}"/>
    <cellStyle name="Финансовый 2 3 10 12 3" xfId="30028" xr:uid="{00000000-0005-0000-0000-0000413C0000}"/>
    <cellStyle name="Финансовый 2 3 10 13" xfId="8680" xr:uid="{00000000-0005-0000-0000-0000423C0000}"/>
    <cellStyle name="Финансовый 2 3 10 13 2" xfId="20658" xr:uid="{00000000-0005-0000-0000-0000433C0000}"/>
    <cellStyle name="Финансовый 2 3 10 13 2 2" xfId="44613" xr:uid="{00000000-0005-0000-0000-0000443C0000}"/>
    <cellStyle name="Финансовый 2 3 10 13 3" xfId="32635" xr:uid="{00000000-0005-0000-0000-0000453C0000}"/>
    <cellStyle name="Финансовый 2 3 10 14" xfId="12014" xr:uid="{00000000-0005-0000-0000-0000463C0000}"/>
    <cellStyle name="Финансовый 2 3 10 14 2" xfId="35969" xr:uid="{00000000-0005-0000-0000-0000473C0000}"/>
    <cellStyle name="Финансовый 2 3 10 15" xfId="23992" xr:uid="{00000000-0005-0000-0000-0000483C0000}"/>
    <cellStyle name="Финансовый 2 3 10 16" xfId="47950" xr:uid="{00000000-0005-0000-0000-0000493C0000}"/>
    <cellStyle name="Финансовый 2 3 10 2" xfId="168" xr:uid="{00000000-0005-0000-0000-00004A3C0000}"/>
    <cellStyle name="Финансовый 2 3 10 2 10" xfId="8816" xr:uid="{00000000-0005-0000-0000-00004B3C0000}"/>
    <cellStyle name="Финансовый 2 3 10 2 10 2" xfId="20794" xr:uid="{00000000-0005-0000-0000-00004C3C0000}"/>
    <cellStyle name="Финансовый 2 3 10 2 10 2 2" xfId="44749" xr:uid="{00000000-0005-0000-0000-00004D3C0000}"/>
    <cellStyle name="Финансовый 2 3 10 2 10 3" xfId="32771" xr:uid="{00000000-0005-0000-0000-00004E3C0000}"/>
    <cellStyle name="Финансовый 2 3 10 2 11" xfId="12150" xr:uid="{00000000-0005-0000-0000-00004F3C0000}"/>
    <cellStyle name="Финансовый 2 3 10 2 11 2" xfId="36105" xr:uid="{00000000-0005-0000-0000-0000503C0000}"/>
    <cellStyle name="Финансовый 2 3 10 2 12" xfId="24128" xr:uid="{00000000-0005-0000-0000-0000513C0000}"/>
    <cellStyle name="Финансовый 2 3 10 2 13" xfId="48086" xr:uid="{00000000-0005-0000-0000-0000523C0000}"/>
    <cellStyle name="Финансовый 2 3 10 2 2" xfId="1266" xr:uid="{00000000-0005-0000-0000-0000533C0000}"/>
    <cellStyle name="Финансовый 2 3 10 2 2 2" xfId="2232" xr:uid="{00000000-0005-0000-0000-0000543C0000}"/>
    <cellStyle name="Финансовый 2 3 10 2 2 2 2" xfId="3877" xr:uid="{00000000-0005-0000-0000-0000553C0000}"/>
    <cellStyle name="Финансовый 2 3 10 2 2 2 2 2" xfId="11617" xr:uid="{00000000-0005-0000-0000-0000563C0000}"/>
    <cellStyle name="Финансовый 2 3 10 2 2 2 2 2 2" xfId="23595" xr:uid="{00000000-0005-0000-0000-0000573C0000}"/>
    <cellStyle name="Финансовый 2 3 10 2 2 2 2 2 2 2" xfId="47550" xr:uid="{00000000-0005-0000-0000-0000583C0000}"/>
    <cellStyle name="Финансовый 2 3 10 2 2 2 2 2 3" xfId="35572" xr:uid="{00000000-0005-0000-0000-0000593C0000}"/>
    <cellStyle name="Финансовый 2 3 10 2 2 2 2 3" xfId="15856" xr:uid="{00000000-0005-0000-0000-00005A3C0000}"/>
    <cellStyle name="Финансовый 2 3 10 2 2 2 2 3 2" xfId="39811" xr:uid="{00000000-0005-0000-0000-00005B3C0000}"/>
    <cellStyle name="Финансовый 2 3 10 2 2 2 2 4" xfId="27834" xr:uid="{00000000-0005-0000-0000-00005C3C0000}"/>
    <cellStyle name="Финансовый 2 3 10 2 2 2 2 5" xfId="51103" xr:uid="{00000000-0005-0000-0000-00005D3C0000}"/>
    <cellStyle name="Финансовый 2 3 10 2 2 2 3" xfId="5660" xr:uid="{00000000-0005-0000-0000-00005E3C0000}"/>
    <cellStyle name="Финансовый 2 3 10 2 2 2 3 2" xfId="17638" xr:uid="{00000000-0005-0000-0000-00005F3C0000}"/>
    <cellStyle name="Финансовый 2 3 10 2 2 2 3 2 2" xfId="41593" xr:uid="{00000000-0005-0000-0000-0000603C0000}"/>
    <cellStyle name="Финансовый 2 3 10 2 2 2 3 3" xfId="29615" xr:uid="{00000000-0005-0000-0000-0000613C0000}"/>
    <cellStyle name="Финансовый 2 3 10 2 2 2 4" xfId="8270" xr:uid="{00000000-0005-0000-0000-0000623C0000}"/>
    <cellStyle name="Финансовый 2 3 10 2 2 2 4 2" xfId="20248" xr:uid="{00000000-0005-0000-0000-0000633C0000}"/>
    <cellStyle name="Финансовый 2 3 10 2 2 2 4 2 2" xfId="44203" xr:uid="{00000000-0005-0000-0000-0000643C0000}"/>
    <cellStyle name="Финансовый 2 3 10 2 2 2 4 3" xfId="32225" xr:uid="{00000000-0005-0000-0000-0000653C0000}"/>
    <cellStyle name="Финансовый 2 3 10 2 2 2 5" xfId="10053" xr:uid="{00000000-0005-0000-0000-0000663C0000}"/>
    <cellStyle name="Финансовый 2 3 10 2 2 2 5 2" xfId="22031" xr:uid="{00000000-0005-0000-0000-0000673C0000}"/>
    <cellStyle name="Финансовый 2 3 10 2 2 2 5 2 2" xfId="45986" xr:uid="{00000000-0005-0000-0000-0000683C0000}"/>
    <cellStyle name="Финансовый 2 3 10 2 2 2 5 3" xfId="34008" xr:uid="{00000000-0005-0000-0000-0000693C0000}"/>
    <cellStyle name="Финансовый 2 3 10 2 2 2 6" xfId="14211" xr:uid="{00000000-0005-0000-0000-00006A3C0000}"/>
    <cellStyle name="Финансовый 2 3 10 2 2 2 6 2" xfId="38166" xr:uid="{00000000-0005-0000-0000-00006B3C0000}"/>
    <cellStyle name="Финансовый 2 3 10 2 2 2 7" xfId="26189" xr:uid="{00000000-0005-0000-0000-00006C3C0000}"/>
    <cellStyle name="Финансовый 2 3 10 2 2 2 8" xfId="49322" xr:uid="{00000000-0005-0000-0000-00006D3C0000}"/>
    <cellStyle name="Финансовый 2 3 10 2 2 3" xfId="3050" xr:uid="{00000000-0005-0000-0000-00006E3C0000}"/>
    <cellStyle name="Финансовый 2 3 10 2 2 3 2" xfId="10845" xr:uid="{00000000-0005-0000-0000-00006F3C0000}"/>
    <cellStyle name="Финансовый 2 3 10 2 2 3 2 2" xfId="22823" xr:uid="{00000000-0005-0000-0000-0000703C0000}"/>
    <cellStyle name="Финансовый 2 3 10 2 2 3 2 2 2" xfId="46778" xr:uid="{00000000-0005-0000-0000-0000713C0000}"/>
    <cellStyle name="Финансовый 2 3 10 2 2 3 2 3" xfId="34800" xr:uid="{00000000-0005-0000-0000-0000723C0000}"/>
    <cellStyle name="Финансовый 2 3 10 2 2 3 3" xfId="15029" xr:uid="{00000000-0005-0000-0000-0000733C0000}"/>
    <cellStyle name="Финансовый 2 3 10 2 2 3 3 2" xfId="38984" xr:uid="{00000000-0005-0000-0000-0000743C0000}"/>
    <cellStyle name="Финансовый 2 3 10 2 2 3 4" xfId="27007" xr:uid="{00000000-0005-0000-0000-0000753C0000}"/>
    <cellStyle name="Финансовый 2 3 10 2 2 3 5" xfId="50138" xr:uid="{00000000-0005-0000-0000-0000763C0000}"/>
    <cellStyle name="Финансовый 2 3 10 2 2 4" xfId="4694" xr:uid="{00000000-0005-0000-0000-0000773C0000}"/>
    <cellStyle name="Финансовый 2 3 10 2 2 4 2" xfId="16673" xr:uid="{00000000-0005-0000-0000-0000783C0000}"/>
    <cellStyle name="Финансовый 2 3 10 2 2 4 2 2" xfId="40628" xr:uid="{00000000-0005-0000-0000-0000793C0000}"/>
    <cellStyle name="Финансовый 2 3 10 2 2 4 3" xfId="28651" xr:uid="{00000000-0005-0000-0000-00007A3C0000}"/>
    <cellStyle name="Финансовый 2 3 10 2 2 5" xfId="7306" xr:uid="{00000000-0005-0000-0000-00007B3C0000}"/>
    <cellStyle name="Финансовый 2 3 10 2 2 5 2" xfId="19284" xr:uid="{00000000-0005-0000-0000-00007C3C0000}"/>
    <cellStyle name="Финансовый 2 3 10 2 2 5 2 2" xfId="43239" xr:uid="{00000000-0005-0000-0000-00007D3C0000}"/>
    <cellStyle name="Финансовый 2 3 10 2 2 5 3" xfId="31261" xr:uid="{00000000-0005-0000-0000-00007E3C0000}"/>
    <cellStyle name="Финансовый 2 3 10 2 2 6" xfId="9088" xr:uid="{00000000-0005-0000-0000-00007F3C0000}"/>
    <cellStyle name="Финансовый 2 3 10 2 2 6 2" xfId="21066" xr:uid="{00000000-0005-0000-0000-0000803C0000}"/>
    <cellStyle name="Финансовый 2 3 10 2 2 6 2 2" xfId="45021" xr:uid="{00000000-0005-0000-0000-0000813C0000}"/>
    <cellStyle name="Финансовый 2 3 10 2 2 6 3" xfId="33043" xr:uid="{00000000-0005-0000-0000-0000823C0000}"/>
    <cellStyle name="Финансовый 2 3 10 2 2 7" xfId="13247" xr:uid="{00000000-0005-0000-0000-0000833C0000}"/>
    <cellStyle name="Финансовый 2 3 10 2 2 7 2" xfId="37202" xr:uid="{00000000-0005-0000-0000-0000843C0000}"/>
    <cellStyle name="Финансовый 2 3 10 2 2 8" xfId="25225" xr:uid="{00000000-0005-0000-0000-0000853C0000}"/>
    <cellStyle name="Финансовый 2 3 10 2 2 9" xfId="48358" xr:uid="{00000000-0005-0000-0000-0000863C0000}"/>
    <cellStyle name="Финансовый 2 3 10 2 3" xfId="1976" xr:uid="{00000000-0005-0000-0000-0000873C0000}"/>
    <cellStyle name="Финансовый 2 3 10 2 3 2" xfId="3621" xr:uid="{00000000-0005-0000-0000-0000883C0000}"/>
    <cellStyle name="Финансовый 2 3 10 2 3 2 2" xfId="11361" xr:uid="{00000000-0005-0000-0000-0000893C0000}"/>
    <cellStyle name="Финансовый 2 3 10 2 3 2 2 2" xfId="23339" xr:uid="{00000000-0005-0000-0000-00008A3C0000}"/>
    <cellStyle name="Финансовый 2 3 10 2 3 2 2 2 2" xfId="47294" xr:uid="{00000000-0005-0000-0000-00008B3C0000}"/>
    <cellStyle name="Финансовый 2 3 10 2 3 2 2 3" xfId="35316" xr:uid="{00000000-0005-0000-0000-00008C3C0000}"/>
    <cellStyle name="Финансовый 2 3 10 2 3 2 3" xfId="15600" xr:uid="{00000000-0005-0000-0000-00008D3C0000}"/>
    <cellStyle name="Финансовый 2 3 10 2 3 2 3 2" xfId="39555" xr:uid="{00000000-0005-0000-0000-00008E3C0000}"/>
    <cellStyle name="Финансовый 2 3 10 2 3 2 4" xfId="27578" xr:uid="{00000000-0005-0000-0000-00008F3C0000}"/>
    <cellStyle name="Финансовый 2 3 10 2 3 2 5" xfId="50847" xr:uid="{00000000-0005-0000-0000-0000903C0000}"/>
    <cellStyle name="Финансовый 2 3 10 2 3 3" xfId="5404" xr:uid="{00000000-0005-0000-0000-0000913C0000}"/>
    <cellStyle name="Финансовый 2 3 10 2 3 3 2" xfId="17382" xr:uid="{00000000-0005-0000-0000-0000923C0000}"/>
    <cellStyle name="Финансовый 2 3 10 2 3 3 2 2" xfId="41337" xr:uid="{00000000-0005-0000-0000-0000933C0000}"/>
    <cellStyle name="Финансовый 2 3 10 2 3 3 3" xfId="29359" xr:uid="{00000000-0005-0000-0000-0000943C0000}"/>
    <cellStyle name="Финансовый 2 3 10 2 3 4" xfId="8014" xr:uid="{00000000-0005-0000-0000-0000953C0000}"/>
    <cellStyle name="Финансовый 2 3 10 2 3 4 2" xfId="19992" xr:uid="{00000000-0005-0000-0000-0000963C0000}"/>
    <cellStyle name="Финансовый 2 3 10 2 3 4 2 2" xfId="43947" xr:uid="{00000000-0005-0000-0000-0000973C0000}"/>
    <cellStyle name="Финансовый 2 3 10 2 3 4 3" xfId="31969" xr:uid="{00000000-0005-0000-0000-0000983C0000}"/>
    <cellStyle name="Финансовый 2 3 10 2 3 5" xfId="9797" xr:uid="{00000000-0005-0000-0000-0000993C0000}"/>
    <cellStyle name="Финансовый 2 3 10 2 3 5 2" xfId="21775" xr:uid="{00000000-0005-0000-0000-00009A3C0000}"/>
    <cellStyle name="Финансовый 2 3 10 2 3 5 2 2" xfId="45730" xr:uid="{00000000-0005-0000-0000-00009B3C0000}"/>
    <cellStyle name="Финансовый 2 3 10 2 3 5 3" xfId="33752" xr:uid="{00000000-0005-0000-0000-00009C3C0000}"/>
    <cellStyle name="Финансовый 2 3 10 2 3 6" xfId="13955" xr:uid="{00000000-0005-0000-0000-00009D3C0000}"/>
    <cellStyle name="Финансовый 2 3 10 2 3 6 2" xfId="37910" xr:uid="{00000000-0005-0000-0000-00009E3C0000}"/>
    <cellStyle name="Финансовый 2 3 10 2 3 7" xfId="25933" xr:uid="{00000000-0005-0000-0000-00009F3C0000}"/>
    <cellStyle name="Финансовый 2 3 10 2 3 8" xfId="49066" xr:uid="{00000000-0005-0000-0000-0000A03C0000}"/>
    <cellStyle name="Финансовый 2 3 10 2 4" xfId="2497" xr:uid="{00000000-0005-0000-0000-0000A13C0000}"/>
    <cellStyle name="Финансовый 2 3 10 2 4 2" xfId="4142" xr:uid="{00000000-0005-0000-0000-0000A23C0000}"/>
    <cellStyle name="Финансовый 2 3 10 2 4 2 2" xfId="11874" xr:uid="{00000000-0005-0000-0000-0000A33C0000}"/>
    <cellStyle name="Финансовый 2 3 10 2 4 2 2 2" xfId="23852" xr:uid="{00000000-0005-0000-0000-0000A43C0000}"/>
    <cellStyle name="Финансовый 2 3 10 2 4 2 2 2 2" xfId="47807" xr:uid="{00000000-0005-0000-0000-0000A53C0000}"/>
    <cellStyle name="Финансовый 2 3 10 2 4 2 2 3" xfId="35829" xr:uid="{00000000-0005-0000-0000-0000A63C0000}"/>
    <cellStyle name="Финансовый 2 3 10 2 4 2 3" xfId="16121" xr:uid="{00000000-0005-0000-0000-0000A73C0000}"/>
    <cellStyle name="Финансовый 2 3 10 2 4 2 3 2" xfId="40076" xr:uid="{00000000-0005-0000-0000-0000A83C0000}"/>
    <cellStyle name="Финансовый 2 3 10 2 4 2 4" xfId="28099" xr:uid="{00000000-0005-0000-0000-0000A93C0000}"/>
    <cellStyle name="Финансовый 2 3 10 2 4 2 5" xfId="51368" xr:uid="{00000000-0005-0000-0000-0000AA3C0000}"/>
    <cellStyle name="Финансовый 2 3 10 2 4 3" xfId="5925" xr:uid="{00000000-0005-0000-0000-0000AB3C0000}"/>
    <cellStyle name="Финансовый 2 3 10 2 4 3 2" xfId="17903" xr:uid="{00000000-0005-0000-0000-0000AC3C0000}"/>
    <cellStyle name="Финансовый 2 3 10 2 4 3 2 2" xfId="41858" xr:uid="{00000000-0005-0000-0000-0000AD3C0000}"/>
    <cellStyle name="Финансовый 2 3 10 2 4 3 3" xfId="29880" xr:uid="{00000000-0005-0000-0000-0000AE3C0000}"/>
    <cellStyle name="Финансовый 2 3 10 2 4 4" xfId="8535" xr:uid="{00000000-0005-0000-0000-0000AF3C0000}"/>
    <cellStyle name="Финансовый 2 3 10 2 4 4 2" xfId="20513" xr:uid="{00000000-0005-0000-0000-0000B03C0000}"/>
    <cellStyle name="Финансовый 2 3 10 2 4 4 2 2" xfId="44468" xr:uid="{00000000-0005-0000-0000-0000B13C0000}"/>
    <cellStyle name="Финансовый 2 3 10 2 4 4 3" xfId="32490" xr:uid="{00000000-0005-0000-0000-0000B23C0000}"/>
    <cellStyle name="Финансовый 2 3 10 2 4 5" xfId="10318" xr:uid="{00000000-0005-0000-0000-0000B33C0000}"/>
    <cellStyle name="Финансовый 2 3 10 2 4 5 2" xfId="22296" xr:uid="{00000000-0005-0000-0000-0000B43C0000}"/>
    <cellStyle name="Финансовый 2 3 10 2 4 5 2 2" xfId="46251" xr:uid="{00000000-0005-0000-0000-0000B53C0000}"/>
    <cellStyle name="Финансовый 2 3 10 2 4 5 3" xfId="34273" xr:uid="{00000000-0005-0000-0000-0000B63C0000}"/>
    <cellStyle name="Финансовый 2 3 10 2 4 6" xfId="14476" xr:uid="{00000000-0005-0000-0000-0000B73C0000}"/>
    <cellStyle name="Финансовый 2 3 10 2 4 6 2" xfId="38431" xr:uid="{00000000-0005-0000-0000-0000B83C0000}"/>
    <cellStyle name="Финансовый 2 3 10 2 4 7" xfId="26454" xr:uid="{00000000-0005-0000-0000-0000B93C0000}"/>
    <cellStyle name="Финансовый 2 3 10 2 4 8" xfId="49587" xr:uid="{00000000-0005-0000-0000-0000BA3C0000}"/>
    <cellStyle name="Финансовый 2 3 10 2 5" xfId="1001" xr:uid="{00000000-0005-0000-0000-0000BB3C0000}"/>
    <cellStyle name="Финансовый 2 3 10 2 5 2" xfId="7041" xr:uid="{00000000-0005-0000-0000-0000BC3C0000}"/>
    <cellStyle name="Финансовый 2 3 10 2 5 2 2" xfId="19019" xr:uid="{00000000-0005-0000-0000-0000BD3C0000}"/>
    <cellStyle name="Финансовый 2 3 10 2 5 2 2 2" xfId="42974" xr:uid="{00000000-0005-0000-0000-0000BE3C0000}"/>
    <cellStyle name="Финансовый 2 3 10 2 5 2 3" xfId="30996" xr:uid="{00000000-0005-0000-0000-0000BF3C0000}"/>
    <cellStyle name="Финансовый 2 3 10 2 5 3" xfId="10589" xr:uid="{00000000-0005-0000-0000-0000C03C0000}"/>
    <cellStyle name="Финансовый 2 3 10 2 5 3 2" xfId="22567" xr:uid="{00000000-0005-0000-0000-0000C13C0000}"/>
    <cellStyle name="Финансовый 2 3 10 2 5 3 2 2" xfId="46522" xr:uid="{00000000-0005-0000-0000-0000C23C0000}"/>
    <cellStyle name="Финансовый 2 3 10 2 5 3 3" xfId="34544" xr:uid="{00000000-0005-0000-0000-0000C33C0000}"/>
    <cellStyle name="Финансовый 2 3 10 2 5 4" xfId="12982" xr:uid="{00000000-0005-0000-0000-0000C43C0000}"/>
    <cellStyle name="Финансовый 2 3 10 2 5 4 2" xfId="36937" xr:uid="{00000000-0005-0000-0000-0000C53C0000}"/>
    <cellStyle name="Финансовый 2 3 10 2 5 5" xfId="24960" xr:uid="{00000000-0005-0000-0000-0000C63C0000}"/>
    <cellStyle name="Финансовый 2 3 10 2 5 6" xfId="49866" xr:uid="{00000000-0005-0000-0000-0000C73C0000}"/>
    <cellStyle name="Финансовый 2 3 10 2 6" xfId="589" xr:uid="{00000000-0005-0000-0000-0000C83C0000}"/>
    <cellStyle name="Финансовый 2 3 10 2 6 2" xfId="6629" xr:uid="{00000000-0005-0000-0000-0000C93C0000}"/>
    <cellStyle name="Финансовый 2 3 10 2 6 2 2" xfId="18607" xr:uid="{00000000-0005-0000-0000-0000CA3C0000}"/>
    <cellStyle name="Финансовый 2 3 10 2 6 2 2 2" xfId="42562" xr:uid="{00000000-0005-0000-0000-0000CB3C0000}"/>
    <cellStyle name="Финансовый 2 3 10 2 6 2 3" xfId="30584" xr:uid="{00000000-0005-0000-0000-0000CC3C0000}"/>
    <cellStyle name="Финансовый 2 3 10 2 6 3" xfId="12570" xr:uid="{00000000-0005-0000-0000-0000CD3C0000}"/>
    <cellStyle name="Финансовый 2 3 10 2 6 3 2" xfId="36525" xr:uid="{00000000-0005-0000-0000-0000CE3C0000}"/>
    <cellStyle name="Финансовый 2 3 10 2 6 4" xfId="24548" xr:uid="{00000000-0005-0000-0000-0000CF3C0000}"/>
    <cellStyle name="Финансовый 2 3 10 2 7" xfId="2778" xr:uid="{00000000-0005-0000-0000-0000D03C0000}"/>
    <cellStyle name="Финансовый 2 3 10 2 7 2" xfId="14757" xr:uid="{00000000-0005-0000-0000-0000D13C0000}"/>
    <cellStyle name="Финансовый 2 3 10 2 7 2 2" xfId="38712" xr:uid="{00000000-0005-0000-0000-0000D23C0000}"/>
    <cellStyle name="Финансовый 2 3 10 2 7 3" xfId="26735" xr:uid="{00000000-0005-0000-0000-0000D33C0000}"/>
    <cellStyle name="Финансовый 2 3 10 2 8" xfId="4422" xr:uid="{00000000-0005-0000-0000-0000D43C0000}"/>
    <cellStyle name="Финансовый 2 3 10 2 8 2" xfId="16401" xr:uid="{00000000-0005-0000-0000-0000D53C0000}"/>
    <cellStyle name="Финансовый 2 3 10 2 8 2 2" xfId="40356" xr:uid="{00000000-0005-0000-0000-0000D63C0000}"/>
    <cellStyle name="Финансовый 2 3 10 2 8 3" xfId="28379" xr:uid="{00000000-0005-0000-0000-0000D73C0000}"/>
    <cellStyle name="Финансовый 2 3 10 2 9" xfId="6209" xr:uid="{00000000-0005-0000-0000-0000D83C0000}"/>
    <cellStyle name="Финансовый 2 3 10 2 9 2" xfId="18187" xr:uid="{00000000-0005-0000-0000-0000D93C0000}"/>
    <cellStyle name="Финансовый 2 3 10 2 9 2 2" xfId="42142" xr:uid="{00000000-0005-0000-0000-0000DA3C0000}"/>
    <cellStyle name="Финансовый 2 3 10 2 9 3" xfId="30164" xr:uid="{00000000-0005-0000-0000-0000DB3C0000}"/>
    <cellStyle name="Финансовый 2 3 10 3" xfId="317" xr:uid="{00000000-0005-0000-0000-0000DC3C0000}"/>
    <cellStyle name="Финансовый 2 3 10 3 10" xfId="24276" xr:uid="{00000000-0005-0000-0000-0000DD3C0000}"/>
    <cellStyle name="Финансовый 2 3 10 3 11" xfId="48222" xr:uid="{00000000-0005-0000-0000-0000DE3C0000}"/>
    <cellStyle name="Финансовый 2 3 10 3 2" xfId="2104" xr:uid="{00000000-0005-0000-0000-0000DF3C0000}"/>
    <cellStyle name="Финансовый 2 3 10 3 2 2" xfId="3749" xr:uid="{00000000-0005-0000-0000-0000E03C0000}"/>
    <cellStyle name="Финансовый 2 3 10 3 2 2 2" xfId="11489" xr:uid="{00000000-0005-0000-0000-0000E13C0000}"/>
    <cellStyle name="Финансовый 2 3 10 3 2 2 2 2" xfId="23467" xr:uid="{00000000-0005-0000-0000-0000E23C0000}"/>
    <cellStyle name="Финансовый 2 3 10 3 2 2 2 2 2" xfId="47422" xr:uid="{00000000-0005-0000-0000-0000E33C0000}"/>
    <cellStyle name="Финансовый 2 3 10 3 2 2 2 3" xfId="35444" xr:uid="{00000000-0005-0000-0000-0000E43C0000}"/>
    <cellStyle name="Финансовый 2 3 10 3 2 2 3" xfId="15728" xr:uid="{00000000-0005-0000-0000-0000E53C0000}"/>
    <cellStyle name="Финансовый 2 3 10 3 2 2 3 2" xfId="39683" xr:uid="{00000000-0005-0000-0000-0000E63C0000}"/>
    <cellStyle name="Финансовый 2 3 10 3 2 2 4" xfId="27706" xr:uid="{00000000-0005-0000-0000-0000E73C0000}"/>
    <cellStyle name="Финансовый 2 3 10 3 2 2 5" xfId="50975" xr:uid="{00000000-0005-0000-0000-0000E83C0000}"/>
    <cellStyle name="Финансовый 2 3 10 3 2 3" xfId="5532" xr:uid="{00000000-0005-0000-0000-0000E93C0000}"/>
    <cellStyle name="Финансовый 2 3 10 3 2 3 2" xfId="17510" xr:uid="{00000000-0005-0000-0000-0000EA3C0000}"/>
    <cellStyle name="Финансовый 2 3 10 3 2 3 2 2" xfId="41465" xr:uid="{00000000-0005-0000-0000-0000EB3C0000}"/>
    <cellStyle name="Финансовый 2 3 10 3 2 3 3" xfId="29487" xr:uid="{00000000-0005-0000-0000-0000EC3C0000}"/>
    <cellStyle name="Финансовый 2 3 10 3 2 4" xfId="8142" xr:uid="{00000000-0005-0000-0000-0000ED3C0000}"/>
    <cellStyle name="Финансовый 2 3 10 3 2 4 2" xfId="20120" xr:uid="{00000000-0005-0000-0000-0000EE3C0000}"/>
    <cellStyle name="Финансовый 2 3 10 3 2 4 2 2" xfId="44075" xr:uid="{00000000-0005-0000-0000-0000EF3C0000}"/>
    <cellStyle name="Финансовый 2 3 10 3 2 4 3" xfId="32097" xr:uid="{00000000-0005-0000-0000-0000F03C0000}"/>
    <cellStyle name="Финансовый 2 3 10 3 2 5" xfId="9925" xr:uid="{00000000-0005-0000-0000-0000F13C0000}"/>
    <cellStyle name="Финансовый 2 3 10 3 2 5 2" xfId="21903" xr:uid="{00000000-0005-0000-0000-0000F23C0000}"/>
    <cellStyle name="Финансовый 2 3 10 3 2 5 2 2" xfId="45858" xr:uid="{00000000-0005-0000-0000-0000F33C0000}"/>
    <cellStyle name="Финансовый 2 3 10 3 2 5 3" xfId="33880" xr:uid="{00000000-0005-0000-0000-0000F43C0000}"/>
    <cellStyle name="Финансовый 2 3 10 3 2 6" xfId="14083" xr:uid="{00000000-0005-0000-0000-0000F53C0000}"/>
    <cellStyle name="Финансовый 2 3 10 3 2 6 2" xfId="38038" xr:uid="{00000000-0005-0000-0000-0000F63C0000}"/>
    <cellStyle name="Финансовый 2 3 10 3 2 7" xfId="26061" xr:uid="{00000000-0005-0000-0000-0000F73C0000}"/>
    <cellStyle name="Финансовый 2 3 10 3 2 8" xfId="49194" xr:uid="{00000000-0005-0000-0000-0000F83C0000}"/>
    <cellStyle name="Финансовый 2 3 10 3 3" xfId="1137" xr:uid="{00000000-0005-0000-0000-0000F93C0000}"/>
    <cellStyle name="Финансовый 2 3 10 3 3 2" xfId="7177" xr:uid="{00000000-0005-0000-0000-0000FA3C0000}"/>
    <cellStyle name="Финансовый 2 3 10 3 3 2 2" xfId="19155" xr:uid="{00000000-0005-0000-0000-0000FB3C0000}"/>
    <cellStyle name="Финансовый 2 3 10 3 3 2 2 2" xfId="43110" xr:uid="{00000000-0005-0000-0000-0000FC3C0000}"/>
    <cellStyle name="Финансовый 2 3 10 3 3 2 3" xfId="31132" xr:uid="{00000000-0005-0000-0000-0000FD3C0000}"/>
    <cellStyle name="Финансовый 2 3 10 3 3 3" xfId="10717" xr:uid="{00000000-0005-0000-0000-0000FE3C0000}"/>
    <cellStyle name="Финансовый 2 3 10 3 3 3 2" xfId="22695" xr:uid="{00000000-0005-0000-0000-0000FF3C0000}"/>
    <cellStyle name="Финансовый 2 3 10 3 3 3 2 2" xfId="46650" xr:uid="{00000000-0005-0000-0000-0000003D0000}"/>
    <cellStyle name="Финансовый 2 3 10 3 3 3 3" xfId="34672" xr:uid="{00000000-0005-0000-0000-0000013D0000}"/>
    <cellStyle name="Финансовый 2 3 10 3 3 4" xfId="13118" xr:uid="{00000000-0005-0000-0000-0000023D0000}"/>
    <cellStyle name="Финансовый 2 3 10 3 3 4 2" xfId="37073" xr:uid="{00000000-0005-0000-0000-0000033D0000}"/>
    <cellStyle name="Финансовый 2 3 10 3 3 5" xfId="25096" xr:uid="{00000000-0005-0000-0000-0000043D0000}"/>
    <cellStyle name="Финансовый 2 3 10 3 3 6" xfId="50002" xr:uid="{00000000-0005-0000-0000-0000053D0000}"/>
    <cellStyle name="Финансовый 2 3 10 3 4" xfId="737" xr:uid="{00000000-0005-0000-0000-0000063D0000}"/>
    <cellStyle name="Финансовый 2 3 10 3 4 2" xfId="6777" xr:uid="{00000000-0005-0000-0000-0000073D0000}"/>
    <cellStyle name="Финансовый 2 3 10 3 4 2 2" xfId="18755" xr:uid="{00000000-0005-0000-0000-0000083D0000}"/>
    <cellStyle name="Финансовый 2 3 10 3 4 2 2 2" xfId="42710" xr:uid="{00000000-0005-0000-0000-0000093D0000}"/>
    <cellStyle name="Финансовый 2 3 10 3 4 2 3" xfId="30732" xr:uid="{00000000-0005-0000-0000-00000A3D0000}"/>
    <cellStyle name="Финансовый 2 3 10 3 4 3" xfId="12718" xr:uid="{00000000-0005-0000-0000-00000B3D0000}"/>
    <cellStyle name="Финансовый 2 3 10 3 4 3 2" xfId="36673" xr:uid="{00000000-0005-0000-0000-00000C3D0000}"/>
    <cellStyle name="Финансовый 2 3 10 3 4 4" xfId="24696" xr:uid="{00000000-0005-0000-0000-00000D3D0000}"/>
    <cellStyle name="Финансовый 2 3 10 3 5" xfId="2914" xr:uid="{00000000-0005-0000-0000-00000E3D0000}"/>
    <cellStyle name="Финансовый 2 3 10 3 5 2" xfId="14893" xr:uid="{00000000-0005-0000-0000-00000F3D0000}"/>
    <cellStyle name="Финансовый 2 3 10 3 5 2 2" xfId="38848" xr:uid="{00000000-0005-0000-0000-0000103D0000}"/>
    <cellStyle name="Финансовый 2 3 10 3 5 3" xfId="26871" xr:uid="{00000000-0005-0000-0000-0000113D0000}"/>
    <cellStyle name="Финансовый 2 3 10 3 6" xfId="4558" xr:uid="{00000000-0005-0000-0000-0000123D0000}"/>
    <cellStyle name="Финансовый 2 3 10 3 6 2" xfId="16537" xr:uid="{00000000-0005-0000-0000-0000133D0000}"/>
    <cellStyle name="Финансовый 2 3 10 3 6 2 2" xfId="40492" xr:uid="{00000000-0005-0000-0000-0000143D0000}"/>
    <cellStyle name="Финансовый 2 3 10 3 6 3" xfId="28515" xr:uid="{00000000-0005-0000-0000-0000153D0000}"/>
    <cellStyle name="Финансовый 2 3 10 3 7" xfId="6357" xr:uid="{00000000-0005-0000-0000-0000163D0000}"/>
    <cellStyle name="Финансовый 2 3 10 3 7 2" xfId="18335" xr:uid="{00000000-0005-0000-0000-0000173D0000}"/>
    <cellStyle name="Финансовый 2 3 10 3 7 2 2" xfId="42290" xr:uid="{00000000-0005-0000-0000-0000183D0000}"/>
    <cellStyle name="Финансовый 2 3 10 3 7 3" xfId="30312" xr:uid="{00000000-0005-0000-0000-0000193D0000}"/>
    <cellStyle name="Финансовый 2 3 10 3 8" xfId="8952" xr:uid="{00000000-0005-0000-0000-00001A3D0000}"/>
    <cellStyle name="Финансовый 2 3 10 3 8 2" xfId="20930" xr:uid="{00000000-0005-0000-0000-00001B3D0000}"/>
    <cellStyle name="Финансовый 2 3 10 3 8 2 2" xfId="44885" xr:uid="{00000000-0005-0000-0000-00001C3D0000}"/>
    <cellStyle name="Финансовый 2 3 10 3 8 3" xfId="32907" xr:uid="{00000000-0005-0000-0000-00001D3D0000}"/>
    <cellStyle name="Финансовый 2 3 10 3 9" xfId="12298" xr:uid="{00000000-0005-0000-0000-00001E3D0000}"/>
    <cellStyle name="Финансовый 2 3 10 3 9 2" xfId="36253" xr:uid="{00000000-0005-0000-0000-00001F3D0000}"/>
    <cellStyle name="Финансовый 2 3 10 4" xfId="1479" xr:uid="{00000000-0005-0000-0000-0000203D0000}"/>
    <cellStyle name="Финансовый 2 3 10 4 2" xfId="1840" xr:uid="{00000000-0005-0000-0000-0000213D0000}"/>
    <cellStyle name="Финансовый 2 3 10 4 2 2" xfId="3485" xr:uid="{00000000-0005-0000-0000-0000223D0000}"/>
    <cellStyle name="Финансовый 2 3 10 4 2 2 2" xfId="11233" xr:uid="{00000000-0005-0000-0000-0000233D0000}"/>
    <cellStyle name="Финансовый 2 3 10 4 2 2 2 2" xfId="23211" xr:uid="{00000000-0005-0000-0000-0000243D0000}"/>
    <cellStyle name="Финансовый 2 3 10 4 2 2 2 2 2" xfId="47166" xr:uid="{00000000-0005-0000-0000-0000253D0000}"/>
    <cellStyle name="Финансовый 2 3 10 4 2 2 2 3" xfId="35188" xr:uid="{00000000-0005-0000-0000-0000263D0000}"/>
    <cellStyle name="Финансовый 2 3 10 4 2 2 3" xfId="15464" xr:uid="{00000000-0005-0000-0000-0000273D0000}"/>
    <cellStyle name="Финансовый 2 3 10 4 2 2 3 2" xfId="39419" xr:uid="{00000000-0005-0000-0000-0000283D0000}"/>
    <cellStyle name="Финансовый 2 3 10 4 2 2 4" xfId="27442" xr:uid="{00000000-0005-0000-0000-0000293D0000}"/>
    <cellStyle name="Финансовый 2 3 10 4 2 2 5" xfId="50711" xr:uid="{00000000-0005-0000-0000-00002A3D0000}"/>
    <cellStyle name="Финансовый 2 3 10 4 2 3" xfId="5268" xr:uid="{00000000-0005-0000-0000-00002B3D0000}"/>
    <cellStyle name="Финансовый 2 3 10 4 2 3 2" xfId="17246" xr:uid="{00000000-0005-0000-0000-00002C3D0000}"/>
    <cellStyle name="Финансовый 2 3 10 4 2 3 2 2" xfId="41201" xr:uid="{00000000-0005-0000-0000-00002D3D0000}"/>
    <cellStyle name="Финансовый 2 3 10 4 2 3 3" xfId="29223" xr:uid="{00000000-0005-0000-0000-00002E3D0000}"/>
    <cellStyle name="Финансовый 2 3 10 4 2 4" xfId="7878" xr:uid="{00000000-0005-0000-0000-00002F3D0000}"/>
    <cellStyle name="Финансовый 2 3 10 4 2 4 2" xfId="19856" xr:uid="{00000000-0005-0000-0000-0000303D0000}"/>
    <cellStyle name="Финансовый 2 3 10 4 2 4 2 2" xfId="43811" xr:uid="{00000000-0005-0000-0000-0000313D0000}"/>
    <cellStyle name="Финансовый 2 3 10 4 2 4 3" xfId="31833" xr:uid="{00000000-0005-0000-0000-0000323D0000}"/>
    <cellStyle name="Финансовый 2 3 10 4 2 5" xfId="9661" xr:uid="{00000000-0005-0000-0000-0000333D0000}"/>
    <cellStyle name="Финансовый 2 3 10 4 2 5 2" xfId="21639" xr:uid="{00000000-0005-0000-0000-0000343D0000}"/>
    <cellStyle name="Финансовый 2 3 10 4 2 5 2 2" xfId="45594" xr:uid="{00000000-0005-0000-0000-0000353D0000}"/>
    <cellStyle name="Финансовый 2 3 10 4 2 5 3" xfId="33616" xr:uid="{00000000-0005-0000-0000-0000363D0000}"/>
    <cellStyle name="Финансовый 2 3 10 4 2 6" xfId="13819" xr:uid="{00000000-0005-0000-0000-0000373D0000}"/>
    <cellStyle name="Финансовый 2 3 10 4 2 6 2" xfId="37774" xr:uid="{00000000-0005-0000-0000-0000383D0000}"/>
    <cellStyle name="Финансовый 2 3 10 4 2 7" xfId="25797" xr:uid="{00000000-0005-0000-0000-0000393D0000}"/>
    <cellStyle name="Финансовый 2 3 10 4 2 8" xfId="48930" xr:uid="{00000000-0005-0000-0000-00003A3D0000}"/>
    <cellStyle name="Финансовый 2 3 10 4 3" xfId="4907" xr:uid="{00000000-0005-0000-0000-00003B3D0000}"/>
    <cellStyle name="Финансовый 2 3 10 4 3 2" xfId="16885" xr:uid="{00000000-0005-0000-0000-00003C3D0000}"/>
    <cellStyle name="Финансовый 2 3 10 4 3 2 2" xfId="40840" xr:uid="{00000000-0005-0000-0000-00003D3D0000}"/>
    <cellStyle name="Финансовый 2 3 10 4 3 3" xfId="28862" xr:uid="{00000000-0005-0000-0000-00003E3D0000}"/>
    <cellStyle name="Финансовый 2 3 10 4 3 4" xfId="50350" xr:uid="{00000000-0005-0000-0000-00003F3D0000}"/>
    <cellStyle name="Финансовый 2 3 10 4 4" xfId="7517" xr:uid="{00000000-0005-0000-0000-0000403D0000}"/>
    <cellStyle name="Финансовый 2 3 10 4 4 2" xfId="19495" xr:uid="{00000000-0005-0000-0000-0000413D0000}"/>
    <cellStyle name="Финансовый 2 3 10 4 4 2 2" xfId="43450" xr:uid="{00000000-0005-0000-0000-0000423D0000}"/>
    <cellStyle name="Финансовый 2 3 10 4 4 3" xfId="31472" xr:uid="{00000000-0005-0000-0000-0000433D0000}"/>
    <cellStyle name="Финансовый 2 3 10 4 5" xfId="9300" xr:uid="{00000000-0005-0000-0000-0000443D0000}"/>
    <cellStyle name="Финансовый 2 3 10 4 5 2" xfId="21278" xr:uid="{00000000-0005-0000-0000-0000453D0000}"/>
    <cellStyle name="Финансовый 2 3 10 4 5 2 2" xfId="45233" xr:uid="{00000000-0005-0000-0000-0000463D0000}"/>
    <cellStyle name="Финансовый 2 3 10 4 5 3" xfId="33255" xr:uid="{00000000-0005-0000-0000-0000473D0000}"/>
    <cellStyle name="Финансовый 2 3 10 4 6" xfId="13458" xr:uid="{00000000-0005-0000-0000-0000483D0000}"/>
    <cellStyle name="Финансовый 2 3 10 4 6 2" xfId="37413" xr:uid="{00000000-0005-0000-0000-0000493D0000}"/>
    <cellStyle name="Финансовый 2 3 10 4 7" xfId="25436" xr:uid="{00000000-0005-0000-0000-00004A3D0000}"/>
    <cellStyle name="Финансовый 2 3 10 4 8" xfId="48569" xr:uid="{00000000-0005-0000-0000-00004B3D0000}"/>
    <cellStyle name="Финансовый 2 3 10 5" xfId="1724" xr:uid="{00000000-0005-0000-0000-00004C3D0000}"/>
    <cellStyle name="Финансовый 2 3 10 5 2" xfId="3369" xr:uid="{00000000-0005-0000-0000-00004D3D0000}"/>
    <cellStyle name="Финансовый 2 3 10 5 2 2" xfId="11117" xr:uid="{00000000-0005-0000-0000-00004E3D0000}"/>
    <cellStyle name="Финансовый 2 3 10 5 2 2 2" xfId="23095" xr:uid="{00000000-0005-0000-0000-00004F3D0000}"/>
    <cellStyle name="Финансовый 2 3 10 5 2 2 2 2" xfId="47050" xr:uid="{00000000-0005-0000-0000-0000503D0000}"/>
    <cellStyle name="Финансовый 2 3 10 5 2 2 3" xfId="35072" xr:uid="{00000000-0005-0000-0000-0000513D0000}"/>
    <cellStyle name="Финансовый 2 3 10 5 2 3" xfId="15348" xr:uid="{00000000-0005-0000-0000-0000523D0000}"/>
    <cellStyle name="Финансовый 2 3 10 5 2 3 2" xfId="39303" xr:uid="{00000000-0005-0000-0000-0000533D0000}"/>
    <cellStyle name="Финансовый 2 3 10 5 2 4" xfId="27326" xr:uid="{00000000-0005-0000-0000-0000543D0000}"/>
    <cellStyle name="Финансовый 2 3 10 5 2 5" xfId="50595" xr:uid="{00000000-0005-0000-0000-0000553D0000}"/>
    <cellStyle name="Финансовый 2 3 10 5 3" xfId="5152" xr:uid="{00000000-0005-0000-0000-0000563D0000}"/>
    <cellStyle name="Финансовый 2 3 10 5 3 2" xfId="17130" xr:uid="{00000000-0005-0000-0000-0000573D0000}"/>
    <cellStyle name="Финансовый 2 3 10 5 3 2 2" xfId="41085" xr:uid="{00000000-0005-0000-0000-0000583D0000}"/>
    <cellStyle name="Финансовый 2 3 10 5 3 3" xfId="29107" xr:uid="{00000000-0005-0000-0000-0000593D0000}"/>
    <cellStyle name="Финансовый 2 3 10 5 4" xfId="7762" xr:uid="{00000000-0005-0000-0000-00005A3D0000}"/>
    <cellStyle name="Финансовый 2 3 10 5 4 2" xfId="19740" xr:uid="{00000000-0005-0000-0000-00005B3D0000}"/>
    <cellStyle name="Финансовый 2 3 10 5 4 2 2" xfId="43695" xr:uid="{00000000-0005-0000-0000-00005C3D0000}"/>
    <cellStyle name="Финансовый 2 3 10 5 4 3" xfId="31717" xr:uid="{00000000-0005-0000-0000-00005D3D0000}"/>
    <cellStyle name="Финансовый 2 3 10 5 5" xfId="9545" xr:uid="{00000000-0005-0000-0000-00005E3D0000}"/>
    <cellStyle name="Финансовый 2 3 10 5 5 2" xfId="21523" xr:uid="{00000000-0005-0000-0000-00005F3D0000}"/>
    <cellStyle name="Финансовый 2 3 10 5 5 2 2" xfId="45478" xr:uid="{00000000-0005-0000-0000-0000603D0000}"/>
    <cellStyle name="Финансовый 2 3 10 5 5 3" xfId="33500" xr:uid="{00000000-0005-0000-0000-0000613D0000}"/>
    <cellStyle name="Финансовый 2 3 10 5 6" xfId="13703" xr:uid="{00000000-0005-0000-0000-0000623D0000}"/>
    <cellStyle name="Финансовый 2 3 10 5 6 2" xfId="37658" xr:uid="{00000000-0005-0000-0000-0000633D0000}"/>
    <cellStyle name="Финансовый 2 3 10 5 7" xfId="25681" xr:uid="{00000000-0005-0000-0000-0000643D0000}"/>
    <cellStyle name="Финансовый 2 3 10 5 8" xfId="48814" xr:uid="{00000000-0005-0000-0000-0000653D0000}"/>
    <cellStyle name="Финансовый 2 3 10 6" xfId="2360" xr:uid="{00000000-0005-0000-0000-0000663D0000}"/>
    <cellStyle name="Финансовый 2 3 10 6 2" xfId="4005" xr:uid="{00000000-0005-0000-0000-0000673D0000}"/>
    <cellStyle name="Финансовый 2 3 10 6 2 2" xfId="11745" xr:uid="{00000000-0005-0000-0000-0000683D0000}"/>
    <cellStyle name="Финансовый 2 3 10 6 2 2 2" xfId="23723" xr:uid="{00000000-0005-0000-0000-0000693D0000}"/>
    <cellStyle name="Финансовый 2 3 10 6 2 2 2 2" xfId="47678" xr:uid="{00000000-0005-0000-0000-00006A3D0000}"/>
    <cellStyle name="Финансовый 2 3 10 6 2 2 3" xfId="35700" xr:uid="{00000000-0005-0000-0000-00006B3D0000}"/>
    <cellStyle name="Финансовый 2 3 10 6 2 3" xfId="15984" xr:uid="{00000000-0005-0000-0000-00006C3D0000}"/>
    <cellStyle name="Финансовый 2 3 10 6 2 3 2" xfId="39939" xr:uid="{00000000-0005-0000-0000-00006D3D0000}"/>
    <cellStyle name="Финансовый 2 3 10 6 2 4" xfId="27962" xr:uid="{00000000-0005-0000-0000-00006E3D0000}"/>
    <cellStyle name="Финансовый 2 3 10 6 2 5" xfId="51231" xr:uid="{00000000-0005-0000-0000-00006F3D0000}"/>
    <cellStyle name="Финансовый 2 3 10 6 3" xfId="5788" xr:uid="{00000000-0005-0000-0000-0000703D0000}"/>
    <cellStyle name="Финансовый 2 3 10 6 3 2" xfId="17766" xr:uid="{00000000-0005-0000-0000-0000713D0000}"/>
    <cellStyle name="Финансовый 2 3 10 6 3 2 2" xfId="41721" xr:uid="{00000000-0005-0000-0000-0000723D0000}"/>
    <cellStyle name="Финансовый 2 3 10 6 3 3" xfId="29743" xr:uid="{00000000-0005-0000-0000-0000733D0000}"/>
    <cellStyle name="Финансовый 2 3 10 6 4" xfId="8398" xr:uid="{00000000-0005-0000-0000-0000743D0000}"/>
    <cellStyle name="Финансовый 2 3 10 6 4 2" xfId="20376" xr:uid="{00000000-0005-0000-0000-0000753D0000}"/>
    <cellStyle name="Финансовый 2 3 10 6 4 2 2" xfId="44331" xr:uid="{00000000-0005-0000-0000-0000763D0000}"/>
    <cellStyle name="Финансовый 2 3 10 6 4 3" xfId="32353" xr:uid="{00000000-0005-0000-0000-0000773D0000}"/>
    <cellStyle name="Финансовый 2 3 10 6 5" xfId="10181" xr:uid="{00000000-0005-0000-0000-0000783D0000}"/>
    <cellStyle name="Финансовый 2 3 10 6 5 2" xfId="22159" xr:uid="{00000000-0005-0000-0000-0000793D0000}"/>
    <cellStyle name="Финансовый 2 3 10 6 5 2 2" xfId="46114" xr:uid="{00000000-0005-0000-0000-00007A3D0000}"/>
    <cellStyle name="Финансовый 2 3 10 6 5 3" xfId="34136" xr:uid="{00000000-0005-0000-0000-00007B3D0000}"/>
    <cellStyle name="Финансовый 2 3 10 6 6" xfId="14339" xr:uid="{00000000-0005-0000-0000-00007C3D0000}"/>
    <cellStyle name="Финансовый 2 3 10 6 6 2" xfId="38294" xr:uid="{00000000-0005-0000-0000-00007D3D0000}"/>
    <cellStyle name="Финансовый 2 3 10 6 7" xfId="26317" xr:uid="{00000000-0005-0000-0000-00007E3D0000}"/>
    <cellStyle name="Финансовый 2 3 10 6 8" xfId="49450" xr:uid="{00000000-0005-0000-0000-00007F3D0000}"/>
    <cellStyle name="Финансовый 2 3 10 7" xfId="1587" xr:uid="{00000000-0005-0000-0000-0000803D0000}"/>
    <cellStyle name="Финансовый 2 3 10 7 2" xfId="3232" xr:uid="{00000000-0005-0000-0000-0000813D0000}"/>
    <cellStyle name="Финансовый 2 3 10 7 2 2" xfId="10988" xr:uid="{00000000-0005-0000-0000-0000823D0000}"/>
    <cellStyle name="Финансовый 2 3 10 7 2 2 2" xfId="22966" xr:uid="{00000000-0005-0000-0000-0000833D0000}"/>
    <cellStyle name="Финансовый 2 3 10 7 2 2 2 2" xfId="46921" xr:uid="{00000000-0005-0000-0000-0000843D0000}"/>
    <cellStyle name="Финансовый 2 3 10 7 2 2 3" xfId="34943" xr:uid="{00000000-0005-0000-0000-0000853D0000}"/>
    <cellStyle name="Финансовый 2 3 10 7 2 3" xfId="15211" xr:uid="{00000000-0005-0000-0000-0000863D0000}"/>
    <cellStyle name="Финансовый 2 3 10 7 2 3 2" xfId="39166" xr:uid="{00000000-0005-0000-0000-0000873D0000}"/>
    <cellStyle name="Финансовый 2 3 10 7 2 4" xfId="27189" xr:uid="{00000000-0005-0000-0000-0000883D0000}"/>
    <cellStyle name="Финансовый 2 3 10 7 2 5" xfId="50458" xr:uid="{00000000-0005-0000-0000-0000893D0000}"/>
    <cellStyle name="Финансовый 2 3 10 7 3" xfId="5015" xr:uid="{00000000-0005-0000-0000-00008A3D0000}"/>
    <cellStyle name="Финансовый 2 3 10 7 3 2" xfId="16993" xr:uid="{00000000-0005-0000-0000-00008B3D0000}"/>
    <cellStyle name="Финансовый 2 3 10 7 3 2 2" xfId="40948" xr:uid="{00000000-0005-0000-0000-00008C3D0000}"/>
    <cellStyle name="Финансовый 2 3 10 7 3 3" xfId="28970" xr:uid="{00000000-0005-0000-0000-00008D3D0000}"/>
    <cellStyle name="Финансовый 2 3 10 7 4" xfId="7625" xr:uid="{00000000-0005-0000-0000-00008E3D0000}"/>
    <cellStyle name="Финансовый 2 3 10 7 4 2" xfId="19603" xr:uid="{00000000-0005-0000-0000-00008F3D0000}"/>
    <cellStyle name="Финансовый 2 3 10 7 4 2 2" xfId="43558" xr:uid="{00000000-0005-0000-0000-0000903D0000}"/>
    <cellStyle name="Финансовый 2 3 10 7 4 3" xfId="31580" xr:uid="{00000000-0005-0000-0000-0000913D0000}"/>
    <cellStyle name="Финансовый 2 3 10 7 5" xfId="9408" xr:uid="{00000000-0005-0000-0000-0000923D0000}"/>
    <cellStyle name="Финансовый 2 3 10 7 5 2" xfId="21386" xr:uid="{00000000-0005-0000-0000-0000933D0000}"/>
    <cellStyle name="Финансовый 2 3 10 7 5 2 2" xfId="45341" xr:uid="{00000000-0005-0000-0000-0000943D0000}"/>
    <cellStyle name="Финансовый 2 3 10 7 5 3" xfId="33363" xr:uid="{00000000-0005-0000-0000-0000953D0000}"/>
    <cellStyle name="Финансовый 2 3 10 7 6" xfId="13566" xr:uid="{00000000-0005-0000-0000-0000963D0000}"/>
    <cellStyle name="Финансовый 2 3 10 7 6 2" xfId="37521" xr:uid="{00000000-0005-0000-0000-0000973D0000}"/>
    <cellStyle name="Финансовый 2 3 10 7 7" xfId="25544" xr:uid="{00000000-0005-0000-0000-0000983D0000}"/>
    <cellStyle name="Финансовый 2 3 10 7 8" xfId="48677" xr:uid="{00000000-0005-0000-0000-0000993D0000}"/>
    <cellStyle name="Финансовый 2 3 10 8" xfId="873" xr:uid="{00000000-0005-0000-0000-00009A3D0000}"/>
    <cellStyle name="Финансовый 2 3 10 8 2" xfId="6913" xr:uid="{00000000-0005-0000-0000-00009B3D0000}"/>
    <cellStyle name="Финансовый 2 3 10 8 2 2" xfId="18891" xr:uid="{00000000-0005-0000-0000-00009C3D0000}"/>
    <cellStyle name="Финансовый 2 3 10 8 2 2 2" xfId="42846" xr:uid="{00000000-0005-0000-0000-00009D3D0000}"/>
    <cellStyle name="Финансовый 2 3 10 8 2 3" xfId="30868" xr:uid="{00000000-0005-0000-0000-00009E3D0000}"/>
    <cellStyle name="Финансовый 2 3 10 8 3" xfId="10461" xr:uid="{00000000-0005-0000-0000-00009F3D0000}"/>
    <cellStyle name="Финансовый 2 3 10 8 3 2" xfId="22439" xr:uid="{00000000-0005-0000-0000-0000A03D0000}"/>
    <cellStyle name="Финансовый 2 3 10 8 3 2 2" xfId="46394" xr:uid="{00000000-0005-0000-0000-0000A13D0000}"/>
    <cellStyle name="Финансовый 2 3 10 8 3 3" xfId="34416" xr:uid="{00000000-0005-0000-0000-0000A23D0000}"/>
    <cellStyle name="Финансовый 2 3 10 8 4" xfId="12854" xr:uid="{00000000-0005-0000-0000-0000A33D0000}"/>
    <cellStyle name="Финансовый 2 3 10 8 4 2" xfId="36809" xr:uid="{00000000-0005-0000-0000-0000A43D0000}"/>
    <cellStyle name="Финансовый 2 3 10 8 5" xfId="24832" xr:uid="{00000000-0005-0000-0000-0000A53D0000}"/>
    <cellStyle name="Финансовый 2 3 10 8 6" xfId="49730" xr:uid="{00000000-0005-0000-0000-0000A63D0000}"/>
    <cellStyle name="Финансовый 2 3 10 9" xfId="453" xr:uid="{00000000-0005-0000-0000-0000A73D0000}"/>
    <cellStyle name="Финансовый 2 3 10 9 2" xfId="6493" xr:uid="{00000000-0005-0000-0000-0000A83D0000}"/>
    <cellStyle name="Финансовый 2 3 10 9 2 2" xfId="18471" xr:uid="{00000000-0005-0000-0000-0000A93D0000}"/>
    <cellStyle name="Финансовый 2 3 10 9 2 2 2" xfId="42426" xr:uid="{00000000-0005-0000-0000-0000AA3D0000}"/>
    <cellStyle name="Финансовый 2 3 10 9 2 3" xfId="30448" xr:uid="{00000000-0005-0000-0000-0000AB3D0000}"/>
    <cellStyle name="Финансовый 2 3 10 9 3" xfId="12434" xr:uid="{00000000-0005-0000-0000-0000AC3D0000}"/>
    <cellStyle name="Финансовый 2 3 10 9 3 2" xfId="36389" xr:uid="{00000000-0005-0000-0000-0000AD3D0000}"/>
    <cellStyle name="Финансовый 2 3 10 9 4" xfId="24412" xr:uid="{00000000-0005-0000-0000-0000AE3D0000}"/>
    <cellStyle name="Финансовый 2 3 11" xfId="18" xr:uid="{00000000-0005-0000-0000-0000AF3D0000}"/>
    <cellStyle name="Финансовый 2 3 11 10" xfId="2630" xr:uid="{00000000-0005-0000-0000-0000B03D0000}"/>
    <cellStyle name="Финансовый 2 3 11 10 2" xfId="14609" xr:uid="{00000000-0005-0000-0000-0000B13D0000}"/>
    <cellStyle name="Финансовый 2 3 11 10 2 2" xfId="38564" xr:uid="{00000000-0005-0000-0000-0000B23D0000}"/>
    <cellStyle name="Финансовый 2 3 11 10 3" xfId="26587" xr:uid="{00000000-0005-0000-0000-0000B33D0000}"/>
    <cellStyle name="Финансовый 2 3 11 11" xfId="4273" xr:uid="{00000000-0005-0000-0000-0000B43D0000}"/>
    <cellStyle name="Финансовый 2 3 11 11 2" xfId="16252" xr:uid="{00000000-0005-0000-0000-0000B53D0000}"/>
    <cellStyle name="Финансовый 2 3 11 11 2 2" xfId="40207" xr:uid="{00000000-0005-0000-0000-0000B63D0000}"/>
    <cellStyle name="Финансовый 2 3 11 11 3" xfId="28230" xr:uid="{00000000-0005-0000-0000-0000B73D0000}"/>
    <cellStyle name="Финансовый 2 3 11 12" xfId="6061" xr:uid="{00000000-0005-0000-0000-0000B83D0000}"/>
    <cellStyle name="Финансовый 2 3 11 12 2" xfId="18039" xr:uid="{00000000-0005-0000-0000-0000B93D0000}"/>
    <cellStyle name="Финансовый 2 3 11 12 2 2" xfId="41994" xr:uid="{00000000-0005-0000-0000-0000BA3D0000}"/>
    <cellStyle name="Финансовый 2 3 11 12 3" xfId="30016" xr:uid="{00000000-0005-0000-0000-0000BB3D0000}"/>
    <cellStyle name="Финансовый 2 3 11 13" xfId="8668" xr:uid="{00000000-0005-0000-0000-0000BC3D0000}"/>
    <cellStyle name="Финансовый 2 3 11 13 2" xfId="20646" xr:uid="{00000000-0005-0000-0000-0000BD3D0000}"/>
    <cellStyle name="Финансовый 2 3 11 13 2 2" xfId="44601" xr:uid="{00000000-0005-0000-0000-0000BE3D0000}"/>
    <cellStyle name="Финансовый 2 3 11 13 3" xfId="32623" xr:uid="{00000000-0005-0000-0000-0000BF3D0000}"/>
    <cellStyle name="Финансовый 2 3 11 14" xfId="12002" xr:uid="{00000000-0005-0000-0000-0000C03D0000}"/>
    <cellStyle name="Финансовый 2 3 11 14 2" xfId="35957" xr:uid="{00000000-0005-0000-0000-0000C13D0000}"/>
    <cellStyle name="Финансовый 2 3 11 15" xfId="23980" xr:uid="{00000000-0005-0000-0000-0000C23D0000}"/>
    <cellStyle name="Финансовый 2 3 11 16" xfId="47938" xr:uid="{00000000-0005-0000-0000-0000C33D0000}"/>
    <cellStyle name="Финансовый 2 3 11 2" xfId="156" xr:uid="{00000000-0005-0000-0000-0000C43D0000}"/>
    <cellStyle name="Финансовый 2 3 11 2 10" xfId="8804" xr:uid="{00000000-0005-0000-0000-0000C53D0000}"/>
    <cellStyle name="Финансовый 2 3 11 2 10 2" xfId="20782" xr:uid="{00000000-0005-0000-0000-0000C63D0000}"/>
    <cellStyle name="Финансовый 2 3 11 2 10 2 2" xfId="44737" xr:uid="{00000000-0005-0000-0000-0000C73D0000}"/>
    <cellStyle name="Финансовый 2 3 11 2 10 3" xfId="32759" xr:uid="{00000000-0005-0000-0000-0000C83D0000}"/>
    <cellStyle name="Финансовый 2 3 11 2 11" xfId="12138" xr:uid="{00000000-0005-0000-0000-0000C93D0000}"/>
    <cellStyle name="Финансовый 2 3 11 2 11 2" xfId="36093" xr:uid="{00000000-0005-0000-0000-0000CA3D0000}"/>
    <cellStyle name="Финансовый 2 3 11 2 12" xfId="24116" xr:uid="{00000000-0005-0000-0000-0000CB3D0000}"/>
    <cellStyle name="Финансовый 2 3 11 2 13" xfId="48074" xr:uid="{00000000-0005-0000-0000-0000CC3D0000}"/>
    <cellStyle name="Финансовый 2 3 11 2 2" xfId="1254" xr:uid="{00000000-0005-0000-0000-0000CD3D0000}"/>
    <cellStyle name="Финансовый 2 3 11 2 2 2" xfId="2220" xr:uid="{00000000-0005-0000-0000-0000CE3D0000}"/>
    <cellStyle name="Финансовый 2 3 11 2 2 2 2" xfId="3865" xr:uid="{00000000-0005-0000-0000-0000CF3D0000}"/>
    <cellStyle name="Финансовый 2 3 11 2 2 2 2 2" xfId="11605" xr:uid="{00000000-0005-0000-0000-0000D03D0000}"/>
    <cellStyle name="Финансовый 2 3 11 2 2 2 2 2 2" xfId="23583" xr:uid="{00000000-0005-0000-0000-0000D13D0000}"/>
    <cellStyle name="Финансовый 2 3 11 2 2 2 2 2 2 2" xfId="47538" xr:uid="{00000000-0005-0000-0000-0000D23D0000}"/>
    <cellStyle name="Финансовый 2 3 11 2 2 2 2 2 3" xfId="35560" xr:uid="{00000000-0005-0000-0000-0000D33D0000}"/>
    <cellStyle name="Финансовый 2 3 11 2 2 2 2 3" xfId="15844" xr:uid="{00000000-0005-0000-0000-0000D43D0000}"/>
    <cellStyle name="Финансовый 2 3 11 2 2 2 2 3 2" xfId="39799" xr:uid="{00000000-0005-0000-0000-0000D53D0000}"/>
    <cellStyle name="Финансовый 2 3 11 2 2 2 2 4" xfId="27822" xr:uid="{00000000-0005-0000-0000-0000D63D0000}"/>
    <cellStyle name="Финансовый 2 3 11 2 2 2 2 5" xfId="51091" xr:uid="{00000000-0005-0000-0000-0000D73D0000}"/>
    <cellStyle name="Финансовый 2 3 11 2 2 2 3" xfId="5648" xr:uid="{00000000-0005-0000-0000-0000D83D0000}"/>
    <cellStyle name="Финансовый 2 3 11 2 2 2 3 2" xfId="17626" xr:uid="{00000000-0005-0000-0000-0000D93D0000}"/>
    <cellStyle name="Финансовый 2 3 11 2 2 2 3 2 2" xfId="41581" xr:uid="{00000000-0005-0000-0000-0000DA3D0000}"/>
    <cellStyle name="Финансовый 2 3 11 2 2 2 3 3" xfId="29603" xr:uid="{00000000-0005-0000-0000-0000DB3D0000}"/>
    <cellStyle name="Финансовый 2 3 11 2 2 2 4" xfId="8258" xr:uid="{00000000-0005-0000-0000-0000DC3D0000}"/>
    <cellStyle name="Финансовый 2 3 11 2 2 2 4 2" xfId="20236" xr:uid="{00000000-0005-0000-0000-0000DD3D0000}"/>
    <cellStyle name="Финансовый 2 3 11 2 2 2 4 2 2" xfId="44191" xr:uid="{00000000-0005-0000-0000-0000DE3D0000}"/>
    <cellStyle name="Финансовый 2 3 11 2 2 2 4 3" xfId="32213" xr:uid="{00000000-0005-0000-0000-0000DF3D0000}"/>
    <cellStyle name="Финансовый 2 3 11 2 2 2 5" xfId="10041" xr:uid="{00000000-0005-0000-0000-0000E03D0000}"/>
    <cellStyle name="Финансовый 2 3 11 2 2 2 5 2" xfId="22019" xr:uid="{00000000-0005-0000-0000-0000E13D0000}"/>
    <cellStyle name="Финансовый 2 3 11 2 2 2 5 2 2" xfId="45974" xr:uid="{00000000-0005-0000-0000-0000E23D0000}"/>
    <cellStyle name="Финансовый 2 3 11 2 2 2 5 3" xfId="33996" xr:uid="{00000000-0005-0000-0000-0000E33D0000}"/>
    <cellStyle name="Финансовый 2 3 11 2 2 2 6" xfId="14199" xr:uid="{00000000-0005-0000-0000-0000E43D0000}"/>
    <cellStyle name="Финансовый 2 3 11 2 2 2 6 2" xfId="38154" xr:uid="{00000000-0005-0000-0000-0000E53D0000}"/>
    <cellStyle name="Финансовый 2 3 11 2 2 2 7" xfId="26177" xr:uid="{00000000-0005-0000-0000-0000E63D0000}"/>
    <cellStyle name="Финансовый 2 3 11 2 2 2 8" xfId="49310" xr:uid="{00000000-0005-0000-0000-0000E73D0000}"/>
    <cellStyle name="Финансовый 2 3 11 2 2 3" xfId="3038" xr:uid="{00000000-0005-0000-0000-0000E83D0000}"/>
    <cellStyle name="Финансовый 2 3 11 2 2 3 2" xfId="10833" xr:uid="{00000000-0005-0000-0000-0000E93D0000}"/>
    <cellStyle name="Финансовый 2 3 11 2 2 3 2 2" xfId="22811" xr:uid="{00000000-0005-0000-0000-0000EA3D0000}"/>
    <cellStyle name="Финансовый 2 3 11 2 2 3 2 2 2" xfId="46766" xr:uid="{00000000-0005-0000-0000-0000EB3D0000}"/>
    <cellStyle name="Финансовый 2 3 11 2 2 3 2 3" xfId="34788" xr:uid="{00000000-0005-0000-0000-0000EC3D0000}"/>
    <cellStyle name="Финансовый 2 3 11 2 2 3 3" xfId="15017" xr:uid="{00000000-0005-0000-0000-0000ED3D0000}"/>
    <cellStyle name="Финансовый 2 3 11 2 2 3 3 2" xfId="38972" xr:uid="{00000000-0005-0000-0000-0000EE3D0000}"/>
    <cellStyle name="Финансовый 2 3 11 2 2 3 4" xfId="26995" xr:uid="{00000000-0005-0000-0000-0000EF3D0000}"/>
    <cellStyle name="Финансовый 2 3 11 2 2 3 5" xfId="50126" xr:uid="{00000000-0005-0000-0000-0000F03D0000}"/>
    <cellStyle name="Финансовый 2 3 11 2 2 4" xfId="4682" xr:uid="{00000000-0005-0000-0000-0000F13D0000}"/>
    <cellStyle name="Финансовый 2 3 11 2 2 4 2" xfId="16661" xr:uid="{00000000-0005-0000-0000-0000F23D0000}"/>
    <cellStyle name="Финансовый 2 3 11 2 2 4 2 2" xfId="40616" xr:uid="{00000000-0005-0000-0000-0000F33D0000}"/>
    <cellStyle name="Финансовый 2 3 11 2 2 4 3" xfId="28639" xr:uid="{00000000-0005-0000-0000-0000F43D0000}"/>
    <cellStyle name="Финансовый 2 3 11 2 2 5" xfId="7294" xr:uid="{00000000-0005-0000-0000-0000F53D0000}"/>
    <cellStyle name="Финансовый 2 3 11 2 2 5 2" xfId="19272" xr:uid="{00000000-0005-0000-0000-0000F63D0000}"/>
    <cellStyle name="Финансовый 2 3 11 2 2 5 2 2" xfId="43227" xr:uid="{00000000-0005-0000-0000-0000F73D0000}"/>
    <cellStyle name="Финансовый 2 3 11 2 2 5 3" xfId="31249" xr:uid="{00000000-0005-0000-0000-0000F83D0000}"/>
    <cellStyle name="Финансовый 2 3 11 2 2 6" xfId="9076" xr:uid="{00000000-0005-0000-0000-0000F93D0000}"/>
    <cellStyle name="Финансовый 2 3 11 2 2 6 2" xfId="21054" xr:uid="{00000000-0005-0000-0000-0000FA3D0000}"/>
    <cellStyle name="Финансовый 2 3 11 2 2 6 2 2" xfId="45009" xr:uid="{00000000-0005-0000-0000-0000FB3D0000}"/>
    <cellStyle name="Финансовый 2 3 11 2 2 6 3" xfId="33031" xr:uid="{00000000-0005-0000-0000-0000FC3D0000}"/>
    <cellStyle name="Финансовый 2 3 11 2 2 7" xfId="13235" xr:uid="{00000000-0005-0000-0000-0000FD3D0000}"/>
    <cellStyle name="Финансовый 2 3 11 2 2 7 2" xfId="37190" xr:uid="{00000000-0005-0000-0000-0000FE3D0000}"/>
    <cellStyle name="Финансовый 2 3 11 2 2 8" xfId="25213" xr:uid="{00000000-0005-0000-0000-0000FF3D0000}"/>
    <cellStyle name="Финансовый 2 3 11 2 2 9" xfId="48346" xr:uid="{00000000-0005-0000-0000-0000003E0000}"/>
    <cellStyle name="Финансовый 2 3 11 2 3" xfId="1964" xr:uid="{00000000-0005-0000-0000-0000013E0000}"/>
    <cellStyle name="Финансовый 2 3 11 2 3 2" xfId="3609" xr:uid="{00000000-0005-0000-0000-0000023E0000}"/>
    <cellStyle name="Финансовый 2 3 11 2 3 2 2" xfId="11349" xr:uid="{00000000-0005-0000-0000-0000033E0000}"/>
    <cellStyle name="Финансовый 2 3 11 2 3 2 2 2" xfId="23327" xr:uid="{00000000-0005-0000-0000-0000043E0000}"/>
    <cellStyle name="Финансовый 2 3 11 2 3 2 2 2 2" xfId="47282" xr:uid="{00000000-0005-0000-0000-0000053E0000}"/>
    <cellStyle name="Финансовый 2 3 11 2 3 2 2 3" xfId="35304" xr:uid="{00000000-0005-0000-0000-0000063E0000}"/>
    <cellStyle name="Финансовый 2 3 11 2 3 2 3" xfId="15588" xr:uid="{00000000-0005-0000-0000-0000073E0000}"/>
    <cellStyle name="Финансовый 2 3 11 2 3 2 3 2" xfId="39543" xr:uid="{00000000-0005-0000-0000-0000083E0000}"/>
    <cellStyle name="Финансовый 2 3 11 2 3 2 4" xfId="27566" xr:uid="{00000000-0005-0000-0000-0000093E0000}"/>
    <cellStyle name="Финансовый 2 3 11 2 3 2 5" xfId="50835" xr:uid="{00000000-0005-0000-0000-00000A3E0000}"/>
    <cellStyle name="Финансовый 2 3 11 2 3 3" xfId="5392" xr:uid="{00000000-0005-0000-0000-00000B3E0000}"/>
    <cellStyle name="Финансовый 2 3 11 2 3 3 2" xfId="17370" xr:uid="{00000000-0005-0000-0000-00000C3E0000}"/>
    <cellStyle name="Финансовый 2 3 11 2 3 3 2 2" xfId="41325" xr:uid="{00000000-0005-0000-0000-00000D3E0000}"/>
    <cellStyle name="Финансовый 2 3 11 2 3 3 3" xfId="29347" xr:uid="{00000000-0005-0000-0000-00000E3E0000}"/>
    <cellStyle name="Финансовый 2 3 11 2 3 4" xfId="8002" xr:uid="{00000000-0005-0000-0000-00000F3E0000}"/>
    <cellStyle name="Финансовый 2 3 11 2 3 4 2" xfId="19980" xr:uid="{00000000-0005-0000-0000-0000103E0000}"/>
    <cellStyle name="Финансовый 2 3 11 2 3 4 2 2" xfId="43935" xr:uid="{00000000-0005-0000-0000-0000113E0000}"/>
    <cellStyle name="Финансовый 2 3 11 2 3 4 3" xfId="31957" xr:uid="{00000000-0005-0000-0000-0000123E0000}"/>
    <cellStyle name="Финансовый 2 3 11 2 3 5" xfId="9785" xr:uid="{00000000-0005-0000-0000-0000133E0000}"/>
    <cellStyle name="Финансовый 2 3 11 2 3 5 2" xfId="21763" xr:uid="{00000000-0005-0000-0000-0000143E0000}"/>
    <cellStyle name="Финансовый 2 3 11 2 3 5 2 2" xfId="45718" xr:uid="{00000000-0005-0000-0000-0000153E0000}"/>
    <cellStyle name="Финансовый 2 3 11 2 3 5 3" xfId="33740" xr:uid="{00000000-0005-0000-0000-0000163E0000}"/>
    <cellStyle name="Финансовый 2 3 11 2 3 6" xfId="13943" xr:uid="{00000000-0005-0000-0000-0000173E0000}"/>
    <cellStyle name="Финансовый 2 3 11 2 3 6 2" xfId="37898" xr:uid="{00000000-0005-0000-0000-0000183E0000}"/>
    <cellStyle name="Финансовый 2 3 11 2 3 7" xfId="25921" xr:uid="{00000000-0005-0000-0000-0000193E0000}"/>
    <cellStyle name="Финансовый 2 3 11 2 3 8" xfId="49054" xr:uid="{00000000-0005-0000-0000-00001A3E0000}"/>
    <cellStyle name="Финансовый 2 3 11 2 4" xfId="2485" xr:uid="{00000000-0005-0000-0000-00001B3E0000}"/>
    <cellStyle name="Финансовый 2 3 11 2 4 2" xfId="4130" xr:uid="{00000000-0005-0000-0000-00001C3E0000}"/>
    <cellStyle name="Финансовый 2 3 11 2 4 2 2" xfId="11862" xr:uid="{00000000-0005-0000-0000-00001D3E0000}"/>
    <cellStyle name="Финансовый 2 3 11 2 4 2 2 2" xfId="23840" xr:uid="{00000000-0005-0000-0000-00001E3E0000}"/>
    <cellStyle name="Финансовый 2 3 11 2 4 2 2 2 2" xfId="47795" xr:uid="{00000000-0005-0000-0000-00001F3E0000}"/>
    <cellStyle name="Финансовый 2 3 11 2 4 2 2 3" xfId="35817" xr:uid="{00000000-0005-0000-0000-0000203E0000}"/>
    <cellStyle name="Финансовый 2 3 11 2 4 2 3" xfId="16109" xr:uid="{00000000-0005-0000-0000-0000213E0000}"/>
    <cellStyle name="Финансовый 2 3 11 2 4 2 3 2" xfId="40064" xr:uid="{00000000-0005-0000-0000-0000223E0000}"/>
    <cellStyle name="Финансовый 2 3 11 2 4 2 4" xfId="28087" xr:uid="{00000000-0005-0000-0000-0000233E0000}"/>
    <cellStyle name="Финансовый 2 3 11 2 4 2 5" xfId="51356" xr:uid="{00000000-0005-0000-0000-0000243E0000}"/>
    <cellStyle name="Финансовый 2 3 11 2 4 3" xfId="5913" xr:uid="{00000000-0005-0000-0000-0000253E0000}"/>
    <cellStyle name="Финансовый 2 3 11 2 4 3 2" xfId="17891" xr:uid="{00000000-0005-0000-0000-0000263E0000}"/>
    <cellStyle name="Финансовый 2 3 11 2 4 3 2 2" xfId="41846" xr:uid="{00000000-0005-0000-0000-0000273E0000}"/>
    <cellStyle name="Финансовый 2 3 11 2 4 3 3" xfId="29868" xr:uid="{00000000-0005-0000-0000-0000283E0000}"/>
    <cellStyle name="Финансовый 2 3 11 2 4 4" xfId="8523" xr:uid="{00000000-0005-0000-0000-0000293E0000}"/>
    <cellStyle name="Финансовый 2 3 11 2 4 4 2" xfId="20501" xr:uid="{00000000-0005-0000-0000-00002A3E0000}"/>
    <cellStyle name="Финансовый 2 3 11 2 4 4 2 2" xfId="44456" xr:uid="{00000000-0005-0000-0000-00002B3E0000}"/>
    <cellStyle name="Финансовый 2 3 11 2 4 4 3" xfId="32478" xr:uid="{00000000-0005-0000-0000-00002C3E0000}"/>
    <cellStyle name="Финансовый 2 3 11 2 4 5" xfId="10306" xr:uid="{00000000-0005-0000-0000-00002D3E0000}"/>
    <cellStyle name="Финансовый 2 3 11 2 4 5 2" xfId="22284" xr:uid="{00000000-0005-0000-0000-00002E3E0000}"/>
    <cellStyle name="Финансовый 2 3 11 2 4 5 2 2" xfId="46239" xr:uid="{00000000-0005-0000-0000-00002F3E0000}"/>
    <cellStyle name="Финансовый 2 3 11 2 4 5 3" xfId="34261" xr:uid="{00000000-0005-0000-0000-0000303E0000}"/>
    <cellStyle name="Финансовый 2 3 11 2 4 6" xfId="14464" xr:uid="{00000000-0005-0000-0000-0000313E0000}"/>
    <cellStyle name="Финансовый 2 3 11 2 4 6 2" xfId="38419" xr:uid="{00000000-0005-0000-0000-0000323E0000}"/>
    <cellStyle name="Финансовый 2 3 11 2 4 7" xfId="26442" xr:uid="{00000000-0005-0000-0000-0000333E0000}"/>
    <cellStyle name="Финансовый 2 3 11 2 4 8" xfId="49575" xr:uid="{00000000-0005-0000-0000-0000343E0000}"/>
    <cellStyle name="Финансовый 2 3 11 2 5" xfId="989" xr:uid="{00000000-0005-0000-0000-0000353E0000}"/>
    <cellStyle name="Финансовый 2 3 11 2 5 2" xfId="7029" xr:uid="{00000000-0005-0000-0000-0000363E0000}"/>
    <cellStyle name="Финансовый 2 3 11 2 5 2 2" xfId="19007" xr:uid="{00000000-0005-0000-0000-0000373E0000}"/>
    <cellStyle name="Финансовый 2 3 11 2 5 2 2 2" xfId="42962" xr:uid="{00000000-0005-0000-0000-0000383E0000}"/>
    <cellStyle name="Финансовый 2 3 11 2 5 2 3" xfId="30984" xr:uid="{00000000-0005-0000-0000-0000393E0000}"/>
    <cellStyle name="Финансовый 2 3 11 2 5 3" xfId="10577" xr:uid="{00000000-0005-0000-0000-00003A3E0000}"/>
    <cellStyle name="Финансовый 2 3 11 2 5 3 2" xfId="22555" xr:uid="{00000000-0005-0000-0000-00003B3E0000}"/>
    <cellStyle name="Финансовый 2 3 11 2 5 3 2 2" xfId="46510" xr:uid="{00000000-0005-0000-0000-00003C3E0000}"/>
    <cellStyle name="Финансовый 2 3 11 2 5 3 3" xfId="34532" xr:uid="{00000000-0005-0000-0000-00003D3E0000}"/>
    <cellStyle name="Финансовый 2 3 11 2 5 4" xfId="12970" xr:uid="{00000000-0005-0000-0000-00003E3E0000}"/>
    <cellStyle name="Финансовый 2 3 11 2 5 4 2" xfId="36925" xr:uid="{00000000-0005-0000-0000-00003F3E0000}"/>
    <cellStyle name="Финансовый 2 3 11 2 5 5" xfId="24948" xr:uid="{00000000-0005-0000-0000-0000403E0000}"/>
    <cellStyle name="Финансовый 2 3 11 2 5 6" xfId="49854" xr:uid="{00000000-0005-0000-0000-0000413E0000}"/>
    <cellStyle name="Финансовый 2 3 11 2 6" xfId="577" xr:uid="{00000000-0005-0000-0000-0000423E0000}"/>
    <cellStyle name="Финансовый 2 3 11 2 6 2" xfId="6617" xr:uid="{00000000-0005-0000-0000-0000433E0000}"/>
    <cellStyle name="Финансовый 2 3 11 2 6 2 2" xfId="18595" xr:uid="{00000000-0005-0000-0000-0000443E0000}"/>
    <cellStyle name="Финансовый 2 3 11 2 6 2 2 2" xfId="42550" xr:uid="{00000000-0005-0000-0000-0000453E0000}"/>
    <cellStyle name="Финансовый 2 3 11 2 6 2 3" xfId="30572" xr:uid="{00000000-0005-0000-0000-0000463E0000}"/>
    <cellStyle name="Финансовый 2 3 11 2 6 3" xfId="12558" xr:uid="{00000000-0005-0000-0000-0000473E0000}"/>
    <cellStyle name="Финансовый 2 3 11 2 6 3 2" xfId="36513" xr:uid="{00000000-0005-0000-0000-0000483E0000}"/>
    <cellStyle name="Финансовый 2 3 11 2 6 4" xfId="24536" xr:uid="{00000000-0005-0000-0000-0000493E0000}"/>
    <cellStyle name="Финансовый 2 3 11 2 7" xfId="2766" xr:uid="{00000000-0005-0000-0000-00004A3E0000}"/>
    <cellStyle name="Финансовый 2 3 11 2 7 2" xfId="14745" xr:uid="{00000000-0005-0000-0000-00004B3E0000}"/>
    <cellStyle name="Финансовый 2 3 11 2 7 2 2" xfId="38700" xr:uid="{00000000-0005-0000-0000-00004C3E0000}"/>
    <cellStyle name="Финансовый 2 3 11 2 7 3" xfId="26723" xr:uid="{00000000-0005-0000-0000-00004D3E0000}"/>
    <cellStyle name="Финансовый 2 3 11 2 8" xfId="4410" xr:uid="{00000000-0005-0000-0000-00004E3E0000}"/>
    <cellStyle name="Финансовый 2 3 11 2 8 2" xfId="16389" xr:uid="{00000000-0005-0000-0000-00004F3E0000}"/>
    <cellStyle name="Финансовый 2 3 11 2 8 2 2" xfId="40344" xr:uid="{00000000-0005-0000-0000-0000503E0000}"/>
    <cellStyle name="Финансовый 2 3 11 2 8 3" xfId="28367" xr:uid="{00000000-0005-0000-0000-0000513E0000}"/>
    <cellStyle name="Финансовый 2 3 11 2 9" xfId="6197" xr:uid="{00000000-0005-0000-0000-0000523E0000}"/>
    <cellStyle name="Финансовый 2 3 11 2 9 2" xfId="18175" xr:uid="{00000000-0005-0000-0000-0000533E0000}"/>
    <cellStyle name="Финансовый 2 3 11 2 9 2 2" xfId="42130" xr:uid="{00000000-0005-0000-0000-0000543E0000}"/>
    <cellStyle name="Финансовый 2 3 11 2 9 3" xfId="30152" xr:uid="{00000000-0005-0000-0000-0000553E0000}"/>
    <cellStyle name="Финансовый 2 3 11 3" xfId="305" xr:uid="{00000000-0005-0000-0000-0000563E0000}"/>
    <cellStyle name="Финансовый 2 3 11 3 10" xfId="24264" xr:uid="{00000000-0005-0000-0000-0000573E0000}"/>
    <cellStyle name="Финансовый 2 3 11 3 11" xfId="48210" xr:uid="{00000000-0005-0000-0000-0000583E0000}"/>
    <cellStyle name="Финансовый 2 3 11 3 2" xfId="2092" xr:uid="{00000000-0005-0000-0000-0000593E0000}"/>
    <cellStyle name="Финансовый 2 3 11 3 2 2" xfId="3737" xr:uid="{00000000-0005-0000-0000-00005A3E0000}"/>
    <cellStyle name="Финансовый 2 3 11 3 2 2 2" xfId="11477" xr:uid="{00000000-0005-0000-0000-00005B3E0000}"/>
    <cellStyle name="Финансовый 2 3 11 3 2 2 2 2" xfId="23455" xr:uid="{00000000-0005-0000-0000-00005C3E0000}"/>
    <cellStyle name="Финансовый 2 3 11 3 2 2 2 2 2" xfId="47410" xr:uid="{00000000-0005-0000-0000-00005D3E0000}"/>
    <cellStyle name="Финансовый 2 3 11 3 2 2 2 3" xfId="35432" xr:uid="{00000000-0005-0000-0000-00005E3E0000}"/>
    <cellStyle name="Финансовый 2 3 11 3 2 2 3" xfId="15716" xr:uid="{00000000-0005-0000-0000-00005F3E0000}"/>
    <cellStyle name="Финансовый 2 3 11 3 2 2 3 2" xfId="39671" xr:uid="{00000000-0005-0000-0000-0000603E0000}"/>
    <cellStyle name="Финансовый 2 3 11 3 2 2 4" xfId="27694" xr:uid="{00000000-0005-0000-0000-0000613E0000}"/>
    <cellStyle name="Финансовый 2 3 11 3 2 2 5" xfId="50963" xr:uid="{00000000-0005-0000-0000-0000623E0000}"/>
    <cellStyle name="Финансовый 2 3 11 3 2 3" xfId="5520" xr:uid="{00000000-0005-0000-0000-0000633E0000}"/>
    <cellStyle name="Финансовый 2 3 11 3 2 3 2" xfId="17498" xr:uid="{00000000-0005-0000-0000-0000643E0000}"/>
    <cellStyle name="Финансовый 2 3 11 3 2 3 2 2" xfId="41453" xr:uid="{00000000-0005-0000-0000-0000653E0000}"/>
    <cellStyle name="Финансовый 2 3 11 3 2 3 3" xfId="29475" xr:uid="{00000000-0005-0000-0000-0000663E0000}"/>
    <cellStyle name="Финансовый 2 3 11 3 2 4" xfId="8130" xr:uid="{00000000-0005-0000-0000-0000673E0000}"/>
    <cellStyle name="Финансовый 2 3 11 3 2 4 2" xfId="20108" xr:uid="{00000000-0005-0000-0000-0000683E0000}"/>
    <cellStyle name="Финансовый 2 3 11 3 2 4 2 2" xfId="44063" xr:uid="{00000000-0005-0000-0000-0000693E0000}"/>
    <cellStyle name="Финансовый 2 3 11 3 2 4 3" xfId="32085" xr:uid="{00000000-0005-0000-0000-00006A3E0000}"/>
    <cellStyle name="Финансовый 2 3 11 3 2 5" xfId="9913" xr:uid="{00000000-0005-0000-0000-00006B3E0000}"/>
    <cellStyle name="Финансовый 2 3 11 3 2 5 2" xfId="21891" xr:uid="{00000000-0005-0000-0000-00006C3E0000}"/>
    <cellStyle name="Финансовый 2 3 11 3 2 5 2 2" xfId="45846" xr:uid="{00000000-0005-0000-0000-00006D3E0000}"/>
    <cellStyle name="Финансовый 2 3 11 3 2 5 3" xfId="33868" xr:uid="{00000000-0005-0000-0000-00006E3E0000}"/>
    <cellStyle name="Финансовый 2 3 11 3 2 6" xfId="14071" xr:uid="{00000000-0005-0000-0000-00006F3E0000}"/>
    <cellStyle name="Финансовый 2 3 11 3 2 6 2" xfId="38026" xr:uid="{00000000-0005-0000-0000-0000703E0000}"/>
    <cellStyle name="Финансовый 2 3 11 3 2 7" xfId="26049" xr:uid="{00000000-0005-0000-0000-0000713E0000}"/>
    <cellStyle name="Финансовый 2 3 11 3 2 8" xfId="49182" xr:uid="{00000000-0005-0000-0000-0000723E0000}"/>
    <cellStyle name="Финансовый 2 3 11 3 3" xfId="1125" xr:uid="{00000000-0005-0000-0000-0000733E0000}"/>
    <cellStyle name="Финансовый 2 3 11 3 3 2" xfId="7165" xr:uid="{00000000-0005-0000-0000-0000743E0000}"/>
    <cellStyle name="Финансовый 2 3 11 3 3 2 2" xfId="19143" xr:uid="{00000000-0005-0000-0000-0000753E0000}"/>
    <cellStyle name="Финансовый 2 3 11 3 3 2 2 2" xfId="43098" xr:uid="{00000000-0005-0000-0000-0000763E0000}"/>
    <cellStyle name="Финансовый 2 3 11 3 3 2 3" xfId="31120" xr:uid="{00000000-0005-0000-0000-0000773E0000}"/>
    <cellStyle name="Финансовый 2 3 11 3 3 3" xfId="10705" xr:uid="{00000000-0005-0000-0000-0000783E0000}"/>
    <cellStyle name="Финансовый 2 3 11 3 3 3 2" xfId="22683" xr:uid="{00000000-0005-0000-0000-0000793E0000}"/>
    <cellStyle name="Финансовый 2 3 11 3 3 3 2 2" xfId="46638" xr:uid="{00000000-0005-0000-0000-00007A3E0000}"/>
    <cellStyle name="Финансовый 2 3 11 3 3 3 3" xfId="34660" xr:uid="{00000000-0005-0000-0000-00007B3E0000}"/>
    <cellStyle name="Финансовый 2 3 11 3 3 4" xfId="13106" xr:uid="{00000000-0005-0000-0000-00007C3E0000}"/>
    <cellStyle name="Финансовый 2 3 11 3 3 4 2" xfId="37061" xr:uid="{00000000-0005-0000-0000-00007D3E0000}"/>
    <cellStyle name="Финансовый 2 3 11 3 3 5" xfId="25084" xr:uid="{00000000-0005-0000-0000-00007E3E0000}"/>
    <cellStyle name="Финансовый 2 3 11 3 3 6" xfId="49990" xr:uid="{00000000-0005-0000-0000-00007F3E0000}"/>
    <cellStyle name="Финансовый 2 3 11 3 4" xfId="725" xr:uid="{00000000-0005-0000-0000-0000803E0000}"/>
    <cellStyle name="Финансовый 2 3 11 3 4 2" xfId="6765" xr:uid="{00000000-0005-0000-0000-0000813E0000}"/>
    <cellStyle name="Финансовый 2 3 11 3 4 2 2" xfId="18743" xr:uid="{00000000-0005-0000-0000-0000823E0000}"/>
    <cellStyle name="Финансовый 2 3 11 3 4 2 2 2" xfId="42698" xr:uid="{00000000-0005-0000-0000-0000833E0000}"/>
    <cellStyle name="Финансовый 2 3 11 3 4 2 3" xfId="30720" xr:uid="{00000000-0005-0000-0000-0000843E0000}"/>
    <cellStyle name="Финансовый 2 3 11 3 4 3" xfId="12706" xr:uid="{00000000-0005-0000-0000-0000853E0000}"/>
    <cellStyle name="Финансовый 2 3 11 3 4 3 2" xfId="36661" xr:uid="{00000000-0005-0000-0000-0000863E0000}"/>
    <cellStyle name="Финансовый 2 3 11 3 4 4" xfId="24684" xr:uid="{00000000-0005-0000-0000-0000873E0000}"/>
    <cellStyle name="Финансовый 2 3 11 3 5" xfId="2902" xr:uid="{00000000-0005-0000-0000-0000883E0000}"/>
    <cellStyle name="Финансовый 2 3 11 3 5 2" xfId="14881" xr:uid="{00000000-0005-0000-0000-0000893E0000}"/>
    <cellStyle name="Финансовый 2 3 11 3 5 2 2" xfId="38836" xr:uid="{00000000-0005-0000-0000-00008A3E0000}"/>
    <cellStyle name="Финансовый 2 3 11 3 5 3" xfId="26859" xr:uid="{00000000-0005-0000-0000-00008B3E0000}"/>
    <cellStyle name="Финансовый 2 3 11 3 6" xfId="4546" xr:uid="{00000000-0005-0000-0000-00008C3E0000}"/>
    <cellStyle name="Финансовый 2 3 11 3 6 2" xfId="16525" xr:uid="{00000000-0005-0000-0000-00008D3E0000}"/>
    <cellStyle name="Финансовый 2 3 11 3 6 2 2" xfId="40480" xr:uid="{00000000-0005-0000-0000-00008E3E0000}"/>
    <cellStyle name="Финансовый 2 3 11 3 6 3" xfId="28503" xr:uid="{00000000-0005-0000-0000-00008F3E0000}"/>
    <cellStyle name="Финансовый 2 3 11 3 7" xfId="6345" xr:uid="{00000000-0005-0000-0000-0000903E0000}"/>
    <cellStyle name="Финансовый 2 3 11 3 7 2" xfId="18323" xr:uid="{00000000-0005-0000-0000-0000913E0000}"/>
    <cellStyle name="Финансовый 2 3 11 3 7 2 2" xfId="42278" xr:uid="{00000000-0005-0000-0000-0000923E0000}"/>
    <cellStyle name="Финансовый 2 3 11 3 7 3" xfId="30300" xr:uid="{00000000-0005-0000-0000-0000933E0000}"/>
    <cellStyle name="Финансовый 2 3 11 3 8" xfId="8940" xr:uid="{00000000-0005-0000-0000-0000943E0000}"/>
    <cellStyle name="Финансовый 2 3 11 3 8 2" xfId="20918" xr:uid="{00000000-0005-0000-0000-0000953E0000}"/>
    <cellStyle name="Финансовый 2 3 11 3 8 2 2" xfId="44873" xr:uid="{00000000-0005-0000-0000-0000963E0000}"/>
    <cellStyle name="Финансовый 2 3 11 3 8 3" xfId="32895" xr:uid="{00000000-0005-0000-0000-0000973E0000}"/>
    <cellStyle name="Финансовый 2 3 11 3 9" xfId="12286" xr:uid="{00000000-0005-0000-0000-0000983E0000}"/>
    <cellStyle name="Финансовый 2 3 11 3 9 2" xfId="36241" xr:uid="{00000000-0005-0000-0000-0000993E0000}"/>
    <cellStyle name="Финансовый 2 3 11 4" xfId="1447" xr:uid="{00000000-0005-0000-0000-00009A3E0000}"/>
    <cellStyle name="Финансовый 2 3 11 4 2" xfId="1828" xr:uid="{00000000-0005-0000-0000-00009B3E0000}"/>
    <cellStyle name="Финансовый 2 3 11 4 2 2" xfId="3473" xr:uid="{00000000-0005-0000-0000-00009C3E0000}"/>
    <cellStyle name="Финансовый 2 3 11 4 2 2 2" xfId="11221" xr:uid="{00000000-0005-0000-0000-00009D3E0000}"/>
    <cellStyle name="Финансовый 2 3 11 4 2 2 2 2" xfId="23199" xr:uid="{00000000-0005-0000-0000-00009E3E0000}"/>
    <cellStyle name="Финансовый 2 3 11 4 2 2 2 2 2" xfId="47154" xr:uid="{00000000-0005-0000-0000-00009F3E0000}"/>
    <cellStyle name="Финансовый 2 3 11 4 2 2 2 3" xfId="35176" xr:uid="{00000000-0005-0000-0000-0000A03E0000}"/>
    <cellStyle name="Финансовый 2 3 11 4 2 2 3" xfId="15452" xr:uid="{00000000-0005-0000-0000-0000A13E0000}"/>
    <cellStyle name="Финансовый 2 3 11 4 2 2 3 2" xfId="39407" xr:uid="{00000000-0005-0000-0000-0000A23E0000}"/>
    <cellStyle name="Финансовый 2 3 11 4 2 2 4" xfId="27430" xr:uid="{00000000-0005-0000-0000-0000A33E0000}"/>
    <cellStyle name="Финансовый 2 3 11 4 2 2 5" xfId="50699" xr:uid="{00000000-0005-0000-0000-0000A43E0000}"/>
    <cellStyle name="Финансовый 2 3 11 4 2 3" xfId="5256" xr:uid="{00000000-0005-0000-0000-0000A53E0000}"/>
    <cellStyle name="Финансовый 2 3 11 4 2 3 2" xfId="17234" xr:uid="{00000000-0005-0000-0000-0000A63E0000}"/>
    <cellStyle name="Финансовый 2 3 11 4 2 3 2 2" xfId="41189" xr:uid="{00000000-0005-0000-0000-0000A73E0000}"/>
    <cellStyle name="Финансовый 2 3 11 4 2 3 3" xfId="29211" xr:uid="{00000000-0005-0000-0000-0000A83E0000}"/>
    <cellStyle name="Финансовый 2 3 11 4 2 4" xfId="7866" xr:uid="{00000000-0005-0000-0000-0000A93E0000}"/>
    <cellStyle name="Финансовый 2 3 11 4 2 4 2" xfId="19844" xr:uid="{00000000-0005-0000-0000-0000AA3E0000}"/>
    <cellStyle name="Финансовый 2 3 11 4 2 4 2 2" xfId="43799" xr:uid="{00000000-0005-0000-0000-0000AB3E0000}"/>
    <cellStyle name="Финансовый 2 3 11 4 2 4 3" xfId="31821" xr:uid="{00000000-0005-0000-0000-0000AC3E0000}"/>
    <cellStyle name="Финансовый 2 3 11 4 2 5" xfId="9649" xr:uid="{00000000-0005-0000-0000-0000AD3E0000}"/>
    <cellStyle name="Финансовый 2 3 11 4 2 5 2" xfId="21627" xr:uid="{00000000-0005-0000-0000-0000AE3E0000}"/>
    <cellStyle name="Финансовый 2 3 11 4 2 5 2 2" xfId="45582" xr:uid="{00000000-0005-0000-0000-0000AF3E0000}"/>
    <cellStyle name="Финансовый 2 3 11 4 2 5 3" xfId="33604" xr:uid="{00000000-0005-0000-0000-0000B03E0000}"/>
    <cellStyle name="Финансовый 2 3 11 4 2 6" xfId="13807" xr:uid="{00000000-0005-0000-0000-0000B13E0000}"/>
    <cellStyle name="Финансовый 2 3 11 4 2 6 2" xfId="37762" xr:uid="{00000000-0005-0000-0000-0000B23E0000}"/>
    <cellStyle name="Финансовый 2 3 11 4 2 7" xfId="25785" xr:uid="{00000000-0005-0000-0000-0000B33E0000}"/>
    <cellStyle name="Финансовый 2 3 11 4 2 8" xfId="48918" xr:uid="{00000000-0005-0000-0000-0000B43E0000}"/>
    <cellStyle name="Финансовый 2 3 11 4 3" xfId="4875" xr:uid="{00000000-0005-0000-0000-0000B53E0000}"/>
    <cellStyle name="Финансовый 2 3 11 4 3 2" xfId="16853" xr:uid="{00000000-0005-0000-0000-0000B63E0000}"/>
    <cellStyle name="Финансовый 2 3 11 4 3 2 2" xfId="40808" xr:uid="{00000000-0005-0000-0000-0000B73E0000}"/>
    <cellStyle name="Финансовый 2 3 11 4 3 3" xfId="28830" xr:uid="{00000000-0005-0000-0000-0000B83E0000}"/>
    <cellStyle name="Финансовый 2 3 11 4 3 4" xfId="50318" xr:uid="{00000000-0005-0000-0000-0000B93E0000}"/>
    <cellStyle name="Финансовый 2 3 11 4 4" xfId="7485" xr:uid="{00000000-0005-0000-0000-0000BA3E0000}"/>
    <cellStyle name="Финансовый 2 3 11 4 4 2" xfId="19463" xr:uid="{00000000-0005-0000-0000-0000BB3E0000}"/>
    <cellStyle name="Финансовый 2 3 11 4 4 2 2" xfId="43418" xr:uid="{00000000-0005-0000-0000-0000BC3E0000}"/>
    <cellStyle name="Финансовый 2 3 11 4 4 3" xfId="31440" xr:uid="{00000000-0005-0000-0000-0000BD3E0000}"/>
    <cellStyle name="Финансовый 2 3 11 4 5" xfId="9268" xr:uid="{00000000-0005-0000-0000-0000BE3E0000}"/>
    <cellStyle name="Финансовый 2 3 11 4 5 2" xfId="21246" xr:uid="{00000000-0005-0000-0000-0000BF3E0000}"/>
    <cellStyle name="Финансовый 2 3 11 4 5 2 2" xfId="45201" xr:uid="{00000000-0005-0000-0000-0000C03E0000}"/>
    <cellStyle name="Финансовый 2 3 11 4 5 3" xfId="33223" xr:uid="{00000000-0005-0000-0000-0000C13E0000}"/>
    <cellStyle name="Финансовый 2 3 11 4 6" xfId="13426" xr:uid="{00000000-0005-0000-0000-0000C23E0000}"/>
    <cellStyle name="Финансовый 2 3 11 4 6 2" xfId="37381" xr:uid="{00000000-0005-0000-0000-0000C33E0000}"/>
    <cellStyle name="Финансовый 2 3 11 4 7" xfId="25404" xr:uid="{00000000-0005-0000-0000-0000C43E0000}"/>
    <cellStyle name="Финансовый 2 3 11 4 8" xfId="48537" xr:uid="{00000000-0005-0000-0000-0000C53E0000}"/>
    <cellStyle name="Финансовый 2 3 11 5" xfId="1712" xr:uid="{00000000-0005-0000-0000-0000C63E0000}"/>
    <cellStyle name="Финансовый 2 3 11 5 2" xfId="3357" xr:uid="{00000000-0005-0000-0000-0000C73E0000}"/>
    <cellStyle name="Финансовый 2 3 11 5 2 2" xfId="11105" xr:uid="{00000000-0005-0000-0000-0000C83E0000}"/>
    <cellStyle name="Финансовый 2 3 11 5 2 2 2" xfId="23083" xr:uid="{00000000-0005-0000-0000-0000C93E0000}"/>
    <cellStyle name="Финансовый 2 3 11 5 2 2 2 2" xfId="47038" xr:uid="{00000000-0005-0000-0000-0000CA3E0000}"/>
    <cellStyle name="Финансовый 2 3 11 5 2 2 3" xfId="35060" xr:uid="{00000000-0005-0000-0000-0000CB3E0000}"/>
    <cellStyle name="Финансовый 2 3 11 5 2 3" xfId="15336" xr:uid="{00000000-0005-0000-0000-0000CC3E0000}"/>
    <cellStyle name="Финансовый 2 3 11 5 2 3 2" xfId="39291" xr:uid="{00000000-0005-0000-0000-0000CD3E0000}"/>
    <cellStyle name="Финансовый 2 3 11 5 2 4" xfId="27314" xr:uid="{00000000-0005-0000-0000-0000CE3E0000}"/>
    <cellStyle name="Финансовый 2 3 11 5 2 5" xfId="50583" xr:uid="{00000000-0005-0000-0000-0000CF3E0000}"/>
    <cellStyle name="Финансовый 2 3 11 5 3" xfId="5140" xr:uid="{00000000-0005-0000-0000-0000D03E0000}"/>
    <cellStyle name="Финансовый 2 3 11 5 3 2" xfId="17118" xr:uid="{00000000-0005-0000-0000-0000D13E0000}"/>
    <cellStyle name="Финансовый 2 3 11 5 3 2 2" xfId="41073" xr:uid="{00000000-0005-0000-0000-0000D23E0000}"/>
    <cellStyle name="Финансовый 2 3 11 5 3 3" xfId="29095" xr:uid="{00000000-0005-0000-0000-0000D33E0000}"/>
    <cellStyle name="Финансовый 2 3 11 5 4" xfId="7750" xr:uid="{00000000-0005-0000-0000-0000D43E0000}"/>
    <cellStyle name="Финансовый 2 3 11 5 4 2" xfId="19728" xr:uid="{00000000-0005-0000-0000-0000D53E0000}"/>
    <cellStyle name="Финансовый 2 3 11 5 4 2 2" xfId="43683" xr:uid="{00000000-0005-0000-0000-0000D63E0000}"/>
    <cellStyle name="Финансовый 2 3 11 5 4 3" xfId="31705" xr:uid="{00000000-0005-0000-0000-0000D73E0000}"/>
    <cellStyle name="Финансовый 2 3 11 5 5" xfId="9533" xr:uid="{00000000-0005-0000-0000-0000D83E0000}"/>
    <cellStyle name="Финансовый 2 3 11 5 5 2" xfId="21511" xr:uid="{00000000-0005-0000-0000-0000D93E0000}"/>
    <cellStyle name="Финансовый 2 3 11 5 5 2 2" xfId="45466" xr:uid="{00000000-0005-0000-0000-0000DA3E0000}"/>
    <cellStyle name="Финансовый 2 3 11 5 5 3" xfId="33488" xr:uid="{00000000-0005-0000-0000-0000DB3E0000}"/>
    <cellStyle name="Финансовый 2 3 11 5 6" xfId="13691" xr:uid="{00000000-0005-0000-0000-0000DC3E0000}"/>
    <cellStyle name="Финансовый 2 3 11 5 6 2" xfId="37646" xr:uid="{00000000-0005-0000-0000-0000DD3E0000}"/>
    <cellStyle name="Финансовый 2 3 11 5 7" xfId="25669" xr:uid="{00000000-0005-0000-0000-0000DE3E0000}"/>
    <cellStyle name="Финансовый 2 3 11 5 8" xfId="48802" xr:uid="{00000000-0005-0000-0000-0000DF3E0000}"/>
    <cellStyle name="Финансовый 2 3 11 6" xfId="2348" xr:uid="{00000000-0005-0000-0000-0000E03E0000}"/>
    <cellStyle name="Финансовый 2 3 11 6 2" xfId="3993" xr:uid="{00000000-0005-0000-0000-0000E13E0000}"/>
    <cellStyle name="Финансовый 2 3 11 6 2 2" xfId="11733" xr:uid="{00000000-0005-0000-0000-0000E23E0000}"/>
    <cellStyle name="Финансовый 2 3 11 6 2 2 2" xfId="23711" xr:uid="{00000000-0005-0000-0000-0000E33E0000}"/>
    <cellStyle name="Финансовый 2 3 11 6 2 2 2 2" xfId="47666" xr:uid="{00000000-0005-0000-0000-0000E43E0000}"/>
    <cellStyle name="Финансовый 2 3 11 6 2 2 3" xfId="35688" xr:uid="{00000000-0005-0000-0000-0000E53E0000}"/>
    <cellStyle name="Финансовый 2 3 11 6 2 3" xfId="15972" xr:uid="{00000000-0005-0000-0000-0000E63E0000}"/>
    <cellStyle name="Финансовый 2 3 11 6 2 3 2" xfId="39927" xr:uid="{00000000-0005-0000-0000-0000E73E0000}"/>
    <cellStyle name="Финансовый 2 3 11 6 2 4" xfId="27950" xr:uid="{00000000-0005-0000-0000-0000E83E0000}"/>
    <cellStyle name="Финансовый 2 3 11 6 2 5" xfId="51219" xr:uid="{00000000-0005-0000-0000-0000E93E0000}"/>
    <cellStyle name="Финансовый 2 3 11 6 3" xfId="5776" xr:uid="{00000000-0005-0000-0000-0000EA3E0000}"/>
    <cellStyle name="Финансовый 2 3 11 6 3 2" xfId="17754" xr:uid="{00000000-0005-0000-0000-0000EB3E0000}"/>
    <cellStyle name="Финансовый 2 3 11 6 3 2 2" xfId="41709" xr:uid="{00000000-0005-0000-0000-0000EC3E0000}"/>
    <cellStyle name="Финансовый 2 3 11 6 3 3" xfId="29731" xr:uid="{00000000-0005-0000-0000-0000ED3E0000}"/>
    <cellStyle name="Финансовый 2 3 11 6 4" xfId="8386" xr:uid="{00000000-0005-0000-0000-0000EE3E0000}"/>
    <cellStyle name="Финансовый 2 3 11 6 4 2" xfId="20364" xr:uid="{00000000-0005-0000-0000-0000EF3E0000}"/>
    <cellStyle name="Финансовый 2 3 11 6 4 2 2" xfId="44319" xr:uid="{00000000-0005-0000-0000-0000F03E0000}"/>
    <cellStyle name="Финансовый 2 3 11 6 4 3" xfId="32341" xr:uid="{00000000-0005-0000-0000-0000F13E0000}"/>
    <cellStyle name="Финансовый 2 3 11 6 5" xfId="10169" xr:uid="{00000000-0005-0000-0000-0000F23E0000}"/>
    <cellStyle name="Финансовый 2 3 11 6 5 2" xfId="22147" xr:uid="{00000000-0005-0000-0000-0000F33E0000}"/>
    <cellStyle name="Финансовый 2 3 11 6 5 2 2" xfId="46102" xr:uid="{00000000-0005-0000-0000-0000F43E0000}"/>
    <cellStyle name="Финансовый 2 3 11 6 5 3" xfId="34124" xr:uid="{00000000-0005-0000-0000-0000F53E0000}"/>
    <cellStyle name="Финансовый 2 3 11 6 6" xfId="14327" xr:uid="{00000000-0005-0000-0000-0000F63E0000}"/>
    <cellStyle name="Финансовый 2 3 11 6 6 2" xfId="38282" xr:uid="{00000000-0005-0000-0000-0000F73E0000}"/>
    <cellStyle name="Финансовый 2 3 11 6 7" xfId="26305" xr:uid="{00000000-0005-0000-0000-0000F83E0000}"/>
    <cellStyle name="Финансовый 2 3 11 6 8" xfId="49438" xr:uid="{00000000-0005-0000-0000-0000F93E0000}"/>
    <cellStyle name="Финансовый 2 3 11 7" xfId="1575" xr:uid="{00000000-0005-0000-0000-0000FA3E0000}"/>
    <cellStyle name="Финансовый 2 3 11 7 2" xfId="3220" xr:uid="{00000000-0005-0000-0000-0000FB3E0000}"/>
    <cellStyle name="Финансовый 2 3 11 7 2 2" xfId="10976" xr:uid="{00000000-0005-0000-0000-0000FC3E0000}"/>
    <cellStyle name="Финансовый 2 3 11 7 2 2 2" xfId="22954" xr:uid="{00000000-0005-0000-0000-0000FD3E0000}"/>
    <cellStyle name="Финансовый 2 3 11 7 2 2 2 2" xfId="46909" xr:uid="{00000000-0005-0000-0000-0000FE3E0000}"/>
    <cellStyle name="Финансовый 2 3 11 7 2 2 3" xfId="34931" xr:uid="{00000000-0005-0000-0000-0000FF3E0000}"/>
    <cellStyle name="Финансовый 2 3 11 7 2 3" xfId="15199" xr:uid="{00000000-0005-0000-0000-0000003F0000}"/>
    <cellStyle name="Финансовый 2 3 11 7 2 3 2" xfId="39154" xr:uid="{00000000-0005-0000-0000-0000013F0000}"/>
    <cellStyle name="Финансовый 2 3 11 7 2 4" xfId="27177" xr:uid="{00000000-0005-0000-0000-0000023F0000}"/>
    <cellStyle name="Финансовый 2 3 11 7 2 5" xfId="50446" xr:uid="{00000000-0005-0000-0000-0000033F0000}"/>
    <cellStyle name="Финансовый 2 3 11 7 3" xfId="5003" xr:uid="{00000000-0005-0000-0000-0000043F0000}"/>
    <cellStyle name="Финансовый 2 3 11 7 3 2" xfId="16981" xr:uid="{00000000-0005-0000-0000-0000053F0000}"/>
    <cellStyle name="Финансовый 2 3 11 7 3 2 2" xfId="40936" xr:uid="{00000000-0005-0000-0000-0000063F0000}"/>
    <cellStyle name="Финансовый 2 3 11 7 3 3" xfId="28958" xr:uid="{00000000-0005-0000-0000-0000073F0000}"/>
    <cellStyle name="Финансовый 2 3 11 7 4" xfId="7613" xr:uid="{00000000-0005-0000-0000-0000083F0000}"/>
    <cellStyle name="Финансовый 2 3 11 7 4 2" xfId="19591" xr:uid="{00000000-0005-0000-0000-0000093F0000}"/>
    <cellStyle name="Финансовый 2 3 11 7 4 2 2" xfId="43546" xr:uid="{00000000-0005-0000-0000-00000A3F0000}"/>
    <cellStyle name="Финансовый 2 3 11 7 4 3" xfId="31568" xr:uid="{00000000-0005-0000-0000-00000B3F0000}"/>
    <cellStyle name="Финансовый 2 3 11 7 5" xfId="9396" xr:uid="{00000000-0005-0000-0000-00000C3F0000}"/>
    <cellStyle name="Финансовый 2 3 11 7 5 2" xfId="21374" xr:uid="{00000000-0005-0000-0000-00000D3F0000}"/>
    <cellStyle name="Финансовый 2 3 11 7 5 2 2" xfId="45329" xr:uid="{00000000-0005-0000-0000-00000E3F0000}"/>
    <cellStyle name="Финансовый 2 3 11 7 5 3" xfId="33351" xr:uid="{00000000-0005-0000-0000-00000F3F0000}"/>
    <cellStyle name="Финансовый 2 3 11 7 6" xfId="13554" xr:uid="{00000000-0005-0000-0000-0000103F0000}"/>
    <cellStyle name="Финансовый 2 3 11 7 6 2" xfId="37509" xr:uid="{00000000-0005-0000-0000-0000113F0000}"/>
    <cellStyle name="Финансовый 2 3 11 7 7" xfId="25532" xr:uid="{00000000-0005-0000-0000-0000123F0000}"/>
    <cellStyle name="Финансовый 2 3 11 7 8" xfId="48665" xr:uid="{00000000-0005-0000-0000-0000133F0000}"/>
    <cellStyle name="Финансовый 2 3 11 8" xfId="861" xr:uid="{00000000-0005-0000-0000-0000143F0000}"/>
    <cellStyle name="Финансовый 2 3 11 8 2" xfId="6901" xr:uid="{00000000-0005-0000-0000-0000153F0000}"/>
    <cellStyle name="Финансовый 2 3 11 8 2 2" xfId="18879" xr:uid="{00000000-0005-0000-0000-0000163F0000}"/>
    <cellStyle name="Финансовый 2 3 11 8 2 2 2" xfId="42834" xr:uid="{00000000-0005-0000-0000-0000173F0000}"/>
    <cellStyle name="Финансовый 2 3 11 8 2 3" xfId="30856" xr:uid="{00000000-0005-0000-0000-0000183F0000}"/>
    <cellStyle name="Финансовый 2 3 11 8 3" xfId="10449" xr:uid="{00000000-0005-0000-0000-0000193F0000}"/>
    <cellStyle name="Финансовый 2 3 11 8 3 2" xfId="22427" xr:uid="{00000000-0005-0000-0000-00001A3F0000}"/>
    <cellStyle name="Финансовый 2 3 11 8 3 2 2" xfId="46382" xr:uid="{00000000-0005-0000-0000-00001B3F0000}"/>
    <cellStyle name="Финансовый 2 3 11 8 3 3" xfId="34404" xr:uid="{00000000-0005-0000-0000-00001C3F0000}"/>
    <cellStyle name="Финансовый 2 3 11 8 4" xfId="12842" xr:uid="{00000000-0005-0000-0000-00001D3F0000}"/>
    <cellStyle name="Финансовый 2 3 11 8 4 2" xfId="36797" xr:uid="{00000000-0005-0000-0000-00001E3F0000}"/>
    <cellStyle name="Финансовый 2 3 11 8 5" xfId="24820" xr:uid="{00000000-0005-0000-0000-00001F3F0000}"/>
    <cellStyle name="Финансовый 2 3 11 8 6" xfId="49718" xr:uid="{00000000-0005-0000-0000-0000203F0000}"/>
    <cellStyle name="Финансовый 2 3 11 9" xfId="441" xr:uid="{00000000-0005-0000-0000-0000213F0000}"/>
    <cellStyle name="Финансовый 2 3 11 9 2" xfId="6481" xr:uid="{00000000-0005-0000-0000-0000223F0000}"/>
    <cellStyle name="Финансовый 2 3 11 9 2 2" xfId="18459" xr:uid="{00000000-0005-0000-0000-0000233F0000}"/>
    <cellStyle name="Финансовый 2 3 11 9 2 2 2" xfId="42414" xr:uid="{00000000-0005-0000-0000-0000243F0000}"/>
    <cellStyle name="Финансовый 2 3 11 9 2 3" xfId="30436" xr:uid="{00000000-0005-0000-0000-0000253F0000}"/>
    <cellStyle name="Финансовый 2 3 11 9 3" xfId="12422" xr:uid="{00000000-0005-0000-0000-0000263F0000}"/>
    <cellStyle name="Финансовый 2 3 11 9 3 2" xfId="36377" xr:uid="{00000000-0005-0000-0000-0000273F0000}"/>
    <cellStyle name="Финансовый 2 3 11 9 4" xfId="24400" xr:uid="{00000000-0005-0000-0000-0000283F0000}"/>
    <cellStyle name="Финансовый 2 3 12" xfId="144" xr:uid="{00000000-0005-0000-0000-0000293F0000}"/>
    <cellStyle name="Финансовый 2 3 12 10" xfId="8792" xr:uid="{00000000-0005-0000-0000-00002A3F0000}"/>
    <cellStyle name="Финансовый 2 3 12 10 2" xfId="20770" xr:uid="{00000000-0005-0000-0000-00002B3F0000}"/>
    <cellStyle name="Финансовый 2 3 12 10 2 2" xfId="44725" xr:uid="{00000000-0005-0000-0000-00002C3F0000}"/>
    <cellStyle name="Финансовый 2 3 12 10 3" xfId="32747" xr:uid="{00000000-0005-0000-0000-00002D3F0000}"/>
    <cellStyle name="Финансовый 2 3 12 11" xfId="12126" xr:uid="{00000000-0005-0000-0000-00002E3F0000}"/>
    <cellStyle name="Финансовый 2 3 12 11 2" xfId="36081" xr:uid="{00000000-0005-0000-0000-00002F3F0000}"/>
    <cellStyle name="Финансовый 2 3 12 12" xfId="24104" xr:uid="{00000000-0005-0000-0000-0000303F0000}"/>
    <cellStyle name="Финансовый 2 3 12 13" xfId="48062" xr:uid="{00000000-0005-0000-0000-0000313F0000}"/>
    <cellStyle name="Финансовый 2 3 12 2" xfId="1242" xr:uid="{00000000-0005-0000-0000-0000323F0000}"/>
    <cellStyle name="Финансовый 2 3 12 2 2" xfId="2208" xr:uid="{00000000-0005-0000-0000-0000333F0000}"/>
    <cellStyle name="Финансовый 2 3 12 2 2 2" xfId="3853" xr:uid="{00000000-0005-0000-0000-0000343F0000}"/>
    <cellStyle name="Финансовый 2 3 12 2 2 2 2" xfId="11593" xr:uid="{00000000-0005-0000-0000-0000353F0000}"/>
    <cellStyle name="Финансовый 2 3 12 2 2 2 2 2" xfId="23571" xr:uid="{00000000-0005-0000-0000-0000363F0000}"/>
    <cellStyle name="Финансовый 2 3 12 2 2 2 2 2 2" xfId="47526" xr:uid="{00000000-0005-0000-0000-0000373F0000}"/>
    <cellStyle name="Финансовый 2 3 12 2 2 2 2 3" xfId="35548" xr:uid="{00000000-0005-0000-0000-0000383F0000}"/>
    <cellStyle name="Финансовый 2 3 12 2 2 2 3" xfId="15832" xr:uid="{00000000-0005-0000-0000-0000393F0000}"/>
    <cellStyle name="Финансовый 2 3 12 2 2 2 3 2" xfId="39787" xr:uid="{00000000-0005-0000-0000-00003A3F0000}"/>
    <cellStyle name="Финансовый 2 3 12 2 2 2 4" xfId="27810" xr:uid="{00000000-0005-0000-0000-00003B3F0000}"/>
    <cellStyle name="Финансовый 2 3 12 2 2 2 5" xfId="51079" xr:uid="{00000000-0005-0000-0000-00003C3F0000}"/>
    <cellStyle name="Финансовый 2 3 12 2 2 3" xfId="5636" xr:uid="{00000000-0005-0000-0000-00003D3F0000}"/>
    <cellStyle name="Финансовый 2 3 12 2 2 3 2" xfId="17614" xr:uid="{00000000-0005-0000-0000-00003E3F0000}"/>
    <cellStyle name="Финансовый 2 3 12 2 2 3 2 2" xfId="41569" xr:uid="{00000000-0005-0000-0000-00003F3F0000}"/>
    <cellStyle name="Финансовый 2 3 12 2 2 3 3" xfId="29591" xr:uid="{00000000-0005-0000-0000-0000403F0000}"/>
    <cellStyle name="Финансовый 2 3 12 2 2 4" xfId="8246" xr:uid="{00000000-0005-0000-0000-0000413F0000}"/>
    <cellStyle name="Финансовый 2 3 12 2 2 4 2" xfId="20224" xr:uid="{00000000-0005-0000-0000-0000423F0000}"/>
    <cellStyle name="Финансовый 2 3 12 2 2 4 2 2" xfId="44179" xr:uid="{00000000-0005-0000-0000-0000433F0000}"/>
    <cellStyle name="Финансовый 2 3 12 2 2 4 3" xfId="32201" xr:uid="{00000000-0005-0000-0000-0000443F0000}"/>
    <cellStyle name="Финансовый 2 3 12 2 2 5" xfId="10029" xr:uid="{00000000-0005-0000-0000-0000453F0000}"/>
    <cellStyle name="Финансовый 2 3 12 2 2 5 2" xfId="22007" xr:uid="{00000000-0005-0000-0000-0000463F0000}"/>
    <cellStyle name="Финансовый 2 3 12 2 2 5 2 2" xfId="45962" xr:uid="{00000000-0005-0000-0000-0000473F0000}"/>
    <cellStyle name="Финансовый 2 3 12 2 2 5 3" xfId="33984" xr:uid="{00000000-0005-0000-0000-0000483F0000}"/>
    <cellStyle name="Финансовый 2 3 12 2 2 6" xfId="14187" xr:uid="{00000000-0005-0000-0000-0000493F0000}"/>
    <cellStyle name="Финансовый 2 3 12 2 2 6 2" xfId="38142" xr:uid="{00000000-0005-0000-0000-00004A3F0000}"/>
    <cellStyle name="Финансовый 2 3 12 2 2 7" xfId="26165" xr:uid="{00000000-0005-0000-0000-00004B3F0000}"/>
    <cellStyle name="Финансовый 2 3 12 2 2 8" xfId="49298" xr:uid="{00000000-0005-0000-0000-00004C3F0000}"/>
    <cellStyle name="Финансовый 2 3 12 2 3" xfId="3026" xr:uid="{00000000-0005-0000-0000-00004D3F0000}"/>
    <cellStyle name="Финансовый 2 3 12 2 3 2" xfId="10821" xr:uid="{00000000-0005-0000-0000-00004E3F0000}"/>
    <cellStyle name="Финансовый 2 3 12 2 3 2 2" xfId="22799" xr:uid="{00000000-0005-0000-0000-00004F3F0000}"/>
    <cellStyle name="Финансовый 2 3 12 2 3 2 2 2" xfId="46754" xr:uid="{00000000-0005-0000-0000-0000503F0000}"/>
    <cellStyle name="Финансовый 2 3 12 2 3 2 3" xfId="34776" xr:uid="{00000000-0005-0000-0000-0000513F0000}"/>
    <cellStyle name="Финансовый 2 3 12 2 3 3" xfId="15005" xr:uid="{00000000-0005-0000-0000-0000523F0000}"/>
    <cellStyle name="Финансовый 2 3 12 2 3 3 2" xfId="38960" xr:uid="{00000000-0005-0000-0000-0000533F0000}"/>
    <cellStyle name="Финансовый 2 3 12 2 3 4" xfId="26983" xr:uid="{00000000-0005-0000-0000-0000543F0000}"/>
    <cellStyle name="Финансовый 2 3 12 2 3 5" xfId="50114" xr:uid="{00000000-0005-0000-0000-0000553F0000}"/>
    <cellStyle name="Финансовый 2 3 12 2 4" xfId="4670" xr:uid="{00000000-0005-0000-0000-0000563F0000}"/>
    <cellStyle name="Финансовый 2 3 12 2 4 2" xfId="16649" xr:uid="{00000000-0005-0000-0000-0000573F0000}"/>
    <cellStyle name="Финансовый 2 3 12 2 4 2 2" xfId="40604" xr:uid="{00000000-0005-0000-0000-0000583F0000}"/>
    <cellStyle name="Финансовый 2 3 12 2 4 3" xfId="28627" xr:uid="{00000000-0005-0000-0000-0000593F0000}"/>
    <cellStyle name="Финансовый 2 3 12 2 5" xfId="7282" xr:uid="{00000000-0005-0000-0000-00005A3F0000}"/>
    <cellStyle name="Финансовый 2 3 12 2 5 2" xfId="19260" xr:uid="{00000000-0005-0000-0000-00005B3F0000}"/>
    <cellStyle name="Финансовый 2 3 12 2 5 2 2" xfId="43215" xr:uid="{00000000-0005-0000-0000-00005C3F0000}"/>
    <cellStyle name="Финансовый 2 3 12 2 5 3" xfId="31237" xr:uid="{00000000-0005-0000-0000-00005D3F0000}"/>
    <cellStyle name="Финансовый 2 3 12 2 6" xfId="9064" xr:uid="{00000000-0005-0000-0000-00005E3F0000}"/>
    <cellStyle name="Финансовый 2 3 12 2 6 2" xfId="21042" xr:uid="{00000000-0005-0000-0000-00005F3F0000}"/>
    <cellStyle name="Финансовый 2 3 12 2 6 2 2" xfId="44997" xr:uid="{00000000-0005-0000-0000-0000603F0000}"/>
    <cellStyle name="Финансовый 2 3 12 2 6 3" xfId="33019" xr:uid="{00000000-0005-0000-0000-0000613F0000}"/>
    <cellStyle name="Финансовый 2 3 12 2 7" xfId="13223" xr:uid="{00000000-0005-0000-0000-0000623F0000}"/>
    <cellStyle name="Финансовый 2 3 12 2 7 2" xfId="37178" xr:uid="{00000000-0005-0000-0000-0000633F0000}"/>
    <cellStyle name="Финансовый 2 3 12 2 8" xfId="25201" xr:uid="{00000000-0005-0000-0000-0000643F0000}"/>
    <cellStyle name="Финансовый 2 3 12 2 9" xfId="48334" xr:uid="{00000000-0005-0000-0000-0000653F0000}"/>
    <cellStyle name="Финансовый 2 3 12 3" xfId="1952" xr:uid="{00000000-0005-0000-0000-0000663F0000}"/>
    <cellStyle name="Финансовый 2 3 12 3 2" xfId="3597" xr:uid="{00000000-0005-0000-0000-0000673F0000}"/>
    <cellStyle name="Финансовый 2 3 12 3 2 2" xfId="11337" xr:uid="{00000000-0005-0000-0000-0000683F0000}"/>
    <cellStyle name="Финансовый 2 3 12 3 2 2 2" xfId="23315" xr:uid="{00000000-0005-0000-0000-0000693F0000}"/>
    <cellStyle name="Финансовый 2 3 12 3 2 2 2 2" xfId="47270" xr:uid="{00000000-0005-0000-0000-00006A3F0000}"/>
    <cellStyle name="Финансовый 2 3 12 3 2 2 3" xfId="35292" xr:uid="{00000000-0005-0000-0000-00006B3F0000}"/>
    <cellStyle name="Финансовый 2 3 12 3 2 3" xfId="15576" xr:uid="{00000000-0005-0000-0000-00006C3F0000}"/>
    <cellStyle name="Финансовый 2 3 12 3 2 3 2" xfId="39531" xr:uid="{00000000-0005-0000-0000-00006D3F0000}"/>
    <cellStyle name="Финансовый 2 3 12 3 2 4" xfId="27554" xr:uid="{00000000-0005-0000-0000-00006E3F0000}"/>
    <cellStyle name="Финансовый 2 3 12 3 2 5" xfId="50823" xr:uid="{00000000-0005-0000-0000-00006F3F0000}"/>
    <cellStyle name="Финансовый 2 3 12 3 3" xfId="5380" xr:uid="{00000000-0005-0000-0000-0000703F0000}"/>
    <cellStyle name="Финансовый 2 3 12 3 3 2" xfId="17358" xr:uid="{00000000-0005-0000-0000-0000713F0000}"/>
    <cellStyle name="Финансовый 2 3 12 3 3 2 2" xfId="41313" xr:uid="{00000000-0005-0000-0000-0000723F0000}"/>
    <cellStyle name="Финансовый 2 3 12 3 3 3" xfId="29335" xr:uid="{00000000-0005-0000-0000-0000733F0000}"/>
    <cellStyle name="Финансовый 2 3 12 3 4" xfId="7990" xr:uid="{00000000-0005-0000-0000-0000743F0000}"/>
    <cellStyle name="Финансовый 2 3 12 3 4 2" xfId="19968" xr:uid="{00000000-0005-0000-0000-0000753F0000}"/>
    <cellStyle name="Финансовый 2 3 12 3 4 2 2" xfId="43923" xr:uid="{00000000-0005-0000-0000-0000763F0000}"/>
    <cellStyle name="Финансовый 2 3 12 3 4 3" xfId="31945" xr:uid="{00000000-0005-0000-0000-0000773F0000}"/>
    <cellStyle name="Финансовый 2 3 12 3 5" xfId="9773" xr:uid="{00000000-0005-0000-0000-0000783F0000}"/>
    <cellStyle name="Финансовый 2 3 12 3 5 2" xfId="21751" xr:uid="{00000000-0005-0000-0000-0000793F0000}"/>
    <cellStyle name="Финансовый 2 3 12 3 5 2 2" xfId="45706" xr:uid="{00000000-0005-0000-0000-00007A3F0000}"/>
    <cellStyle name="Финансовый 2 3 12 3 5 3" xfId="33728" xr:uid="{00000000-0005-0000-0000-00007B3F0000}"/>
    <cellStyle name="Финансовый 2 3 12 3 6" xfId="13931" xr:uid="{00000000-0005-0000-0000-00007C3F0000}"/>
    <cellStyle name="Финансовый 2 3 12 3 6 2" xfId="37886" xr:uid="{00000000-0005-0000-0000-00007D3F0000}"/>
    <cellStyle name="Финансовый 2 3 12 3 7" xfId="25909" xr:uid="{00000000-0005-0000-0000-00007E3F0000}"/>
    <cellStyle name="Финансовый 2 3 12 3 8" xfId="49042" xr:uid="{00000000-0005-0000-0000-00007F3F0000}"/>
    <cellStyle name="Финансовый 2 3 12 4" xfId="2473" xr:uid="{00000000-0005-0000-0000-0000803F0000}"/>
    <cellStyle name="Финансовый 2 3 12 4 2" xfId="4118" xr:uid="{00000000-0005-0000-0000-0000813F0000}"/>
    <cellStyle name="Финансовый 2 3 12 4 2 2" xfId="11850" xr:uid="{00000000-0005-0000-0000-0000823F0000}"/>
    <cellStyle name="Финансовый 2 3 12 4 2 2 2" xfId="23828" xr:uid="{00000000-0005-0000-0000-0000833F0000}"/>
    <cellStyle name="Финансовый 2 3 12 4 2 2 2 2" xfId="47783" xr:uid="{00000000-0005-0000-0000-0000843F0000}"/>
    <cellStyle name="Финансовый 2 3 12 4 2 2 3" xfId="35805" xr:uid="{00000000-0005-0000-0000-0000853F0000}"/>
    <cellStyle name="Финансовый 2 3 12 4 2 3" xfId="16097" xr:uid="{00000000-0005-0000-0000-0000863F0000}"/>
    <cellStyle name="Финансовый 2 3 12 4 2 3 2" xfId="40052" xr:uid="{00000000-0005-0000-0000-0000873F0000}"/>
    <cellStyle name="Финансовый 2 3 12 4 2 4" xfId="28075" xr:uid="{00000000-0005-0000-0000-0000883F0000}"/>
    <cellStyle name="Финансовый 2 3 12 4 2 5" xfId="51344" xr:uid="{00000000-0005-0000-0000-0000893F0000}"/>
    <cellStyle name="Финансовый 2 3 12 4 3" xfId="5901" xr:uid="{00000000-0005-0000-0000-00008A3F0000}"/>
    <cellStyle name="Финансовый 2 3 12 4 3 2" xfId="17879" xr:uid="{00000000-0005-0000-0000-00008B3F0000}"/>
    <cellStyle name="Финансовый 2 3 12 4 3 2 2" xfId="41834" xr:uid="{00000000-0005-0000-0000-00008C3F0000}"/>
    <cellStyle name="Финансовый 2 3 12 4 3 3" xfId="29856" xr:uid="{00000000-0005-0000-0000-00008D3F0000}"/>
    <cellStyle name="Финансовый 2 3 12 4 4" xfId="8511" xr:uid="{00000000-0005-0000-0000-00008E3F0000}"/>
    <cellStyle name="Финансовый 2 3 12 4 4 2" xfId="20489" xr:uid="{00000000-0005-0000-0000-00008F3F0000}"/>
    <cellStyle name="Финансовый 2 3 12 4 4 2 2" xfId="44444" xr:uid="{00000000-0005-0000-0000-0000903F0000}"/>
    <cellStyle name="Финансовый 2 3 12 4 4 3" xfId="32466" xr:uid="{00000000-0005-0000-0000-0000913F0000}"/>
    <cellStyle name="Финансовый 2 3 12 4 5" xfId="10294" xr:uid="{00000000-0005-0000-0000-0000923F0000}"/>
    <cellStyle name="Финансовый 2 3 12 4 5 2" xfId="22272" xr:uid="{00000000-0005-0000-0000-0000933F0000}"/>
    <cellStyle name="Финансовый 2 3 12 4 5 2 2" xfId="46227" xr:uid="{00000000-0005-0000-0000-0000943F0000}"/>
    <cellStyle name="Финансовый 2 3 12 4 5 3" xfId="34249" xr:uid="{00000000-0005-0000-0000-0000953F0000}"/>
    <cellStyle name="Финансовый 2 3 12 4 6" xfId="14452" xr:uid="{00000000-0005-0000-0000-0000963F0000}"/>
    <cellStyle name="Финансовый 2 3 12 4 6 2" xfId="38407" xr:uid="{00000000-0005-0000-0000-0000973F0000}"/>
    <cellStyle name="Финансовый 2 3 12 4 7" xfId="26430" xr:uid="{00000000-0005-0000-0000-0000983F0000}"/>
    <cellStyle name="Финансовый 2 3 12 4 8" xfId="49563" xr:uid="{00000000-0005-0000-0000-0000993F0000}"/>
    <cellStyle name="Финансовый 2 3 12 5" xfId="977" xr:uid="{00000000-0005-0000-0000-00009A3F0000}"/>
    <cellStyle name="Финансовый 2 3 12 5 2" xfId="7017" xr:uid="{00000000-0005-0000-0000-00009B3F0000}"/>
    <cellStyle name="Финансовый 2 3 12 5 2 2" xfId="18995" xr:uid="{00000000-0005-0000-0000-00009C3F0000}"/>
    <cellStyle name="Финансовый 2 3 12 5 2 2 2" xfId="42950" xr:uid="{00000000-0005-0000-0000-00009D3F0000}"/>
    <cellStyle name="Финансовый 2 3 12 5 2 3" xfId="30972" xr:uid="{00000000-0005-0000-0000-00009E3F0000}"/>
    <cellStyle name="Финансовый 2 3 12 5 3" xfId="10565" xr:uid="{00000000-0005-0000-0000-00009F3F0000}"/>
    <cellStyle name="Финансовый 2 3 12 5 3 2" xfId="22543" xr:uid="{00000000-0005-0000-0000-0000A03F0000}"/>
    <cellStyle name="Финансовый 2 3 12 5 3 2 2" xfId="46498" xr:uid="{00000000-0005-0000-0000-0000A13F0000}"/>
    <cellStyle name="Финансовый 2 3 12 5 3 3" xfId="34520" xr:uid="{00000000-0005-0000-0000-0000A23F0000}"/>
    <cellStyle name="Финансовый 2 3 12 5 4" xfId="12958" xr:uid="{00000000-0005-0000-0000-0000A33F0000}"/>
    <cellStyle name="Финансовый 2 3 12 5 4 2" xfId="36913" xr:uid="{00000000-0005-0000-0000-0000A43F0000}"/>
    <cellStyle name="Финансовый 2 3 12 5 5" xfId="24936" xr:uid="{00000000-0005-0000-0000-0000A53F0000}"/>
    <cellStyle name="Финансовый 2 3 12 5 6" xfId="49842" xr:uid="{00000000-0005-0000-0000-0000A63F0000}"/>
    <cellStyle name="Финансовый 2 3 12 6" xfId="565" xr:uid="{00000000-0005-0000-0000-0000A73F0000}"/>
    <cellStyle name="Финансовый 2 3 12 6 2" xfId="6605" xr:uid="{00000000-0005-0000-0000-0000A83F0000}"/>
    <cellStyle name="Финансовый 2 3 12 6 2 2" xfId="18583" xr:uid="{00000000-0005-0000-0000-0000A93F0000}"/>
    <cellStyle name="Финансовый 2 3 12 6 2 2 2" xfId="42538" xr:uid="{00000000-0005-0000-0000-0000AA3F0000}"/>
    <cellStyle name="Финансовый 2 3 12 6 2 3" xfId="30560" xr:uid="{00000000-0005-0000-0000-0000AB3F0000}"/>
    <cellStyle name="Финансовый 2 3 12 6 3" xfId="12546" xr:uid="{00000000-0005-0000-0000-0000AC3F0000}"/>
    <cellStyle name="Финансовый 2 3 12 6 3 2" xfId="36501" xr:uid="{00000000-0005-0000-0000-0000AD3F0000}"/>
    <cellStyle name="Финансовый 2 3 12 6 4" xfId="24524" xr:uid="{00000000-0005-0000-0000-0000AE3F0000}"/>
    <cellStyle name="Финансовый 2 3 12 7" xfId="2754" xr:uid="{00000000-0005-0000-0000-0000AF3F0000}"/>
    <cellStyle name="Финансовый 2 3 12 7 2" xfId="14733" xr:uid="{00000000-0005-0000-0000-0000B03F0000}"/>
    <cellStyle name="Финансовый 2 3 12 7 2 2" xfId="38688" xr:uid="{00000000-0005-0000-0000-0000B13F0000}"/>
    <cellStyle name="Финансовый 2 3 12 7 3" xfId="26711" xr:uid="{00000000-0005-0000-0000-0000B23F0000}"/>
    <cellStyle name="Финансовый 2 3 12 8" xfId="4398" xr:uid="{00000000-0005-0000-0000-0000B33F0000}"/>
    <cellStyle name="Финансовый 2 3 12 8 2" xfId="16377" xr:uid="{00000000-0005-0000-0000-0000B43F0000}"/>
    <cellStyle name="Финансовый 2 3 12 8 2 2" xfId="40332" xr:uid="{00000000-0005-0000-0000-0000B53F0000}"/>
    <cellStyle name="Финансовый 2 3 12 8 3" xfId="28355" xr:uid="{00000000-0005-0000-0000-0000B63F0000}"/>
    <cellStyle name="Финансовый 2 3 12 9" xfId="6185" xr:uid="{00000000-0005-0000-0000-0000B73F0000}"/>
    <cellStyle name="Финансовый 2 3 12 9 2" xfId="18163" xr:uid="{00000000-0005-0000-0000-0000B83F0000}"/>
    <cellStyle name="Финансовый 2 3 12 9 2 2" xfId="42118" xr:uid="{00000000-0005-0000-0000-0000B93F0000}"/>
    <cellStyle name="Финансовый 2 3 12 9 3" xfId="30140" xr:uid="{00000000-0005-0000-0000-0000BA3F0000}"/>
    <cellStyle name="Финансовый 2 3 13" xfId="280" xr:uid="{00000000-0005-0000-0000-0000BB3F0000}"/>
    <cellStyle name="Финансовый 2 3 13 10" xfId="24240" xr:uid="{00000000-0005-0000-0000-0000BC3F0000}"/>
    <cellStyle name="Финансовый 2 3 13 11" xfId="48470" xr:uid="{00000000-0005-0000-0000-0000BD3F0000}"/>
    <cellStyle name="Финансовый 2 3 13 2" xfId="2080" xr:uid="{00000000-0005-0000-0000-0000BE3F0000}"/>
    <cellStyle name="Финансовый 2 3 13 2 2" xfId="3725" xr:uid="{00000000-0005-0000-0000-0000BF3F0000}"/>
    <cellStyle name="Финансовый 2 3 13 2 2 2" xfId="11465" xr:uid="{00000000-0005-0000-0000-0000C03F0000}"/>
    <cellStyle name="Финансовый 2 3 13 2 2 2 2" xfId="23443" xr:uid="{00000000-0005-0000-0000-0000C13F0000}"/>
    <cellStyle name="Финансовый 2 3 13 2 2 2 2 2" xfId="47398" xr:uid="{00000000-0005-0000-0000-0000C23F0000}"/>
    <cellStyle name="Финансовый 2 3 13 2 2 2 3" xfId="35420" xr:uid="{00000000-0005-0000-0000-0000C33F0000}"/>
    <cellStyle name="Финансовый 2 3 13 2 2 3" xfId="15704" xr:uid="{00000000-0005-0000-0000-0000C43F0000}"/>
    <cellStyle name="Финансовый 2 3 13 2 2 3 2" xfId="39659" xr:uid="{00000000-0005-0000-0000-0000C53F0000}"/>
    <cellStyle name="Финансовый 2 3 13 2 2 4" xfId="27682" xr:uid="{00000000-0005-0000-0000-0000C63F0000}"/>
    <cellStyle name="Финансовый 2 3 13 2 2 5" xfId="50951" xr:uid="{00000000-0005-0000-0000-0000C73F0000}"/>
    <cellStyle name="Финансовый 2 3 13 2 3" xfId="5508" xr:uid="{00000000-0005-0000-0000-0000C83F0000}"/>
    <cellStyle name="Финансовый 2 3 13 2 3 2" xfId="17486" xr:uid="{00000000-0005-0000-0000-0000C93F0000}"/>
    <cellStyle name="Финансовый 2 3 13 2 3 2 2" xfId="41441" xr:uid="{00000000-0005-0000-0000-0000CA3F0000}"/>
    <cellStyle name="Финансовый 2 3 13 2 3 3" xfId="29463" xr:uid="{00000000-0005-0000-0000-0000CB3F0000}"/>
    <cellStyle name="Финансовый 2 3 13 2 4" xfId="8118" xr:uid="{00000000-0005-0000-0000-0000CC3F0000}"/>
    <cellStyle name="Финансовый 2 3 13 2 4 2" xfId="20096" xr:uid="{00000000-0005-0000-0000-0000CD3F0000}"/>
    <cellStyle name="Финансовый 2 3 13 2 4 2 2" xfId="44051" xr:uid="{00000000-0005-0000-0000-0000CE3F0000}"/>
    <cellStyle name="Финансовый 2 3 13 2 4 3" xfId="32073" xr:uid="{00000000-0005-0000-0000-0000CF3F0000}"/>
    <cellStyle name="Финансовый 2 3 13 2 5" xfId="9901" xr:uid="{00000000-0005-0000-0000-0000D03F0000}"/>
    <cellStyle name="Финансовый 2 3 13 2 5 2" xfId="21879" xr:uid="{00000000-0005-0000-0000-0000D13F0000}"/>
    <cellStyle name="Финансовый 2 3 13 2 5 2 2" xfId="45834" xr:uid="{00000000-0005-0000-0000-0000D23F0000}"/>
    <cellStyle name="Финансовый 2 3 13 2 5 3" xfId="33856" xr:uid="{00000000-0005-0000-0000-0000D33F0000}"/>
    <cellStyle name="Финансовый 2 3 13 2 6" xfId="14059" xr:uid="{00000000-0005-0000-0000-0000D43F0000}"/>
    <cellStyle name="Финансовый 2 3 13 2 6 2" xfId="38014" xr:uid="{00000000-0005-0000-0000-0000D53F0000}"/>
    <cellStyle name="Финансовый 2 3 13 2 7" xfId="26037" xr:uid="{00000000-0005-0000-0000-0000D63F0000}"/>
    <cellStyle name="Финансовый 2 3 13 2 8" xfId="49170" xr:uid="{00000000-0005-0000-0000-0000D73F0000}"/>
    <cellStyle name="Финансовый 2 3 13 3" xfId="1378" xr:uid="{00000000-0005-0000-0000-0000D83F0000}"/>
    <cellStyle name="Финансовый 2 3 13 3 2" xfId="7418" xr:uid="{00000000-0005-0000-0000-0000D93F0000}"/>
    <cellStyle name="Финансовый 2 3 13 3 2 2" xfId="19396" xr:uid="{00000000-0005-0000-0000-0000DA3F0000}"/>
    <cellStyle name="Финансовый 2 3 13 3 2 2 2" xfId="43351" xr:uid="{00000000-0005-0000-0000-0000DB3F0000}"/>
    <cellStyle name="Финансовый 2 3 13 3 2 3" xfId="31373" xr:uid="{00000000-0005-0000-0000-0000DC3F0000}"/>
    <cellStyle name="Финансовый 2 3 13 3 3" xfId="10949" xr:uid="{00000000-0005-0000-0000-0000DD3F0000}"/>
    <cellStyle name="Финансовый 2 3 13 3 3 2" xfId="22927" xr:uid="{00000000-0005-0000-0000-0000DE3F0000}"/>
    <cellStyle name="Финансовый 2 3 13 3 3 2 2" xfId="46882" xr:uid="{00000000-0005-0000-0000-0000DF3F0000}"/>
    <cellStyle name="Финансовый 2 3 13 3 3 3" xfId="34904" xr:uid="{00000000-0005-0000-0000-0000E03F0000}"/>
    <cellStyle name="Финансовый 2 3 13 3 4" xfId="13359" xr:uid="{00000000-0005-0000-0000-0000E13F0000}"/>
    <cellStyle name="Финансовый 2 3 13 3 4 2" xfId="37314" xr:uid="{00000000-0005-0000-0000-0000E23F0000}"/>
    <cellStyle name="Финансовый 2 3 13 3 5" xfId="25337" xr:uid="{00000000-0005-0000-0000-0000E33F0000}"/>
    <cellStyle name="Финансовый 2 3 13 3 6" xfId="50250" xr:uid="{00000000-0005-0000-0000-0000E43F0000}"/>
    <cellStyle name="Финансовый 2 3 13 4" xfId="701" xr:uid="{00000000-0005-0000-0000-0000E53F0000}"/>
    <cellStyle name="Финансовый 2 3 13 4 2" xfId="6741" xr:uid="{00000000-0005-0000-0000-0000E63F0000}"/>
    <cellStyle name="Финансовый 2 3 13 4 2 2" xfId="18719" xr:uid="{00000000-0005-0000-0000-0000E73F0000}"/>
    <cellStyle name="Финансовый 2 3 13 4 2 2 2" xfId="42674" xr:uid="{00000000-0005-0000-0000-0000E83F0000}"/>
    <cellStyle name="Финансовый 2 3 13 4 2 3" xfId="30696" xr:uid="{00000000-0005-0000-0000-0000E93F0000}"/>
    <cellStyle name="Финансовый 2 3 13 4 3" xfId="12682" xr:uid="{00000000-0005-0000-0000-0000EA3F0000}"/>
    <cellStyle name="Финансовый 2 3 13 4 3 2" xfId="36637" xr:uid="{00000000-0005-0000-0000-0000EB3F0000}"/>
    <cellStyle name="Финансовый 2 3 13 4 4" xfId="24660" xr:uid="{00000000-0005-0000-0000-0000EC3F0000}"/>
    <cellStyle name="Финансовый 2 3 13 5" xfId="3162" xr:uid="{00000000-0005-0000-0000-0000ED3F0000}"/>
    <cellStyle name="Финансовый 2 3 13 5 2" xfId="15141" xr:uid="{00000000-0005-0000-0000-0000EE3F0000}"/>
    <cellStyle name="Финансовый 2 3 13 5 2 2" xfId="39096" xr:uid="{00000000-0005-0000-0000-0000EF3F0000}"/>
    <cellStyle name="Финансовый 2 3 13 5 3" xfId="27119" xr:uid="{00000000-0005-0000-0000-0000F03F0000}"/>
    <cellStyle name="Финансовый 2 3 13 6" xfId="4806" xr:uid="{00000000-0005-0000-0000-0000F13F0000}"/>
    <cellStyle name="Финансовый 2 3 13 6 2" xfId="16785" xr:uid="{00000000-0005-0000-0000-0000F23F0000}"/>
    <cellStyle name="Финансовый 2 3 13 6 2 2" xfId="40740" xr:uid="{00000000-0005-0000-0000-0000F33F0000}"/>
    <cellStyle name="Финансовый 2 3 13 6 3" xfId="28763" xr:uid="{00000000-0005-0000-0000-0000F43F0000}"/>
    <cellStyle name="Финансовый 2 3 13 7" xfId="6321" xr:uid="{00000000-0005-0000-0000-0000F53F0000}"/>
    <cellStyle name="Финансовый 2 3 13 7 2" xfId="18299" xr:uid="{00000000-0005-0000-0000-0000F63F0000}"/>
    <cellStyle name="Финансовый 2 3 13 7 2 2" xfId="42254" xr:uid="{00000000-0005-0000-0000-0000F73F0000}"/>
    <cellStyle name="Финансовый 2 3 13 7 3" xfId="30276" xr:uid="{00000000-0005-0000-0000-0000F83F0000}"/>
    <cellStyle name="Финансовый 2 3 13 8" xfId="9200" xr:uid="{00000000-0005-0000-0000-0000F93F0000}"/>
    <cellStyle name="Финансовый 2 3 13 8 2" xfId="21178" xr:uid="{00000000-0005-0000-0000-0000FA3F0000}"/>
    <cellStyle name="Финансовый 2 3 13 8 2 2" xfId="45133" xr:uid="{00000000-0005-0000-0000-0000FB3F0000}"/>
    <cellStyle name="Финансовый 2 3 13 8 3" xfId="33155" xr:uid="{00000000-0005-0000-0000-0000FC3F0000}"/>
    <cellStyle name="Финансовый 2 3 13 9" xfId="12262" xr:uid="{00000000-0005-0000-0000-0000FD3F0000}"/>
    <cellStyle name="Финансовый 2 3 13 9 2" xfId="36217" xr:uid="{00000000-0005-0000-0000-0000FE3F0000}"/>
    <cellStyle name="Финансовый 2 3 14" xfId="293" xr:uid="{00000000-0005-0000-0000-0000FF3F0000}"/>
    <cellStyle name="Финансовый 2 3 14 10" xfId="48198" xr:uid="{00000000-0005-0000-0000-000000400000}"/>
    <cellStyle name="Финансовый 2 3 14 2" xfId="1113" xr:uid="{00000000-0005-0000-0000-000001400000}"/>
    <cellStyle name="Финансовый 2 3 14 2 2" xfId="7153" xr:uid="{00000000-0005-0000-0000-000002400000}"/>
    <cellStyle name="Финансовый 2 3 14 2 2 2" xfId="19131" xr:uid="{00000000-0005-0000-0000-000003400000}"/>
    <cellStyle name="Финансовый 2 3 14 2 2 2 2" xfId="43086" xr:uid="{00000000-0005-0000-0000-000004400000}"/>
    <cellStyle name="Финансовый 2 3 14 2 2 3" xfId="31108" xr:uid="{00000000-0005-0000-0000-000005400000}"/>
    <cellStyle name="Финансовый 2 3 14 2 3" xfId="10693" xr:uid="{00000000-0005-0000-0000-000006400000}"/>
    <cellStyle name="Финансовый 2 3 14 2 3 2" xfId="22671" xr:uid="{00000000-0005-0000-0000-000007400000}"/>
    <cellStyle name="Финансовый 2 3 14 2 3 2 2" xfId="46626" xr:uid="{00000000-0005-0000-0000-000008400000}"/>
    <cellStyle name="Финансовый 2 3 14 2 3 3" xfId="34648" xr:uid="{00000000-0005-0000-0000-000009400000}"/>
    <cellStyle name="Финансовый 2 3 14 2 4" xfId="13094" xr:uid="{00000000-0005-0000-0000-00000A400000}"/>
    <cellStyle name="Финансовый 2 3 14 2 4 2" xfId="37049" xr:uid="{00000000-0005-0000-0000-00000B400000}"/>
    <cellStyle name="Финансовый 2 3 14 2 5" xfId="25072" xr:uid="{00000000-0005-0000-0000-00000C400000}"/>
    <cellStyle name="Финансовый 2 3 14 2 6" xfId="49978" xr:uid="{00000000-0005-0000-0000-00000D400000}"/>
    <cellStyle name="Финансовый 2 3 14 3" xfId="713" xr:uid="{00000000-0005-0000-0000-00000E400000}"/>
    <cellStyle name="Финансовый 2 3 14 3 2" xfId="6753" xr:uid="{00000000-0005-0000-0000-00000F400000}"/>
    <cellStyle name="Финансовый 2 3 14 3 2 2" xfId="18731" xr:uid="{00000000-0005-0000-0000-000010400000}"/>
    <cellStyle name="Финансовый 2 3 14 3 2 2 2" xfId="42686" xr:uid="{00000000-0005-0000-0000-000011400000}"/>
    <cellStyle name="Финансовый 2 3 14 3 2 3" xfId="30708" xr:uid="{00000000-0005-0000-0000-000012400000}"/>
    <cellStyle name="Финансовый 2 3 14 3 3" xfId="12694" xr:uid="{00000000-0005-0000-0000-000013400000}"/>
    <cellStyle name="Финансовый 2 3 14 3 3 2" xfId="36649" xr:uid="{00000000-0005-0000-0000-000014400000}"/>
    <cellStyle name="Финансовый 2 3 14 3 4" xfId="24672" xr:uid="{00000000-0005-0000-0000-000015400000}"/>
    <cellStyle name="Финансовый 2 3 14 4" xfId="2890" xr:uid="{00000000-0005-0000-0000-000016400000}"/>
    <cellStyle name="Финансовый 2 3 14 4 2" xfId="14869" xr:uid="{00000000-0005-0000-0000-000017400000}"/>
    <cellStyle name="Финансовый 2 3 14 4 2 2" xfId="38824" xr:uid="{00000000-0005-0000-0000-000018400000}"/>
    <cellStyle name="Финансовый 2 3 14 4 3" xfId="26847" xr:uid="{00000000-0005-0000-0000-000019400000}"/>
    <cellStyle name="Финансовый 2 3 14 5" xfId="4534" xr:uid="{00000000-0005-0000-0000-00001A400000}"/>
    <cellStyle name="Финансовый 2 3 14 5 2" xfId="16513" xr:uid="{00000000-0005-0000-0000-00001B400000}"/>
    <cellStyle name="Финансовый 2 3 14 5 2 2" xfId="40468" xr:uid="{00000000-0005-0000-0000-00001C400000}"/>
    <cellStyle name="Финансовый 2 3 14 5 3" xfId="28491" xr:uid="{00000000-0005-0000-0000-00001D400000}"/>
    <cellStyle name="Финансовый 2 3 14 6" xfId="6333" xr:uid="{00000000-0005-0000-0000-00001E400000}"/>
    <cellStyle name="Финансовый 2 3 14 6 2" xfId="18311" xr:uid="{00000000-0005-0000-0000-00001F400000}"/>
    <cellStyle name="Финансовый 2 3 14 6 2 2" xfId="42266" xr:uid="{00000000-0005-0000-0000-000020400000}"/>
    <cellStyle name="Финансовый 2 3 14 6 3" xfId="30288" xr:uid="{00000000-0005-0000-0000-000021400000}"/>
    <cellStyle name="Финансовый 2 3 14 7" xfId="8928" xr:uid="{00000000-0005-0000-0000-000022400000}"/>
    <cellStyle name="Финансовый 2 3 14 7 2" xfId="20906" xr:uid="{00000000-0005-0000-0000-000023400000}"/>
    <cellStyle name="Финансовый 2 3 14 7 2 2" xfId="44861" xr:uid="{00000000-0005-0000-0000-000024400000}"/>
    <cellStyle name="Финансовый 2 3 14 7 3" xfId="32883" xr:uid="{00000000-0005-0000-0000-000025400000}"/>
    <cellStyle name="Финансовый 2 3 14 8" xfId="12274" xr:uid="{00000000-0005-0000-0000-000026400000}"/>
    <cellStyle name="Финансовый 2 3 14 8 2" xfId="36229" xr:uid="{00000000-0005-0000-0000-000027400000}"/>
    <cellStyle name="Финансовый 2 3 14 9" xfId="24252" xr:uid="{00000000-0005-0000-0000-000028400000}"/>
    <cellStyle name="Финансовый 2 3 15" xfId="1477" xr:uid="{00000000-0005-0000-0000-000029400000}"/>
    <cellStyle name="Финансовый 2 3 15 2" xfId="1700" xr:uid="{00000000-0005-0000-0000-00002A400000}"/>
    <cellStyle name="Финансовый 2 3 15 2 2" xfId="3345" xr:uid="{00000000-0005-0000-0000-00002B400000}"/>
    <cellStyle name="Финансовый 2 3 15 2 2 2" xfId="11093" xr:uid="{00000000-0005-0000-0000-00002C400000}"/>
    <cellStyle name="Финансовый 2 3 15 2 2 2 2" xfId="23071" xr:uid="{00000000-0005-0000-0000-00002D400000}"/>
    <cellStyle name="Финансовый 2 3 15 2 2 2 2 2" xfId="47026" xr:uid="{00000000-0005-0000-0000-00002E400000}"/>
    <cellStyle name="Финансовый 2 3 15 2 2 2 3" xfId="35048" xr:uid="{00000000-0005-0000-0000-00002F400000}"/>
    <cellStyle name="Финансовый 2 3 15 2 2 3" xfId="15324" xr:uid="{00000000-0005-0000-0000-000030400000}"/>
    <cellStyle name="Финансовый 2 3 15 2 2 3 2" xfId="39279" xr:uid="{00000000-0005-0000-0000-000031400000}"/>
    <cellStyle name="Финансовый 2 3 15 2 2 4" xfId="27302" xr:uid="{00000000-0005-0000-0000-000032400000}"/>
    <cellStyle name="Финансовый 2 3 15 2 2 5" xfId="50571" xr:uid="{00000000-0005-0000-0000-000033400000}"/>
    <cellStyle name="Финансовый 2 3 15 2 3" xfId="5128" xr:uid="{00000000-0005-0000-0000-000034400000}"/>
    <cellStyle name="Финансовый 2 3 15 2 3 2" xfId="17106" xr:uid="{00000000-0005-0000-0000-000035400000}"/>
    <cellStyle name="Финансовый 2 3 15 2 3 2 2" xfId="41061" xr:uid="{00000000-0005-0000-0000-000036400000}"/>
    <cellStyle name="Финансовый 2 3 15 2 3 3" xfId="29083" xr:uid="{00000000-0005-0000-0000-000037400000}"/>
    <cellStyle name="Финансовый 2 3 15 2 4" xfId="7738" xr:uid="{00000000-0005-0000-0000-000038400000}"/>
    <cellStyle name="Финансовый 2 3 15 2 4 2" xfId="19716" xr:uid="{00000000-0005-0000-0000-000039400000}"/>
    <cellStyle name="Финансовый 2 3 15 2 4 2 2" xfId="43671" xr:uid="{00000000-0005-0000-0000-00003A400000}"/>
    <cellStyle name="Финансовый 2 3 15 2 4 3" xfId="31693" xr:uid="{00000000-0005-0000-0000-00003B400000}"/>
    <cellStyle name="Финансовый 2 3 15 2 5" xfId="9521" xr:uid="{00000000-0005-0000-0000-00003C400000}"/>
    <cellStyle name="Финансовый 2 3 15 2 5 2" xfId="21499" xr:uid="{00000000-0005-0000-0000-00003D400000}"/>
    <cellStyle name="Финансовый 2 3 15 2 5 2 2" xfId="45454" xr:uid="{00000000-0005-0000-0000-00003E400000}"/>
    <cellStyle name="Финансовый 2 3 15 2 5 3" xfId="33476" xr:uid="{00000000-0005-0000-0000-00003F400000}"/>
    <cellStyle name="Финансовый 2 3 15 2 6" xfId="13679" xr:uid="{00000000-0005-0000-0000-000040400000}"/>
    <cellStyle name="Финансовый 2 3 15 2 6 2" xfId="37634" xr:uid="{00000000-0005-0000-0000-000041400000}"/>
    <cellStyle name="Финансовый 2 3 15 2 7" xfId="25657" xr:uid="{00000000-0005-0000-0000-000042400000}"/>
    <cellStyle name="Финансовый 2 3 15 2 8" xfId="48790" xr:uid="{00000000-0005-0000-0000-000043400000}"/>
    <cellStyle name="Финансовый 2 3 15 3" xfId="4905" xr:uid="{00000000-0005-0000-0000-000044400000}"/>
    <cellStyle name="Финансовый 2 3 15 3 2" xfId="16883" xr:uid="{00000000-0005-0000-0000-000045400000}"/>
    <cellStyle name="Финансовый 2 3 15 3 2 2" xfId="40838" xr:uid="{00000000-0005-0000-0000-000046400000}"/>
    <cellStyle name="Финансовый 2 3 15 3 3" xfId="28860" xr:uid="{00000000-0005-0000-0000-000047400000}"/>
    <cellStyle name="Финансовый 2 3 15 3 4" xfId="50348" xr:uid="{00000000-0005-0000-0000-000048400000}"/>
    <cellStyle name="Финансовый 2 3 15 4" xfId="7515" xr:uid="{00000000-0005-0000-0000-000049400000}"/>
    <cellStyle name="Финансовый 2 3 15 4 2" xfId="19493" xr:uid="{00000000-0005-0000-0000-00004A400000}"/>
    <cellStyle name="Финансовый 2 3 15 4 2 2" xfId="43448" xr:uid="{00000000-0005-0000-0000-00004B400000}"/>
    <cellStyle name="Финансовый 2 3 15 4 3" xfId="31470" xr:uid="{00000000-0005-0000-0000-00004C400000}"/>
    <cellStyle name="Финансовый 2 3 15 5" xfId="9298" xr:uid="{00000000-0005-0000-0000-00004D400000}"/>
    <cellStyle name="Финансовый 2 3 15 5 2" xfId="21276" xr:uid="{00000000-0005-0000-0000-00004E400000}"/>
    <cellStyle name="Финансовый 2 3 15 5 2 2" xfId="45231" xr:uid="{00000000-0005-0000-0000-00004F400000}"/>
    <cellStyle name="Финансовый 2 3 15 5 3" xfId="33253" xr:uid="{00000000-0005-0000-0000-000050400000}"/>
    <cellStyle name="Финансовый 2 3 15 6" xfId="13456" xr:uid="{00000000-0005-0000-0000-000051400000}"/>
    <cellStyle name="Финансовый 2 3 15 6 2" xfId="37411" xr:uid="{00000000-0005-0000-0000-000052400000}"/>
    <cellStyle name="Финансовый 2 3 15 7" xfId="25434" xr:uid="{00000000-0005-0000-0000-000053400000}"/>
    <cellStyle name="Финансовый 2 3 15 8" xfId="48567" xr:uid="{00000000-0005-0000-0000-000054400000}"/>
    <cellStyle name="Финансовый 2 3 16" xfId="2336" xr:uid="{00000000-0005-0000-0000-000055400000}"/>
    <cellStyle name="Финансовый 2 3 16 2" xfId="3981" xr:uid="{00000000-0005-0000-0000-000056400000}"/>
    <cellStyle name="Финансовый 2 3 16 2 2" xfId="11721" xr:uid="{00000000-0005-0000-0000-000057400000}"/>
    <cellStyle name="Финансовый 2 3 16 2 2 2" xfId="23699" xr:uid="{00000000-0005-0000-0000-000058400000}"/>
    <cellStyle name="Финансовый 2 3 16 2 2 2 2" xfId="47654" xr:uid="{00000000-0005-0000-0000-000059400000}"/>
    <cellStyle name="Финансовый 2 3 16 2 2 3" xfId="35676" xr:uid="{00000000-0005-0000-0000-00005A400000}"/>
    <cellStyle name="Финансовый 2 3 16 2 3" xfId="15960" xr:uid="{00000000-0005-0000-0000-00005B400000}"/>
    <cellStyle name="Финансовый 2 3 16 2 3 2" xfId="39915" xr:uid="{00000000-0005-0000-0000-00005C400000}"/>
    <cellStyle name="Финансовый 2 3 16 2 4" xfId="27938" xr:uid="{00000000-0005-0000-0000-00005D400000}"/>
    <cellStyle name="Финансовый 2 3 16 2 5" xfId="51207" xr:uid="{00000000-0005-0000-0000-00005E400000}"/>
    <cellStyle name="Финансовый 2 3 16 3" xfId="5764" xr:uid="{00000000-0005-0000-0000-00005F400000}"/>
    <cellStyle name="Финансовый 2 3 16 3 2" xfId="17742" xr:uid="{00000000-0005-0000-0000-000060400000}"/>
    <cellStyle name="Финансовый 2 3 16 3 2 2" xfId="41697" xr:uid="{00000000-0005-0000-0000-000061400000}"/>
    <cellStyle name="Финансовый 2 3 16 3 3" xfId="29719" xr:uid="{00000000-0005-0000-0000-000062400000}"/>
    <cellStyle name="Финансовый 2 3 16 4" xfId="8374" xr:uid="{00000000-0005-0000-0000-000063400000}"/>
    <cellStyle name="Финансовый 2 3 16 4 2" xfId="20352" xr:uid="{00000000-0005-0000-0000-000064400000}"/>
    <cellStyle name="Финансовый 2 3 16 4 2 2" xfId="44307" xr:uid="{00000000-0005-0000-0000-000065400000}"/>
    <cellStyle name="Финансовый 2 3 16 4 3" xfId="32329" xr:uid="{00000000-0005-0000-0000-000066400000}"/>
    <cellStyle name="Финансовый 2 3 16 5" xfId="10157" xr:uid="{00000000-0005-0000-0000-000067400000}"/>
    <cellStyle name="Финансовый 2 3 16 5 2" xfId="22135" xr:uid="{00000000-0005-0000-0000-000068400000}"/>
    <cellStyle name="Финансовый 2 3 16 5 2 2" xfId="46090" xr:uid="{00000000-0005-0000-0000-000069400000}"/>
    <cellStyle name="Финансовый 2 3 16 5 3" xfId="34112" xr:uid="{00000000-0005-0000-0000-00006A400000}"/>
    <cellStyle name="Финансовый 2 3 16 6" xfId="14315" xr:uid="{00000000-0005-0000-0000-00006B400000}"/>
    <cellStyle name="Финансовый 2 3 16 6 2" xfId="38270" xr:uid="{00000000-0005-0000-0000-00006C400000}"/>
    <cellStyle name="Финансовый 2 3 16 7" xfId="26293" xr:uid="{00000000-0005-0000-0000-00006D400000}"/>
    <cellStyle name="Финансовый 2 3 16 8" xfId="49426" xr:uid="{00000000-0005-0000-0000-00006E400000}"/>
    <cellStyle name="Финансовый 2 3 17" xfId="1563" xr:uid="{00000000-0005-0000-0000-00006F400000}"/>
    <cellStyle name="Финансовый 2 3 17 2" xfId="3208" xr:uid="{00000000-0005-0000-0000-000070400000}"/>
    <cellStyle name="Финансовый 2 3 17 2 2" xfId="10964" xr:uid="{00000000-0005-0000-0000-000071400000}"/>
    <cellStyle name="Финансовый 2 3 17 2 2 2" xfId="22942" xr:uid="{00000000-0005-0000-0000-000072400000}"/>
    <cellStyle name="Финансовый 2 3 17 2 2 2 2" xfId="46897" xr:uid="{00000000-0005-0000-0000-000073400000}"/>
    <cellStyle name="Финансовый 2 3 17 2 2 3" xfId="34919" xr:uid="{00000000-0005-0000-0000-000074400000}"/>
    <cellStyle name="Финансовый 2 3 17 2 3" xfId="15187" xr:uid="{00000000-0005-0000-0000-000075400000}"/>
    <cellStyle name="Финансовый 2 3 17 2 3 2" xfId="39142" xr:uid="{00000000-0005-0000-0000-000076400000}"/>
    <cellStyle name="Финансовый 2 3 17 2 4" xfId="27165" xr:uid="{00000000-0005-0000-0000-000077400000}"/>
    <cellStyle name="Финансовый 2 3 17 2 5" xfId="50434" xr:uid="{00000000-0005-0000-0000-000078400000}"/>
    <cellStyle name="Финансовый 2 3 17 3" xfId="4991" xr:uid="{00000000-0005-0000-0000-000079400000}"/>
    <cellStyle name="Финансовый 2 3 17 3 2" xfId="16969" xr:uid="{00000000-0005-0000-0000-00007A400000}"/>
    <cellStyle name="Финансовый 2 3 17 3 2 2" xfId="40924" xr:uid="{00000000-0005-0000-0000-00007B400000}"/>
    <cellStyle name="Финансовый 2 3 17 3 3" xfId="28946" xr:uid="{00000000-0005-0000-0000-00007C400000}"/>
    <cellStyle name="Финансовый 2 3 17 4" xfId="7601" xr:uid="{00000000-0005-0000-0000-00007D400000}"/>
    <cellStyle name="Финансовый 2 3 17 4 2" xfId="19579" xr:uid="{00000000-0005-0000-0000-00007E400000}"/>
    <cellStyle name="Финансовый 2 3 17 4 2 2" xfId="43534" xr:uid="{00000000-0005-0000-0000-00007F400000}"/>
    <cellStyle name="Финансовый 2 3 17 4 3" xfId="31556" xr:uid="{00000000-0005-0000-0000-000080400000}"/>
    <cellStyle name="Финансовый 2 3 17 5" xfId="9384" xr:uid="{00000000-0005-0000-0000-000081400000}"/>
    <cellStyle name="Финансовый 2 3 17 5 2" xfId="21362" xr:uid="{00000000-0005-0000-0000-000082400000}"/>
    <cellStyle name="Финансовый 2 3 17 5 2 2" xfId="45317" xr:uid="{00000000-0005-0000-0000-000083400000}"/>
    <cellStyle name="Финансовый 2 3 17 5 3" xfId="33339" xr:uid="{00000000-0005-0000-0000-000084400000}"/>
    <cellStyle name="Финансовый 2 3 17 6" xfId="13542" xr:uid="{00000000-0005-0000-0000-000085400000}"/>
    <cellStyle name="Финансовый 2 3 17 6 2" xfId="37497" xr:uid="{00000000-0005-0000-0000-000086400000}"/>
    <cellStyle name="Финансовый 2 3 17 7" xfId="25520" xr:uid="{00000000-0005-0000-0000-000087400000}"/>
    <cellStyle name="Финансовый 2 3 17 8" xfId="48653" xr:uid="{00000000-0005-0000-0000-000088400000}"/>
    <cellStyle name="Финансовый 2 3 18" xfId="849" xr:uid="{00000000-0005-0000-0000-000089400000}"/>
    <cellStyle name="Финансовый 2 3 18 2" xfId="6889" xr:uid="{00000000-0005-0000-0000-00008A400000}"/>
    <cellStyle name="Финансовый 2 3 18 2 2" xfId="18867" xr:uid="{00000000-0005-0000-0000-00008B400000}"/>
    <cellStyle name="Финансовый 2 3 18 2 2 2" xfId="42822" xr:uid="{00000000-0005-0000-0000-00008C400000}"/>
    <cellStyle name="Финансовый 2 3 18 2 3" xfId="30844" xr:uid="{00000000-0005-0000-0000-00008D400000}"/>
    <cellStyle name="Финансовый 2 3 18 3" xfId="10437" xr:uid="{00000000-0005-0000-0000-00008E400000}"/>
    <cellStyle name="Финансовый 2 3 18 3 2" xfId="22415" xr:uid="{00000000-0005-0000-0000-00008F400000}"/>
    <cellStyle name="Финансовый 2 3 18 3 2 2" xfId="46370" xr:uid="{00000000-0005-0000-0000-000090400000}"/>
    <cellStyle name="Финансовый 2 3 18 3 3" xfId="34392" xr:uid="{00000000-0005-0000-0000-000091400000}"/>
    <cellStyle name="Финансовый 2 3 18 4" xfId="12830" xr:uid="{00000000-0005-0000-0000-000092400000}"/>
    <cellStyle name="Финансовый 2 3 18 4 2" xfId="36785" xr:uid="{00000000-0005-0000-0000-000093400000}"/>
    <cellStyle name="Финансовый 2 3 18 5" xfId="24808" xr:uid="{00000000-0005-0000-0000-000094400000}"/>
    <cellStyle name="Финансовый 2 3 18 6" xfId="49706" xr:uid="{00000000-0005-0000-0000-000095400000}"/>
    <cellStyle name="Финансовый 2 3 19" xfId="429" xr:uid="{00000000-0005-0000-0000-000096400000}"/>
    <cellStyle name="Финансовый 2 3 19 2" xfId="6469" xr:uid="{00000000-0005-0000-0000-000097400000}"/>
    <cellStyle name="Финансовый 2 3 19 2 2" xfId="18447" xr:uid="{00000000-0005-0000-0000-000098400000}"/>
    <cellStyle name="Финансовый 2 3 19 2 2 2" xfId="42402" xr:uid="{00000000-0005-0000-0000-000099400000}"/>
    <cellStyle name="Финансовый 2 3 19 2 3" xfId="30424" xr:uid="{00000000-0005-0000-0000-00009A400000}"/>
    <cellStyle name="Финансовый 2 3 19 3" xfId="12410" xr:uid="{00000000-0005-0000-0000-00009B400000}"/>
    <cellStyle name="Финансовый 2 3 19 3 2" xfId="36365" xr:uid="{00000000-0005-0000-0000-00009C400000}"/>
    <cellStyle name="Финансовый 2 3 19 4" xfId="24388" xr:uid="{00000000-0005-0000-0000-00009D400000}"/>
    <cellStyle name="Финансовый 2 3 2" xfId="12" xr:uid="{00000000-0005-0000-0000-00009E400000}"/>
    <cellStyle name="Финансовый 2 3 2 10" xfId="286" xr:uid="{00000000-0005-0000-0000-00009F400000}"/>
    <cellStyle name="Финансовый 2 3 2 10 10" xfId="24246" xr:uid="{00000000-0005-0000-0000-0000A0400000}"/>
    <cellStyle name="Финансовый 2 3 2 10 11" xfId="48476" xr:uid="{00000000-0005-0000-0000-0000A1400000}"/>
    <cellStyle name="Финансовый 2 3 2 10 2" xfId="2086" xr:uid="{00000000-0005-0000-0000-0000A2400000}"/>
    <cellStyle name="Финансовый 2 3 2 10 2 2" xfId="3731" xr:uid="{00000000-0005-0000-0000-0000A3400000}"/>
    <cellStyle name="Финансовый 2 3 2 10 2 2 2" xfId="11471" xr:uid="{00000000-0005-0000-0000-0000A4400000}"/>
    <cellStyle name="Финансовый 2 3 2 10 2 2 2 2" xfId="23449" xr:uid="{00000000-0005-0000-0000-0000A5400000}"/>
    <cellStyle name="Финансовый 2 3 2 10 2 2 2 2 2" xfId="47404" xr:uid="{00000000-0005-0000-0000-0000A6400000}"/>
    <cellStyle name="Финансовый 2 3 2 10 2 2 2 3" xfId="35426" xr:uid="{00000000-0005-0000-0000-0000A7400000}"/>
    <cellStyle name="Финансовый 2 3 2 10 2 2 3" xfId="15710" xr:uid="{00000000-0005-0000-0000-0000A8400000}"/>
    <cellStyle name="Финансовый 2 3 2 10 2 2 3 2" xfId="39665" xr:uid="{00000000-0005-0000-0000-0000A9400000}"/>
    <cellStyle name="Финансовый 2 3 2 10 2 2 4" xfId="27688" xr:uid="{00000000-0005-0000-0000-0000AA400000}"/>
    <cellStyle name="Финансовый 2 3 2 10 2 2 5" xfId="50957" xr:uid="{00000000-0005-0000-0000-0000AB400000}"/>
    <cellStyle name="Финансовый 2 3 2 10 2 3" xfId="5514" xr:uid="{00000000-0005-0000-0000-0000AC400000}"/>
    <cellStyle name="Финансовый 2 3 2 10 2 3 2" xfId="17492" xr:uid="{00000000-0005-0000-0000-0000AD400000}"/>
    <cellStyle name="Финансовый 2 3 2 10 2 3 2 2" xfId="41447" xr:uid="{00000000-0005-0000-0000-0000AE400000}"/>
    <cellStyle name="Финансовый 2 3 2 10 2 3 3" xfId="29469" xr:uid="{00000000-0005-0000-0000-0000AF400000}"/>
    <cellStyle name="Финансовый 2 3 2 10 2 4" xfId="8124" xr:uid="{00000000-0005-0000-0000-0000B0400000}"/>
    <cellStyle name="Финансовый 2 3 2 10 2 4 2" xfId="20102" xr:uid="{00000000-0005-0000-0000-0000B1400000}"/>
    <cellStyle name="Финансовый 2 3 2 10 2 4 2 2" xfId="44057" xr:uid="{00000000-0005-0000-0000-0000B2400000}"/>
    <cellStyle name="Финансовый 2 3 2 10 2 4 3" xfId="32079" xr:uid="{00000000-0005-0000-0000-0000B3400000}"/>
    <cellStyle name="Финансовый 2 3 2 10 2 5" xfId="9907" xr:uid="{00000000-0005-0000-0000-0000B4400000}"/>
    <cellStyle name="Финансовый 2 3 2 10 2 5 2" xfId="21885" xr:uid="{00000000-0005-0000-0000-0000B5400000}"/>
    <cellStyle name="Финансовый 2 3 2 10 2 5 2 2" xfId="45840" xr:uid="{00000000-0005-0000-0000-0000B6400000}"/>
    <cellStyle name="Финансовый 2 3 2 10 2 5 3" xfId="33862" xr:uid="{00000000-0005-0000-0000-0000B7400000}"/>
    <cellStyle name="Финансовый 2 3 2 10 2 6" xfId="14065" xr:uid="{00000000-0005-0000-0000-0000B8400000}"/>
    <cellStyle name="Финансовый 2 3 2 10 2 6 2" xfId="38020" xr:uid="{00000000-0005-0000-0000-0000B9400000}"/>
    <cellStyle name="Финансовый 2 3 2 10 2 7" xfId="26043" xr:uid="{00000000-0005-0000-0000-0000BA400000}"/>
    <cellStyle name="Финансовый 2 3 2 10 2 8" xfId="49176" xr:uid="{00000000-0005-0000-0000-0000BB400000}"/>
    <cellStyle name="Финансовый 2 3 2 10 3" xfId="1384" xr:uid="{00000000-0005-0000-0000-0000BC400000}"/>
    <cellStyle name="Финансовый 2 3 2 10 3 2" xfId="7424" xr:uid="{00000000-0005-0000-0000-0000BD400000}"/>
    <cellStyle name="Финансовый 2 3 2 10 3 2 2" xfId="19402" xr:uid="{00000000-0005-0000-0000-0000BE400000}"/>
    <cellStyle name="Финансовый 2 3 2 10 3 2 2 2" xfId="43357" xr:uid="{00000000-0005-0000-0000-0000BF400000}"/>
    <cellStyle name="Финансовый 2 3 2 10 3 2 3" xfId="31379" xr:uid="{00000000-0005-0000-0000-0000C0400000}"/>
    <cellStyle name="Финансовый 2 3 2 10 3 3" xfId="10955" xr:uid="{00000000-0005-0000-0000-0000C1400000}"/>
    <cellStyle name="Финансовый 2 3 2 10 3 3 2" xfId="22933" xr:uid="{00000000-0005-0000-0000-0000C2400000}"/>
    <cellStyle name="Финансовый 2 3 2 10 3 3 2 2" xfId="46888" xr:uid="{00000000-0005-0000-0000-0000C3400000}"/>
    <cellStyle name="Финансовый 2 3 2 10 3 3 3" xfId="34910" xr:uid="{00000000-0005-0000-0000-0000C4400000}"/>
    <cellStyle name="Финансовый 2 3 2 10 3 4" xfId="13365" xr:uid="{00000000-0005-0000-0000-0000C5400000}"/>
    <cellStyle name="Финансовый 2 3 2 10 3 4 2" xfId="37320" xr:uid="{00000000-0005-0000-0000-0000C6400000}"/>
    <cellStyle name="Финансовый 2 3 2 10 3 5" xfId="25343" xr:uid="{00000000-0005-0000-0000-0000C7400000}"/>
    <cellStyle name="Финансовый 2 3 2 10 3 6" xfId="50256" xr:uid="{00000000-0005-0000-0000-0000C8400000}"/>
    <cellStyle name="Финансовый 2 3 2 10 4" xfId="707" xr:uid="{00000000-0005-0000-0000-0000C9400000}"/>
    <cellStyle name="Финансовый 2 3 2 10 4 2" xfId="6747" xr:uid="{00000000-0005-0000-0000-0000CA400000}"/>
    <cellStyle name="Финансовый 2 3 2 10 4 2 2" xfId="18725" xr:uid="{00000000-0005-0000-0000-0000CB400000}"/>
    <cellStyle name="Финансовый 2 3 2 10 4 2 2 2" xfId="42680" xr:uid="{00000000-0005-0000-0000-0000CC400000}"/>
    <cellStyle name="Финансовый 2 3 2 10 4 2 3" xfId="30702" xr:uid="{00000000-0005-0000-0000-0000CD400000}"/>
    <cellStyle name="Финансовый 2 3 2 10 4 3" xfId="12688" xr:uid="{00000000-0005-0000-0000-0000CE400000}"/>
    <cellStyle name="Финансовый 2 3 2 10 4 3 2" xfId="36643" xr:uid="{00000000-0005-0000-0000-0000CF400000}"/>
    <cellStyle name="Финансовый 2 3 2 10 4 4" xfId="24666" xr:uid="{00000000-0005-0000-0000-0000D0400000}"/>
    <cellStyle name="Финансовый 2 3 2 10 5" xfId="3168" xr:uid="{00000000-0005-0000-0000-0000D1400000}"/>
    <cellStyle name="Финансовый 2 3 2 10 5 2" xfId="15147" xr:uid="{00000000-0005-0000-0000-0000D2400000}"/>
    <cellStyle name="Финансовый 2 3 2 10 5 2 2" xfId="39102" xr:uid="{00000000-0005-0000-0000-0000D3400000}"/>
    <cellStyle name="Финансовый 2 3 2 10 5 3" xfId="27125" xr:uid="{00000000-0005-0000-0000-0000D4400000}"/>
    <cellStyle name="Финансовый 2 3 2 10 6" xfId="4812" xr:uid="{00000000-0005-0000-0000-0000D5400000}"/>
    <cellStyle name="Финансовый 2 3 2 10 6 2" xfId="16791" xr:uid="{00000000-0005-0000-0000-0000D6400000}"/>
    <cellStyle name="Финансовый 2 3 2 10 6 2 2" xfId="40746" xr:uid="{00000000-0005-0000-0000-0000D7400000}"/>
    <cellStyle name="Финансовый 2 3 2 10 6 3" xfId="28769" xr:uid="{00000000-0005-0000-0000-0000D8400000}"/>
    <cellStyle name="Финансовый 2 3 2 10 7" xfId="6327" xr:uid="{00000000-0005-0000-0000-0000D9400000}"/>
    <cellStyle name="Финансовый 2 3 2 10 7 2" xfId="18305" xr:uid="{00000000-0005-0000-0000-0000DA400000}"/>
    <cellStyle name="Финансовый 2 3 2 10 7 2 2" xfId="42260" xr:uid="{00000000-0005-0000-0000-0000DB400000}"/>
    <cellStyle name="Финансовый 2 3 2 10 7 3" xfId="30282" xr:uid="{00000000-0005-0000-0000-0000DC400000}"/>
    <cellStyle name="Финансовый 2 3 2 10 8" xfId="9206" xr:uid="{00000000-0005-0000-0000-0000DD400000}"/>
    <cellStyle name="Финансовый 2 3 2 10 8 2" xfId="21184" xr:uid="{00000000-0005-0000-0000-0000DE400000}"/>
    <cellStyle name="Финансовый 2 3 2 10 8 2 2" xfId="45139" xr:uid="{00000000-0005-0000-0000-0000DF400000}"/>
    <cellStyle name="Финансовый 2 3 2 10 8 3" xfId="33161" xr:uid="{00000000-0005-0000-0000-0000E0400000}"/>
    <cellStyle name="Финансовый 2 3 2 10 9" xfId="12268" xr:uid="{00000000-0005-0000-0000-0000E1400000}"/>
    <cellStyle name="Финансовый 2 3 2 10 9 2" xfId="36223" xr:uid="{00000000-0005-0000-0000-0000E2400000}"/>
    <cellStyle name="Финансовый 2 3 2 11" xfId="299" xr:uid="{00000000-0005-0000-0000-0000E3400000}"/>
    <cellStyle name="Финансовый 2 3 2 11 10" xfId="48204" xr:uid="{00000000-0005-0000-0000-0000E4400000}"/>
    <cellStyle name="Финансовый 2 3 2 11 2" xfId="1119" xr:uid="{00000000-0005-0000-0000-0000E5400000}"/>
    <cellStyle name="Финансовый 2 3 2 11 2 2" xfId="7159" xr:uid="{00000000-0005-0000-0000-0000E6400000}"/>
    <cellStyle name="Финансовый 2 3 2 11 2 2 2" xfId="19137" xr:uid="{00000000-0005-0000-0000-0000E7400000}"/>
    <cellStyle name="Финансовый 2 3 2 11 2 2 2 2" xfId="43092" xr:uid="{00000000-0005-0000-0000-0000E8400000}"/>
    <cellStyle name="Финансовый 2 3 2 11 2 2 3" xfId="31114" xr:uid="{00000000-0005-0000-0000-0000E9400000}"/>
    <cellStyle name="Финансовый 2 3 2 11 2 3" xfId="10699" xr:uid="{00000000-0005-0000-0000-0000EA400000}"/>
    <cellStyle name="Финансовый 2 3 2 11 2 3 2" xfId="22677" xr:uid="{00000000-0005-0000-0000-0000EB400000}"/>
    <cellStyle name="Финансовый 2 3 2 11 2 3 2 2" xfId="46632" xr:uid="{00000000-0005-0000-0000-0000EC400000}"/>
    <cellStyle name="Финансовый 2 3 2 11 2 3 3" xfId="34654" xr:uid="{00000000-0005-0000-0000-0000ED400000}"/>
    <cellStyle name="Финансовый 2 3 2 11 2 4" xfId="13100" xr:uid="{00000000-0005-0000-0000-0000EE400000}"/>
    <cellStyle name="Финансовый 2 3 2 11 2 4 2" xfId="37055" xr:uid="{00000000-0005-0000-0000-0000EF400000}"/>
    <cellStyle name="Финансовый 2 3 2 11 2 5" xfId="25078" xr:uid="{00000000-0005-0000-0000-0000F0400000}"/>
    <cellStyle name="Финансовый 2 3 2 11 2 6" xfId="49984" xr:uid="{00000000-0005-0000-0000-0000F1400000}"/>
    <cellStyle name="Финансовый 2 3 2 11 3" xfId="719" xr:uid="{00000000-0005-0000-0000-0000F2400000}"/>
    <cellStyle name="Финансовый 2 3 2 11 3 2" xfId="6759" xr:uid="{00000000-0005-0000-0000-0000F3400000}"/>
    <cellStyle name="Финансовый 2 3 2 11 3 2 2" xfId="18737" xr:uid="{00000000-0005-0000-0000-0000F4400000}"/>
    <cellStyle name="Финансовый 2 3 2 11 3 2 2 2" xfId="42692" xr:uid="{00000000-0005-0000-0000-0000F5400000}"/>
    <cellStyle name="Финансовый 2 3 2 11 3 2 3" xfId="30714" xr:uid="{00000000-0005-0000-0000-0000F6400000}"/>
    <cellStyle name="Финансовый 2 3 2 11 3 3" xfId="12700" xr:uid="{00000000-0005-0000-0000-0000F7400000}"/>
    <cellStyle name="Финансовый 2 3 2 11 3 3 2" xfId="36655" xr:uid="{00000000-0005-0000-0000-0000F8400000}"/>
    <cellStyle name="Финансовый 2 3 2 11 3 4" xfId="24678" xr:uid="{00000000-0005-0000-0000-0000F9400000}"/>
    <cellStyle name="Финансовый 2 3 2 11 4" xfId="2896" xr:uid="{00000000-0005-0000-0000-0000FA400000}"/>
    <cellStyle name="Финансовый 2 3 2 11 4 2" xfId="14875" xr:uid="{00000000-0005-0000-0000-0000FB400000}"/>
    <cellStyle name="Финансовый 2 3 2 11 4 2 2" xfId="38830" xr:uid="{00000000-0005-0000-0000-0000FC400000}"/>
    <cellStyle name="Финансовый 2 3 2 11 4 3" xfId="26853" xr:uid="{00000000-0005-0000-0000-0000FD400000}"/>
    <cellStyle name="Финансовый 2 3 2 11 5" xfId="4540" xr:uid="{00000000-0005-0000-0000-0000FE400000}"/>
    <cellStyle name="Финансовый 2 3 2 11 5 2" xfId="16519" xr:uid="{00000000-0005-0000-0000-0000FF400000}"/>
    <cellStyle name="Финансовый 2 3 2 11 5 2 2" xfId="40474" xr:uid="{00000000-0005-0000-0000-000000410000}"/>
    <cellStyle name="Финансовый 2 3 2 11 5 3" xfId="28497" xr:uid="{00000000-0005-0000-0000-000001410000}"/>
    <cellStyle name="Финансовый 2 3 2 11 6" xfId="6339" xr:uid="{00000000-0005-0000-0000-000002410000}"/>
    <cellStyle name="Финансовый 2 3 2 11 6 2" xfId="18317" xr:uid="{00000000-0005-0000-0000-000003410000}"/>
    <cellStyle name="Финансовый 2 3 2 11 6 2 2" xfId="42272" xr:uid="{00000000-0005-0000-0000-000004410000}"/>
    <cellStyle name="Финансовый 2 3 2 11 6 3" xfId="30294" xr:uid="{00000000-0005-0000-0000-000005410000}"/>
    <cellStyle name="Финансовый 2 3 2 11 7" xfId="8934" xr:uid="{00000000-0005-0000-0000-000006410000}"/>
    <cellStyle name="Финансовый 2 3 2 11 7 2" xfId="20912" xr:uid="{00000000-0005-0000-0000-000007410000}"/>
    <cellStyle name="Финансовый 2 3 2 11 7 2 2" xfId="44867" xr:uid="{00000000-0005-0000-0000-000008410000}"/>
    <cellStyle name="Финансовый 2 3 2 11 7 3" xfId="32889" xr:uid="{00000000-0005-0000-0000-000009410000}"/>
    <cellStyle name="Финансовый 2 3 2 11 8" xfId="12280" xr:uid="{00000000-0005-0000-0000-00000A410000}"/>
    <cellStyle name="Финансовый 2 3 2 11 8 2" xfId="36235" xr:uid="{00000000-0005-0000-0000-00000B410000}"/>
    <cellStyle name="Финансовый 2 3 2 11 9" xfId="24258" xr:uid="{00000000-0005-0000-0000-00000C410000}"/>
    <cellStyle name="Финансовый 2 3 2 12" xfId="1480" xr:uid="{00000000-0005-0000-0000-00000D410000}"/>
    <cellStyle name="Финансовый 2 3 2 12 2" xfId="1706" xr:uid="{00000000-0005-0000-0000-00000E410000}"/>
    <cellStyle name="Финансовый 2 3 2 12 2 2" xfId="3351" xr:uid="{00000000-0005-0000-0000-00000F410000}"/>
    <cellStyle name="Финансовый 2 3 2 12 2 2 2" xfId="11099" xr:uid="{00000000-0005-0000-0000-000010410000}"/>
    <cellStyle name="Финансовый 2 3 2 12 2 2 2 2" xfId="23077" xr:uid="{00000000-0005-0000-0000-000011410000}"/>
    <cellStyle name="Финансовый 2 3 2 12 2 2 2 2 2" xfId="47032" xr:uid="{00000000-0005-0000-0000-000012410000}"/>
    <cellStyle name="Финансовый 2 3 2 12 2 2 2 3" xfId="35054" xr:uid="{00000000-0005-0000-0000-000013410000}"/>
    <cellStyle name="Финансовый 2 3 2 12 2 2 3" xfId="15330" xr:uid="{00000000-0005-0000-0000-000014410000}"/>
    <cellStyle name="Финансовый 2 3 2 12 2 2 3 2" xfId="39285" xr:uid="{00000000-0005-0000-0000-000015410000}"/>
    <cellStyle name="Финансовый 2 3 2 12 2 2 4" xfId="27308" xr:uid="{00000000-0005-0000-0000-000016410000}"/>
    <cellStyle name="Финансовый 2 3 2 12 2 2 5" xfId="50577" xr:uid="{00000000-0005-0000-0000-000017410000}"/>
    <cellStyle name="Финансовый 2 3 2 12 2 3" xfId="5134" xr:uid="{00000000-0005-0000-0000-000018410000}"/>
    <cellStyle name="Финансовый 2 3 2 12 2 3 2" xfId="17112" xr:uid="{00000000-0005-0000-0000-000019410000}"/>
    <cellStyle name="Финансовый 2 3 2 12 2 3 2 2" xfId="41067" xr:uid="{00000000-0005-0000-0000-00001A410000}"/>
    <cellStyle name="Финансовый 2 3 2 12 2 3 3" xfId="29089" xr:uid="{00000000-0005-0000-0000-00001B410000}"/>
    <cellStyle name="Финансовый 2 3 2 12 2 4" xfId="7744" xr:uid="{00000000-0005-0000-0000-00001C410000}"/>
    <cellStyle name="Финансовый 2 3 2 12 2 4 2" xfId="19722" xr:uid="{00000000-0005-0000-0000-00001D410000}"/>
    <cellStyle name="Финансовый 2 3 2 12 2 4 2 2" xfId="43677" xr:uid="{00000000-0005-0000-0000-00001E410000}"/>
    <cellStyle name="Финансовый 2 3 2 12 2 4 3" xfId="31699" xr:uid="{00000000-0005-0000-0000-00001F410000}"/>
    <cellStyle name="Финансовый 2 3 2 12 2 5" xfId="9527" xr:uid="{00000000-0005-0000-0000-000020410000}"/>
    <cellStyle name="Финансовый 2 3 2 12 2 5 2" xfId="21505" xr:uid="{00000000-0005-0000-0000-000021410000}"/>
    <cellStyle name="Финансовый 2 3 2 12 2 5 2 2" xfId="45460" xr:uid="{00000000-0005-0000-0000-000022410000}"/>
    <cellStyle name="Финансовый 2 3 2 12 2 5 3" xfId="33482" xr:uid="{00000000-0005-0000-0000-000023410000}"/>
    <cellStyle name="Финансовый 2 3 2 12 2 6" xfId="13685" xr:uid="{00000000-0005-0000-0000-000024410000}"/>
    <cellStyle name="Финансовый 2 3 2 12 2 6 2" xfId="37640" xr:uid="{00000000-0005-0000-0000-000025410000}"/>
    <cellStyle name="Финансовый 2 3 2 12 2 7" xfId="25663" xr:uid="{00000000-0005-0000-0000-000026410000}"/>
    <cellStyle name="Финансовый 2 3 2 12 2 8" xfId="48796" xr:uid="{00000000-0005-0000-0000-000027410000}"/>
    <cellStyle name="Финансовый 2 3 2 12 3" xfId="4908" xr:uid="{00000000-0005-0000-0000-000028410000}"/>
    <cellStyle name="Финансовый 2 3 2 12 3 2" xfId="16886" xr:uid="{00000000-0005-0000-0000-000029410000}"/>
    <cellStyle name="Финансовый 2 3 2 12 3 2 2" xfId="40841" xr:uid="{00000000-0005-0000-0000-00002A410000}"/>
    <cellStyle name="Финансовый 2 3 2 12 3 3" xfId="28863" xr:uid="{00000000-0005-0000-0000-00002B410000}"/>
    <cellStyle name="Финансовый 2 3 2 12 3 4" xfId="50351" xr:uid="{00000000-0005-0000-0000-00002C410000}"/>
    <cellStyle name="Финансовый 2 3 2 12 4" xfId="7518" xr:uid="{00000000-0005-0000-0000-00002D410000}"/>
    <cellStyle name="Финансовый 2 3 2 12 4 2" xfId="19496" xr:uid="{00000000-0005-0000-0000-00002E410000}"/>
    <cellStyle name="Финансовый 2 3 2 12 4 2 2" xfId="43451" xr:uid="{00000000-0005-0000-0000-00002F410000}"/>
    <cellStyle name="Финансовый 2 3 2 12 4 3" xfId="31473" xr:uid="{00000000-0005-0000-0000-000030410000}"/>
    <cellStyle name="Финансовый 2 3 2 12 5" xfId="9301" xr:uid="{00000000-0005-0000-0000-000031410000}"/>
    <cellStyle name="Финансовый 2 3 2 12 5 2" xfId="21279" xr:uid="{00000000-0005-0000-0000-000032410000}"/>
    <cellStyle name="Финансовый 2 3 2 12 5 2 2" xfId="45234" xr:uid="{00000000-0005-0000-0000-000033410000}"/>
    <cellStyle name="Финансовый 2 3 2 12 5 3" xfId="33256" xr:uid="{00000000-0005-0000-0000-000034410000}"/>
    <cellStyle name="Финансовый 2 3 2 12 6" xfId="13459" xr:uid="{00000000-0005-0000-0000-000035410000}"/>
    <cellStyle name="Финансовый 2 3 2 12 6 2" xfId="37414" xr:uid="{00000000-0005-0000-0000-000036410000}"/>
    <cellStyle name="Финансовый 2 3 2 12 7" xfId="25437" xr:uid="{00000000-0005-0000-0000-000037410000}"/>
    <cellStyle name="Финансовый 2 3 2 12 8" xfId="48570" xr:uid="{00000000-0005-0000-0000-000038410000}"/>
    <cellStyle name="Финансовый 2 3 2 13" xfId="2342" xr:uid="{00000000-0005-0000-0000-000039410000}"/>
    <cellStyle name="Финансовый 2 3 2 13 2" xfId="3987" xr:uid="{00000000-0005-0000-0000-00003A410000}"/>
    <cellStyle name="Финансовый 2 3 2 13 2 2" xfId="11727" xr:uid="{00000000-0005-0000-0000-00003B410000}"/>
    <cellStyle name="Финансовый 2 3 2 13 2 2 2" xfId="23705" xr:uid="{00000000-0005-0000-0000-00003C410000}"/>
    <cellStyle name="Финансовый 2 3 2 13 2 2 2 2" xfId="47660" xr:uid="{00000000-0005-0000-0000-00003D410000}"/>
    <cellStyle name="Финансовый 2 3 2 13 2 2 3" xfId="35682" xr:uid="{00000000-0005-0000-0000-00003E410000}"/>
    <cellStyle name="Финансовый 2 3 2 13 2 3" xfId="15966" xr:uid="{00000000-0005-0000-0000-00003F410000}"/>
    <cellStyle name="Финансовый 2 3 2 13 2 3 2" xfId="39921" xr:uid="{00000000-0005-0000-0000-000040410000}"/>
    <cellStyle name="Финансовый 2 3 2 13 2 4" xfId="27944" xr:uid="{00000000-0005-0000-0000-000041410000}"/>
    <cellStyle name="Финансовый 2 3 2 13 2 5" xfId="51213" xr:uid="{00000000-0005-0000-0000-000042410000}"/>
    <cellStyle name="Финансовый 2 3 2 13 3" xfId="5770" xr:uid="{00000000-0005-0000-0000-000043410000}"/>
    <cellStyle name="Финансовый 2 3 2 13 3 2" xfId="17748" xr:uid="{00000000-0005-0000-0000-000044410000}"/>
    <cellStyle name="Финансовый 2 3 2 13 3 2 2" xfId="41703" xr:uid="{00000000-0005-0000-0000-000045410000}"/>
    <cellStyle name="Финансовый 2 3 2 13 3 3" xfId="29725" xr:uid="{00000000-0005-0000-0000-000046410000}"/>
    <cellStyle name="Финансовый 2 3 2 13 4" xfId="8380" xr:uid="{00000000-0005-0000-0000-000047410000}"/>
    <cellStyle name="Финансовый 2 3 2 13 4 2" xfId="20358" xr:uid="{00000000-0005-0000-0000-000048410000}"/>
    <cellStyle name="Финансовый 2 3 2 13 4 2 2" xfId="44313" xr:uid="{00000000-0005-0000-0000-000049410000}"/>
    <cellStyle name="Финансовый 2 3 2 13 4 3" xfId="32335" xr:uid="{00000000-0005-0000-0000-00004A410000}"/>
    <cellStyle name="Финансовый 2 3 2 13 5" xfId="10163" xr:uid="{00000000-0005-0000-0000-00004B410000}"/>
    <cellStyle name="Финансовый 2 3 2 13 5 2" xfId="22141" xr:uid="{00000000-0005-0000-0000-00004C410000}"/>
    <cellStyle name="Финансовый 2 3 2 13 5 2 2" xfId="46096" xr:uid="{00000000-0005-0000-0000-00004D410000}"/>
    <cellStyle name="Финансовый 2 3 2 13 5 3" xfId="34118" xr:uid="{00000000-0005-0000-0000-00004E410000}"/>
    <cellStyle name="Финансовый 2 3 2 13 6" xfId="14321" xr:uid="{00000000-0005-0000-0000-00004F410000}"/>
    <cellStyle name="Финансовый 2 3 2 13 6 2" xfId="38276" xr:uid="{00000000-0005-0000-0000-000050410000}"/>
    <cellStyle name="Финансовый 2 3 2 13 7" xfId="26299" xr:uid="{00000000-0005-0000-0000-000051410000}"/>
    <cellStyle name="Финансовый 2 3 2 13 8" xfId="49432" xr:uid="{00000000-0005-0000-0000-000052410000}"/>
    <cellStyle name="Финансовый 2 3 2 14" xfId="1569" xr:uid="{00000000-0005-0000-0000-000053410000}"/>
    <cellStyle name="Финансовый 2 3 2 14 2" xfId="3214" xr:uid="{00000000-0005-0000-0000-000054410000}"/>
    <cellStyle name="Финансовый 2 3 2 14 2 2" xfId="10970" xr:uid="{00000000-0005-0000-0000-000055410000}"/>
    <cellStyle name="Финансовый 2 3 2 14 2 2 2" xfId="22948" xr:uid="{00000000-0005-0000-0000-000056410000}"/>
    <cellStyle name="Финансовый 2 3 2 14 2 2 2 2" xfId="46903" xr:uid="{00000000-0005-0000-0000-000057410000}"/>
    <cellStyle name="Финансовый 2 3 2 14 2 2 3" xfId="34925" xr:uid="{00000000-0005-0000-0000-000058410000}"/>
    <cellStyle name="Финансовый 2 3 2 14 2 3" xfId="15193" xr:uid="{00000000-0005-0000-0000-000059410000}"/>
    <cellStyle name="Финансовый 2 3 2 14 2 3 2" xfId="39148" xr:uid="{00000000-0005-0000-0000-00005A410000}"/>
    <cellStyle name="Финансовый 2 3 2 14 2 4" xfId="27171" xr:uid="{00000000-0005-0000-0000-00005B410000}"/>
    <cellStyle name="Финансовый 2 3 2 14 2 5" xfId="50440" xr:uid="{00000000-0005-0000-0000-00005C410000}"/>
    <cellStyle name="Финансовый 2 3 2 14 3" xfId="4997" xr:uid="{00000000-0005-0000-0000-00005D410000}"/>
    <cellStyle name="Финансовый 2 3 2 14 3 2" xfId="16975" xr:uid="{00000000-0005-0000-0000-00005E410000}"/>
    <cellStyle name="Финансовый 2 3 2 14 3 2 2" xfId="40930" xr:uid="{00000000-0005-0000-0000-00005F410000}"/>
    <cellStyle name="Финансовый 2 3 2 14 3 3" xfId="28952" xr:uid="{00000000-0005-0000-0000-000060410000}"/>
    <cellStyle name="Финансовый 2 3 2 14 4" xfId="7607" xr:uid="{00000000-0005-0000-0000-000061410000}"/>
    <cellStyle name="Финансовый 2 3 2 14 4 2" xfId="19585" xr:uid="{00000000-0005-0000-0000-000062410000}"/>
    <cellStyle name="Финансовый 2 3 2 14 4 2 2" xfId="43540" xr:uid="{00000000-0005-0000-0000-000063410000}"/>
    <cellStyle name="Финансовый 2 3 2 14 4 3" xfId="31562" xr:uid="{00000000-0005-0000-0000-000064410000}"/>
    <cellStyle name="Финансовый 2 3 2 14 5" xfId="9390" xr:uid="{00000000-0005-0000-0000-000065410000}"/>
    <cellStyle name="Финансовый 2 3 2 14 5 2" xfId="21368" xr:uid="{00000000-0005-0000-0000-000066410000}"/>
    <cellStyle name="Финансовый 2 3 2 14 5 2 2" xfId="45323" xr:uid="{00000000-0005-0000-0000-000067410000}"/>
    <cellStyle name="Финансовый 2 3 2 14 5 3" xfId="33345" xr:uid="{00000000-0005-0000-0000-000068410000}"/>
    <cellStyle name="Финансовый 2 3 2 14 6" xfId="13548" xr:uid="{00000000-0005-0000-0000-000069410000}"/>
    <cellStyle name="Финансовый 2 3 2 14 6 2" xfId="37503" xr:uid="{00000000-0005-0000-0000-00006A410000}"/>
    <cellStyle name="Финансовый 2 3 2 14 7" xfId="25526" xr:uid="{00000000-0005-0000-0000-00006B410000}"/>
    <cellStyle name="Финансовый 2 3 2 14 8" xfId="48659" xr:uid="{00000000-0005-0000-0000-00006C410000}"/>
    <cellStyle name="Финансовый 2 3 2 15" xfId="855" xr:uid="{00000000-0005-0000-0000-00006D410000}"/>
    <cellStyle name="Финансовый 2 3 2 15 2" xfId="6895" xr:uid="{00000000-0005-0000-0000-00006E410000}"/>
    <cellStyle name="Финансовый 2 3 2 15 2 2" xfId="18873" xr:uid="{00000000-0005-0000-0000-00006F410000}"/>
    <cellStyle name="Финансовый 2 3 2 15 2 2 2" xfId="42828" xr:uid="{00000000-0005-0000-0000-000070410000}"/>
    <cellStyle name="Финансовый 2 3 2 15 2 3" xfId="30850" xr:uid="{00000000-0005-0000-0000-000071410000}"/>
    <cellStyle name="Финансовый 2 3 2 15 3" xfId="10443" xr:uid="{00000000-0005-0000-0000-000072410000}"/>
    <cellStyle name="Финансовый 2 3 2 15 3 2" xfId="22421" xr:uid="{00000000-0005-0000-0000-000073410000}"/>
    <cellStyle name="Финансовый 2 3 2 15 3 2 2" xfId="46376" xr:uid="{00000000-0005-0000-0000-000074410000}"/>
    <cellStyle name="Финансовый 2 3 2 15 3 3" xfId="34398" xr:uid="{00000000-0005-0000-0000-000075410000}"/>
    <cellStyle name="Финансовый 2 3 2 15 4" xfId="12836" xr:uid="{00000000-0005-0000-0000-000076410000}"/>
    <cellStyle name="Финансовый 2 3 2 15 4 2" xfId="36791" xr:uid="{00000000-0005-0000-0000-000077410000}"/>
    <cellStyle name="Финансовый 2 3 2 15 5" xfId="24814" xr:uid="{00000000-0005-0000-0000-000078410000}"/>
    <cellStyle name="Финансовый 2 3 2 15 6" xfId="49712" xr:uid="{00000000-0005-0000-0000-000079410000}"/>
    <cellStyle name="Финансовый 2 3 2 16" xfId="435" xr:uid="{00000000-0005-0000-0000-00007A410000}"/>
    <cellStyle name="Финансовый 2 3 2 16 2" xfId="6475" xr:uid="{00000000-0005-0000-0000-00007B410000}"/>
    <cellStyle name="Финансовый 2 3 2 16 2 2" xfId="18453" xr:uid="{00000000-0005-0000-0000-00007C410000}"/>
    <cellStyle name="Финансовый 2 3 2 16 2 2 2" xfId="42408" xr:uid="{00000000-0005-0000-0000-00007D410000}"/>
    <cellStyle name="Финансовый 2 3 2 16 2 3" xfId="30430" xr:uid="{00000000-0005-0000-0000-00007E410000}"/>
    <cellStyle name="Финансовый 2 3 2 16 3" xfId="12416" xr:uid="{00000000-0005-0000-0000-00007F410000}"/>
    <cellStyle name="Финансовый 2 3 2 16 3 2" xfId="36371" xr:uid="{00000000-0005-0000-0000-000080410000}"/>
    <cellStyle name="Финансовый 2 3 2 16 4" xfId="24394" xr:uid="{00000000-0005-0000-0000-000081410000}"/>
    <cellStyle name="Финансовый 2 3 2 17" xfId="2624" xr:uid="{00000000-0005-0000-0000-000082410000}"/>
    <cellStyle name="Финансовый 2 3 2 17 2" xfId="14603" xr:uid="{00000000-0005-0000-0000-000083410000}"/>
    <cellStyle name="Финансовый 2 3 2 17 2 2" xfId="38558" xr:uid="{00000000-0005-0000-0000-000084410000}"/>
    <cellStyle name="Финансовый 2 3 2 17 3" xfId="26581" xr:uid="{00000000-0005-0000-0000-000085410000}"/>
    <cellStyle name="Финансовый 2 3 2 18" xfId="4267" xr:uid="{00000000-0005-0000-0000-000086410000}"/>
    <cellStyle name="Финансовый 2 3 2 18 2" xfId="16246" xr:uid="{00000000-0005-0000-0000-000087410000}"/>
    <cellStyle name="Финансовый 2 3 2 18 2 2" xfId="40201" xr:uid="{00000000-0005-0000-0000-000088410000}"/>
    <cellStyle name="Финансовый 2 3 2 18 3" xfId="28224" xr:uid="{00000000-0005-0000-0000-000089410000}"/>
    <cellStyle name="Финансовый 2 3 2 19" xfId="6055" xr:uid="{00000000-0005-0000-0000-00008A410000}"/>
    <cellStyle name="Финансовый 2 3 2 19 2" xfId="18033" xr:uid="{00000000-0005-0000-0000-00008B410000}"/>
    <cellStyle name="Финансовый 2 3 2 19 2 2" xfId="41988" xr:uid="{00000000-0005-0000-0000-00008C410000}"/>
    <cellStyle name="Финансовый 2 3 2 19 3" xfId="30010" xr:uid="{00000000-0005-0000-0000-00008D410000}"/>
    <cellStyle name="Финансовый 2 3 2 2" xfId="48" xr:uid="{00000000-0005-0000-0000-00008E410000}"/>
    <cellStyle name="Финансовый 2 3 2 2 10" xfId="471" xr:uid="{00000000-0005-0000-0000-00008F410000}"/>
    <cellStyle name="Финансовый 2 3 2 2 10 2" xfId="6511" xr:uid="{00000000-0005-0000-0000-000090410000}"/>
    <cellStyle name="Финансовый 2 3 2 2 10 2 2" xfId="18489" xr:uid="{00000000-0005-0000-0000-000091410000}"/>
    <cellStyle name="Финансовый 2 3 2 2 10 2 2 2" xfId="42444" xr:uid="{00000000-0005-0000-0000-000092410000}"/>
    <cellStyle name="Финансовый 2 3 2 2 10 2 3" xfId="30466" xr:uid="{00000000-0005-0000-0000-000093410000}"/>
    <cellStyle name="Финансовый 2 3 2 2 10 3" xfId="12452" xr:uid="{00000000-0005-0000-0000-000094410000}"/>
    <cellStyle name="Финансовый 2 3 2 2 10 3 2" xfId="36407" xr:uid="{00000000-0005-0000-0000-000095410000}"/>
    <cellStyle name="Финансовый 2 3 2 2 10 4" xfId="24430" xr:uid="{00000000-0005-0000-0000-000096410000}"/>
    <cellStyle name="Финансовый 2 3 2 2 11" xfId="2660" xr:uid="{00000000-0005-0000-0000-000097410000}"/>
    <cellStyle name="Финансовый 2 3 2 2 11 2" xfId="14639" xr:uid="{00000000-0005-0000-0000-000098410000}"/>
    <cellStyle name="Финансовый 2 3 2 2 11 2 2" xfId="38594" xr:uid="{00000000-0005-0000-0000-000099410000}"/>
    <cellStyle name="Финансовый 2 3 2 2 11 3" xfId="26617" xr:uid="{00000000-0005-0000-0000-00009A410000}"/>
    <cellStyle name="Финансовый 2 3 2 2 12" xfId="4303" xr:uid="{00000000-0005-0000-0000-00009B410000}"/>
    <cellStyle name="Финансовый 2 3 2 2 12 2" xfId="16282" xr:uid="{00000000-0005-0000-0000-00009C410000}"/>
    <cellStyle name="Финансовый 2 3 2 2 12 2 2" xfId="40237" xr:uid="{00000000-0005-0000-0000-00009D410000}"/>
    <cellStyle name="Финансовый 2 3 2 2 12 3" xfId="28260" xr:uid="{00000000-0005-0000-0000-00009E410000}"/>
    <cellStyle name="Финансовый 2 3 2 2 13" xfId="6091" xr:uid="{00000000-0005-0000-0000-00009F410000}"/>
    <cellStyle name="Финансовый 2 3 2 2 13 2" xfId="18069" xr:uid="{00000000-0005-0000-0000-0000A0410000}"/>
    <cellStyle name="Финансовый 2 3 2 2 13 2 2" xfId="42024" xr:uid="{00000000-0005-0000-0000-0000A1410000}"/>
    <cellStyle name="Финансовый 2 3 2 2 13 3" xfId="30046" xr:uid="{00000000-0005-0000-0000-0000A2410000}"/>
    <cellStyle name="Финансовый 2 3 2 2 14" xfId="8698" xr:uid="{00000000-0005-0000-0000-0000A3410000}"/>
    <cellStyle name="Финансовый 2 3 2 2 14 2" xfId="20676" xr:uid="{00000000-0005-0000-0000-0000A4410000}"/>
    <cellStyle name="Финансовый 2 3 2 2 14 2 2" xfId="44631" xr:uid="{00000000-0005-0000-0000-0000A5410000}"/>
    <cellStyle name="Финансовый 2 3 2 2 14 3" xfId="32653" xr:uid="{00000000-0005-0000-0000-0000A6410000}"/>
    <cellStyle name="Финансовый 2 3 2 2 15" xfId="12032" xr:uid="{00000000-0005-0000-0000-0000A7410000}"/>
    <cellStyle name="Финансовый 2 3 2 2 15 2" xfId="35987" xr:uid="{00000000-0005-0000-0000-0000A8410000}"/>
    <cellStyle name="Финансовый 2 3 2 2 16" xfId="24010" xr:uid="{00000000-0005-0000-0000-0000A9410000}"/>
    <cellStyle name="Финансовый 2 3 2 2 17" xfId="47968" xr:uid="{00000000-0005-0000-0000-0000AA410000}"/>
    <cellStyle name="Финансовый 2 3 2 2 2" xfId="106" xr:uid="{00000000-0005-0000-0000-0000AB410000}"/>
    <cellStyle name="Финансовый 2 3 2 2 2 10" xfId="2716" xr:uid="{00000000-0005-0000-0000-0000AC410000}"/>
    <cellStyle name="Финансовый 2 3 2 2 2 10 2" xfId="14695" xr:uid="{00000000-0005-0000-0000-0000AD410000}"/>
    <cellStyle name="Финансовый 2 3 2 2 2 10 2 2" xfId="38650" xr:uid="{00000000-0005-0000-0000-0000AE410000}"/>
    <cellStyle name="Финансовый 2 3 2 2 2 10 3" xfId="26673" xr:uid="{00000000-0005-0000-0000-0000AF410000}"/>
    <cellStyle name="Финансовый 2 3 2 2 2 11" xfId="4360" xr:uid="{00000000-0005-0000-0000-0000B0410000}"/>
    <cellStyle name="Финансовый 2 3 2 2 2 11 2" xfId="16339" xr:uid="{00000000-0005-0000-0000-0000B1410000}"/>
    <cellStyle name="Финансовый 2 3 2 2 2 11 2 2" xfId="40294" xr:uid="{00000000-0005-0000-0000-0000B2410000}"/>
    <cellStyle name="Финансовый 2 3 2 2 2 11 3" xfId="28317" xr:uid="{00000000-0005-0000-0000-0000B3410000}"/>
    <cellStyle name="Финансовый 2 3 2 2 2 12" xfId="6147" xr:uid="{00000000-0005-0000-0000-0000B4410000}"/>
    <cellStyle name="Финансовый 2 3 2 2 2 12 2" xfId="18125" xr:uid="{00000000-0005-0000-0000-0000B5410000}"/>
    <cellStyle name="Финансовый 2 3 2 2 2 12 2 2" xfId="42080" xr:uid="{00000000-0005-0000-0000-0000B6410000}"/>
    <cellStyle name="Финансовый 2 3 2 2 2 12 3" xfId="30102" xr:uid="{00000000-0005-0000-0000-0000B7410000}"/>
    <cellStyle name="Финансовый 2 3 2 2 2 13" xfId="8754" xr:uid="{00000000-0005-0000-0000-0000B8410000}"/>
    <cellStyle name="Финансовый 2 3 2 2 2 13 2" xfId="20732" xr:uid="{00000000-0005-0000-0000-0000B9410000}"/>
    <cellStyle name="Финансовый 2 3 2 2 2 13 2 2" xfId="44687" xr:uid="{00000000-0005-0000-0000-0000BA410000}"/>
    <cellStyle name="Финансовый 2 3 2 2 2 13 3" xfId="32709" xr:uid="{00000000-0005-0000-0000-0000BB410000}"/>
    <cellStyle name="Финансовый 2 3 2 2 2 14" xfId="12088" xr:uid="{00000000-0005-0000-0000-0000BC410000}"/>
    <cellStyle name="Финансовый 2 3 2 2 2 14 2" xfId="36043" xr:uid="{00000000-0005-0000-0000-0000BD410000}"/>
    <cellStyle name="Финансовый 2 3 2 2 2 15" xfId="24066" xr:uid="{00000000-0005-0000-0000-0000BE410000}"/>
    <cellStyle name="Финансовый 2 3 2 2 2 16" xfId="48024" xr:uid="{00000000-0005-0000-0000-0000BF410000}"/>
    <cellStyle name="Финансовый 2 3 2 2 2 2" xfId="242" xr:uid="{00000000-0005-0000-0000-0000C0410000}"/>
    <cellStyle name="Финансовый 2 3 2 2 2 2 10" xfId="8890" xr:uid="{00000000-0005-0000-0000-0000C1410000}"/>
    <cellStyle name="Финансовый 2 3 2 2 2 2 10 2" xfId="20868" xr:uid="{00000000-0005-0000-0000-0000C2410000}"/>
    <cellStyle name="Финансовый 2 3 2 2 2 2 10 2 2" xfId="44823" xr:uid="{00000000-0005-0000-0000-0000C3410000}"/>
    <cellStyle name="Финансовый 2 3 2 2 2 2 10 3" xfId="32845" xr:uid="{00000000-0005-0000-0000-0000C4410000}"/>
    <cellStyle name="Финансовый 2 3 2 2 2 2 11" xfId="12224" xr:uid="{00000000-0005-0000-0000-0000C5410000}"/>
    <cellStyle name="Финансовый 2 3 2 2 2 2 11 2" xfId="36179" xr:uid="{00000000-0005-0000-0000-0000C6410000}"/>
    <cellStyle name="Финансовый 2 3 2 2 2 2 12" xfId="24202" xr:uid="{00000000-0005-0000-0000-0000C7410000}"/>
    <cellStyle name="Финансовый 2 3 2 2 2 2 13" xfId="48160" xr:uid="{00000000-0005-0000-0000-0000C8410000}"/>
    <cellStyle name="Финансовый 2 3 2 2 2 2 2" xfId="1340" xr:uid="{00000000-0005-0000-0000-0000C9410000}"/>
    <cellStyle name="Финансовый 2 3 2 2 2 2 2 2" xfId="2298" xr:uid="{00000000-0005-0000-0000-0000CA410000}"/>
    <cellStyle name="Финансовый 2 3 2 2 2 2 2 2 2" xfId="3943" xr:uid="{00000000-0005-0000-0000-0000CB410000}"/>
    <cellStyle name="Финансовый 2 3 2 2 2 2 2 2 2 2" xfId="11683" xr:uid="{00000000-0005-0000-0000-0000CC410000}"/>
    <cellStyle name="Финансовый 2 3 2 2 2 2 2 2 2 2 2" xfId="23661" xr:uid="{00000000-0005-0000-0000-0000CD410000}"/>
    <cellStyle name="Финансовый 2 3 2 2 2 2 2 2 2 2 2 2" xfId="47616" xr:uid="{00000000-0005-0000-0000-0000CE410000}"/>
    <cellStyle name="Финансовый 2 3 2 2 2 2 2 2 2 2 3" xfId="35638" xr:uid="{00000000-0005-0000-0000-0000CF410000}"/>
    <cellStyle name="Финансовый 2 3 2 2 2 2 2 2 2 3" xfId="15922" xr:uid="{00000000-0005-0000-0000-0000D0410000}"/>
    <cellStyle name="Финансовый 2 3 2 2 2 2 2 2 2 3 2" xfId="39877" xr:uid="{00000000-0005-0000-0000-0000D1410000}"/>
    <cellStyle name="Финансовый 2 3 2 2 2 2 2 2 2 4" xfId="27900" xr:uid="{00000000-0005-0000-0000-0000D2410000}"/>
    <cellStyle name="Финансовый 2 3 2 2 2 2 2 2 2 5" xfId="51169" xr:uid="{00000000-0005-0000-0000-0000D3410000}"/>
    <cellStyle name="Финансовый 2 3 2 2 2 2 2 2 3" xfId="5726" xr:uid="{00000000-0005-0000-0000-0000D4410000}"/>
    <cellStyle name="Финансовый 2 3 2 2 2 2 2 2 3 2" xfId="17704" xr:uid="{00000000-0005-0000-0000-0000D5410000}"/>
    <cellStyle name="Финансовый 2 3 2 2 2 2 2 2 3 2 2" xfId="41659" xr:uid="{00000000-0005-0000-0000-0000D6410000}"/>
    <cellStyle name="Финансовый 2 3 2 2 2 2 2 2 3 3" xfId="29681" xr:uid="{00000000-0005-0000-0000-0000D7410000}"/>
    <cellStyle name="Финансовый 2 3 2 2 2 2 2 2 4" xfId="8336" xr:uid="{00000000-0005-0000-0000-0000D8410000}"/>
    <cellStyle name="Финансовый 2 3 2 2 2 2 2 2 4 2" xfId="20314" xr:uid="{00000000-0005-0000-0000-0000D9410000}"/>
    <cellStyle name="Финансовый 2 3 2 2 2 2 2 2 4 2 2" xfId="44269" xr:uid="{00000000-0005-0000-0000-0000DA410000}"/>
    <cellStyle name="Финансовый 2 3 2 2 2 2 2 2 4 3" xfId="32291" xr:uid="{00000000-0005-0000-0000-0000DB410000}"/>
    <cellStyle name="Финансовый 2 3 2 2 2 2 2 2 5" xfId="10119" xr:uid="{00000000-0005-0000-0000-0000DC410000}"/>
    <cellStyle name="Финансовый 2 3 2 2 2 2 2 2 5 2" xfId="22097" xr:uid="{00000000-0005-0000-0000-0000DD410000}"/>
    <cellStyle name="Финансовый 2 3 2 2 2 2 2 2 5 2 2" xfId="46052" xr:uid="{00000000-0005-0000-0000-0000DE410000}"/>
    <cellStyle name="Финансовый 2 3 2 2 2 2 2 2 5 3" xfId="34074" xr:uid="{00000000-0005-0000-0000-0000DF410000}"/>
    <cellStyle name="Финансовый 2 3 2 2 2 2 2 2 6" xfId="14277" xr:uid="{00000000-0005-0000-0000-0000E0410000}"/>
    <cellStyle name="Финансовый 2 3 2 2 2 2 2 2 6 2" xfId="38232" xr:uid="{00000000-0005-0000-0000-0000E1410000}"/>
    <cellStyle name="Финансовый 2 3 2 2 2 2 2 2 7" xfId="26255" xr:uid="{00000000-0005-0000-0000-0000E2410000}"/>
    <cellStyle name="Финансовый 2 3 2 2 2 2 2 2 8" xfId="49388" xr:uid="{00000000-0005-0000-0000-0000E3410000}"/>
    <cellStyle name="Финансовый 2 3 2 2 2 2 2 3" xfId="3124" xr:uid="{00000000-0005-0000-0000-0000E4410000}"/>
    <cellStyle name="Финансовый 2 3 2 2 2 2 2 3 2" xfId="10911" xr:uid="{00000000-0005-0000-0000-0000E5410000}"/>
    <cellStyle name="Финансовый 2 3 2 2 2 2 2 3 2 2" xfId="22889" xr:uid="{00000000-0005-0000-0000-0000E6410000}"/>
    <cellStyle name="Финансовый 2 3 2 2 2 2 2 3 2 2 2" xfId="46844" xr:uid="{00000000-0005-0000-0000-0000E7410000}"/>
    <cellStyle name="Финансовый 2 3 2 2 2 2 2 3 2 3" xfId="34866" xr:uid="{00000000-0005-0000-0000-0000E8410000}"/>
    <cellStyle name="Финансовый 2 3 2 2 2 2 2 3 3" xfId="15103" xr:uid="{00000000-0005-0000-0000-0000E9410000}"/>
    <cellStyle name="Финансовый 2 3 2 2 2 2 2 3 3 2" xfId="39058" xr:uid="{00000000-0005-0000-0000-0000EA410000}"/>
    <cellStyle name="Финансовый 2 3 2 2 2 2 2 3 4" xfId="27081" xr:uid="{00000000-0005-0000-0000-0000EB410000}"/>
    <cellStyle name="Финансовый 2 3 2 2 2 2 2 3 5" xfId="50212" xr:uid="{00000000-0005-0000-0000-0000EC410000}"/>
    <cellStyle name="Финансовый 2 3 2 2 2 2 2 4" xfId="4768" xr:uid="{00000000-0005-0000-0000-0000ED410000}"/>
    <cellStyle name="Финансовый 2 3 2 2 2 2 2 4 2" xfId="16747" xr:uid="{00000000-0005-0000-0000-0000EE410000}"/>
    <cellStyle name="Финансовый 2 3 2 2 2 2 2 4 2 2" xfId="40702" xr:uid="{00000000-0005-0000-0000-0000EF410000}"/>
    <cellStyle name="Финансовый 2 3 2 2 2 2 2 4 3" xfId="28725" xr:uid="{00000000-0005-0000-0000-0000F0410000}"/>
    <cellStyle name="Финансовый 2 3 2 2 2 2 2 5" xfId="7380" xr:uid="{00000000-0005-0000-0000-0000F1410000}"/>
    <cellStyle name="Финансовый 2 3 2 2 2 2 2 5 2" xfId="19358" xr:uid="{00000000-0005-0000-0000-0000F2410000}"/>
    <cellStyle name="Финансовый 2 3 2 2 2 2 2 5 2 2" xfId="43313" xr:uid="{00000000-0005-0000-0000-0000F3410000}"/>
    <cellStyle name="Финансовый 2 3 2 2 2 2 2 5 3" xfId="31335" xr:uid="{00000000-0005-0000-0000-0000F4410000}"/>
    <cellStyle name="Финансовый 2 3 2 2 2 2 2 6" xfId="9162" xr:uid="{00000000-0005-0000-0000-0000F5410000}"/>
    <cellStyle name="Финансовый 2 3 2 2 2 2 2 6 2" xfId="21140" xr:uid="{00000000-0005-0000-0000-0000F6410000}"/>
    <cellStyle name="Финансовый 2 3 2 2 2 2 2 6 2 2" xfId="45095" xr:uid="{00000000-0005-0000-0000-0000F7410000}"/>
    <cellStyle name="Финансовый 2 3 2 2 2 2 2 6 3" xfId="33117" xr:uid="{00000000-0005-0000-0000-0000F8410000}"/>
    <cellStyle name="Финансовый 2 3 2 2 2 2 2 7" xfId="13321" xr:uid="{00000000-0005-0000-0000-0000F9410000}"/>
    <cellStyle name="Финансовый 2 3 2 2 2 2 2 7 2" xfId="37276" xr:uid="{00000000-0005-0000-0000-0000FA410000}"/>
    <cellStyle name="Финансовый 2 3 2 2 2 2 2 8" xfId="25299" xr:uid="{00000000-0005-0000-0000-0000FB410000}"/>
    <cellStyle name="Финансовый 2 3 2 2 2 2 2 9" xfId="48432" xr:uid="{00000000-0005-0000-0000-0000FC410000}"/>
    <cellStyle name="Финансовый 2 3 2 2 2 2 3" xfId="2042" xr:uid="{00000000-0005-0000-0000-0000FD410000}"/>
    <cellStyle name="Финансовый 2 3 2 2 2 2 3 2" xfId="3687" xr:uid="{00000000-0005-0000-0000-0000FE410000}"/>
    <cellStyle name="Финансовый 2 3 2 2 2 2 3 2 2" xfId="11427" xr:uid="{00000000-0005-0000-0000-0000FF410000}"/>
    <cellStyle name="Финансовый 2 3 2 2 2 2 3 2 2 2" xfId="23405" xr:uid="{00000000-0005-0000-0000-000000420000}"/>
    <cellStyle name="Финансовый 2 3 2 2 2 2 3 2 2 2 2" xfId="47360" xr:uid="{00000000-0005-0000-0000-000001420000}"/>
    <cellStyle name="Финансовый 2 3 2 2 2 2 3 2 2 3" xfId="35382" xr:uid="{00000000-0005-0000-0000-000002420000}"/>
    <cellStyle name="Финансовый 2 3 2 2 2 2 3 2 3" xfId="15666" xr:uid="{00000000-0005-0000-0000-000003420000}"/>
    <cellStyle name="Финансовый 2 3 2 2 2 2 3 2 3 2" xfId="39621" xr:uid="{00000000-0005-0000-0000-000004420000}"/>
    <cellStyle name="Финансовый 2 3 2 2 2 2 3 2 4" xfId="27644" xr:uid="{00000000-0005-0000-0000-000005420000}"/>
    <cellStyle name="Финансовый 2 3 2 2 2 2 3 2 5" xfId="50913" xr:uid="{00000000-0005-0000-0000-000006420000}"/>
    <cellStyle name="Финансовый 2 3 2 2 2 2 3 3" xfId="5470" xr:uid="{00000000-0005-0000-0000-000007420000}"/>
    <cellStyle name="Финансовый 2 3 2 2 2 2 3 3 2" xfId="17448" xr:uid="{00000000-0005-0000-0000-000008420000}"/>
    <cellStyle name="Финансовый 2 3 2 2 2 2 3 3 2 2" xfId="41403" xr:uid="{00000000-0005-0000-0000-000009420000}"/>
    <cellStyle name="Финансовый 2 3 2 2 2 2 3 3 3" xfId="29425" xr:uid="{00000000-0005-0000-0000-00000A420000}"/>
    <cellStyle name="Финансовый 2 3 2 2 2 2 3 4" xfId="8080" xr:uid="{00000000-0005-0000-0000-00000B420000}"/>
    <cellStyle name="Финансовый 2 3 2 2 2 2 3 4 2" xfId="20058" xr:uid="{00000000-0005-0000-0000-00000C420000}"/>
    <cellStyle name="Финансовый 2 3 2 2 2 2 3 4 2 2" xfId="44013" xr:uid="{00000000-0005-0000-0000-00000D420000}"/>
    <cellStyle name="Финансовый 2 3 2 2 2 2 3 4 3" xfId="32035" xr:uid="{00000000-0005-0000-0000-00000E420000}"/>
    <cellStyle name="Финансовый 2 3 2 2 2 2 3 5" xfId="9863" xr:uid="{00000000-0005-0000-0000-00000F420000}"/>
    <cellStyle name="Финансовый 2 3 2 2 2 2 3 5 2" xfId="21841" xr:uid="{00000000-0005-0000-0000-000010420000}"/>
    <cellStyle name="Финансовый 2 3 2 2 2 2 3 5 2 2" xfId="45796" xr:uid="{00000000-0005-0000-0000-000011420000}"/>
    <cellStyle name="Финансовый 2 3 2 2 2 2 3 5 3" xfId="33818" xr:uid="{00000000-0005-0000-0000-000012420000}"/>
    <cellStyle name="Финансовый 2 3 2 2 2 2 3 6" xfId="14021" xr:uid="{00000000-0005-0000-0000-000013420000}"/>
    <cellStyle name="Финансовый 2 3 2 2 2 2 3 6 2" xfId="37976" xr:uid="{00000000-0005-0000-0000-000014420000}"/>
    <cellStyle name="Финансовый 2 3 2 2 2 2 3 7" xfId="25999" xr:uid="{00000000-0005-0000-0000-000015420000}"/>
    <cellStyle name="Финансовый 2 3 2 2 2 2 3 8" xfId="49132" xr:uid="{00000000-0005-0000-0000-000016420000}"/>
    <cellStyle name="Финансовый 2 3 2 2 2 2 4" xfId="2571" xr:uid="{00000000-0005-0000-0000-000017420000}"/>
    <cellStyle name="Финансовый 2 3 2 2 2 2 4 2" xfId="4216" xr:uid="{00000000-0005-0000-0000-000018420000}"/>
    <cellStyle name="Финансовый 2 3 2 2 2 2 4 2 2" xfId="11940" xr:uid="{00000000-0005-0000-0000-000019420000}"/>
    <cellStyle name="Финансовый 2 3 2 2 2 2 4 2 2 2" xfId="23918" xr:uid="{00000000-0005-0000-0000-00001A420000}"/>
    <cellStyle name="Финансовый 2 3 2 2 2 2 4 2 2 2 2" xfId="47873" xr:uid="{00000000-0005-0000-0000-00001B420000}"/>
    <cellStyle name="Финансовый 2 3 2 2 2 2 4 2 2 3" xfId="35895" xr:uid="{00000000-0005-0000-0000-00001C420000}"/>
    <cellStyle name="Финансовый 2 3 2 2 2 2 4 2 3" xfId="16195" xr:uid="{00000000-0005-0000-0000-00001D420000}"/>
    <cellStyle name="Финансовый 2 3 2 2 2 2 4 2 3 2" xfId="40150" xr:uid="{00000000-0005-0000-0000-00001E420000}"/>
    <cellStyle name="Финансовый 2 3 2 2 2 2 4 2 4" xfId="28173" xr:uid="{00000000-0005-0000-0000-00001F420000}"/>
    <cellStyle name="Финансовый 2 3 2 2 2 2 4 2 5" xfId="51442" xr:uid="{00000000-0005-0000-0000-000020420000}"/>
    <cellStyle name="Финансовый 2 3 2 2 2 2 4 3" xfId="5999" xr:uid="{00000000-0005-0000-0000-000021420000}"/>
    <cellStyle name="Финансовый 2 3 2 2 2 2 4 3 2" xfId="17977" xr:uid="{00000000-0005-0000-0000-000022420000}"/>
    <cellStyle name="Финансовый 2 3 2 2 2 2 4 3 2 2" xfId="41932" xr:uid="{00000000-0005-0000-0000-000023420000}"/>
    <cellStyle name="Финансовый 2 3 2 2 2 2 4 3 3" xfId="29954" xr:uid="{00000000-0005-0000-0000-000024420000}"/>
    <cellStyle name="Финансовый 2 3 2 2 2 2 4 4" xfId="8609" xr:uid="{00000000-0005-0000-0000-000025420000}"/>
    <cellStyle name="Финансовый 2 3 2 2 2 2 4 4 2" xfId="20587" xr:uid="{00000000-0005-0000-0000-000026420000}"/>
    <cellStyle name="Финансовый 2 3 2 2 2 2 4 4 2 2" xfId="44542" xr:uid="{00000000-0005-0000-0000-000027420000}"/>
    <cellStyle name="Финансовый 2 3 2 2 2 2 4 4 3" xfId="32564" xr:uid="{00000000-0005-0000-0000-000028420000}"/>
    <cellStyle name="Финансовый 2 3 2 2 2 2 4 5" xfId="10392" xr:uid="{00000000-0005-0000-0000-000029420000}"/>
    <cellStyle name="Финансовый 2 3 2 2 2 2 4 5 2" xfId="22370" xr:uid="{00000000-0005-0000-0000-00002A420000}"/>
    <cellStyle name="Финансовый 2 3 2 2 2 2 4 5 2 2" xfId="46325" xr:uid="{00000000-0005-0000-0000-00002B420000}"/>
    <cellStyle name="Финансовый 2 3 2 2 2 2 4 5 3" xfId="34347" xr:uid="{00000000-0005-0000-0000-00002C420000}"/>
    <cellStyle name="Финансовый 2 3 2 2 2 2 4 6" xfId="14550" xr:uid="{00000000-0005-0000-0000-00002D420000}"/>
    <cellStyle name="Финансовый 2 3 2 2 2 2 4 6 2" xfId="38505" xr:uid="{00000000-0005-0000-0000-00002E420000}"/>
    <cellStyle name="Финансовый 2 3 2 2 2 2 4 7" xfId="26528" xr:uid="{00000000-0005-0000-0000-00002F420000}"/>
    <cellStyle name="Финансовый 2 3 2 2 2 2 4 8" xfId="49661" xr:uid="{00000000-0005-0000-0000-000030420000}"/>
    <cellStyle name="Финансовый 2 3 2 2 2 2 5" xfId="1075" xr:uid="{00000000-0005-0000-0000-000031420000}"/>
    <cellStyle name="Финансовый 2 3 2 2 2 2 5 2" xfId="7115" xr:uid="{00000000-0005-0000-0000-000032420000}"/>
    <cellStyle name="Финансовый 2 3 2 2 2 2 5 2 2" xfId="19093" xr:uid="{00000000-0005-0000-0000-000033420000}"/>
    <cellStyle name="Финансовый 2 3 2 2 2 2 5 2 2 2" xfId="43048" xr:uid="{00000000-0005-0000-0000-000034420000}"/>
    <cellStyle name="Финансовый 2 3 2 2 2 2 5 2 3" xfId="31070" xr:uid="{00000000-0005-0000-0000-000035420000}"/>
    <cellStyle name="Финансовый 2 3 2 2 2 2 5 3" xfId="10655" xr:uid="{00000000-0005-0000-0000-000036420000}"/>
    <cellStyle name="Финансовый 2 3 2 2 2 2 5 3 2" xfId="22633" xr:uid="{00000000-0005-0000-0000-000037420000}"/>
    <cellStyle name="Финансовый 2 3 2 2 2 2 5 3 2 2" xfId="46588" xr:uid="{00000000-0005-0000-0000-000038420000}"/>
    <cellStyle name="Финансовый 2 3 2 2 2 2 5 3 3" xfId="34610" xr:uid="{00000000-0005-0000-0000-000039420000}"/>
    <cellStyle name="Финансовый 2 3 2 2 2 2 5 4" xfId="13056" xr:uid="{00000000-0005-0000-0000-00003A420000}"/>
    <cellStyle name="Финансовый 2 3 2 2 2 2 5 4 2" xfId="37011" xr:uid="{00000000-0005-0000-0000-00003B420000}"/>
    <cellStyle name="Финансовый 2 3 2 2 2 2 5 5" xfId="25034" xr:uid="{00000000-0005-0000-0000-00003C420000}"/>
    <cellStyle name="Финансовый 2 3 2 2 2 2 5 6" xfId="49940" xr:uid="{00000000-0005-0000-0000-00003D420000}"/>
    <cellStyle name="Финансовый 2 3 2 2 2 2 6" xfId="663" xr:uid="{00000000-0005-0000-0000-00003E420000}"/>
    <cellStyle name="Финансовый 2 3 2 2 2 2 6 2" xfId="6703" xr:uid="{00000000-0005-0000-0000-00003F420000}"/>
    <cellStyle name="Финансовый 2 3 2 2 2 2 6 2 2" xfId="18681" xr:uid="{00000000-0005-0000-0000-000040420000}"/>
    <cellStyle name="Финансовый 2 3 2 2 2 2 6 2 2 2" xfId="42636" xr:uid="{00000000-0005-0000-0000-000041420000}"/>
    <cellStyle name="Финансовый 2 3 2 2 2 2 6 2 3" xfId="30658" xr:uid="{00000000-0005-0000-0000-000042420000}"/>
    <cellStyle name="Финансовый 2 3 2 2 2 2 6 3" xfId="12644" xr:uid="{00000000-0005-0000-0000-000043420000}"/>
    <cellStyle name="Финансовый 2 3 2 2 2 2 6 3 2" xfId="36599" xr:uid="{00000000-0005-0000-0000-000044420000}"/>
    <cellStyle name="Финансовый 2 3 2 2 2 2 6 4" xfId="24622" xr:uid="{00000000-0005-0000-0000-000045420000}"/>
    <cellStyle name="Финансовый 2 3 2 2 2 2 7" xfId="2852" xr:uid="{00000000-0005-0000-0000-000046420000}"/>
    <cellStyle name="Финансовый 2 3 2 2 2 2 7 2" xfId="14831" xr:uid="{00000000-0005-0000-0000-000047420000}"/>
    <cellStyle name="Финансовый 2 3 2 2 2 2 7 2 2" xfId="38786" xr:uid="{00000000-0005-0000-0000-000048420000}"/>
    <cellStyle name="Финансовый 2 3 2 2 2 2 7 3" xfId="26809" xr:uid="{00000000-0005-0000-0000-000049420000}"/>
    <cellStyle name="Финансовый 2 3 2 2 2 2 8" xfId="4496" xr:uid="{00000000-0005-0000-0000-00004A420000}"/>
    <cellStyle name="Финансовый 2 3 2 2 2 2 8 2" xfId="16475" xr:uid="{00000000-0005-0000-0000-00004B420000}"/>
    <cellStyle name="Финансовый 2 3 2 2 2 2 8 2 2" xfId="40430" xr:uid="{00000000-0005-0000-0000-00004C420000}"/>
    <cellStyle name="Финансовый 2 3 2 2 2 2 8 3" xfId="28453" xr:uid="{00000000-0005-0000-0000-00004D420000}"/>
    <cellStyle name="Финансовый 2 3 2 2 2 2 9" xfId="6283" xr:uid="{00000000-0005-0000-0000-00004E420000}"/>
    <cellStyle name="Финансовый 2 3 2 2 2 2 9 2" xfId="18261" xr:uid="{00000000-0005-0000-0000-00004F420000}"/>
    <cellStyle name="Финансовый 2 3 2 2 2 2 9 2 2" xfId="42216" xr:uid="{00000000-0005-0000-0000-000050420000}"/>
    <cellStyle name="Финансовый 2 3 2 2 2 2 9 3" xfId="30238" xr:uid="{00000000-0005-0000-0000-000051420000}"/>
    <cellStyle name="Финансовый 2 3 2 2 2 3" xfId="391" xr:uid="{00000000-0005-0000-0000-000052420000}"/>
    <cellStyle name="Финансовый 2 3 2 2 2 3 10" xfId="24350" xr:uid="{00000000-0005-0000-0000-000053420000}"/>
    <cellStyle name="Финансовый 2 3 2 2 2 3 11" xfId="48296" xr:uid="{00000000-0005-0000-0000-000054420000}"/>
    <cellStyle name="Финансовый 2 3 2 2 2 3 2" xfId="2170" xr:uid="{00000000-0005-0000-0000-000055420000}"/>
    <cellStyle name="Финансовый 2 3 2 2 2 3 2 2" xfId="3815" xr:uid="{00000000-0005-0000-0000-000056420000}"/>
    <cellStyle name="Финансовый 2 3 2 2 2 3 2 2 2" xfId="11555" xr:uid="{00000000-0005-0000-0000-000057420000}"/>
    <cellStyle name="Финансовый 2 3 2 2 2 3 2 2 2 2" xfId="23533" xr:uid="{00000000-0005-0000-0000-000058420000}"/>
    <cellStyle name="Финансовый 2 3 2 2 2 3 2 2 2 2 2" xfId="47488" xr:uid="{00000000-0005-0000-0000-000059420000}"/>
    <cellStyle name="Финансовый 2 3 2 2 2 3 2 2 2 3" xfId="35510" xr:uid="{00000000-0005-0000-0000-00005A420000}"/>
    <cellStyle name="Финансовый 2 3 2 2 2 3 2 2 3" xfId="15794" xr:uid="{00000000-0005-0000-0000-00005B420000}"/>
    <cellStyle name="Финансовый 2 3 2 2 2 3 2 2 3 2" xfId="39749" xr:uid="{00000000-0005-0000-0000-00005C420000}"/>
    <cellStyle name="Финансовый 2 3 2 2 2 3 2 2 4" xfId="27772" xr:uid="{00000000-0005-0000-0000-00005D420000}"/>
    <cellStyle name="Финансовый 2 3 2 2 2 3 2 2 5" xfId="51041" xr:uid="{00000000-0005-0000-0000-00005E420000}"/>
    <cellStyle name="Финансовый 2 3 2 2 2 3 2 3" xfId="5598" xr:uid="{00000000-0005-0000-0000-00005F420000}"/>
    <cellStyle name="Финансовый 2 3 2 2 2 3 2 3 2" xfId="17576" xr:uid="{00000000-0005-0000-0000-000060420000}"/>
    <cellStyle name="Финансовый 2 3 2 2 2 3 2 3 2 2" xfId="41531" xr:uid="{00000000-0005-0000-0000-000061420000}"/>
    <cellStyle name="Финансовый 2 3 2 2 2 3 2 3 3" xfId="29553" xr:uid="{00000000-0005-0000-0000-000062420000}"/>
    <cellStyle name="Финансовый 2 3 2 2 2 3 2 4" xfId="8208" xr:uid="{00000000-0005-0000-0000-000063420000}"/>
    <cellStyle name="Финансовый 2 3 2 2 2 3 2 4 2" xfId="20186" xr:uid="{00000000-0005-0000-0000-000064420000}"/>
    <cellStyle name="Финансовый 2 3 2 2 2 3 2 4 2 2" xfId="44141" xr:uid="{00000000-0005-0000-0000-000065420000}"/>
    <cellStyle name="Финансовый 2 3 2 2 2 3 2 4 3" xfId="32163" xr:uid="{00000000-0005-0000-0000-000066420000}"/>
    <cellStyle name="Финансовый 2 3 2 2 2 3 2 5" xfId="9991" xr:uid="{00000000-0005-0000-0000-000067420000}"/>
    <cellStyle name="Финансовый 2 3 2 2 2 3 2 5 2" xfId="21969" xr:uid="{00000000-0005-0000-0000-000068420000}"/>
    <cellStyle name="Финансовый 2 3 2 2 2 3 2 5 2 2" xfId="45924" xr:uid="{00000000-0005-0000-0000-000069420000}"/>
    <cellStyle name="Финансовый 2 3 2 2 2 3 2 5 3" xfId="33946" xr:uid="{00000000-0005-0000-0000-00006A420000}"/>
    <cellStyle name="Финансовый 2 3 2 2 2 3 2 6" xfId="14149" xr:uid="{00000000-0005-0000-0000-00006B420000}"/>
    <cellStyle name="Финансовый 2 3 2 2 2 3 2 6 2" xfId="38104" xr:uid="{00000000-0005-0000-0000-00006C420000}"/>
    <cellStyle name="Финансовый 2 3 2 2 2 3 2 7" xfId="26127" xr:uid="{00000000-0005-0000-0000-00006D420000}"/>
    <cellStyle name="Финансовый 2 3 2 2 2 3 2 8" xfId="49260" xr:uid="{00000000-0005-0000-0000-00006E420000}"/>
    <cellStyle name="Финансовый 2 3 2 2 2 3 3" xfId="1204" xr:uid="{00000000-0005-0000-0000-00006F420000}"/>
    <cellStyle name="Финансовый 2 3 2 2 2 3 3 2" xfId="7244" xr:uid="{00000000-0005-0000-0000-000070420000}"/>
    <cellStyle name="Финансовый 2 3 2 2 2 3 3 2 2" xfId="19222" xr:uid="{00000000-0005-0000-0000-000071420000}"/>
    <cellStyle name="Финансовый 2 3 2 2 2 3 3 2 2 2" xfId="43177" xr:uid="{00000000-0005-0000-0000-000072420000}"/>
    <cellStyle name="Финансовый 2 3 2 2 2 3 3 2 3" xfId="31199" xr:uid="{00000000-0005-0000-0000-000073420000}"/>
    <cellStyle name="Финансовый 2 3 2 2 2 3 3 3" xfId="10783" xr:uid="{00000000-0005-0000-0000-000074420000}"/>
    <cellStyle name="Финансовый 2 3 2 2 2 3 3 3 2" xfId="22761" xr:uid="{00000000-0005-0000-0000-000075420000}"/>
    <cellStyle name="Финансовый 2 3 2 2 2 3 3 3 2 2" xfId="46716" xr:uid="{00000000-0005-0000-0000-000076420000}"/>
    <cellStyle name="Финансовый 2 3 2 2 2 3 3 3 3" xfId="34738" xr:uid="{00000000-0005-0000-0000-000077420000}"/>
    <cellStyle name="Финансовый 2 3 2 2 2 3 3 4" xfId="13185" xr:uid="{00000000-0005-0000-0000-000078420000}"/>
    <cellStyle name="Финансовый 2 3 2 2 2 3 3 4 2" xfId="37140" xr:uid="{00000000-0005-0000-0000-000079420000}"/>
    <cellStyle name="Финансовый 2 3 2 2 2 3 3 5" xfId="25163" xr:uid="{00000000-0005-0000-0000-00007A420000}"/>
    <cellStyle name="Финансовый 2 3 2 2 2 3 3 6" xfId="50076" xr:uid="{00000000-0005-0000-0000-00007B420000}"/>
    <cellStyle name="Финансовый 2 3 2 2 2 3 4" xfId="811" xr:uid="{00000000-0005-0000-0000-00007C420000}"/>
    <cellStyle name="Финансовый 2 3 2 2 2 3 4 2" xfId="6851" xr:uid="{00000000-0005-0000-0000-00007D420000}"/>
    <cellStyle name="Финансовый 2 3 2 2 2 3 4 2 2" xfId="18829" xr:uid="{00000000-0005-0000-0000-00007E420000}"/>
    <cellStyle name="Финансовый 2 3 2 2 2 3 4 2 2 2" xfId="42784" xr:uid="{00000000-0005-0000-0000-00007F420000}"/>
    <cellStyle name="Финансовый 2 3 2 2 2 3 4 2 3" xfId="30806" xr:uid="{00000000-0005-0000-0000-000080420000}"/>
    <cellStyle name="Финансовый 2 3 2 2 2 3 4 3" xfId="12792" xr:uid="{00000000-0005-0000-0000-000081420000}"/>
    <cellStyle name="Финансовый 2 3 2 2 2 3 4 3 2" xfId="36747" xr:uid="{00000000-0005-0000-0000-000082420000}"/>
    <cellStyle name="Финансовый 2 3 2 2 2 3 4 4" xfId="24770" xr:uid="{00000000-0005-0000-0000-000083420000}"/>
    <cellStyle name="Финансовый 2 3 2 2 2 3 5" xfId="2988" xr:uid="{00000000-0005-0000-0000-000084420000}"/>
    <cellStyle name="Финансовый 2 3 2 2 2 3 5 2" xfId="14967" xr:uid="{00000000-0005-0000-0000-000085420000}"/>
    <cellStyle name="Финансовый 2 3 2 2 2 3 5 2 2" xfId="38922" xr:uid="{00000000-0005-0000-0000-000086420000}"/>
    <cellStyle name="Финансовый 2 3 2 2 2 3 5 3" xfId="26945" xr:uid="{00000000-0005-0000-0000-000087420000}"/>
    <cellStyle name="Финансовый 2 3 2 2 2 3 6" xfId="4632" xr:uid="{00000000-0005-0000-0000-000088420000}"/>
    <cellStyle name="Финансовый 2 3 2 2 2 3 6 2" xfId="16611" xr:uid="{00000000-0005-0000-0000-000089420000}"/>
    <cellStyle name="Финансовый 2 3 2 2 2 3 6 2 2" xfId="40566" xr:uid="{00000000-0005-0000-0000-00008A420000}"/>
    <cellStyle name="Финансовый 2 3 2 2 2 3 6 3" xfId="28589" xr:uid="{00000000-0005-0000-0000-00008B420000}"/>
    <cellStyle name="Финансовый 2 3 2 2 2 3 7" xfId="6431" xr:uid="{00000000-0005-0000-0000-00008C420000}"/>
    <cellStyle name="Финансовый 2 3 2 2 2 3 7 2" xfId="18409" xr:uid="{00000000-0005-0000-0000-00008D420000}"/>
    <cellStyle name="Финансовый 2 3 2 2 2 3 7 2 2" xfId="42364" xr:uid="{00000000-0005-0000-0000-00008E420000}"/>
    <cellStyle name="Финансовый 2 3 2 2 2 3 7 3" xfId="30386" xr:uid="{00000000-0005-0000-0000-00008F420000}"/>
    <cellStyle name="Финансовый 2 3 2 2 2 3 8" xfId="9026" xr:uid="{00000000-0005-0000-0000-000090420000}"/>
    <cellStyle name="Финансовый 2 3 2 2 2 3 8 2" xfId="21004" xr:uid="{00000000-0005-0000-0000-000091420000}"/>
    <cellStyle name="Финансовый 2 3 2 2 2 3 8 2 2" xfId="44959" xr:uid="{00000000-0005-0000-0000-000092420000}"/>
    <cellStyle name="Финансовый 2 3 2 2 2 3 8 3" xfId="32981" xr:uid="{00000000-0005-0000-0000-000093420000}"/>
    <cellStyle name="Финансовый 2 3 2 2 2 3 9" xfId="12372" xr:uid="{00000000-0005-0000-0000-000094420000}"/>
    <cellStyle name="Финансовый 2 3 2 2 2 3 9 2" xfId="36327" xr:uid="{00000000-0005-0000-0000-000095420000}"/>
    <cellStyle name="Финансовый 2 3 2 2 2 4" xfId="1482" xr:uid="{00000000-0005-0000-0000-000096420000}"/>
    <cellStyle name="Финансовый 2 3 2 2 2 4 2" xfId="1914" xr:uid="{00000000-0005-0000-0000-000097420000}"/>
    <cellStyle name="Финансовый 2 3 2 2 2 4 2 2" xfId="3559" xr:uid="{00000000-0005-0000-0000-000098420000}"/>
    <cellStyle name="Финансовый 2 3 2 2 2 4 2 2 2" xfId="11299" xr:uid="{00000000-0005-0000-0000-000099420000}"/>
    <cellStyle name="Финансовый 2 3 2 2 2 4 2 2 2 2" xfId="23277" xr:uid="{00000000-0005-0000-0000-00009A420000}"/>
    <cellStyle name="Финансовый 2 3 2 2 2 4 2 2 2 2 2" xfId="47232" xr:uid="{00000000-0005-0000-0000-00009B420000}"/>
    <cellStyle name="Финансовый 2 3 2 2 2 4 2 2 2 3" xfId="35254" xr:uid="{00000000-0005-0000-0000-00009C420000}"/>
    <cellStyle name="Финансовый 2 3 2 2 2 4 2 2 3" xfId="15538" xr:uid="{00000000-0005-0000-0000-00009D420000}"/>
    <cellStyle name="Финансовый 2 3 2 2 2 4 2 2 3 2" xfId="39493" xr:uid="{00000000-0005-0000-0000-00009E420000}"/>
    <cellStyle name="Финансовый 2 3 2 2 2 4 2 2 4" xfId="27516" xr:uid="{00000000-0005-0000-0000-00009F420000}"/>
    <cellStyle name="Финансовый 2 3 2 2 2 4 2 2 5" xfId="50785" xr:uid="{00000000-0005-0000-0000-0000A0420000}"/>
    <cellStyle name="Финансовый 2 3 2 2 2 4 2 3" xfId="5342" xr:uid="{00000000-0005-0000-0000-0000A1420000}"/>
    <cellStyle name="Финансовый 2 3 2 2 2 4 2 3 2" xfId="17320" xr:uid="{00000000-0005-0000-0000-0000A2420000}"/>
    <cellStyle name="Финансовый 2 3 2 2 2 4 2 3 2 2" xfId="41275" xr:uid="{00000000-0005-0000-0000-0000A3420000}"/>
    <cellStyle name="Финансовый 2 3 2 2 2 4 2 3 3" xfId="29297" xr:uid="{00000000-0005-0000-0000-0000A4420000}"/>
    <cellStyle name="Финансовый 2 3 2 2 2 4 2 4" xfId="7952" xr:uid="{00000000-0005-0000-0000-0000A5420000}"/>
    <cellStyle name="Финансовый 2 3 2 2 2 4 2 4 2" xfId="19930" xr:uid="{00000000-0005-0000-0000-0000A6420000}"/>
    <cellStyle name="Финансовый 2 3 2 2 2 4 2 4 2 2" xfId="43885" xr:uid="{00000000-0005-0000-0000-0000A7420000}"/>
    <cellStyle name="Финансовый 2 3 2 2 2 4 2 4 3" xfId="31907" xr:uid="{00000000-0005-0000-0000-0000A8420000}"/>
    <cellStyle name="Финансовый 2 3 2 2 2 4 2 5" xfId="9735" xr:uid="{00000000-0005-0000-0000-0000A9420000}"/>
    <cellStyle name="Финансовый 2 3 2 2 2 4 2 5 2" xfId="21713" xr:uid="{00000000-0005-0000-0000-0000AA420000}"/>
    <cellStyle name="Финансовый 2 3 2 2 2 4 2 5 2 2" xfId="45668" xr:uid="{00000000-0005-0000-0000-0000AB420000}"/>
    <cellStyle name="Финансовый 2 3 2 2 2 4 2 5 3" xfId="33690" xr:uid="{00000000-0005-0000-0000-0000AC420000}"/>
    <cellStyle name="Финансовый 2 3 2 2 2 4 2 6" xfId="13893" xr:uid="{00000000-0005-0000-0000-0000AD420000}"/>
    <cellStyle name="Финансовый 2 3 2 2 2 4 2 6 2" xfId="37848" xr:uid="{00000000-0005-0000-0000-0000AE420000}"/>
    <cellStyle name="Финансовый 2 3 2 2 2 4 2 7" xfId="25871" xr:uid="{00000000-0005-0000-0000-0000AF420000}"/>
    <cellStyle name="Финансовый 2 3 2 2 2 4 2 8" xfId="49004" xr:uid="{00000000-0005-0000-0000-0000B0420000}"/>
    <cellStyle name="Финансовый 2 3 2 2 2 4 3" xfId="4910" xr:uid="{00000000-0005-0000-0000-0000B1420000}"/>
    <cellStyle name="Финансовый 2 3 2 2 2 4 3 2" xfId="16888" xr:uid="{00000000-0005-0000-0000-0000B2420000}"/>
    <cellStyle name="Финансовый 2 3 2 2 2 4 3 2 2" xfId="40843" xr:uid="{00000000-0005-0000-0000-0000B3420000}"/>
    <cellStyle name="Финансовый 2 3 2 2 2 4 3 3" xfId="28865" xr:uid="{00000000-0005-0000-0000-0000B4420000}"/>
    <cellStyle name="Финансовый 2 3 2 2 2 4 3 4" xfId="50353" xr:uid="{00000000-0005-0000-0000-0000B5420000}"/>
    <cellStyle name="Финансовый 2 3 2 2 2 4 4" xfId="7520" xr:uid="{00000000-0005-0000-0000-0000B6420000}"/>
    <cellStyle name="Финансовый 2 3 2 2 2 4 4 2" xfId="19498" xr:uid="{00000000-0005-0000-0000-0000B7420000}"/>
    <cellStyle name="Финансовый 2 3 2 2 2 4 4 2 2" xfId="43453" xr:uid="{00000000-0005-0000-0000-0000B8420000}"/>
    <cellStyle name="Финансовый 2 3 2 2 2 4 4 3" xfId="31475" xr:uid="{00000000-0005-0000-0000-0000B9420000}"/>
    <cellStyle name="Финансовый 2 3 2 2 2 4 5" xfId="9303" xr:uid="{00000000-0005-0000-0000-0000BA420000}"/>
    <cellStyle name="Финансовый 2 3 2 2 2 4 5 2" xfId="21281" xr:uid="{00000000-0005-0000-0000-0000BB420000}"/>
    <cellStyle name="Финансовый 2 3 2 2 2 4 5 2 2" xfId="45236" xr:uid="{00000000-0005-0000-0000-0000BC420000}"/>
    <cellStyle name="Финансовый 2 3 2 2 2 4 5 3" xfId="33258" xr:uid="{00000000-0005-0000-0000-0000BD420000}"/>
    <cellStyle name="Финансовый 2 3 2 2 2 4 6" xfId="13461" xr:uid="{00000000-0005-0000-0000-0000BE420000}"/>
    <cellStyle name="Финансовый 2 3 2 2 2 4 6 2" xfId="37416" xr:uid="{00000000-0005-0000-0000-0000BF420000}"/>
    <cellStyle name="Финансовый 2 3 2 2 2 4 7" xfId="25439" xr:uid="{00000000-0005-0000-0000-0000C0420000}"/>
    <cellStyle name="Финансовый 2 3 2 2 2 4 8" xfId="48572" xr:uid="{00000000-0005-0000-0000-0000C1420000}"/>
    <cellStyle name="Финансовый 2 3 2 2 2 5" xfId="1790" xr:uid="{00000000-0005-0000-0000-0000C2420000}"/>
    <cellStyle name="Финансовый 2 3 2 2 2 5 2" xfId="3435" xr:uid="{00000000-0005-0000-0000-0000C3420000}"/>
    <cellStyle name="Финансовый 2 3 2 2 2 5 2 2" xfId="11183" xr:uid="{00000000-0005-0000-0000-0000C4420000}"/>
    <cellStyle name="Финансовый 2 3 2 2 2 5 2 2 2" xfId="23161" xr:uid="{00000000-0005-0000-0000-0000C5420000}"/>
    <cellStyle name="Финансовый 2 3 2 2 2 5 2 2 2 2" xfId="47116" xr:uid="{00000000-0005-0000-0000-0000C6420000}"/>
    <cellStyle name="Финансовый 2 3 2 2 2 5 2 2 3" xfId="35138" xr:uid="{00000000-0005-0000-0000-0000C7420000}"/>
    <cellStyle name="Финансовый 2 3 2 2 2 5 2 3" xfId="15414" xr:uid="{00000000-0005-0000-0000-0000C8420000}"/>
    <cellStyle name="Финансовый 2 3 2 2 2 5 2 3 2" xfId="39369" xr:uid="{00000000-0005-0000-0000-0000C9420000}"/>
    <cellStyle name="Финансовый 2 3 2 2 2 5 2 4" xfId="27392" xr:uid="{00000000-0005-0000-0000-0000CA420000}"/>
    <cellStyle name="Финансовый 2 3 2 2 2 5 2 5" xfId="50661" xr:uid="{00000000-0005-0000-0000-0000CB420000}"/>
    <cellStyle name="Финансовый 2 3 2 2 2 5 3" xfId="5218" xr:uid="{00000000-0005-0000-0000-0000CC420000}"/>
    <cellStyle name="Финансовый 2 3 2 2 2 5 3 2" xfId="17196" xr:uid="{00000000-0005-0000-0000-0000CD420000}"/>
    <cellStyle name="Финансовый 2 3 2 2 2 5 3 2 2" xfId="41151" xr:uid="{00000000-0005-0000-0000-0000CE420000}"/>
    <cellStyle name="Финансовый 2 3 2 2 2 5 3 3" xfId="29173" xr:uid="{00000000-0005-0000-0000-0000CF420000}"/>
    <cellStyle name="Финансовый 2 3 2 2 2 5 4" xfId="7828" xr:uid="{00000000-0005-0000-0000-0000D0420000}"/>
    <cellStyle name="Финансовый 2 3 2 2 2 5 4 2" xfId="19806" xr:uid="{00000000-0005-0000-0000-0000D1420000}"/>
    <cellStyle name="Финансовый 2 3 2 2 2 5 4 2 2" xfId="43761" xr:uid="{00000000-0005-0000-0000-0000D2420000}"/>
    <cellStyle name="Финансовый 2 3 2 2 2 5 4 3" xfId="31783" xr:uid="{00000000-0005-0000-0000-0000D3420000}"/>
    <cellStyle name="Финансовый 2 3 2 2 2 5 5" xfId="9611" xr:uid="{00000000-0005-0000-0000-0000D4420000}"/>
    <cellStyle name="Финансовый 2 3 2 2 2 5 5 2" xfId="21589" xr:uid="{00000000-0005-0000-0000-0000D5420000}"/>
    <cellStyle name="Финансовый 2 3 2 2 2 5 5 2 2" xfId="45544" xr:uid="{00000000-0005-0000-0000-0000D6420000}"/>
    <cellStyle name="Финансовый 2 3 2 2 2 5 5 3" xfId="33566" xr:uid="{00000000-0005-0000-0000-0000D7420000}"/>
    <cellStyle name="Финансовый 2 3 2 2 2 5 6" xfId="13769" xr:uid="{00000000-0005-0000-0000-0000D8420000}"/>
    <cellStyle name="Финансовый 2 3 2 2 2 5 6 2" xfId="37724" xr:uid="{00000000-0005-0000-0000-0000D9420000}"/>
    <cellStyle name="Финансовый 2 3 2 2 2 5 7" xfId="25747" xr:uid="{00000000-0005-0000-0000-0000DA420000}"/>
    <cellStyle name="Финансовый 2 3 2 2 2 5 8" xfId="48880" xr:uid="{00000000-0005-0000-0000-0000DB420000}"/>
    <cellStyle name="Финансовый 2 3 2 2 2 6" xfId="2435" xr:uid="{00000000-0005-0000-0000-0000DC420000}"/>
    <cellStyle name="Финансовый 2 3 2 2 2 6 2" xfId="4080" xr:uid="{00000000-0005-0000-0000-0000DD420000}"/>
    <cellStyle name="Финансовый 2 3 2 2 2 6 2 2" xfId="11812" xr:uid="{00000000-0005-0000-0000-0000DE420000}"/>
    <cellStyle name="Финансовый 2 3 2 2 2 6 2 2 2" xfId="23790" xr:uid="{00000000-0005-0000-0000-0000DF420000}"/>
    <cellStyle name="Финансовый 2 3 2 2 2 6 2 2 2 2" xfId="47745" xr:uid="{00000000-0005-0000-0000-0000E0420000}"/>
    <cellStyle name="Финансовый 2 3 2 2 2 6 2 2 3" xfId="35767" xr:uid="{00000000-0005-0000-0000-0000E1420000}"/>
    <cellStyle name="Финансовый 2 3 2 2 2 6 2 3" xfId="16059" xr:uid="{00000000-0005-0000-0000-0000E2420000}"/>
    <cellStyle name="Финансовый 2 3 2 2 2 6 2 3 2" xfId="40014" xr:uid="{00000000-0005-0000-0000-0000E3420000}"/>
    <cellStyle name="Финансовый 2 3 2 2 2 6 2 4" xfId="28037" xr:uid="{00000000-0005-0000-0000-0000E4420000}"/>
    <cellStyle name="Финансовый 2 3 2 2 2 6 2 5" xfId="51306" xr:uid="{00000000-0005-0000-0000-0000E5420000}"/>
    <cellStyle name="Финансовый 2 3 2 2 2 6 3" xfId="5863" xr:uid="{00000000-0005-0000-0000-0000E6420000}"/>
    <cellStyle name="Финансовый 2 3 2 2 2 6 3 2" xfId="17841" xr:uid="{00000000-0005-0000-0000-0000E7420000}"/>
    <cellStyle name="Финансовый 2 3 2 2 2 6 3 2 2" xfId="41796" xr:uid="{00000000-0005-0000-0000-0000E8420000}"/>
    <cellStyle name="Финансовый 2 3 2 2 2 6 3 3" xfId="29818" xr:uid="{00000000-0005-0000-0000-0000E9420000}"/>
    <cellStyle name="Финансовый 2 3 2 2 2 6 4" xfId="8473" xr:uid="{00000000-0005-0000-0000-0000EA420000}"/>
    <cellStyle name="Финансовый 2 3 2 2 2 6 4 2" xfId="20451" xr:uid="{00000000-0005-0000-0000-0000EB420000}"/>
    <cellStyle name="Финансовый 2 3 2 2 2 6 4 2 2" xfId="44406" xr:uid="{00000000-0005-0000-0000-0000EC420000}"/>
    <cellStyle name="Финансовый 2 3 2 2 2 6 4 3" xfId="32428" xr:uid="{00000000-0005-0000-0000-0000ED420000}"/>
    <cellStyle name="Финансовый 2 3 2 2 2 6 5" xfId="10256" xr:uid="{00000000-0005-0000-0000-0000EE420000}"/>
    <cellStyle name="Финансовый 2 3 2 2 2 6 5 2" xfId="22234" xr:uid="{00000000-0005-0000-0000-0000EF420000}"/>
    <cellStyle name="Финансовый 2 3 2 2 2 6 5 2 2" xfId="46189" xr:uid="{00000000-0005-0000-0000-0000F0420000}"/>
    <cellStyle name="Финансовый 2 3 2 2 2 6 5 3" xfId="34211" xr:uid="{00000000-0005-0000-0000-0000F1420000}"/>
    <cellStyle name="Финансовый 2 3 2 2 2 6 6" xfId="14414" xr:uid="{00000000-0005-0000-0000-0000F2420000}"/>
    <cellStyle name="Финансовый 2 3 2 2 2 6 6 2" xfId="38369" xr:uid="{00000000-0005-0000-0000-0000F3420000}"/>
    <cellStyle name="Финансовый 2 3 2 2 2 6 7" xfId="26392" xr:uid="{00000000-0005-0000-0000-0000F4420000}"/>
    <cellStyle name="Финансовый 2 3 2 2 2 6 8" xfId="49525" xr:uid="{00000000-0005-0000-0000-0000F5420000}"/>
    <cellStyle name="Финансовый 2 3 2 2 2 7" xfId="1662" xr:uid="{00000000-0005-0000-0000-0000F6420000}"/>
    <cellStyle name="Финансовый 2 3 2 2 2 7 2" xfId="3307" xr:uid="{00000000-0005-0000-0000-0000F7420000}"/>
    <cellStyle name="Финансовый 2 3 2 2 2 7 2 2" xfId="11055" xr:uid="{00000000-0005-0000-0000-0000F8420000}"/>
    <cellStyle name="Финансовый 2 3 2 2 2 7 2 2 2" xfId="23033" xr:uid="{00000000-0005-0000-0000-0000F9420000}"/>
    <cellStyle name="Финансовый 2 3 2 2 2 7 2 2 2 2" xfId="46988" xr:uid="{00000000-0005-0000-0000-0000FA420000}"/>
    <cellStyle name="Финансовый 2 3 2 2 2 7 2 2 3" xfId="35010" xr:uid="{00000000-0005-0000-0000-0000FB420000}"/>
    <cellStyle name="Финансовый 2 3 2 2 2 7 2 3" xfId="15286" xr:uid="{00000000-0005-0000-0000-0000FC420000}"/>
    <cellStyle name="Финансовый 2 3 2 2 2 7 2 3 2" xfId="39241" xr:uid="{00000000-0005-0000-0000-0000FD420000}"/>
    <cellStyle name="Финансовый 2 3 2 2 2 7 2 4" xfId="27264" xr:uid="{00000000-0005-0000-0000-0000FE420000}"/>
    <cellStyle name="Финансовый 2 3 2 2 2 7 2 5" xfId="50533" xr:uid="{00000000-0005-0000-0000-0000FF420000}"/>
    <cellStyle name="Финансовый 2 3 2 2 2 7 3" xfId="5090" xr:uid="{00000000-0005-0000-0000-000000430000}"/>
    <cellStyle name="Финансовый 2 3 2 2 2 7 3 2" xfId="17068" xr:uid="{00000000-0005-0000-0000-000001430000}"/>
    <cellStyle name="Финансовый 2 3 2 2 2 7 3 2 2" xfId="41023" xr:uid="{00000000-0005-0000-0000-000002430000}"/>
    <cellStyle name="Финансовый 2 3 2 2 2 7 3 3" xfId="29045" xr:uid="{00000000-0005-0000-0000-000003430000}"/>
    <cellStyle name="Финансовый 2 3 2 2 2 7 4" xfId="7700" xr:uid="{00000000-0005-0000-0000-000004430000}"/>
    <cellStyle name="Финансовый 2 3 2 2 2 7 4 2" xfId="19678" xr:uid="{00000000-0005-0000-0000-000005430000}"/>
    <cellStyle name="Финансовый 2 3 2 2 2 7 4 2 2" xfId="43633" xr:uid="{00000000-0005-0000-0000-000006430000}"/>
    <cellStyle name="Финансовый 2 3 2 2 2 7 4 3" xfId="31655" xr:uid="{00000000-0005-0000-0000-000007430000}"/>
    <cellStyle name="Финансовый 2 3 2 2 2 7 5" xfId="9483" xr:uid="{00000000-0005-0000-0000-000008430000}"/>
    <cellStyle name="Финансовый 2 3 2 2 2 7 5 2" xfId="21461" xr:uid="{00000000-0005-0000-0000-000009430000}"/>
    <cellStyle name="Финансовый 2 3 2 2 2 7 5 2 2" xfId="45416" xr:uid="{00000000-0005-0000-0000-00000A430000}"/>
    <cellStyle name="Финансовый 2 3 2 2 2 7 5 3" xfId="33438" xr:uid="{00000000-0005-0000-0000-00000B430000}"/>
    <cellStyle name="Финансовый 2 3 2 2 2 7 6" xfId="13641" xr:uid="{00000000-0005-0000-0000-00000C430000}"/>
    <cellStyle name="Финансовый 2 3 2 2 2 7 6 2" xfId="37596" xr:uid="{00000000-0005-0000-0000-00000D430000}"/>
    <cellStyle name="Финансовый 2 3 2 2 2 7 7" xfId="25619" xr:uid="{00000000-0005-0000-0000-00000E430000}"/>
    <cellStyle name="Финансовый 2 3 2 2 2 7 8" xfId="48752" xr:uid="{00000000-0005-0000-0000-00000F430000}"/>
    <cellStyle name="Финансовый 2 3 2 2 2 8" xfId="939" xr:uid="{00000000-0005-0000-0000-000010430000}"/>
    <cellStyle name="Финансовый 2 3 2 2 2 8 2" xfId="6979" xr:uid="{00000000-0005-0000-0000-000011430000}"/>
    <cellStyle name="Финансовый 2 3 2 2 2 8 2 2" xfId="18957" xr:uid="{00000000-0005-0000-0000-000012430000}"/>
    <cellStyle name="Финансовый 2 3 2 2 2 8 2 2 2" xfId="42912" xr:uid="{00000000-0005-0000-0000-000013430000}"/>
    <cellStyle name="Финансовый 2 3 2 2 2 8 2 3" xfId="30934" xr:uid="{00000000-0005-0000-0000-000014430000}"/>
    <cellStyle name="Финансовый 2 3 2 2 2 8 3" xfId="10527" xr:uid="{00000000-0005-0000-0000-000015430000}"/>
    <cellStyle name="Финансовый 2 3 2 2 2 8 3 2" xfId="22505" xr:uid="{00000000-0005-0000-0000-000016430000}"/>
    <cellStyle name="Финансовый 2 3 2 2 2 8 3 2 2" xfId="46460" xr:uid="{00000000-0005-0000-0000-000017430000}"/>
    <cellStyle name="Финансовый 2 3 2 2 2 8 3 3" xfId="34482" xr:uid="{00000000-0005-0000-0000-000018430000}"/>
    <cellStyle name="Финансовый 2 3 2 2 2 8 4" xfId="12920" xr:uid="{00000000-0005-0000-0000-000019430000}"/>
    <cellStyle name="Финансовый 2 3 2 2 2 8 4 2" xfId="36875" xr:uid="{00000000-0005-0000-0000-00001A430000}"/>
    <cellStyle name="Финансовый 2 3 2 2 2 8 5" xfId="24898" xr:uid="{00000000-0005-0000-0000-00001B430000}"/>
    <cellStyle name="Финансовый 2 3 2 2 2 8 6" xfId="49804" xr:uid="{00000000-0005-0000-0000-00001C430000}"/>
    <cellStyle name="Финансовый 2 3 2 2 2 9" xfId="527" xr:uid="{00000000-0005-0000-0000-00001D430000}"/>
    <cellStyle name="Финансовый 2 3 2 2 2 9 2" xfId="6567" xr:uid="{00000000-0005-0000-0000-00001E430000}"/>
    <cellStyle name="Финансовый 2 3 2 2 2 9 2 2" xfId="18545" xr:uid="{00000000-0005-0000-0000-00001F430000}"/>
    <cellStyle name="Финансовый 2 3 2 2 2 9 2 2 2" xfId="42500" xr:uid="{00000000-0005-0000-0000-000020430000}"/>
    <cellStyle name="Финансовый 2 3 2 2 2 9 2 3" xfId="30522" xr:uid="{00000000-0005-0000-0000-000021430000}"/>
    <cellStyle name="Финансовый 2 3 2 2 2 9 3" xfId="12508" xr:uid="{00000000-0005-0000-0000-000022430000}"/>
    <cellStyle name="Финансовый 2 3 2 2 2 9 3 2" xfId="36463" xr:uid="{00000000-0005-0000-0000-000023430000}"/>
    <cellStyle name="Финансовый 2 3 2 2 2 9 4" xfId="24486" xr:uid="{00000000-0005-0000-0000-000024430000}"/>
    <cellStyle name="Финансовый 2 3 2 2 3" xfId="186" xr:uid="{00000000-0005-0000-0000-000025430000}"/>
    <cellStyle name="Финансовый 2 3 2 2 3 10" xfId="8834" xr:uid="{00000000-0005-0000-0000-000026430000}"/>
    <cellStyle name="Финансовый 2 3 2 2 3 10 2" xfId="20812" xr:uid="{00000000-0005-0000-0000-000027430000}"/>
    <cellStyle name="Финансовый 2 3 2 2 3 10 2 2" xfId="44767" xr:uid="{00000000-0005-0000-0000-000028430000}"/>
    <cellStyle name="Финансовый 2 3 2 2 3 10 3" xfId="32789" xr:uid="{00000000-0005-0000-0000-000029430000}"/>
    <cellStyle name="Финансовый 2 3 2 2 3 11" xfId="12168" xr:uid="{00000000-0005-0000-0000-00002A430000}"/>
    <cellStyle name="Финансовый 2 3 2 2 3 11 2" xfId="36123" xr:uid="{00000000-0005-0000-0000-00002B430000}"/>
    <cellStyle name="Финансовый 2 3 2 2 3 12" xfId="24146" xr:uid="{00000000-0005-0000-0000-00002C430000}"/>
    <cellStyle name="Финансовый 2 3 2 2 3 13" xfId="48104" xr:uid="{00000000-0005-0000-0000-00002D430000}"/>
    <cellStyle name="Финансовый 2 3 2 2 3 2" xfId="1284" xr:uid="{00000000-0005-0000-0000-00002E430000}"/>
    <cellStyle name="Финансовый 2 3 2 2 3 2 2" xfId="2250" xr:uid="{00000000-0005-0000-0000-00002F430000}"/>
    <cellStyle name="Финансовый 2 3 2 2 3 2 2 2" xfId="3895" xr:uid="{00000000-0005-0000-0000-000030430000}"/>
    <cellStyle name="Финансовый 2 3 2 2 3 2 2 2 2" xfId="11635" xr:uid="{00000000-0005-0000-0000-000031430000}"/>
    <cellStyle name="Финансовый 2 3 2 2 3 2 2 2 2 2" xfId="23613" xr:uid="{00000000-0005-0000-0000-000032430000}"/>
    <cellStyle name="Финансовый 2 3 2 2 3 2 2 2 2 2 2" xfId="47568" xr:uid="{00000000-0005-0000-0000-000033430000}"/>
    <cellStyle name="Финансовый 2 3 2 2 3 2 2 2 2 3" xfId="35590" xr:uid="{00000000-0005-0000-0000-000034430000}"/>
    <cellStyle name="Финансовый 2 3 2 2 3 2 2 2 3" xfId="15874" xr:uid="{00000000-0005-0000-0000-000035430000}"/>
    <cellStyle name="Финансовый 2 3 2 2 3 2 2 2 3 2" xfId="39829" xr:uid="{00000000-0005-0000-0000-000036430000}"/>
    <cellStyle name="Финансовый 2 3 2 2 3 2 2 2 4" xfId="27852" xr:uid="{00000000-0005-0000-0000-000037430000}"/>
    <cellStyle name="Финансовый 2 3 2 2 3 2 2 2 5" xfId="51121" xr:uid="{00000000-0005-0000-0000-000038430000}"/>
    <cellStyle name="Финансовый 2 3 2 2 3 2 2 3" xfId="5678" xr:uid="{00000000-0005-0000-0000-000039430000}"/>
    <cellStyle name="Финансовый 2 3 2 2 3 2 2 3 2" xfId="17656" xr:uid="{00000000-0005-0000-0000-00003A430000}"/>
    <cellStyle name="Финансовый 2 3 2 2 3 2 2 3 2 2" xfId="41611" xr:uid="{00000000-0005-0000-0000-00003B430000}"/>
    <cellStyle name="Финансовый 2 3 2 2 3 2 2 3 3" xfId="29633" xr:uid="{00000000-0005-0000-0000-00003C430000}"/>
    <cellStyle name="Финансовый 2 3 2 2 3 2 2 4" xfId="8288" xr:uid="{00000000-0005-0000-0000-00003D430000}"/>
    <cellStyle name="Финансовый 2 3 2 2 3 2 2 4 2" xfId="20266" xr:uid="{00000000-0005-0000-0000-00003E430000}"/>
    <cellStyle name="Финансовый 2 3 2 2 3 2 2 4 2 2" xfId="44221" xr:uid="{00000000-0005-0000-0000-00003F430000}"/>
    <cellStyle name="Финансовый 2 3 2 2 3 2 2 4 3" xfId="32243" xr:uid="{00000000-0005-0000-0000-000040430000}"/>
    <cellStyle name="Финансовый 2 3 2 2 3 2 2 5" xfId="10071" xr:uid="{00000000-0005-0000-0000-000041430000}"/>
    <cellStyle name="Финансовый 2 3 2 2 3 2 2 5 2" xfId="22049" xr:uid="{00000000-0005-0000-0000-000042430000}"/>
    <cellStyle name="Финансовый 2 3 2 2 3 2 2 5 2 2" xfId="46004" xr:uid="{00000000-0005-0000-0000-000043430000}"/>
    <cellStyle name="Финансовый 2 3 2 2 3 2 2 5 3" xfId="34026" xr:uid="{00000000-0005-0000-0000-000044430000}"/>
    <cellStyle name="Финансовый 2 3 2 2 3 2 2 6" xfId="14229" xr:uid="{00000000-0005-0000-0000-000045430000}"/>
    <cellStyle name="Финансовый 2 3 2 2 3 2 2 6 2" xfId="38184" xr:uid="{00000000-0005-0000-0000-000046430000}"/>
    <cellStyle name="Финансовый 2 3 2 2 3 2 2 7" xfId="26207" xr:uid="{00000000-0005-0000-0000-000047430000}"/>
    <cellStyle name="Финансовый 2 3 2 2 3 2 2 8" xfId="49340" xr:uid="{00000000-0005-0000-0000-000048430000}"/>
    <cellStyle name="Финансовый 2 3 2 2 3 2 3" xfId="3068" xr:uid="{00000000-0005-0000-0000-000049430000}"/>
    <cellStyle name="Финансовый 2 3 2 2 3 2 3 2" xfId="10863" xr:uid="{00000000-0005-0000-0000-00004A430000}"/>
    <cellStyle name="Финансовый 2 3 2 2 3 2 3 2 2" xfId="22841" xr:uid="{00000000-0005-0000-0000-00004B430000}"/>
    <cellStyle name="Финансовый 2 3 2 2 3 2 3 2 2 2" xfId="46796" xr:uid="{00000000-0005-0000-0000-00004C430000}"/>
    <cellStyle name="Финансовый 2 3 2 2 3 2 3 2 3" xfId="34818" xr:uid="{00000000-0005-0000-0000-00004D430000}"/>
    <cellStyle name="Финансовый 2 3 2 2 3 2 3 3" xfId="15047" xr:uid="{00000000-0005-0000-0000-00004E430000}"/>
    <cellStyle name="Финансовый 2 3 2 2 3 2 3 3 2" xfId="39002" xr:uid="{00000000-0005-0000-0000-00004F430000}"/>
    <cellStyle name="Финансовый 2 3 2 2 3 2 3 4" xfId="27025" xr:uid="{00000000-0005-0000-0000-000050430000}"/>
    <cellStyle name="Финансовый 2 3 2 2 3 2 3 5" xfId="50156" xr:uid="{00000000-0005-0000-0000-000051430000}"/>
    <cellStyle name="Финансовый 2 3 2 2 3 2 4" xfId="4712" xr:uid="{00000000-0005-0000-0000-000052430000}"/>
    <cellStyle name="Финансовый 2 3 2 2 3 2 4 2" xfId="16691" xr:uid="{00000000-0005-0000-0000-000053430000}"/>
    <cellStyle name="Финансовый 2 3 2 2 3 2 4 2 2" xfId="40646" xr:uid="{00000000-0005-0000-0000-000054430000}"/>
    <cellStyle name="Финансовый 2 3 2 2 3 2 4 3" xfId="28669" xr:uid="{00000000-0005-0000-0000-000055430000}"/>
    <cellStyle name="Финансовый 2 3 2 2 3 2 5" xfId="7324" xr:uid="{00000000-0005-0000-0000-000056430000}"/>
    <cellStyle name="Финансовый 2 3 2 2 3 2 5 2" xfId="19302" xr:uid="{00000000-0005-0000-0000-000057430000}"/>
    <cellStyle name="Финансовый 2 3 2 2 3 2 5 2 2" xfId="43257" xr:uid="{00000000-0005-0000-0000-000058430000}"/>
    <cellStyle name="Финансовый 2 3 2 2 3 2 5 3" xfId="31279" xr:uid="{00000000-0005-0000-0000-000059430000}"/>
    <cellStyle name="Финансовый 2 3 2 2 3 2 6" xfId="9106" xr:uid="{00000000-0005-0000-0000-00005A430000}"/>
    <cellStyle name="Финансовый 2 3 2 2 3 2 6 2" xfId="21084" xr:uid="{00000000-0005-0000-0000-00005B430000}"/>
    <cellStyle name="Финансовый 2 3 2 2 3 2 6 2 2" xfId="45039" xr:uid="{00000000-0005-0000-0000-00005C430000}"/>
    <cellStyle name="Финансовый 2 3 2 2 3 2 6 3" xfId="33061" xr:uid="{00000000-0005-0000-0000-00005D430000}"/>
    <cellStyle name="Финансовый 2 3 2 2 3 2 7" xfId="13265" xr:uid="{00000000-0005-0000-0000-00005E430000}"/>
    <cellStyle name="Финансовый 2 3 2 2 3 2 7 2" xfId="37220" xr:uid="{00000000-0005-0000-0000-00005F430000}"/>
    <cellStyle name="Финансовый 2 3 2 2 3 2 8" xfId="25243" xr:uid="{00000000-0005-0000-0000-000060430000}"/>
    <cellStyle name="Финансовый 2 3 2 2 3 2 9" xfId="48376" xr:uid="{00000000-0005-0000-0000-000061430000}"/>
    <cellStyle name="Финансовый 2 3 2 2 3 3" xfId="1994" xr:uid="{00000000-0005-0000-0000-000062430000}"/>
    <cellStyle name="Финансовый 2 3 2 2 3 3 2" xfId="3639" xr:uid="{00000000-0005-0000-0000-000063430000}"/>
    <cellStyle name="Финансовый 2 3 2 2 3 3 2 2" xfId="11379" xr:uid="{00000000-0005-0000-0000-000064430000}"/>
    <cellStyle name="Финансовый 2 3 2 2 3 3 2 2 2" xfId="23357" xr:uid="{00000000-0005-0000-0000-000065430000}"/>
    <cellStyle name="Финансовый 2 3 2 2 3 3 2 2 2 2" xfId="47312" xr:uid="{00000000-0005-0000-0000-000066430000}"/>
    <cellStyle name="Финансовый 2 3 2 2 3 3 2 2 3" xfId="35334" xr:uid="{00000000-0005-0000-0000-000067430000}"/>
    <cellStyle name="Финансовый 2 3 2 2 3 3 2 3" xfId="15618" xr:uid="{00000000-0005-0000-0000-000068430000}"/>
    <cellStyle name="Финансовый 2 3 2 2 3 3 2 3 2" xfId="39573" xr:uid="{00000000-0005-0000-0000-000069430000}"/>
    <cellStyle name="Финансовый 2 3 2 2 3 3 2 4" xfId="27596" xr:uid="{00000000-0005-0000-0000-00006A430000}"/>
    <cellStyle name="Финансовый 2 3 2 2 3 3 2 5" xfId="50865" xr:uid="{00000000-0005-0000-0000-00006B430000}"/>
    <cellStyle name="Финансовый 2 3 2 2 3 3 3" xfId="5422" xr:uid="{00000000-0005-0000-0000-00006C430000}"/>
    <cellStyle name="Финансовый 2 3 2 2 3 3 3 2" xfId="17400" xr:uid="{00000000-0005-0000-0000-00006D430000}"/>
    <cellStyle name="Финансовый 2 3 2 2 3 3 3 2 2" xfId="41355" xr:uid="{00000000-0005-0000-0000-00006E430000}"/>
    <cellStyle name="Финансовый 2 3 2 2 3 3 3 3" xfId="29377" xr:uid="{00000000-0005-0000-0000-00006F430000}"/>
    <cellStyle name="Финансовый 2 3 2 2 3 3 4" xfId="8032" xr:uid="{00000000-0005-0000-0000-000070430000}"/>
    <cellStyle name="Финансовый 2 3 2 2 3 3 4 2" xfId="20010" xr:uid="{00000000-0005-0000-0000-000071430000}"/>
    <cellStyle name="Финансовый 2 3 2 2 3 3 4 2 2" xfId="43965" xr:uid="{00000000-0005-0000-0000-000072430000}"/>
    <cellStyle name="Финансовый 2 3 2 2 3 3 4 3" xfId="31987" xr:uid="{00000000-0005-0000-0000-000073430000}"/>
    <cellStyle name="Финансовый 2 3 2 2 3 3 5" xfId="9815" xr:uid="{00000000-0005-0000-0000-000074430000}"/>
    <cellStyle name="Финансовый 2 3 2 2 3 3 5 2" xfId="21793" xr:uid="{00000000-0005-0000-0000-000075430000}"/>
    <cellStyle name="Финансовый 2 3 2 2 3 3 5 2 2" xfId="45748" xr:uid="{00000000-0005-0000-0000-000076430000}"/>
    <cellStyle name="Финансовый 2 3 2 2 3 3 5 3" xfId="33770" xr:uid="{00000000-0005-0000-0000-000077430000}"/>
    <cellStyle name="Финансовый 2 3 2 2 3 3 6" xfId="13973" xr:uid="{00000000-0005-0000-0000-000078430000}"/>
    <cellStyle name="Финансовый 2 3 2 2 3 3 6 2" xfId="37928" xr:uid="{00000000-0005-0000-0000-000079430000}"/>
    <cellStyle name="Финансовый 2 3 2 2 3 3 7" xfId="25951" xr:uid="{00000000-0005-0000-0000-00007A430000}"/>
    <cellStyle name="Финансовый 2 3 2 2 3 3 8" xfId="49084" xr:uid="{00000000-0005-0000-0000-00007B430000}"/>
    <cellStyle name="Финансовый 2 3 2 2 3 4" xfId="2515" xr:uid="{00000000-0005-0000-0000-00007C430000}"/>
    <cellStyle name="Финансовый 2 3 2 2 3 4 2" xfId="4160" xr:uid="{00000000-0005-0000-0000-00007D430000}"/>
    <cellStyle name="Финансовый 2 3 2 2 3 4 2 2" xfId="11892" xr:uid="{00000000-0005-0000-0000-00007E430000}"/>
    <cellStyle name="Финансовый 2 3 2 2 3 4 2 2 2" xfId="23870" xr:uid="{00000000-0005-0000-0000-00007F430000}"/>
    <cellStyle name="Финансовый 2 3 2 2 3 4 2 2 2 2" xfId="47825" xr:uid="{00000000-0005-0000-0000-000080430000}"/>
    <cellStyle name="Финансовый 2 3 2 2 3 4 2 2 3" xfId="35847" xr:uid="{00000000-0005-0000-0000-000081430000}"/>
    <cellStyle name="Финансовый 2 3 2 2 3 4 2 3" xfId="16139" xr:uid="{00000000-0005-0000-0000-000082430000}"/>
    <cellStyle name="Финансовый 2 3 2 2 3 4 2 3 2" xfId="40094" xr:uid="{00000000-0005-0000-0000-000083430000}"/>
    <cellStyle name="Финансовый 2 3 2 2 3 4 2 4" xfId="28117" xr:uid="{00000000-0005-0000-0000-000084430000}"/>
    <cellStyle name="Финансовый 2 3 2 2 3 4 2 5" xfId="51386" xr:uid="{00000000-0005-0000-0000-000085430000}"/>
    <cellStyle name="Финансовый 2 3 2 2 3 4 3" xfId="5943" xr:uid="{00000000-0005-0000-0000-000086430000}"/>
    <cellStyle name="Финансовый 2 3 2 2 3 4 3 2" xfId="17921" xr:uid="{00000000-0005-0000-0000-000087430000}"/>
    <cellStyle name="Финансовый 2 3 2 2 3 4 3 2 2" xfId="41876" xr:uid="{00000000-0005-0000-0000-000088430000}"/>
    <cellStyle name="Финансовый 2 3 2 2 3 4 3 3" xfId="29898" xr:uid="{00000000-0005-0000-0000-000089430000}"/>
    <cellStyle name="Финансовый 2 3 2 2 3 4 4" xfId="8553" xr:uid="{00000000-0005-0000-0000-00008A430000}"/>
    <cellStyle name="Финансовый 2 3 2 2 3 4 4 2" xfId="20531" xr:uid="{00000000-0005-0000-0000-00008B430000}"/>
    <cellStyle name="Финансовый 2 3 2 2 3 4 4 2 2" xfId="44486" xr:uid="{00000000-0005-0000-0000-00008C430000}"/>
    <cellStyle name="Финансовый 2 3 2 2 3 4 4 3" xfId="32508" xr:uid="{00000000-0005-0000-0000-00008D430000}"/>
    <cellStyle name="Финансовый 2 3 2 2 3 4 5" xfId="10336" xr:uid="{00000000-0005-0000-0000-00008E430000}"/>
    <cellStyle name="Финансовый 2 3 2 2 3 4 5 2" xfId="22314" xr:uid="{00000000-0005-0000-0000-00008F430000}"/>
    <cellStyle name="Финансовый 2 3 2 2 3 4 5 2 2" xfId="46269" xr:uid="{00000000-0005-0000-0000-000090430000}"/>
    <cellStyle name="Финансовый 2 3 2 2 3 4 5 3" xfId="34291" xr:uid="{00000000-0005-0000-0000-000091430000}"/>
    <cellStyle name="Финансовый 2 3 2 2 3 4 6" xfId="14494" xr:uid="{00000000-0005-0000-0000-000092430000}"/>
    <cellStyle name="Финансовый 2 3 2 2 3 4 6 2" xfId="38449" xr:uid="{00000000-0005-0000-0000-000093430000}"/>
    <cellStyle name="Финансовый 2 3 2 2 3 4 7" xfId="26472" xr:uid="{00000000-0005-0000-0000-000094430000}"/>
    <cellStyle name="Финансовый 2 3 2 2 3 4 8" xfId="49605" xr:uid="{00000000-0005-0000-0000-000095430000}"/>
    <cellStyle name="Финансовый 2 3 2 2 3 5" xfId="1019" xr:uid="{00000000-0005-0000-0000-000096430000}"/>
    <cellStyle name="Финансовый 2 3 2 2 3 5 2" xfId="7059" xr:uid="{00000000-0005-0000-0000-000097430000}"/>
    <cellStyle name="Финансовый 2 3 2 2 3 5 2 2" xfId="19037" xr:uid="{00000000-0005-0000-0000-000098430000}"/>
    <cellStyle name="Финансовый 2 3 2 2 3 5 2 2 2" xfId="42992" xr:uid="{00000000-0005-0000-0000-000099430000}"/>
    <cellStyle name="Финансовый 2 3 2 2 3 5 2 3" xfId="31014" xr:uid="{00000000-0005-0000-0000-00009A430000}"/>
    <cellStyle name="Финансовый 2 3 2 2 3 5 3" xfId="10607" xr:uid="{00000000-0005-0000-0000-00009B430000}"/>
    <cellStyle name="Финансовый 2 3 2 2 3 5 3 2" xfId="22585" xr:uid="{00000000-0005-0000-0000-00009C430000}"/>
    <cellStyle name="Финансовый 2 3 2 2 3 5 3 2 2" xfId="46540" xr:uid="{00000000-0005-0000-0000-00009D430000}"/>
    <cellStyle name="Финансовый 2 3 2 2 3 5 3 3" xfId="34562" xr:uid="{00000000-0005-0000-0000-00009E430000}"/>
    <cellStyle name="Финансовый 2 3 2 2 3 5 4" xfId="13000" xr:uid="{00000000-0005-0000-0000-00009F430000}"/>
    <cellStyle name="Финансовый 2 3 2 2 3 5 4 2" xfId="36955" xr:uid="{00000000-0005-0000-0000-0000A0430000}"/>
    <cellStyle name="Финансовый 2 3 2 2 3 5 5" xfId="24978" xr:uid="{00000000-0005-0000-0000-0000A1430000}"/>
    <cellStyle name="Финансовый 2 3 2 2 3 5 6" xfId="49884" xr:uid="{00000000-0005-0000-0000-0000A2430000}"/>
    <cellStyle name="Финансовый 2 3 2 2 3 6" xfId="607" xr:uid="{00000000-0005-0000-0000-0000A3430000}"/>
    <cellStyle name="Финансовый 2 3 2 2 3 6 2" xfId="6647" xr:uid="{00000000-0005-0000-0000-0000A4430000}"/>
    <cellStyle name="Финансовый 2 3 2 2 3 6 2 2" xfId="18625" xr:uid="{00000000-0005-0000-0000-0000A5430000}"/>
    <cellStyle name="Финансовый 2 3 2 2 3 6 2 2 2" xfId="42580" xr:uid="{00000000-0005-0000-0000-0000A6430000}"/>
    <cellStyle name="Финансовый 2 3 2 2 3 6 2 3" xfId="30602" xr:uid="{00000000-0005-0000-0000-0000A7430000}"/>
    <cellStyle name="Финансовый 2 3 2 2 3 6 3" xfId="12588" xr:uid="{00000000-0005-0000-0000-0000A8430000}"/>
    <cellStyle name="Финансовый 2 3 2 2 3 6 3 2" xfId="36543" xr:uid="{00000000-0005-0000-0000-0000A9430000}"/>
    <cellStyle name="Финансовый 2 3 2 2 3 6 4" xfId="24566" xr:uid="{00000000-0005-0000-0000-0000AA430000}"/>
    <cellStyle name="Финансовый 2 3 2 2 3 7" xfId="2796" xr:uid="{00000000-0005-0000-0000-0000AB430000}"/>
    <cellStyle name="Финансовый 2 3 2 2 3 7 2" xfId="14775" xr:uid="{00000000-0005-0000-0000-0000AC430000}"/>
    <cellStyle name="Финансовый 2 3 2 2 3 7 2 2" xfId="38730" xr:uid="{00000000-0005-0000-0000-0000AD430000}"/>
    <cellStyle name="Финансовый 2 3 2 2 3 7 3" xfId="26753" xr:uid="{00000000-0005-0000-0000-0000AE430000}"/>
    <cellStyle name="Финансовый 2 3 2 2 3 8" xfId="4440" xr:uid="{00000000-0005-0000-0000-0000AF430000}"/>
    <cellStyle name="Финансовый 2 3 2 2 3 8 2" xfId="16419" xr:uid="{00000000-0005-0000-0000-0000B0430000}"/>
    <cellStyle name="Финансовый 2 3 2 2 3 8 2 2" xfId="40374" xr:uid="{00000000-0005-0000-0000-0000B1430000}"/>
    <cellStyle name="Финансовый 2 3 2 2 3 8 3" xfId="28397" xr:uid="{00000000-0005-0000-0000-0000B2430000}"/>
    <cellStyle name="Финансовый 2 3 2 2 3 9" xfId="6227" xr:uid="{00000000-0005-0000-0000-0000B3430000}"/>
    <cellStyle name="Финансовый 2 3 2 2 3 9 2" xfId="18205" xr:uid="{00000000-0005-0000-0000-0000B4430000}"/>
    <cellStyle name="Финансовый 2 3 2 2 3 9 2 2" xfId="42160" xr:uid="{00000000-0005-0000-0000-0000B5430000}"/>
    <cellStyle name="Финансовый 2 3 2 2 3 9 3" xfId="30182" xr:uid="{00000000-0005-0000-0000-0000B6430000}"/>
    <cellStyle name="Финансовый 2 3 2 2 4" xfId="335" xr:uid="{00000000-0005-0000-0000-0000B7430000}"/>
    <cellStyle name="Финансовый 2 3 2 2 4 10" xfId="24294" xr:uid="{00000000-0005-0000-0000-0000B8430000}"/>
    <cellStyle name="Финансовый 2 3 2 2 4 11" xfId="48240" xr:uid="{00000000-0005-0000-0000-0000B9430000}"/>
    <cellStyle name="Финансовый 2 3 2 2 4 2" xfId="2122" xr:uid="{00000000-0005-0000-0000-0000BA430000}"/>
    <cellStyle name="Финансовый 2 3 2 2 4 2 2" xfId="3767" xr:uid="{00000000-0005-0000-0000-0000BB430000}"/>
    <cellStyle name="Финансовый 2 3 2 2 4 2 2 2" xfId="11507" xr:uid="{00000000-0005-0000-0000-0000BC430000}"/>
    <cellStyle name="Финансовый 2 3 2 2 4 2 2 2 2" xfId="23485" xr:uid="{00000000-0005-0000-0000-0000BD430000}"/>
    <cellStyle name="Финансовый 2 3 2 2 4 2 2 2 2 2" xfId="47440" xr:uid="{00000000-0005-0000-0000-0000BE430000}"/>
    <cellStyle name="Финансовый 2 3 2 2 4 2 2 2 3" xfId="35462" xr:uid="{00000000-0005-0000-0000-0000BF430000}"/>
    <cellStyle name="Финансовый 2 3 2 2 4 2 2 3" xfId="15746" xr:uid="{00000000-0005-0000-0000-0000C0430000}"/>
    <cellStyle name="Финансовый 2 3 2 2 4 2 2 3 2" xfId="39701" xr:uid="{00000000-0005-0000-0000-0000C1430000}"/>
    <cellStyle name="Финансовый 2 3 2 2 4 2 2 4" xfId="27724" xr:uid="{00000000-0005-0000-0000-0000C2430000}"/>
    <cellStyle name="Финансовый 2 3 2 2 4 2 2 5" xfId="50993" xr:uid="{00000000-0005-0000-0000-0000C3430000}"/>
    <cellStyle name="Финансовый 2 3 2 2 4 2 3" xfId="5550" xr:uid="{00000000-0005-0000-0000-0000C4430000}"/>
    <cellStyle name="Финансовый 2 3 2 2 4 2 3 2" xfId="17528" xr:uid="{00000000-0005-0000-0000-0000C5430000}"/>
    <cellStyle name="Финансовый 2 3 2 2 4 2 3 2 2" xfId="41483" xr:uid="{00000000-0005-0000-0000-0000C6430000}"/>
    <cellStyle name="Финансовый 2 3 2 2 4 2 3 3" xfId="29505" xr:uid="{00000000-0005-0000-0000-0000C7430000}"/>
    <cellStyle name="Финансовый 2 3 2 2 4 2 4" xfId="8160" xr:uid="{00000000-0005-0000-0000-0000C8430000}"/>
    <cellStyle name="Финансовый 2 3 2 2 4 2 4 2" xfId="20138" xr:uid="{00000000-0005-0000-0000-0000C9430000}"/>
    <cellStyle name="Финансовый 2 3 2 2 4 2 4 2 2" xfId="44093" xr:uid="{00000000-0005-0000-0000-0000CA430000}"/>
    <cellStyle name="Финансовый 2 3 2 2 4 2 4 3" xfId="32115" xr:uid="{00000000-0005-0000-0000-0000CB430000}"/>
    <cellStyle name="Финансовый 2 3 2 2 4 2 5" xfId="9943" xr:uid="{00000000-0005-0000-0000-0000CC430000}"/>
    <cellStyle name="Финансовый 2 3 2 2 4 2 5 2" xfId="21921" xr:uid="{00000000-0005-0000-0000-0000CD430000}"/>
    <cellStyle name="Финансовый 2 3 2 2 4 2 5 2 2" xfId="45876" xr:uid="{00000000-0005-0000-0000-0000CE430000}"/>
    <cellStyle name="Финансовый 2 3 2 2 4 2 5 3" xfId="33898" xr:uid="{00000000-0005-0000-0000-0000CF430000}"/>
    <cellStyle name="Финансовый 2 3 2 2 4 2 6" xfId="14101" xr:uid="{00000000-0005-0000-0000-0000D0430000}"/>
    <cellStyle name="Финансовый 2 3 2 2 4 2 6 2" xfId="38056" xr:uid="{00000000-0005-0000-0000-0000D1430000}"/>
    <cellStyle name="Финансовый 2 3 2 2 4 2 7" xfId="26079" xr:uid="{00000000-0005-0000-0000-0000D2430000}"/>
    <cellStyle name="Финансовый 2 3 2 2 4 2 8" xfId="49212" xr:uid="{00000000-0005-0000-0000-0000D3430000}"/>
    <cellStyle name="Финансовый 2 3 2 2 4 3" xfId="1155" xr:uid="{00000000-0005-0000-0000-0000D4430000}"/>
    <cellStyle name="Финансовый 2 3 2 2 4 3 2" xfId="7195" xr:uid="{00000000-0005-0000-0000-0000D5430000}"/>
    <cellStyle name="Финансовый 2 3 2 2 4 3 2 2" xfId="19173" xr:uid="{00000000-0005-0000-0000-0000D6430000}"/>
    <cellStyle name="Финансовый 2 3 2 2 4 3 2 2 2" xfId="43128" xr:uid="{00000000-0005-0000-0000-0000D7430000}"/>
    <cellStyle name="Финансовый 2 3 2 2 4 3 2 3" xfId="31150" xr:uid="{00000000-0005-0000-0000-0000D8430000}"/>
    <cellStyle name="Финансовый 2 3 2 2 4 3 3" xfId="10735" xr:uid="{00000000-0005-0000-0000-0000D9430000}"/>
    <cellStyle name="Финансовый 2 3 2 2 4 3 3 2" xfId="22713" xr:uid="{00000000-0005-0000-0000-0000DA430000}"/>
    <cellStyle name="Финансовый 2 3 2 2 4 3 3 2 2" xfId="46668" xr:uid="{00000000-0005-0000-0000-0000DB430000}"/>
    <cellStyle name="Финансовый 2 3 2 2 4 3 3 3" xfId="34690" xr:uid="{00000000-0005-0000-0000-0000DC430000}"/>
    <cellStyle name="Финансовый 2 3 2 2 4 3 4" xfId="13136" xr:uid="{00000000-0005-0000-0000-0000DD430000}"/>
    <cellStyle name="Финансовый 2 3 2 2 4 3 4 2" xfId="37091" xr:uid="{00000000-0005-0000-0000-0000DE430000}"/>
    <cellStyle name="Финансовый 2 3 2 2 4 3 5" xfId="25114" xr:uid="{00000000-0005-0000-0000-0000DF430000}"/>
    <cellStyle name="Финансовый 2 3 2 2 4 3 6" xfId="50020" xr:uid="{00000000-0005-0000-0000-0000E0430000}"/>
    <cellStyle name="Финансовый 2 3 2 2 4 4" xfId="755" xr:uid="{00000000-0005-0000-0000-0000E1430000}"/>
    <cellStyle name="Финансовый 2 3 2 2 4 4 2" xfId="6795" xr:uid="{00000000-0005-0000-0000-0000E2430000}"/>
    <cellStyle name="Финансовый 2 3 2 2 4 4 2 2" xfId="18773" xr:uid="{00000000-0005-0000-0000-0000E3430000}"/>
    <cellStyle name="Финансовый 2 3 2 2 4 4 2 2 2" xfId="42728" xr:uid="{00000000-0005-0000-0000-0000E4430000}"/>
    <cellStyle name="Финансовый 2 3 2 2 4 4 2 3" xfId="30750" xr:uid="{00000000-0005-0000-0000-0000E5430000}"/>
    <cellStyle name="Финансовый 2 3 2 2 4 4 3" xfId="12736" xr:uid="{00000000-0005-0000-0000-0000E6430000}"/>
    <cellStyle name="Финансовый 2 3 2 2 4 4 3 2" xfId="36691" xr:uid="{00000000-0005-0000-0000-0000E7430000}"/>
    <cellStyle name="Финансовый 2 3 2 2 4 4 4" xfId="24714" xr:uid="{00000000-0005-0000-0000-0000E8430000}"/>
    <cellStyle name="Финансовый 2 3 2 2 4 5" xfId="2932" xr:uid="{00000000-0005-0000-0000-0000E9430000}"/>
    <cellStyle name="Финансовый 2 3 2 2 4 5 2" xfId="14911" xr:uid="{00000000-0005-0000-0000-0000EA430000}"/>
    <cellStyle name="Финансовый 2 3 2 2 4 5 2 2" xfId="38866" xr:uid="{00000000-0005-0000-0000-0000EB430000}"/>
    <cellStyle name="Финансовый 2 3 2 2 4 5 3" xfId="26889" xr:uid="{00000000-0005-0000-0000-0000EC430000}"/>
    <cellStyle name="Финансовый 2 3 2 2 4 6" xfId="4576" xr:uid="{00000000-0005-0000-0000-0000ED430000}"/>
    <cellStyle name="Финансовый 2 3 2 2 4 6 2" xfId="16555" xr:uid="{00000000-0005-0000-0000-0000EE430000}"/>
    <cellStyle name="Финансовый 2 3 2 2 4 6 2 2" xfId="40510" xr:uid="{00000000-0005-0000-0000-0000EF430000}"/>
    <cellStyle name="Финансовый 2 3 2 2 4 6 3" xfId="28533" xr:uid="{00000000-0005-0000-0000-0000F0430000}"/>
    <cellStyle name="Финансовый 2 3 2 2 4 7" xfId="6375" xr:uid="{00000000-0005-0000-0000-0000F1430000}"/>
    <cellStyle name="Финансовый 2 3 2 2 4 7 2" xfId="18353" xr:uid="{00000000-0005-0000-0000-0000F2430000}"/>
    <cellStyle name="Финансовый 2 3 2 2 4 7 2 2" xfId="42308" xr:uid="{00000000-0005-0000-0000-0000F3430000}"/>
    <cellStyle name="Финансовый 2 3 2 2 4 7 3" xfId="30330" xr:uid="{00000000-0005-0000-0000-0000F4430000}"/>
    <cellStyle name="Финансовый 2 3 2 2 4 8" xfId="8970" xr:uid="{00000000-0005-0000-0000-0000F5430000}"/>
    <cellStyle name="Финансовый 2 3 2 2 4 8 2" xfId="20948" xr:uid="{00000000-0005-0000-0000-0000F6430000}"/>
    <cellStyle name="Финансовый 2 3 2 2 4 8 2 2" xfId="44903" xr:uid="{00000000-0005-0000-0000-0000F7430000}"/>
    <cellStyle name="Финансовый 2 3 2 2 4 8 3" xfId="32925" xr:uid="{00000000-0005-0000-0000-0000F8430000}"/>
    <cellStyle name="Финансовый 2 3 2 2 4 9" xfId="12316" xr:uid="{00000000-0005-0000-0000-0000F9430000}"/>
    <cellStyle name="Финансовый 2 3 2 2 4 9 2" xfId="36271" xr:uid="{00000000-0005-0000-0000-0000FA430000}"/>
    <cellStyle name="Финансовый 2 3 2 2 5" xfId="1481" xr:uid="{00000000-0005-0000-0000-0000FB430000}"/>
    <cellStyle name="Финансовый 2 3 2 2 5 2" xfId="1858" xr:uid="{00000000-0005-0000-0000-0000FC430000}"/>
    <cellStyle name="Финансовый 2 3 2 2 5 2 2" xfId="3503" xr:uid="{00000000-0005-0000-0000-0000FD430000}"/>
    <cellStyle name="Финансовый 2 3 2 2 5 2 2 2" xfId="11251" xr:uid="{00000000-0005-0000-0000-0000FE430000}"/>
    <cellStyle name="Финансовый 2 3 2 2 5 2 2 2 2" xfId="23229" xr:uid="{00000000-0005-0000-0000-0000FF430000}"/>
    <cellStyle name="Финансовый 2 3 2 2 5 2 2 2 2 2" xfId="47184" xr:uid="{00000000-0005-0000-0000-000000440000}"/>
    <cellStyle name="Финансовый 2 3 2 2 5 2 2 2 3" xfId="35206" xr:uid="{00000000-0005-0000-0000-000001440000}"/>
    <cellStyle name="Финансовый 2 3 2 2 5 2 2 3" xfId="15482" xr:uid="{00000000-0005-0000-0000-000002440000}"/>
    <cellStyle name="Финансовый 2 3 2 2 5 2 2 3 2" xfId="39437" xr:uid="{00000000-0005-0000-0000-000003440000}"/>
    <cellStyle name="Финансовый 2 3 2 2 5 2 2 4" xfId="27460" xr:uid="{00000000-0005-0000-0000-000004440000}"/>
    <cellStyle name="Финансовый 2 3 2 2 5 2 2 5" xfId="50729" xr:uid="{00000000-0005-0000-0000-000005440000}"/>
    <cellStyle name="Финансовый 2 3 2 2 5 2 3" xfId="5286" xr:uid="{00000000-0005-0000-0000-000006440000}"/>
    <cellStyle name="Финансовый 2 3 2 2 5 2 3 2" xfId="17264" xr:uid="{00000000-0005-0000-0000-000007440000}"/>
    <cellStyle name="Финансовый 2 3 2 2 5 2 3 2 2" xfId="41219" xr:uid="{00000000-0005-0000-0000-000008440000}"/>
    <cellStyle name="Финансовый 2 3 2 2 5 2 3 3" xfId="29241" xr:uid="{00000000-0005-0000-0000-000009440000}"/>
    <cellStyle name="Финансовый 2 3 2 2 5 2 4" xfId="7896" xr:uid="{00000000-0005-0000-0000-00000A440000}"/>
    <cellStyle name="Финансовый 2 3 2 2 5 2 4 2" xfId="19874" xr:uid="{00000000-0005-0000-0000-00000B440000}"/>
    <cellStyle name="Финансовый 2 3 2 2 5 2 4 2 2" xfId="43829" xr:uid="{00000000-0005-0000-0000-00000C440000}"/>
    <cellStyle name="Финансовый 2 3 2 2 5 2 4 3" xfId="31851" xr:uid="{00000000-0005-0000-0000-00000D440000}"/>
    <cellStyle name="Финансовый 2 3 2 2 5 2 5" xfId="9679" xr:uid="{00000000-0005-0000-0000-00000E440000}"/>
    <cellStyle name="Финансовый 2 3 2 2 5 2 5 2" xfId="21657" xr:uid="{00000000-0005-0000-0000-00000F440000}"/>
    <cellStyle name="Финансовый 2 3 2 2 5 2 5 2 2" xfId="45612" xr:uid="{00000000-0005-0000-0000-000010440000}"/>
    <cellStyle name="Финансовый 2 3 2 2 5 2 5 3" xfId="33634" xr:uid="{00000000-0005-0000-0000-000011440000}"/>
    <cellStyle name="Финансовый 2 3 2 2 5 2 6" xfId="13837" xr:uid="{00000000-0005-0000-0000-000012440000}"/>
    <cellStyle name="Финансовый 2 3 2 2 5 2 6 2" xfId="37792" xr:uid="{00000000-0005-0000-0000-000013440000}"/>
    <cellStyle name="Финансовый 2 3 2 2 5 2 7" xfId="25815" xr:uid="{00000000-0005-0000-0000-000014440000}"/>
    <cellStyle name="Финансовый 2 3 2 2 5 2 8" xfId="48948" xr:uid="{00000000-0005-0000-0000-000015440000}"/>
    <cellStyle name="Финансовый 2 3 2 2 5 3" xfId="4909" xr:uid="{00000000-0005-0000-0000-000016440000}"/>
    <cellStyle name="Финансовый 2 3 2 2 5 3 2" xfId="16887" xr:uid="{00000000-0005-0000-0000-000017440000}"/>
    <cellStyle name="Финансовый 2 3 2 2 5 3 2 2" xfId="40842" xr:uid="{00000000-0005-0000-0000-000018440000}"/>
    <cellStyle name="Финансовый 2 3 2 2 5 3 3" xfId="28864" xr:uid="{00000000-0005-0000-0000-000019440000}"/>
    <cellStyle name="Финансовый 2 3 2 2 5 3 4" xfId="50352" xr:uid="{00000000-0005-0000-0000-00001A440000}"/>
    <cellStyle name="Финансовый 2 3 2 2 5 4" xfId="7519" xr:uid="{00000000-0005-0000-0000-00001B440000}"/>
    <cellStyle name="Финансовый 2 3 2 2 5 4 2" xfId="19497" xr:uid="{00000000-0005-0000-0000-00001C440000}"/>
    <cellStyle name="Финансовый 2 3 2 2 5 4 2 2" xfId="43452" xr:uid="{00000000-0005-0000-0000-00001D440000}"/>
    <cellStyle name="Финансовый 2 3 2 2 5 4 3" xfId="31474" xr:uid="{00000000-0005-0000-0000-00001E440000}"/>
    <cellStyle name="Финансовый 2 3 2 2 5 5" xfId="9302" xr:uid="{00000000-0005-0000-0000-00001F440000}"/>
    <cellStyle name="Финансовый 2 3 2 2 5 5 2" xfId="21280" xr:uid="{00000000-0005-0000-0000-000020440000}"/>
    <cellStyle name="Финансовый 2 3 2 2 5 5 2 2" xfId="45235" xr:uid="{00000000-0005-0000-0000-000021440000}"/>
    <cellStyle name="Финансовый 2 3 2 2 5 5 3" xfId="33257" xr:uid="{00000000-0005-0000-0000-000022440000}"/>
    <cellStyle name="Финансовый 2 3 2 2 5 6" xfId="13460" xr:uid="{00000000-0005-0000-0000-000023440000}"/>
    <cellStyle name="Финансовый 2 3 2 2 5 6 2" xfId="37415" xr:uid="{00000000-0005-0000-0000-000024440000}"/>
    <cellStyle name="Финансовый 2 3 2 2 5 7" xfId="25438" xr:uid="{00000000-0005-0000-0000-000025440000}"/>
    <cellStyle name="Финансовый 2 3 2 2 5 8" xfId="48571" xr:uid="{00000000-0005-0000-0000-000026440000}"/>
    <cellStyle name="Финансовый 2 3 2 2 6" xfId="1742" xr:uid="{00000000-0005-0000-0000-000027440000}"/>
    <cellStyle name="Финансовый 2 3 2 2 6 2" xfId="3387" xr:uid="{00000000-0005-0000-0000-000028440000}"/>
    <cellStyle name="Финансовый 2 3 2 2 6 2 2" xfId="11135" xr:uid="{00000000-0005-0000-0000-000029440000}"/>
    <cellStyle name="Финансовый 2 3 2 2 6 2 2 2" xfId="23113" xr:uid="{00000000-0005-0000-0000-00002A440000}"/>
    <cellStyle name="Финансовый 2 3 2 2 6 2 2 2 2" xfId="47068" xr:uid="{00000000-0005-0000-0000-00002B440000}"/>
    <cellStyle name="Финансовый 2 3 2 2 6 2 2 3" xfId="35090" xr:uid="{00000000-0005-0000-0000-00002C440000}"/>
    <cellStyle name="Финансовый 2 3 2 2 6 2 3" xfId="15366" xr:uid="{00000000-0005-0000-0000-00002D440000}"/>
    <cellStyle name="Финансовый 2 3 2 2 6 2 3 2" xfId="39321" xr:uid="{00000000-0005-0000-0000-00002E440000}"/>
    <cellStyle name="Финансовый 2 3 2 2 6 2 4" xfId="27344" xr:uid="{00000000-0005-0000-0000-00002F440000}"/>
    <cellStyle name="Финансовый 2 3 2 2 6 2 5" xfId="50613" xr:uid="{00000000-0005-0000-0000-000030440000}"/>
    <cellStyle name="Финансовый 2 3 2 2 6 3" xfId="5170" xr:uid="{00000000-0005-0000-0000-000031440000}"/>
    <cellStyle name="Финансовый 2 3 2 2 6 3 2" xfId="17148" xr:uid="{00000000-0005-0000-0000-000032440000}"/>
    <cellStyle name="Финансовый 2 3 2 2 6 3 2 2" xfId="41103" xr:uid="{00000000-0005-0000-0000-000033440000}"/>
    <cellStyle name="Финансовый 2 3 2 2 6 3 3" xfId="29125" xr:uid="{00000000-0005-0000-0000-000034440000}"/>
    <cellStyle name="Финансовый 2 3 2 2 6 4" xfId="7780" xr:uid="{00000000-0005-0000-0000-000035440000}"/>
    <cellStyle name="Финансовый 2 3 2 2 6 4 2" xfId="19758" xr:uid="{00000000-0005-0000-0000-000036440000}"/>
    <cellStyle name="Финансовый 2 3 2 2 6 4 2 2" xfId="43713" xr:uid="{00000000-0005-0000-0000-000037440000}"/>
    <cellStyle name="Финансовый 2 3 2 2 6 4 3" xfId="31735" xr:uid="{00000000-0005-0000-0000-000038440000}"/>
    <cellStyle name="Финансовый 2 3 2 2 6 5" xfId="9563" xr:uid="{00000000-0005-0000-0000-000039440000}"/>
    <cellStyle name="Финансовый 2 3 2 2 6 5 2" xfId="21541" xr:uid="{00000000-0005-0000-0000-00003A440000}"/>
    <cellStyle name="Финансовый 2 3 2 2 6 5 2 2" xfId="45496" xr:uid="{00000000-0005-0000-0000-00003B440000}"/>
    <cellStyle name="Финансовый 2 3 2 2 6 5 3" xfId="33518" xr:uid="{00000000-0005-0000-0000-00003C440000}"/>
    <cellStyle name="Финансовый 2 3 2 2 6 6" xfId="13721" xr:uid="{00000000-0005-0000-0000-00003D440000}"/>
    <cellStyle name="Финансовый 2 3 2 2 6 6 2" xfId="37676" xr:uid="{00000000-0005-0000-0000-00003E440000}"/>
    <cellStyle name="Финансовый 2 3 2 2 6 7" xfId="25699" xr:uid="{00000000-0005-0000-0000-00003F440000}"/>
    <cellStyle name="Финансовый 2 3 2 2 6 8" xfId="48832" xr:uid="{00000000-0005-0000-0000-000040440000}"/>
    <cellStyle name="Финансовый 2 3 2 2 7" xfId="2378" xr:uid="{00000000-0005-0000-0000-000041440000}"/>
    <cellStyle name="Финансовый 2 3 2 2 7 2" xfId="4023" xr:uid="{00000000-0005-0000-0000-000042440000}"/>
    <cellStyle name="Финансовый 2 3 2 2 7 2 2" xfId="11763" xr:uid="{00000000-0005-0000-0000-000043440000}"/>
    <cellStyle name="Финансовый 2 3 2 2 7 2 2 2" xfId="23741" xr:uid="{00000000-0005-0000-0000-000044440000}"/>
    <cellStyle name="Финансовый 2 3 2 2 7 2 2 2 2" xfId="47696" xr:uid="{00000000-0005-0000-0000-000045440000}"/>
    <cellStyle name="Финансовый 2 3 2 2 7 2 2 3" xfId="35718" xr:uid="{00000000-0005-0000-0000-000046440000}"/>
    <cellStyle name="Финансовый 2 3 2 2 7 2 3" xfId="16002" xr:uid="{00000000-0005-0000-0000-000047440000}"/>
    <cellStyle name="Финансовый 2 3 2 2 7 2 3 2" xfId="39957" xr:uid="{00000000-0005-0000-0000-000048440000}"/>
    <cellStyle name="Финансовый 2 3 2 2 7 2 4" xfId="27980" xr:uid="{00000000-0005-0000-0000-000049440000}"/>
    <cellStyle name="Финансовый 2 3 2 2 7 2 5" xfId="51249" xr:uid="{00000000-0005-0000-0000-00004A440000}"/>
    <cellStyle name="Финансовый 2 3 2 2 7 3" xfId="5806" xr:uid="{00000000-0005-0000-0000-00004B440000}"/>
    <cellStyle name="Финансовый 2 3 2 2 7 3 2" xfId="17784" xr:uid="{00000000-0005-0000-0000-00004C440000}"/>
    <cellStyle name="Финансовый 2 3 2 2 7 3 2 2" xfId="41739" xr:uid="{00000000-0005-0000-0000-00004D440000}"/>
    <cellStyle name="Финансовый 2 3 2 2 7 3 3" xfId="29761" xr:uid="{00000000-0005-0000-0000-00004E440000}"/>
    <cellStyle name="Финансовый 2 3 2 2 7 4" xfId="8416" xr:uid="{00000000-0005-0000-0000-00004F440000}"/>
    <cellStyle name="Финансовый 2 3 2 2 7 4 2" xfId="20394" xr:uid="{00000000-0005-0000-0000-000050440000}"/>
    <cellStyle name="Финансовый 2 3 2 2 7 4 2 2" xfId="44349" xr:uid="{00000000-0005-0000-0000-000051440000}"/>
    <cellStyle name="Финансовый 2 3 2 2 7 4 3" xfId="32371" xr:uid="{00000000-0005-0000-0000-000052440000}"/>
    <cellStyle name="Финансовый 2 3 2 2 7 5" xfId="10199" xr:uid="{00000000-0005-0000-0000-000053440000}"/>
    <cellStyle name="Финансовый 2 3 2 2 7 5 2" xfId="22177" xr:uid="{00000000-0005-0000-0000-000054440000}"/>
    <cellStyle name="Финансовый 2 3 2 2 7 5 2 2" xfId="46132" xr:uid="{00000000-0005-0000-0000-000055440000}"/>
    <cellStyle name="Финансовый 2 3 2 2 7 5 3" xfId="34154" xr:uid="{00000000-0005-0000-0000-000056440000}"/>
    <cellStyle name="Финансовый 2 3 2 2 7 6" xfId="14357" xr:uid="{00000000-0005-0000-0000-000057440000}"/>
    <cellStyle name="Финансовый 2 3 2 2 7 6 2" xfId="38312" xr:uid="{00000000-0005-0000-0000-000058440000}"/>
    <cellStyle name="Финансовый 2 3 2 2 7 7" xfId="26335" xr:uid="{00000000-0005-0000-0000-000059440000}"/>
    <cellStyle name="Финансовый 2 3 2 2 7 8" xfId="49468" xr:uid="{00000000-0005-0000-0000-00005A440000}"/>
    <cellStyle name="Финансовый 2 3 2 2 8" xfId="1605" xr:uid="{00000000-0005-0000-0000-00005B440000}"/>
    <cellStyle name="Финансовый 2 3 2 2 8 2" xfId="3250" xr:uid="{00000000-0005-0000-0000-00005C440000}"/>
    <cellStyle name="Финансовый 2 3 2 2 8 2 2" xfId="11006" xr:uid="{00000000-0005-0000-0000-00005D440000}"/>
    <cellStyle name="Финансовый 2 3 2 2 8 2 2 2" xfId="22984" xr:uid="{00000000-0005-0000-0000-00005E440000}"/>
    <cellStyle name="Финансовый 2 3 2 2 8 2 2 2 2" xfId="46939" xr:uid="{00000000-0005-0000-0000-00005F440000}"/>
    <cellStyle name="Финансовый 2 3 2 2 8 2 2 3" xfId="34961" xr:uid="{00000000-0005-0000-0000-000060440000}"/>
    <cellStyle name="Финансовый 2 3 2 2 8 2 3" xfId="15229" xr:uid="{00000000-0005-0000-0000-000061440000}"/>
    <cellStyle name="Финансовый 2 3 2 2 8 2 3 2" xfId="39184" xr:uid="{00000000-0005-0000-0000-000062440000}"/>
    <cellStyle name="Финансовый 2 3 2 2 8 2 4" xfId="27207" xr:uid="{00000000-0005-0000-0000-000063440000}"/>
    <cellStyle name="Финансовый 2 3 2 2 8 2 5" xfId="50476" xr:uid="{00000000-0005-0000-0000-000064440000}"/>
    <cellStyle name="Финансовый 2 3 2 2 8 3" xfId="5033" xr:uid="{00000000-0005-0000-0000-000065440000}"/>
    <cellStyle name="Финансовый 2 3 2 2 8 3 2" xfId="17011" xr:uid="{00000000-0005-0000-0000-000066440000}"/>
    <cellStyle name="Финансовый 2 3 2 2 8 3 2 2" xfId="40966" xr:uid="{00000000-0005-0000-0000-000067440000}"/>
    <cellStyle name="Финансовый 2 3 2 2 8 3 3" xfId="28988" xr:uid="{00000000-0005-0000-0000-000068440000}"/>
    <cellStyle name="Финансовый 2 3 2 2 8 4" xfId="7643" xr:uid="{00000000-0005-0000-0000-000069440000}"/>
    <cellStyle name="Финансовый 2 3 2 2 8 4 2" xfId="19621" xr:uid="{00000000-0005-0000-0000-00006A440000}"/>
    <cellStyle name="Финансовый 2 3 2 2 8 4 2 2" xfId="43576" xr:uid="{00000000-0005-0000-0000-00006B440000}"/>
    <cellStyle name="Финансовый 2 3 2 2 8 4 3" xfId="31598" xr:uid="{00000000-0005-0000-0000-00006C440000}"/>
    <cellStyle name="Финансовый 2 3 2 2 8 5" xfId="9426" xr:uid="{00000000-0005-0000-0000-00006D440000}"/>
    <cellStyle name="Финансовый 2 3 2 2 8 5 2" xfId="21404" xr:uid="{00000000-0005-0000-0000-00006E440000}"/>
    <cellStyle name="Финансовый 2 3 2 2 8 5 2 2" xfId="45359" xr:uid="{00000000-0005-0000-0000-00006F440000}"/>
    <cellStyle name="Финансовый 2 3 2 2 8 5 3" xfId="33381" xr:uid="{00000000-0005-0000-0000-000070440000}"/>
    <cellStyle name="Финансовый 2 3 2 2 8 6" xfId="13584" xr:uid="{00000000-0005-0000-0000-000071440000}"/>
    <cellStyle name="Финансовый 2 3 2 2 8 6 2" xfId="37539" xr:uid="{00000000-0005-0000-0000-000072440000}"/>
    <cellStyle name="Финансовый 2 3 2 2 8 7" xfId="25562" xr:uid="{00000000-0005-0000-0000-000073440000}"/>
    <cellStyle name="Финансовый 2 3 2 2 8 8" xfId="48695" xr:uid="{00000000-0005-0000-0000-000074440000}"/>
    <cellStyle name="Финансовый 2 3 2 2 9" xfId="891" xr:uid="{00000000-0005-0000-0000-000075440000}"/>
    <cellStyle name="Финансовый 2 3 2 2 9 2" xfId="6931" xr:uid="{00000000-0005-0000-0000-000076440000}"/>
    <cellStyle name="Финансовый 2 3 2 2 9 2 2" xfId="18909" xr:uid="{00000000-0005-0000-0000-000077440000}"/>
    <cellStyle name="Финансовый 2 3 2 2 9 2 2 2" xfId="42864" xr:uid="{00000000-0005-0000-0000-000078440000}"/>
    <cellStyle name="Финансовый 2 3 2 2 9 2 3" xfId="30886" xr:uid="{00000000-0005-0000-0000-000079440000}"/>
    <cellStyle name="Финансовый 2 3 2 2 9 3" xfId="10479" xr:uid="{00000000-0005-0000-0000-00007A440000}"/>
    <cellStyle name="Финансовый 2 3 2 2 9 3 2" xfId="22457" xr:uid="{00000000-0005-0000-0000-00007B440000}"/>
    <cellStyle name="Финансовый 2 3 2 2 9 3 2 2" xfId="46412" xr:uid="{00000000-0005-0000-0000-00007C440000}"/>
    <cellStyle name="Финансовый 2 3 2 2 9 3 3" xfId="34434" xr:uid="{00000000-0005-0000-0000-00007D440000}"/>
    <cellStyle name="Финансовый 2 3 2 2 9 4" xfId="12872" xr:uid="{00000000-0005-0000-0000-00007E440000}"/>
    <cellStyle name="Финансовый 2 3 2 2 9 4 2" xfId="36827" xr:uid="{00000000-0005-0000-0000-00007F440000}"/>
    <cellStyle name="Финансовый 2 3 2 2 9 5" xfId="24850" xr:uid="{00000000-0005-0000-0000-000080440000}"/>
    <cellStyle name="Финансовый 2 3 2 2 9 6" xfId="49748" xr:uid="{00000000-0005-0000-0000-000081440000}"/>
    <cellStyle name="Финансовый 2 3 2 20" xfId="8662" xr:uid="{00000000-0005-0000-0000-000082440000}"/>
    <cellStyle name="Финансовый 2 3 2 20 2" xfId="20640" xr:uid="{00000000-0005-0000-0000-000083440000}"/>
    <cellStyle name="Финансовый 2 3 2 20 2 2" xfId="44595" xr:uid="{00000000-0005-0000-0000-000084440000}"/>
    <cellStyle name="Финансовый 2 3 2 20 3" xfId="32617" xr:uid="{00000000-0005-0000-0000-000085440000}"/>
    <cellStyle name="Финансовый 2 3 2 21" xfId="11996" xr:uid="{00000000-0005-0000-0000-000086440000}"/>
    <cellStyle name="Финансовый 2 3 2 21 2" xfId="35951" xr:uid="{00000000-0005-0000-0000-000087440000}"/>
    <cellStyle name="Финансовый 2 3 2 22" xfId="23974" xr:uid="{00000000-0005-0000-0000-000088440000}"/>
    <cellStyle name="Финансовый 2 3 2 23" xfId="47932" xr:uid="{00000000-0005-0000-0000-000089440000}"/>
    <cellStyle name="Финансовый 2 3 2 3" xfId="118" xr:uid="{00000000-0005-0000-0000-00008A440000}"/>
    <cellStyle name="Финансовый 2 3 2 3 10" xfId="2728" xr:uid="{00000000-0005-0000-0000-00008B440000}"/>
    <cellStyle name="Финансовый 2 3 2 3 10 2" xfId="14707" xr:uid="{00000000-0005-0000-0000-00008C440000}"/>
    <cellStyle name="Финансовый 2 3 2 3 10 2 2" xfId="38662" xr:uid="{00000000-0005-0000-0000-00008D440000}"/>
    <cellStyle name="Финансовый 2 3 2 3 10 3" xfId="26685" xr:uid="{00000000-0005-0000-0000-00008E440000}"/>
    <cellStyle name="Финансовый 2 3 2 3 11" xfId="4372" xr:uid="{00000000-0005-0000-0000-00008F440000}"/>
    <cellStyle name="Финансовый 2 3 2 3 11 2" xfId="16351" xr:uid="{00000000-0005-0000-0000-000090440000}"/>
    <cellStyle name="Финансовый 2 3 2 3 11 2 2" xfId="40306" xr:uid="{00000000-0005-0000-0000-000091440000}"/>
    <cellStyle name="Финансовый 2 3 2 3 11 3" xfId="28329" xr:uid="{00000000-0005-0000-0000-000092440000}"/>
    <cellStyle name="Финансовый 2 3 2 3 12" xfId="6159" xr:uid="{00000000-0005-0000-0000-000093440000}"/>
    <cellStyle name="Финансовый 2 3 2 3 12 2" xfId="18137" xr:uid="{00000000-0005-0000-0000-000094440000}"/>
    <cellStyle name="Финансовый 2 3 2 3 12 2 2" xfId="42092" xr:uid="{00000000-0005-0000-0000-000095440000}"/>
    <cellStyle name="Финансовый 2 3 2 3 12 3" xfId="30114" xr:uid="{00000000-0005-0000-0000-000096440000}"/>
    <cellStyle name="Финансовый 2 3 2 3 13" xfId="8766" xr:uid="{00000000-0005-0000-0000-000097440000}"/>
    <cellStyle name="Финансовый 2 3 2 3 13 2" xfId="20744" xr:uid="{00000000-0005-0000-0000-000098440000}"/>
    <cellStyle name="Финансовый 2 3 2 3 13 2 2" xfId="44699" xr:uid="{00000000-0005-0000-0000-000099440000}"/>
    <cellStyle name="Финансовый 2 3 2 3 13 3" xfId="32721" xr:uid="{00000000-0005-0000-0000-00009A440000}"/>
    <cellStyle name="Финансовый 2 3 2 3 14" xfId="12100" xr:uid="{00000000-0005-0000-0000-00009B440000}"/>
    <cellStyle name="Финансовый 2 3 2 3 14 2" xfId="36055" xr:uid="{00000000-0005-0000-0000-00009C440000}"/>
    <cellStyle name="Финансовый 2 3 2 3 15" xfId="24078" xr:uid="{00000000-0005-0000-0000-00009D440000}"/>
    <cellStyle name="Финансовый 2 3 2 3 16" xfId="48036" xr:uid="{00000000-0005-0000-0000-00009E440000}"/>
    <cellStyle name="Финансовый 2 3 2 3 2" xfId="254" xr:uid="{00000000-0005-0000-0000-00009F440000}"/>
    <cellStyle name="Финансовый 2 3 2 3 2 10" xfId="8902" xr:uid="{00000000-0005-0000-0000-0000A0440000}"/>
    <cellStyle name="Финансовый 2 3 2 3 2 10 2" xfId="20880" xr:uid="{00000000-0005-0000-0000-0000A1440000}"/>
    <cellStyle name="Финансовый 2 3 2 3 2 10 2 2" xfId="44835" xr:uid="{00000000-0005-0000-0000-0000A2440000}"/>
    <cellStyle name="Финансовый 2 3 2 3 2 10 3" xfId="32857" xr:uid="{00000000-0005-0000-0000-0000A3440000}"/>
    <cellStyle name="Финансовый 2 3 2 3 2 11" xfId="12236" xr:uid="{00000000-0005-0000-0000-0000A4440000}"/>
    <cellStyle name="Финансовый 2 3 2 3 2 11 2" xfId="36191" xr:uid="{00000000-0005-0000-0000-0000A5440000}"/>
    <cellStyle name="Финансовый 2 3 2 3 2 12" xfId="24214" xr:uid="{00000000-0005-0000-0000-0000A6440000}"/>
    <cellStyle name="Финансовый 2 3 2 3 2 13" xfId="48172" xr:uid="{00000000-0005-0000-0000-0000A7440000}"/>
    <cellStyle name="Финансовый 2 3 2 3 2 2" xfId="1352" xr:uid="{00000000-0005-0000-0000-0000A8440000}"/>
    <cellStyle name="Финансовый 2 3 2 3 2 2 2" xfId="2310" xr:uid="{00000000-0005-0000-0000-0000A9440000}"/>
    <cellStyle name="Финансовый 2 3 2 3 2 2 2 2" xfId="3955" xr:uid="{00000000-0005-0000-0000-0000AA440000}"/>
    <cellStyle name="Финансовый 2 3 2 3 2 2 2 2 2" xfId="11695" xr:uid="{00000000-0005-0000-0000-0000AB440000}"/>
    <cellStyle name="Финансовый 2 3 2 3 2 2 2 2 2 2" xfId="23673" xr:uid="{00000000-0005-0000-0000-0000AC440000}"/>
    <cellStyle name="Финансовый 2 3 2 3 2 2 2 2 2 2 2" xfId="47628" xr:uid="{00000000-0005-0000-0000-0000AD440000}"/>
    <cellStyle name="Финансовый 2 3 2 3 2 2 2 2 2 3" xfId="35650" xr:uid="{00000000-0005-0000-0000-0000AE440000}"/>
    <cellStyle name="Финансовый 2 3 2 3 2 2 2 2 3" xfId="15934" xr:uid="{00000000-0005-0000-0000-0000AF440000}"/>
    <cellStyle name="Финансовый 2 3 2 3 2 2 2 2 3 2" xfId="39889" xr:uid="{00000000-0005-0000-0000-0000B0440000}"/>
    <cellStyle name="Финансовый 2 3 2 3 2 2 2 2 4" xfId="27912" xr:uid="{00000000-0005-0000-0000-0000B1440000}"/>
    <cellStyle name="Финансовый 2 3 2 3 2 2 2 2 5" xfId="51181" xr:uid="{00000000-0005-0000-0000-0000B2440000}"/>
    <cellStyle name="Финансовый 2 3 2 3 2 2 2 3" xfId="5738" xr:uid="{00000000-0005-0000-0000-0000B3440000}"/>
    <cellStyle name="Финансовый 2 3 2 3 2 2 2 3 2" xfId="17716" xr:uid="{00000000-0005-0000-0000-0000B4440000}"/>
    <cellStyle name="Финансовый 2 3 2 3 2 2 2 3 2 2" xfId="41671" xr:uid="{00000000-0005-0000-0000-0000B5440000}"/>
    <cellStyle name="Финансовый 2 3 2 3 2 2 2 3 3" xfId="29693" xr:uid="{00000000-0005-0000-0000-0000B6440000}"/>
    <cellStyle name="Финансовый 2 3 2 3 2 2 2 4" xfId="8348" xr:uid="{00000000-0005-0000-0000-0000B7440000}"/>
    <cellStyle name="Финансовый 2 3 2 3 2 2 2 4 2" xfId="20326" xr:uid="{00000000-0005-0000-0000-0000B8440000}"/>
    <cellStyle name="Финансовый 2 3 2 3 2 2 2 4 2 2" xfId="44281" xr:uid="{00000000-0005-0000-0000-0000B9440000}"/>
    <cellStyle name="Финансовый 2 3 2 3 2 2 2 4 3" xfId="32303" xr:uid="{00000000-0005-0000-0000-0000BA440000}"/>
    <cellStyle name="Финансовый 2 3 2 3 2 2 2 5" xfId="10131" xr:uid="{00000000-0005-0000-0000-0000BB440000}"/>
    <cellStyle name="Финансовый 2 3 2 3 2 2 2 5 2" xfId="22109" xr:uid="{00000000-0005-0000-0000-0000BC440000}"/>
    <cellStyle name="Финансовый 2 3 2 3 2 2 2 5 2 2" xfId="46064" xr:uid="{00000000-0005-0000-0000-0000BD440000}"/>
    <cellStyle name="Финансовый 2 3 2 3 2 2 2 5 3" xfId="34086" xr:uid="{00000000-0005-0000-0000-0000BE440000}"/>
    <cellStyle name="Финансовый 2 3 2 3 2 2 2 6" xfId="14289" xr:uid="{00000000-0005-0000-0000-0000BF440000}"/>
    <cellStyle name="Финансовый 2 3 2 3 2 2 2 6 2" xfId="38244" xr:uid="{00000000-0005-0000-0000-0000C0440000}"/>
    <cellStyle name="Финансовый 2 3 2 3 2 2 2 7" xfId="26267" xr:uid="{00000000-0005-0000-0000-0000C1440000}"/>
    <cellStyle name="Финансовый 2 3 2 3 2 2 2 8" xfId="49400" xr:uid="{00000000-0005-0000-0000-0000C2440000}"/>
    <cellStyle name="Финансовый 2 3 2 3 2 2 3" xfId="3136" xr:uid="{00000000-0005-0000-0000-0000C3440000}"/>
    <cellStyle name="Финансовый 2 3 2 3 2 2 3 2" xfId="10923" xr:uid="{00000000-0005-0000-0000-0000C4440000}"/>
    <cellStyle name="Финансовый 2 3 2 3 2 2 3 2 2" xfId="22901" xr:uid="{00000000-0005-0000-0000-0000C5440000}"/>
    <cellStyle name="Финансовый 2 3 2 3 2 2 3 2 2 2" xfId="46856" xr:uid="{00000000-0005-0000-0000-0000C6440000}"/>
    <cellStyle name="Финансовый 2 3 2 3 2 2 3 2 3" xfId="34878" xr:uid="{00000000-0005-0000-0000-0000C7440000}"/>
    <cellStyle name="Финансовый 2 3 2 3 2 2 3 3" xfId="15115" xr:uid="{00000000-0005-0000-0000-0000C8440000}"/>
    <cellStyle name="Финансовый 2 3 2 3 2 2 3 3 2" xfId="39070" xr:uid="{00000000-0005-0000-0000-0000C9440000}"/>
    <cellStyle name="Финансовый 2 3 2 3 2 2 3 4" xfId="27093" xr:uid="{00000000-0005-0000-0000-0000CA440000}"/>
    <cellStyle name="Финансовый 2 3 2 3 2 2 3 5" xfId="50224" xr:uid="{00000000-0005-0000-0000-0000CB440000}"/>
    <cellStyle name="Финансовый 2 3 2 3 2 2 4" xfId="4780" xr:uid="{00000000-0005-0000-0000-0000CC440000}"/>
    <cellStyle name="Финансовый 2 3 2 3 2 2 4 2" xfId="16759" xr:uid="{00000000-0005-0000-0000-0000CD440000}"/>
    <cellStyle name="Финансовый 2 3 2 3 2 2 4 2 2" xfId="40714" xr:uid="{00000000-0005-0000-0000-0000CE440000}"/>
    <cellStyle name="Финансовый 2 3 2 3 2 2 4 3" xfId="28737" xr:uid="{00000000-0005-0000-0000-0000CF440000}"/>
    <cellStyle name="Финансовый 2 3 2 3 2 2 5" xfId="7392" xr:uid="{00000000-0005-0000-0000-0000D0440000}"/>
    <cellStyle name="Финансовый 2 3 2 3 2 2 5 2" xfId="19370" xr:uid="{00000000-0005-0000-0000-0000D1440000}"/>
    <cellStyle name="Финансовый 2 3 2 3 2 2 5 2 2" xfId="43325" xr:uid="{00000000-0005-0000-0000-0000D2440000}"/>
    <cellStyle name="Финансовый 2 3 2 3 2 2 5 3" xfId="31347" xr:uid="{00000000-0005-0000-0000-0000D3440000}"/>
    <cellStyle name="Финансовый 2 3 2 3 2 2 6" xfId="9174" xr:uid="{00000000-0005-0000-0000-0000D4440000}"/>
    <cellStyle name="Финансовый 2 3 2 3 2 2 6 2" xfId="21152" xr:uid="{00000000-0005-0000-0000-0000D5440000}"/>
    <cellStyle name="Финансовый 2 3 2 3 2 2 6 2 2" xfId="45107" xr:uid="{00000000-0005-0000-0000-0000D6440000}"/>
    <cellStyle name="Финансовый 2 3 2 3 2 2 6 3" xfId="33129" xr:uid="{00000000-0005-0000-0000-0000D7440000}"/>
    <cellStyle name="Финансовый 2 3 2 3 2 2 7" xfId="13333" xr:uid="{00000000-0005-0000-0000-0000D8440000}"/>
    <cellStyle name="Финансовый 2 3 2 3 2 2 7 2" xfId="37288" xr:uid="{00000000-0005-0000-0000-0000D9440000}"/>
    <cellStyle name="Финансовый 2 3 2 3 2 2 8" xfId="25311" xr:uid="{00000000-0005-0000-0000-0000DA440000}"/>
    <cellStyle name="Финансовый 2 3 2 3 2 2 9" xfId="48444" xr:uid="{00000000-0005-0000-0000-0000DB440000}"/>
    <cellStyle name="Финансовый 2 3 2 3 2 3" xfId="2054" xr:uid="{00000000-0005-0000-0000-0000DC440000}"/>
    <cellStyle name="Финансовый 2 3 2 3 2 3 2" xfId="3699" xr:uid="{00000000-0005-0000-0000-0000DD440000}"/>
    <cellStyle name="Финансовый 2 3 2 3 2 3 2 2" xfId="11439" xr:uid="{00000000-0005-0000-0000-0000DE440000}"/>
    <cellStyle name="Финансовый 2 3 2 3 2 3 2 2 2" xfId="23417" xr:uid="{00000000-0005-0000-0000-0000DF440000}"/>
    <cellStyle name="Финансовый 2 3 2 3 2 3 2 2 2 2" xfId="47372" xr:uid="{00000000-0005-0000-0000-0000E0440000}"/>
    <cellStyle name="Финансовый 2 3 2 3 2 3 2 2 3" xfId="35394" xr:uid="{00000000-0005-0000-0000-0000E1440000}"/>
    <cellStyle name="Финансовый 2 3 2 3 2 3 2 3" xfId="15678" xr:uid="{00000000-0005-0000-0000-0000E2440000}"/>
    <cellStyle name="Финансовый 2 3 2 3 2 3 2 3 2" xfId="39633" xr:uid="{00000000-0005-0000-0000-0000E3440000}"/>
    <cellStyle name="Финансовый 2 3 2 3 2 3 2 4" xfId="27656" xr:uid="{00000000-0005-0000-0000-0000E4440000}"/>
    <cellStyle name="Финансовый 2 3 2 3 2 3 2 5" xfId="50925" xr:uid="{00000000-0005-0000-0000-0000E5440000}"/>
    <cellStyle name="Финансовый 2 3 2 3 2 3 3" xfId="5482" xr:uid="{00000000-0005-0000-0000-0000E6440000}"/>
    <cellStyle name="Финансовый 2 3 2 3 2 3 3 2" xfId="17460" xr:uid="{00000000-0005-0000-0000-0000E7440000}"/>
    <cellStyle name="Финансовый 2 3 2 3 2 3 3 2 2" xfId="41415" xr:uid="{00000000-0005-0000-0000-0000E8440000}"/>
    <cellStyle name="Финансовый 2 3 2 3 2 3 3 3" xfId="29437" xr:uid="{00000000-0005-0000-0000-0000E9440000}"/>
    <cellStyle name="Финансовый 2 3 2 3 2 3 4" xfId="8092" xr:uid="{00000000-0005-0000-0000-0000EA440000}"/>
    <cellStyle name="Финансовый 2 3 2 3 2 3 4 2" xfId="20070" xr:uid="{00000000-0005-0000-0000-0000EB440000}"/>
    <cellStyle name="Финансовый 2 3 2 3 2 3 4 2 2" xfId="44025" xr:uid="{00000000-0005-0000-0000-0000EC440000}"/>
    <cellStyle name="Финансовый 2 3 2 3 2 3 4 3" xfId="32047" xr:uid="{00000000-0005-0000-0000-0000ED440000}"/>
    <cellStyle name="Финансовый 2 3 2 3 2 3 5" xfId="9875" xr:uid="{00000000-0005-0000-0000-0000EE440000}"/>
    <cellStyle name="Финансовый 2 3 2 3 2 3 5 2" xfId="21853" xr:uid="{00000000-0005-0000-0000-0000EF440000}"/>
    <cellStyle name="Финансовый 2 3 2 3 2 3 5 2 2" xfId="45808" xr:uid="{00000000-0005-0000-0000-0000F0440000}"/>
    <cellStyle name="Финансовый 2 3 2 3 2 3 5 3" xfId="33830" xr:uid="{00000000-0005-0000-0000-0000F1440000}"/>
    <cellStyle name="Финансовый 2 3 2 3 2 3 6" xfId="14033" xr:uid="{00000000-0005-0000-0000-0000F2440000}"/>
    <cellStyle name="Финансовый 2 3 2 3 2 3 6 2" xfId="37988" xr:uid="{00000000-0005-0000-0000-0000F3440000}"/>
    <cellStyle name="Финансовый 2 3 2 3 2 3 7" xfId="26011" xr:uid="{00000000-0005-0000-0000-0000F4440000}"/>
    <cellStyle name="Финансовый 2 3 2 3 2 3 8" xfId="49144" xr:uid="{00000000-0005-0000-0000-0000F5440000}"/>
    <cellStyle name="Финансовый 2 3 2 3 2 4" xfId="2583" xr:uid="{00000000-0005-0000-0000-0000F6440000}"/>
    <cellStyle name="Финансовый 2 3 2 3 2 4 2" xfId="4228" xr:uid="{00000000-0005-0000-0000-0000F7440000}"/>
    <cellStyle name="Финансовый 2 3 2 3 2 4 2 2" xfId="11952" xr:uid="{00000000-0005-0000-0000-0000F8440000}"/>
    <cellStyle name="Финансовый 2 3 2 3 2 4 2 2 2" xfId="23930" xr:uid="{00000000-0005-0000-0000-0000F9440000}"/>
    <cellStyle name="Финансовый 2 3 2 3 2 4 2 2 2 2" xfId="47885" xr:uid="{00000000-0005-0000-0000-0000FA440000}"/>
    <cellStyle name="Финансовый 2 3 2 3 2 4 2 2 3" xfId="35907" xr:uid="{00000000-0005-0000-0000-0000FB440000}"/>
    <cellStyle name="Финансовый 2 3 2 3 2 4 2 3" xfId="16207" xr:uid="{00000000-0005-0000-0000-0000FC440000}"/>
    <cellStyle name="Финансовый 2 3 2 3 2 4 2 3 2" xfId="40162" xr:uid="{00000000-0005-0000-0000-0000FD440000}"/>
    <cellStyle name="Финансовый 2 3 2 3 2 4 2 4" xfId="28185" xr:uid="{00000000-0005-0000-0000-0000FE440000}"/>
    <cellStyle name="Финансовый 2 3 2 3 2 4 2 5" xfId="51454" xr:uid="{00000000-0005-0000-0000-0000FF440000}"/>
    <cellStyle name="Финансовый 2 3 2 3 2 4 3" xfId="6011" xr:uid="{00000000-0005-0000-0000-000000450000}"/>
    <cellStyle name="Финансовый 2 3 2 3 2 4 3 2" xfId="17989" xr:uid="{00000000-0005-0000-0000-000001450000}"/>
    <cellStyle name="Финансовый 2 3 2 3 2 4 3 2 2" xfId="41944" xr:uid="{00000000-0005-0000-0000-000002450000}"/>
    <cellStyle name="Финансовый 2 3 2 3 2 4 3 3" xfId="29966" xr:uid="{00000000-0005-0000-0000-000003450000}"/>
    <cellStyle name="Финансовый 2 3 2 3 2 4 4" xfId="8621" xr:uid="{00000000-0005-0000-0000-000004450000}"/>
    <cellStyle name="Финансовый 2 3 2 3 2 4 4 2" xfId="20599" xr:uid="{00000000-0005-0000-0000-000005450000}"/>
    <cellStyle name="Финансовый 2 3 2 3 2 4 4 2 2" xfId="44554" xr:uid="{00000000-0005-0000-0000-000006450000}"/>
    <cellStyle name="Финансовый 2 3 2 3 2 4 4 3" xfId="32576" xr:uid="{00000000-0005-0000-0000-000007450000}"/>
    <cellStyle name="Финансовый 2 3 2 3 2 4 5" xfId="10404" xr:uid="{00000000-0005-0000-0000-000008450000}"/>
    <cellStyle name="Финансовый 2 3 2 3 2 4 5 2" xfId="22382" xr:uid="{00000000-0005-0000-0000-000009450000}"/>
    <cellStyle name="Финансовый 2 3 2 3 2 4 5 2 2" xfId="46337" xr:uid="{00000000-0005-0000-0000-00000A450000}"/>
    <cellStyle name="Финансовый 2 3 2 3 2 4 5 3" xfId="34359" xr:uid="{00000000-0005-0000-0000-00000B450000}"/>
    <cellStyle name="Финансовый 2 3 2 3 2 4 6" xfId="14562" xr:uid="{00000000-0005-0000-0000-00000C450000}"/>
    <cellStyle name="Финансовый 2 3 2 3 2 4 6 2" xfId="38517" xr:uid="{00000000-0005-0000-0000-00000D450000}"/>
    <cellStyle name="Финансовый 2 3 2 3 2 4 7" xfId="26540" xr:uid="{00000000-0005-0000-0000-00000E450000}"/>
    <cellStyle name="Финансовый 2 3 2 3 2 4 8" xfId="49673" xr:uid="{00000000-0005-0000-0000-00000F450000}"/>
    <cellStyle name="Финансовый 2 3 2 3 2 5" xfId="1087" xr:uid="{00000000-0005-0000-0000-000010450000}"/>
    <cellStyle name="Финансовый 2 3 2 3 2 5 2" xfId="7127" xr:uid="{00000000-0005-0000-0000-000011450000}"/>
    <cellStyle name="Финансовый 2 3 2 3 2 5 2 2" xfId="19105" xr:uid="{00000000-0005-0000-0000-000012450000}"/>
    <cellStyle name="Финансовый 2 3 2 3 2 5 2 2 2" xfId="43060" xr:uid="{00000000-0005-0000-0000-000013450000}"/>
    <cellStyle name="Финансовый 2 3 2 3 2 5 2 3" xfId="31082" xr:uid="{00000000-0005-0000-0000-000014450000}"/>
    <cellStyle name="Финансовый 2 3 2 3 2 5 3" xfId="10667" xr:uid="{00000000-0005-0000-0000-000015450000}"/>
    <cellStyle name="Финансовый 2 3 2 3 2 5 3 2" xfId="22645" xr:uid="{00000000-0005-0000-0000-000016450000}"/>
    <cellStyle name="Финансовый 2 3 2 3 2 5 3 2 2" xfId="46600" xr:uid="{00000000-0005-0000-0000-000017450000}"/>
    <cellStyle name="Финансовый 2 3 2 3 2 5 3 3" xfId="34622" xr:uid="{00000000-0005-0000-0000-000018450000}"/>
    <cellStyle name="Финансовый 2 3 2 3 2 5 4" xfId="13068" xr:uid="{00000000-0005-0000-0000-000019450000}"/>
    <cellStyle name="Финансовый 2 3 2 3 2 5 4 2" xfId="37023" xr:uid="{00000000-0005-0000-0000-00001A450000}"/>
    <cellStyle name="Финансовый 2 3 2 3 2 5 5" xfId="25046" xr:uid="{00000000-0005-0000-0000-00001B450000}"/>
    <cellStyle name="Финансовый 2 3 2 3 2 5 6" xfId="49952" xr:uid="{00000000-0005-0000-0000-00001C450000}"/>
    <cellStyle name="Финансовый 2 3 2 3 2 6" xfId="675" xr:uid="{00000000-0005-0000-0000-00001D450000}"/>
    <cellStyle name="Финансовый 2 3 2 3 2 6 2" xfId="6715" xr:uid="{00000000-0005-0000-0000-00001E450000}"/>
    <cellStyle name="Финансовый 2 3 2 3 2 6 2 2" xfId="18693" xr:uid="{00000000-0005-0000-0000-00001F450000}"/>
    <cellStyle name="Финансовый 2 3 2 3 2 6 2 2 2" xfId="42648" xr:uid="{00000000-0005-0000-0000-000020450000}"/>
    <cellStyle name="Финансовый 2 3 2 3 2 6 2 3" xfId="30670" xr:uid="{00000000-0005-0000-0000-000021450000}"/>
    <cellStyle name="Финансовый 2 3 2 3 2 6 3" xfId="12656" xr:uid="{00000000-0005-0000-0000-000022450000}"/>
    <cellStyle name="Финансовый 2 3 2 3 2 6 3 2" xfId="36611" xr:uid="{00000000-0005-0000-0000-000023450000}"/>
    <cellStyle name="Финансовый 2 3 2 3 2 6 4" xfId="24634" xr:uid="{00000000-0005-0000-0000-000024450000}"/>
    <cellStyle name="Финансовый 2 3 2 3 2 7" xfId="2864" xr:uid="{00000000-0005-0000-0000-000025450000}"/>
    <cellStyle name="Финансовый 2 3 2 3 2 7 2" xfId="14843" xr:uid="{00000000-0005-0000-0000-000026450000}"/>
    <cellStyle name="Финансовый 2 3 2 3 2 7 2 2" xfId="38798" xr:uid="{00000000-0005-0000-0000-000027450000}"/>
    <cellStyle name="Финансовый 2 3 2 3 2 7 3" xfId="26821" xr:uid="{00000000-0005-0000-0000-000028450000}"/>
    <cellStyle name="Финансовый 2 3 2 3 2 8" xfId="4508" xr:uid="{00000000-0005-0000-0000-000029450000}"/>
    <cellStyle name="Финансовый 2 3 2 3 2 8 2" xfId="16487" xr:uid="{00000000-0005-0000-0000-00002A450000}"/>
    <cellStyle name="Финансовый 2 3 2 3 2 8 2 2" xfId="40442" xr:uid="{00000000-0005-0000-0000-00002B450000}"/>
    <cellStyle name="Финансовый 2 3 2 3 2 8 3" xfId="28465" xr:uid="{00000000-0005-0000-0000-00002C450000}"/>
    <cellStyle name="Финансовый 2 3 2 3 2 9" xfId="6295" xr:uid="{00000000-0005-0000-0000-00002D450000}"/>
    <cellStyle name="Финансовый 2 3 2 3 2 9 2" xfId="18273" xr:uid="{00000000-0005-0000-0000-00002E450000}"/>
    <cellStyle name="Финансовый 2 3 2 3 2 9 2 2" xfId="42228" xr:uid="{00000000-0005-0000-0000-00002F450000}"/>
    <cellStyle name="Финансовый 2 3 2 3 2 9 3" xfId="30250" xr:uid="{00000000-0005-0000-0000-000030450000}"/>
    <cellStyle name="Финансовый 2 3 2 3 3" xfId="403" xr:uid="{00000000-0005-0000-0000-000031450000}"/>
    <cellStyle name="Финансовый 2 3 2 3 3 10" xfId="24362" xr:uid="{00000000-0005-0000-0000-000032450000}"/>
    <cellStyle name="Финансовый 2 3 2 3 3 11" xfId="48308" xr:uid="{00000000-0005-0000-0000-000033450000}"/>
    <cellStyle name="Финансовый 2 3 2 3 3 2" xfId="2182" xr:uid="{00000000-0005-0000-0000-000034450000}"/>
    <cellStyle name="Финансовый 2 3 2 3 3 2 2" xfId="3827" xr:uid="{00000000-0005-0000-0000-000035450000}"/>
    <cellStyle name="Финансовый 2 3 2 3 3 2 2 2" xfId="11567" xr:uid="{00000000-0005-0000-0000-000036450000}"/>
    <cellStyle name="Финансовый 2 3 2 3 3 2 2 2 2" xfId="23545" xr:uid="{00000000-0005-0000-0000-000037450000}"/>
    <cellStyle name="Финансовый 2 3 2 3 3 2 2 2 2 2" xfId="47500" xr:uid="{00000000-0005-0000-0000-000038450000}"/>
    <cellStyle name="Финансовый 2 3 2 3 3 2 2 2 3" xfId="35522" xr:uid="{00000000-0005-0000-0000-000039450000}"/>
    <cellStyle name="Финансовый 2 3 2 3 3 2 2 3" xfId="15806" xr:uid="{00000000-0005-0000-0000-00003A450000}"/>
    <cellStyle name="Финансовый 2 3 2 3 3 2 2 3 2" xfId="39761" xr:uid="{00000000-0005-0000-0000-00003B450000}"/>
    <cellStyle name="Финансовый 2 3 2 3 3 2 2 4" xfId="27784" xr:uid="{00000000-0005-0000-0000-00003C450000}"/>
    <cellStyle name="Финансовый 2 3 2 3 3 2 2 5" xfId="51053" xr:uid="{00000000-0005-0000-0000-00003D450000}"/>
    <cellStyle name="Финансовый 2 3 2 3 3 2 3" xfId="5610" xr:uid="{00000000-0005-0000-0000-00003E450000}"/>
    <cellStyle name="Финансовый 2 3 2 3 3 2 3 2" xfId="17588" xr:uid="{00000000-0005-0000-0000-00003F450000}"/>
    <cellStyle name="Финансовый 2 3 2 3 3 2 3 2 2" xfId="41543" xr:uid="{00000000-0005-0000-0000-000040450000}"/>
    <cellStyle name="Финансовый 2 3 2 3 3 2 3 3" xfId="29565" xr:uid="{00000000-0005-0000-0000-000041450000}"/>
    <cellStyle name="Финансовый 2 3 2 3 3 2 4" xfId="8220" xr:uid="{00000000-0005-0000-0000-000042450000}"/>
    <cellStyle name="Финансовый 2 3 2 3 3 2 4 2" xfId="20198" xr:uid="{00000000-0005-0000-0000-000043450000}"/>
    <cellStyle name="Финансовый 2 3 2 3 3 2 4 2 2" xfId="44153" xr:uid="{00000000-0005-0000-0000-000044450000}"/>
    <cellStyle name="Финансовый 2 3 2 3 3 2 4 3" xfId="32175" xr:uid="{00000000-0005-0000-0000-000045450000}"/>
    <cellStyle name="Финансовый 2 3 2 3 3 2 5" xfId="10003" xr:uid="{00000000-0005-0000-0000-000046450000}"/>
    <cellStyle name="Финансовый 2 3 2 3 3 2 5 2" xfId="21981" xr:uid="{00000000-0005-0000-0000-000047450000}"/>
    <cellStyle name="Финансовый 2 3 2 3 3 2 5 2 2" xfId="45936" xr:uid="{00000000-0005-0000-0000-000048450000}"/>
    <cellStyle name="Финансовый 2 3 2 3 3 2 5 3" xfId="33958" xr:uid="{00000000-0005-0000-0000-000049450000}"/>
    <cellStyle name="Финансовый 2 3 2 3 3 2 6" xfId="14161" xr:uid="{00000000-0005-0000-0000-00004A450000}"/>
    <cellStyle name="Финансовый 2 3 2 3 3 2 6 2" xfId="38116" xr:uid="{00000000-0005-0000-0000-00004B450000}"/>
    <cellStyle name="Финансовый 2 3 2 3 3 2 7" xfId="26139" xr:uid="{00000000-0005-0000-0000-00004C450000}"/>
    <cellStyle name="Финансовый 2 3 2 3 3 2 8" xfId="49272" xr:uid="{00000000-0005-0000-0000-00004D450000}"/>
    <cellStyle name="Финансовый 2 3 2 3 3 3" xfId="1216" xr:uid="{00000000-0005-0000-0000-00004E450000}"/>
    <cellStyle name="Финансовый 2 3 2 3 3 3 2" xfId="7256" xr:uid="{00000000-0005-0000-0000-00004F450000}"/>
    <cellStyle name="Финансовый 2 3 2 3 3 3 2 2" xfId="19234" xr:uid="{00000000-0005-0000-0000-000050450000}"/>
    <cellStyle name="Финансовый 2 3 2 3 3 3 2 2 2" xfId="43189" xr:uid="{00000000-0005-0000-0000-000051450000}"/>
    <cellStyle name="Финансовый 2 3 2 3 3 3 2 3" xfId="31211" xr:uid="{00000000-0005-0000-0000-000052450000}"/>
    <cellStyle name="Финансовый 2 3 2 3 3 3 3" xfId="10795" xr:uid="{00000000-0005-0000-0000-000053450000}"/>
    <cellStyle name="Финансовый 2 3 2 3 3 3 3 2" xfId="22773" xr:uid="{00000000-0005-0000-0000-000054450000}"/>
    <cellStyle name="Финансовый 2 3 2 3 3 3 3 2 2" xfId="46728" xr:uid="{00000000-0005-0000-0000-000055450000}"/>
    <cellStyle name="Финансовый 2 3 2 3 3 3 3 3" xfId="34750" xr:uid="{00000000-0005-0000-0000-000056450000}"/>
    <cellStyle name="Финансовый 2 3 2 3 3 3 4" xfId="13197" xr:uid="{00000000-0005-0000-0000-000057450000}"/>
    <cellStyle name="Финансовый 2 3 2 3 3 3 4 2" xfId="37152" xr:uid="{00000000-0005-0000-0000-000058450000}"/>
    <cellStyle name="Финансовый 2 3 2 3 3 3 5" xfId="25175" xr:uid="{00000000-0005-0000-0000-000059450000}"/>
    <cellStyle name="Финансовый 2 3 2 3 3 3 6" xfId="50088" xr:uid="{00000000-0005-0000-0000-00005A450000}"/>
    <cellStyle name="Финансовый 2 3 2 3 3 4" xfId="823" xr:uid="{00000000-0005-0000-0000-00005B450000}"/>
    <cellStyle name="Финансовый 2 3 2 3 3 4 2" xfId="6863" xr:uid="{00000000-0005-0000-0000-00005C450000}"/>
    <cellStyle name="Финансовый 2 3 2 3 3 4 2 2" xfId="18841" xr:uid="{00000000-0005-0000-0000-00005D450000}"/>
    <cellStyle name="Финансовый 2 3 2 3 3 4 2 2 2" xfId="42796" xr:uid="{00000000-0005-0000-0000-00005E450000}"/>
    <cellStyle name="Финансовый 2 3 2 3 3 4 2 3" xfId="30818" xr:uid="{00000000-0005-0000-0000-00005F450000}"/>
    <cellStyle name="Финансовый 2 3 2 3 3 4 3" xfId="12804" xr:uid="{00000000-0005-0000-0000-000060450000}"/>
    <cellStyle name="Финансовый 2 3 2 3 3 4 3 2" xfId="36759" xr:uid="{00000000-0005-0000-0000-000061450000}"/>
    <cellStyle name="Финансовый 2 3 2 3 3 4 4" xfId="24782" xr:uid="{00000000-0005-0000-0000-000062450000}"/>
    <cellStyle name="Финансовый 2 3 2 3 3 5" xfId="3000" xr:uid="{00000000-0005-0000-0000-000063450000}"/>
    <cellStyle name="Финансовый 2 3 2 3 3 5 2" xfId="14979" xr:uid="{00000000-0005-0000-0000-000064450000}"/>
    <cellStyle name="Финансовый 2 3 2 3 3 5 2 2" xfId="38934" xr:uid="{00000000-0005-0000-0000-000065450000}"/>
    <cellStyle name="Финансовый 2 3 2 3 3 5 3" xfId="26957" xr:uid="{00000000-0005-0000-0000-000066450000}"/>
    <cellStyle name="Финансовый 2 3 2 3 3 6" xfId="4644" xr:uid="{00000000-0005-0000-0000-000067450000}"/>
    <cellStyle name="Финансовый 2 3 2 3 3 6 2" xfId="16623" xr:uid="{00000000-0005-0000-0000-000068450000}"/>
    <cellStyle name="Финансовый 2 3 2 3 3 6 2 2" xfId="40578" xr:uid="{00000000-0005-0000-0000-000069450000}"/>
    <cellStyle name="Финансовый 2 3 2 3 3 6 3" xfId="28601" xr:uid="{00000000-0005-0000-0000-00006A450000}"/>
    <cellStyle name="Финансовый 2 3 2 3 3 7" xfId="6443" xr:uid="{00000000-0005-0000-0000-00006B450000}"/>
    <cellStyle name="Финансовый 2 3 2 3 3 7 2" xfId="18421" xr:uid="{00000000-0005-0000-0000-00006C450000}"/>
    <cellStyle name="Финансовый 2 3 2 3 3 7 2 2" xfId="42376" xr:uid="{00000000-0005-0000-0000-00006D450000}"/>
    <cellStyle name="Финансовый 2 3 2 3 3 7 3" xfId="30398" xr:uid="{00000000-0005-0000-0000-00006E450000}"/>
    <cellStyle name="Финансовый 2 3 2 3 3 8" xfId="9038" xr:uid="{00000000-0005-0000-0000-00006F450000}"/>
    <cellStyle name="Финансовый 2 3 2 3 3 8 2" xfId="21016" xr:uid="{00000000-0005-0000-0000-000070450000}"/>
    <cellStyle name="Финансовый 2 3 2 3 3 8 2 2" xfId="44971" xr:uid="{00000000-0005-0000-0000-000071450000}"/>
    <cellStyle name="Финансовый 2 3 2 3 3 8 3" xfId="32993" xr:uid="{00000000-0005-0000-0000-000072450000}"/>
    <cellStyle name="Финансовый 2 3 2 3 3 9" xfId="12384" xr:uid="{00000000-0005-0000-0000-000073450000}"/>
    <cellStyle name="Финансовый 2 3 2 3 3 9 2" xfId="36339" xr:uid="{00000000-0005-0000-0000-000074450000}"/>
    <cellStyle name="Финансовый 2 3 2 3 4" xfId="1483" xr:uid="{00000000-0005-0000-0000-000075450000}"/>
    <cellStyle name="Финансовый 2 3 2 3 4 2" xfId="1926" xr:uid="{00000000-0005-0000-0000-000076450000}"/>
    <cellStyle name="Финансовый 2 3 2 3 4 2 2" xfId="3571" xr:uid="{00000000-0005-0000-0000-000077450000}"/>
    <cellStyle name="Финансовый 2 3 2 3 4 2 2 2" xfId="11311" xr:uid="{00000000-0005-0000-0000-000078450000}"/>
    <cellStyle name="Финансовый 2 3 2 3 4 2 2 2 2" xfId="23289" xr:uid="{00000000-0005-0000-0000-000079450000}"/>
    <cellStyle name="Финансовый 2 3 2 3 4 2 2 2 2 2" xfId="47244" xr:uid="{00000000-0005-0000-0000-00007A450000}"/>
    <cellStyle name="Финансовый 2 3 2 3 4 2 2 2 3" xfId="35266" xr:uid="{00000000-0005-0000-0000-00007B450000}"/>
    <cellStyle name="Финансовый 2 3 2 3 4 2 2 3" xfId="15550" xr:uid="{00000000-0005-0000-0000-00007C450000}"/>
    <cellStyle name="Финансовый 2 3 2 3 4 2 2 3 2" xfId="39505" xr:uid="{00000000-0005-0000-0000-00007D450000}"/>
    <cellStyle name="Финансовый 2 3 2 3 4 2 2 4" xfId="27528" xr:uid="{00000000-0005-0000-0000-00007E450000}"/>
    <cellStyle name="Финансовый 2 3 2 3 4 2 2 5" xfId="50797" xr:uid="{00000000-0005-0000-0000-00007F450000}"/>
    <cellStyle name="Финансовый 2 3 2 3 4 2 3" xfId="5354" xr:uid="{00000000-0005-0000-0000-000080450000}"/>
    <cellStyle name="Финансовый 2 3 2 3 4 2 3 2" xfId="17332" xr:uid="{00000000-0005-0000-0000-000081450000}"/>
    <cellStyle name="Финансовый 2 3 2 3 4 2 3 2 2" xfId="41287" xr:uid="{00000000-0005-0000-0000-000082450000}"/>
    <cellStyle name="Финансовый 2 3 2 3 4 2 3 3" xfId="29309" xr:uid="{00000000-0005-0000-0000-000083450000}"/>
    <cellStyle name="Финансовый 2 3 2 3 4 2 4" xfId="7964" xr:uid="{00000000-0005-0000-0000-000084450000}"/>
    <cellStyle name="Финансовый 2 3 2 3 4 2 4 2" xfId="19942" xr:uid="{00000000-0005-0000-0000-000085450000}"/>
    <cellStyle name="Финансовый 2 3 2 3 4 2 4 2 2" xfId="43897" xr:uid="{00000000-0005-0000-0000-000086450000}"/>
    <cellStyle name="Финансовый 2 3 2 3 4 2 4 3" xfId="31919" xr:uid="{00000000-0005-0000-0000-000087450000}"/>
    <cellStyle name="Финансовый 2 3 2 3 4 2 5" xfId="9747" xr:uid="{00000000-0005-0000-0000-000088450000}"/>
    <cellStyle name="Финансовый 2 3 2 3 4 2 5 2" xfId="21725" xr:uid="{00000000-0005-0000-0000-000089450000}"/>
    <cellStyle name="Финансовый 2 3 2 3 4 2 5 2 2" xfId="45680" xr:uid="{00000000-0005-0000-0000-00008A450000}"/>
    <cellStyle name="Финансовый 2 3 2 3 4 2 5 3" xfId="33702" xr:uid="{00000000-0005-0000-0000-00008B450000}"/>
    <cellStyle name="Финансовый 2 3 2 3 4 2 6" xfId="13905" xr:uid="{00000000-0005-0000-0000-00008C450000}"/>
    <cellStyle name="Финансовый 2 3 2 3 4 2 6 2" xfId="37860" xr:uid="{00000000-0005-0000-0000-00008D450000}"/>
    <cellStyle name="Финансовый 2 3 2 3 4 2 7" xfId="25883" xr:uid="{00000000-0005-0000-0000-00008E450000}"/>
    <cellStyle name="Финансовый 2 3 2 3 4 2 8" xfId="49016" xr:uid="{00000000-0005-0000-0000-00008F450000}"/>
    <cellStyle name="Финансовый 2 3 2 3 4 3" xfId="4911" xr:uid="{00000000-0005-0000-0000-000090450000}"/>
    <cellStyle name="Финансовый 2 3 2 3 4 3 2" xfId="16889" xr:uid="{00000000-0005-0000-0000-000091450000}"/>
    <cellStyle name="Финансовый 2 3 2 3 4 3 2 2" xfId="40844" xr:uid="{00000000-0005-0000-0000-000092450000}"/>
    <cellStyle name="Финансовый 2 3 2 3 4 3 3" xfId="28866" xr:uid="{00000000-0005-0000-0000-000093450000}"/>
    <cellStyle name="Финансовый 2 3 2 3 4 3 4" xfId="50354" xr:uid="{00000000-0005-0000-0000-000094450000}"/>
    <cellStyle name="Финансовый 2 3 2 3 4 4" xfId="7521" xr:uid="{00000000-0005-0000-0000-000095450000}"/>
    <cellStyle name="Финансовый 2 3 2 3 4 4 2" xfId="19499" xr:uid="{00000000-0005-0000-0000-000096450000}"/>
    <cellStyle name="Финансовый 2 3 2 3 4 4 2 2" xfId="43454" xr:uid="{00000000-0005-0000-0000-000097450000}"/>
    <cellStyle name="Финансовый 2 3 2 3 4 4 3" xfId="31476" xr:uid="{00000000-0005-0000-0000-000098450000}"/>
    <cellStyle name="Финансовый 2 3 2 3 4 5" xfId="9304" xr:uid="{00000000-0005-0000-0000-000099450000}"/>
    <cellStyle name="Финансовый 2 3 2 3 4 5 2" xfId="21282" xr:uid="{00000000-0005-0000-0000-00009A450000}"/>
    <cellStyle name="Финансовый 2 3 2 3 4 5 2 2" xfId="45237" xr:uid="{00000000-0005-0000-0000-00009B450000}"/>
    <cellStyle name="Финансовый 2 3 2 3 4 5 3" xfId="33259" xr:uid="{00000000-0005-0000-0000-00009C450000}"/>
    <cellStyle name="Финансовый 2 3 2 3 4 6" xfId="13462" xr:uid="{00000000-0005-0000-0000-00009D450000}"/>
    <cellStyle name="Финансовый 2 3 2 3 4 6 2" xfId="37417" xr:uid="{00000000-0005-0000-0000-00009E450000}"/>
    <cellStyle name="Финансовый 2 3 2 3 4 7" xfId="25440" xr:uid="{00000000-0005-0000-0000-00009F450000}"/>
    <cellStyle name="Финансовый 2 3 2 3 4 8" xfId="48573" xr:uid="{00000000-0005-0000-0000-0000A0450000}"/>
    <cellStyle name="Финансовый 2 3 2 3 5" xfId="1802" xr:uid="{00000000-0005-0000-0000-0000A1450000}"/>
    <cellStyle name="Финансовый 2 3 2 3 5 2" xfId="3447" xr:uid="{00000000-0005-0000-0000-0000A2450000}"/>
    <cellStyle name="Финансовый 2 3 2 3 5 2 2" xfId="11195" xr:uid="{00000000-0005-0000-0000-0000A3450000}"/>
    <cellStyle name="Финансовый 2 3 2 3 5 2 2 2" xfId="23173" xr:uid="{00000000-0005-0000-0000-0000A4450000}"/>
    <cellStyle name="Финансовый 2 3 2 3 5 2 2 2 2" xfId="47128" xr:uid="{00000000-0005-0000-0000-0000A5450000}"/>
    <cellStyle name="Финансовый 2 3 2 3 5 2 2 3" xfId="35150" xr:uid="{00000000-0005-0000-0000-0000A6450000}"/>
    <cellStyle name="Финансовый 2 3 2 3 5 2 3" xfId="15426" xr:uid="{00000000-0005-0000-0000-0000A7450000}"/>
    <cellStyle name="Финансовый 2 3 2 3 5 2 3 2" xfId="39381" xr:uid="{00000000-0005-0000-0000-0000A8450000}"/>
    <cellStyle name="Финансовый 2 3 2 3 5 2 4" xfId="27404" xr:uid="{00000000-0005-0000-0000-0000A9450000}"/>
    <cellStyle name="Финансовый 2 3 2 3 5 2 5" xfId="50673" xr:uid="{00000000-0005-0000-0000-0000AA450000}"/>
    <cellStyle name="Финансовый 2 3 2 3 5 3" xfId="5230" xr:uid="{00000000-0005-0000-0000-0000AB450000}"/>
    <cellStyle name="Финансовый 2 3 2 3 5 3 2" xfId="17208" xr:uid="{00000000-0005-0000-0000-0000AC450000}"/>
    <cellStyle name="Финансовый 2 3 2 3 5 3 2 2" xfId="41163" xr:uid="{00000000-0005-0000-0000-0000AD450000}"/>
    <cellStyle name="Финансовый 2 3 2 3 5 3 3" xfId="29185" xr:uid="{00000000-0005-0000-0000-0000AE450000}"/>
    <cellStyle name="Финансовый 2 3 2 3 5 4" xfId="7840" xr:uid="{00000000-0005-0000-0000-0000AF450000}"/>
    <cellStyle name="Финансовый 2 3 2 3 5 4 2" xfId="19818" xr:uid="{00000000-0005-0000-0000-0000B0450000}"/>
    <cellStyle name="Финансовый 2 3 2 3 5 4 2 2" xfId="43773" xr:uid="{00000000-0005-0000-0000-0000B1450000}"/>
    <cellStyle name="Финансовый 2 3 2 3 5 4 3" xfId="31795" xr:uid="{00000000-0005-0000-0000-0000B2450000}"/>
    <cellStyle name="Финансовый 2 3 2 3 5 5" xfId="9623" xr:uid="{00000000-0005-0000-0000-0000B3450000}"/>
    <cellStyle name="Финансовый 2 3 2 3 5 5 2" xfId="21601" xr:uid="{00000000-0005-0000-0000-0000B4450000}"/>
    <cellStyle name="Финансовый 2 3 2 3 5 5 2 2" xfId="45556" xr:uid="{00000000-0005-0000-0000-0000B5450000}"/>
    <cellStyle name="Финансовый 2 3 2 3 5 5 3" xfId="33578" xr:uid="{00000000-0005-0000-0000-0000B6450000}"/>
    <cellStyle name="Финансовый 2 3 2 3 5 6" xfId="13781" xr:uid="{00000000-0005-0000-0000-0000B7450000}"/>
    <cellStyle name="Финансовый 2 3 2 3 5 6 2" xfId="37736" xr:uid="{00000000-0005-0000-0000-0000B8450000}"/>
    <cellStyle name="Финансовый 2 3 2 3 5 7" xfId="25759" xr:uid="{00000000-0005-0000-0000-0000B9450000}"/>
    <cellStyle name="Финансовый 2 3 2 3 5 8" xfId="48892" xr:uid="{00000000-0005-0000-0000-0000BA450000}"/>
    <cellStyle name="Финансовый 2 3 2 3 6" xfId="2447" xr:uid="{00000000-0005-0000-0000-0000BB450000}"/>
    <cellStyle name="Финансовый 2 3 2 3 6 2" xfId="4092" xr:uid="{00000000-0005-0000-0000-0000BC450000}"/>
    <cellStyle name="Финансовый 2 3 2 3 6 2 2" xfId="11824" xr:uid="{00000000-0005-0000-0000-0000BD450000}"/>
    <cellStyle name="Финансовый 2 3 2 3 6 2 2 2" xfId="23802" xr:uid="{00000000-0005-0000-0000-0000BE450000}"/>
    <cellStyle name="Финансовый 2 3 2 3 6 2 2 2 2" xfId="47757" xr:uid="{00000000-0005-0000-0000-0000BF450000}"/>
    <cellStyle name="Финансовый 2 3 2 3 6 2 2 3" xfId="35779" xr:uid="{00000000-0005-0000-0000-0000C0450000}"/>
    <cellStyle name="Финансовый 2 3 2 3 6 2 3" xfId="16071" xr:uid="{00000000-0005-0000-0000-0000C1450000}"/>
    <cellStyle name="Финансовый 2 3 2 3 6 2 3 2" xfId="40026" xr:uid="{00000000-0005-0000-0000-0000C2450000}"/>
    <cellStyle name="Финансовый 2 3 2 3 6 2 4" xfId="28049" xr:uid="{00000000-0005-0000-0000-0000C3450000}"/>
    <cellStyle name="Финансовый 2 3 2 3 6 2 5" xfId="51318" xr:uid="{00000000-0005-0000-0000-0000C4450000}"/>
    <cellStyle name="Финансовый 2 3 2 3 6 3" xfId="5875" xr:uid="{00000000-0005-0000-0000-0000C5450000}"/>
    <cellStyle name="Финансовый 2 3 2 3 6 3 2" xfId="17853" xr:uid="{00000000-0005-0000-0000-0000C6450000}"/>
    <cellStyle name="Финансовый 2 3 2 3 6 3 2 2" xfId="41808" xr:uid="{00000000-0005-0000-0000-0000C7450000}"/>
    <cellStyle name="Финансовый 2 3 2 3 6 3 3" xfId="29830" xr:uid="{00000000-0005-0000-0000-0000C8450000}"/>
    <cellStyle name="Финансовый 2 3 2 3 6 4" xfId="8485" xr:uid="{00000000-0005-0000-0000-0000C9450000}"/>
    <cellStyle name="Финансовый 2 3 2 3 6 4 2" xfId="20463" xr:uid="{00000000-0005-0000-0000-0000CA450000}"/>
    <cellStyle name="Финансовый 2 3 2 3 6 4 2 2" xfId="44418" xr:uid="{00000000-0005-0000-0000-0000CB450000}"/>
    <cellStyle name="Финансовый 2 3 2 3 6 4 3" xfId="32440" xr:uid="{00000000-0005-0000-0000-0000CC450000}"/>
    <cellStyle name="Финансовый 2 3 2 3 6 5" xfId="10268" xr:uid="{00000000-0005-0000-0000-0000CD450000}"/>
    <cellStyle name="Финансовый 2 3 2 3 6 5 2" xfId="22246" xr:uid="{00000000-0005-0000-0000-0000CE450000}"/>
    <cellStyle name="Финансовый 2 3 2 3 6 5 2 2" xfId="46201" xr:uid="{00000000-0005-0000-0000-0000CF450000}"/>
    <cellStyle name="Финансовый 2 3 2 3 6 5 3" xfId="34223" xr:uid="{00000000-0005-0000-0000-0000D0450000}"/>
    <cellStyle name="Финансовый 2 3 2 3 6 6" xfId="14426" xr:uid="{00000000-0005-0000-0000-0000D1450000}"/>
    <cellStyle name="Финансовый 2 3 2 3 6 6 2" xfId="38381" xr:uid="{00000000-0005-0000-0000-0000D2450000}"/>
    <cellStyle name="Финансовый 2 3 2 3 6 7" xfId="26404" xr:uid="{00000000-0005-0000-0000-0000D3450000}"/>
    <cellStyle name="Финансовый 2 3 2 3 6 8" xfId="49537" xr:uid="{00000000-0005-0000-0000-0000D4450000}"/>
    <cellStyle name="Финансовый 2 3 2 3 7" xfId="1674" xr:uid="{00000000-0005-0000-0000-0000D5450000}"/>
    <cellStyle name="Финансовый 2 3 2 3 7 2" xfId="3319" xr:uid="{00000000-0005-0000-0000-0000D6450000}"/>
    <cellStyle name="Финансовый 2 3 2 3 7 2 2" xfId="11067" xr:uid="{00000000-0005-0000-0000-0000D7450000}"/>
    <cellStyle name="Финансовый 2 3 2 3 7 2 2 2" xfId="23045" xr:uid="{00000000-0005-0000-0000-0000D8450000}"/>
    <cellStyle name="Финансовый 2 3 2 3 7 2 2 2 2" xfId="47000" xr:uid="{00000000-0005-0000-0000-0000D9450000}"/>
    <cellStyle name="Финансовый 2 3 2 3 7 2 2 3" xfId="35022" xr:uid="{00000000-0005-0000-0000-0000DA450000}"/>
    <cellStyle name="Финансовый 2 3 2 3 7 2 3" xfId="15298" xr:uid="{00000000-0005-0000-0000-0000DB450000}"/>
    <cellStyle name="Финансовый 2 3 2 3 7 2 3 2" xfId="39253" xr:uid="{00000000-0005-0000-0000-0000DC450000}"/>
    <cellStyle name="Финансовый 2 3 2 3 7 2 4" xfId="27276" xr:uid="{00000000-0005-0000-0000-0000DD450000}"/>
    <cellStyle name="Финансовый 2 3 2 3 7 2 5" xfId="50545" xr:uid="{00000000-0005-0000-0000-0000DE450000}"/>
    <cellStyle name="Финансовый 2 3 2 3 7 3" xfId="5102" xr:uid="{00000000-0005-0000-0000-0000DF450000}"/>
    <cellStyle name="Финансовый 2 3 2 3 7 3 2" xfId="17080" xr:uid="{00000000-0005-0000-0000-0000E0450000}"/>
    <cellStyle name="Финансовый 2 3 2 3 7 3 2 2" xfId="41035" xr:uid="{00000000-0005-0000-0000-0000E1450000}"/>
    <cellStyle name="Финансовый 2 3 2 3 7 3 3" xfId="29057" xr:uid="{00000000-0005-0000-0000-0000E2450000}"/>
    <cellStyle name="Финансовый 2 3 2 3 7 4" xfId="7712" xr:uid="{00000000-0005-0000-0000-0000E3450000}"/>
    <cellStyle name="Финансовый 2 3 2 3 7 4 2" xfId="19690" xr:uid="{00000000-0005-0000-0000-0000E4450000}"/>
    <cellStyle name="Финансовый 2 3 2 3 7 4 2 2" xfId="43645" xr:uid="{00000000-0005-0000-0000-0000E5450000}"/>
    <cellStyle name="Финансовый 2 3 2 3 7 4 3" xfId="31667" xr:uid="{00000000-0005-0000-0000-0000E6450000}"/>
    <cellStyle name="Финансовый 2 3 2 3 7 5" xfId="9495" xr:uid="{00000000-0005-0000-0000-0000E7450000}"/>
    <cellStyle name="Финансовый 2 3 2 3 7 5 2" xfId="21473" xr:uid="{00000000-0005-0000-0000-0000E8450000}"/>
    <cellStyle name="Финансовый 2 3 2 3 7 5 2 2" xfId="45428" xr:uid="{00000000-0005-0000-0000-0000E9450000}"/>
    <cellStyle name="Финансовый 2 3 2 3 7 5 3" xfId="33450" xr:uid="{00000000-0005-0000-0000-0000EA450000}"/>
    <cellStyle name="Финансовый 2 3 2 3 7 6" xfId="13653" xr:uid="{00000000-0005-0000-0000-0000EB450000}"/>
    <cellStyle name="Финансовый 2 3 2 3 7 6 2" xfId="37608" xr:uid="{00000000-0005-0000-0000-0000EC450000}"/>
    <cellStyle name="Финансовый 2 3 2 3 7 7" xfId="25631" xr:uid="{00000000-0005-0000-0000-0000ED450000}"/>
    <cellStyle name="Финансовый 2 3 2 3 7 8" xfId="48764" xr:uid="{00000000-0005-0000-0000-0000EE450000}"/>
    <cellStyle name="Финансовый 2 3 2 3 8" xfId="951" xr:uid="{00000000-0005-0000-0000-0000EF450000}"/>
    <cellStyle name="Финансовый 2 3 2 3 8 2" xfId="6991" xr:uid="{00000000-0005-0000-0000-0000F0450000}"/>
    <cellStyle name="Финансовый 2 3 2 3 8 2 2" xfId="18969" xr:uid="{00000000-0005-0000-0000-0000F1450000}"/>
    <cellStyle name="Финансовый 2 3 2 3 8 2 2 2" xfId="42924" xr:uid="{00000000-0005-0000-0000-0000F2450000}"/>
    <cellStyle name="Финансовый 2 3 2 3 8 2 3" xfId="30946" xr:uid="{00000000-0005-0000-0000-0000F3450000}"/>
    <cellStyle name="Финансовый 2 3 2 3 8 3" xfId="10539" xr:uid="{00000000-0005-0000-0000-0000F4450000}"/>
    <cellStyle name="Финансовый 2 3 2 3 8 3 2" xfId="22517" xr:uid="{00000000-0005-0000-0000-0000F5450000}"/>
    <cellStyle name="Финансовый 2 3 2 3 8 3 2 2" xfId="46472" xr:uid="{00000000-0005-0000-0000-0000F6450000}"/>
    <cellStyle name="Финансовый 2 3 2 3 8 3 3" xfId="34494" xr:uid="{00000000-0005-0000-0000-0000F7450000}"/>
    <cellStyle name="Финансовый 2 3 2 3 8 4" xfId="12932" xr:uid="{00000000-0005-0000-0000-0000F8450000}"/>
    <cellStyle name="Финансовый 2 3 2 3 8 4 2" xfId="36887" xr:uid="{00000000-0005-0000-0000-0000F9450000}"/>
    <cellStyle name="Финансовый 2 3 2 3 8 5" xfId="24910" xr:uid="{00000000-0005-0000-0000-0000FA450000}"/>
    <cellStyle name="Финансовый 2 3 2 3 8 6" xfId="49816" xr:uid="{00000000-0005-0000-0000-0000FB450000}"/>
    <cellStyle name="Финансовый 2 3 2 3 9" xfId="539" xr:uid="{00000000-0005-0000-0000-0000FC450000}"/>
    <cellStyle name="Финансовый 2 3 2 3 9 2" xfId="6579" xr:uid="{00000000-0005-0000-0000-0000FD450000}"/>
    <cellStyle name="Финансовый 2 3 2 3 9 2 2" xfId="18557" xr:uid="{00000000-0005-0000-0000-0000FE450000}"/>
    <cellStyle name="Финансовый 2 3 2 3 9 2 2 2" xfId="42512" xr:uid="{00000000-0005-0000-0000-0000FF450000}"/>
    <cellStyle name="Финансовый 2 3 2 3 9 2 3" xfId="30534" xr:uid="{00000000-0005-0000-0000-000000460000}"/>
    <cellStyle name="Финансовый 2 3 2 3 9 3" xfId="12520" xr:uid="{00000000-0005-0000-0000-000001460000}"/>
    <cellStyle name="Финансовый 2 3 2 3 9 3 2" xfId="36475" xr:uid="{00000000-0005-0000-0000-000002460000}"/>
    <cellStyle name="Финансовый 2 3 2 3 9 4" xfId="24498" xr:uid="{00000000-0005-0000-0000-000003460000}"/>
    <cellStyle name="Финансовый 2 3 2 4" xfId="82" xr:uid="{00000000-0005-0000-0000-000004460000}"/>
    <cellStyle name="Финансовый 2 3 2 4 10" xfId="2692" xr:uid="{00000000-0005-0000-0000-000005460000}"/>
    <cellStyle name="Финансовый 2 3 2 4 10 2" xfId="14671" xr:uid="{00000000-0005-0000-0000-000006460000}"/>
    <cellStyle name="Финансовый 2 3 2 4 10 2 2" xfId="38626" xr:uid="{00000000-0005-0000-0000-000007460000}"/>
    <cellStyle name="Финансовый 2 3 2 4 10 3" xfId="26649" xr:uid="{00000000-0005-0000-0000-000008460000}"/>
    <cellStyle name="Финансовый 2 3 2 4 11" xfId="4336" xr:uid="{00000000-0005-0000-0000-000009460000}"/>
    <cellStyle name="Финансовый 2 3 2 4 11 2" xfId="16315" xr:uid="{00000000-0005-0000-0000-00000A460000}"/>
    <cellStyle name="Финансовый 2 3 2 4 11 2 2" xfId="40270" xr:uid="{00000000-0005-0000-0000-00000B460000}"/>
    <cellStyle name="Финансовый 2 3 2 4 11 3" xfId="28293" xr:uid="{00000000-0005-0000-0000-00000C460000}"/>
    <cellStyle name="Финансовый 2 3 2 4 12" xfId="6123" xr:uid="{00000000-0005-0000-0000-00000D460000}"/>
    <cellStyle name="Финансовый 2 3 2 4 12 2" xfId="18101" xr:uid="{00000000-0005-0000-0000-00000E460000}"/>
    <cellStyle name="Финансовый 2 3 2 4 12 2 2" xfId="42056" xr:uid="{00000000-0005-0000-0000-00000F460000}"/>
    <cellStyle name="Финансовый 2 3 2 4 12 3" xfId="30078" xr:uid="{00000000-0005-0000-0000-000010460000}"/>
    <cellStyle name="Финансовый 2 3 2 4 13" xfId="8730" xr:uid="{00000000-0005-0000-0000-000011460000}"/>
    <cellStyle name="Финансовый 2 3 2 4 13 2" xfId="20708" xr:uid="{00000000-0005-0000-0000-000012460000}"/>
    <cellStyle name="Финансовый 2 3 2 4 13 2 2" xfId="44663" xr:uid="{00000000-0005-0000-0000-000013460000}"/>
    <cellStyle name="Финансовый 2 3 2 4 13 3" xfId="32685" xr:uid="{00000000-0005-0000-0000-000014460000}"/>
    <cellStyle name="Финансовый 2 3 2 4 14" xfId="12064" xr:uid="{00000000-0005-0000-0000-000015460000}"/>
    <cellStyle name="Финансовый 2 3 2 4 14 2" xfId="36019" xr:uid="{00000000-0005-0000-0000-000016460000}"/>
    <cellStyle name="Финансовый 2 3 2 4 15" xfId="24042" xr:uid="{00000000-0005-0000-0000-000017460000}"/>
    <cellStyle name="Финансовый 2 3 2 4 16" xfId="48000" xr:uid="{00000000-0005-0000-0000-000018460000}"/>
    <cellStyle name="Финансовый 2 3 2 4 2" xfId="218" xr:uid="{00000000-0005-0000-0000-000019460000}"/>
    <cellStyle name="Финансовый 2 3 2 4 2 10" xfId="8866" xr:uid="{00000000-0005-0000-0000-00001A460000}"/>
    <cellStyle name="Финансовый 2 3 2 4 2 10 2" xfId="20844" xr:uid="{00000000-0005-0000-0000-00001B460000}"/>
    <cellStyle name="Финансовый 2 3 2 4 2 10 2 2" xfId="44799" xr:uid="{00000000-0005-0000-0000-00001C460000}"/>
    <cellStyle name="Финансовый 2 3 2 4 2 10 3" xfId="32821" xr:uid="{00000000-0005-0000-0000-00001D460000}"/>
    <cellStyle name="Финансовый 2 3 2 4 2 11" xfId="12200" xr:uid="{00000000-0005-0000-0000-00001E460000}"/>
    <cellStyle name="Финансовый 2 3 2 4 2 11 2" xfId="36155" xr:uid="{00000000-0005-0000-0000-00001F460000}"/>
    <cellStyle name="Финансовый 2 3 2 4 2 12" xfId="24178" xr:uid="{00000000-0005-0000-0000-000020460000}"/>
    <cellStyle name="Финансовый 2 3 2 4 2 13" xfId="48136" xr:uid="{00000000-0005-0000-0000-000021460000}"/>
    <cellStyle name="Финансовый 2 3 2 4 2 2" xfId="1316" xr:uid="{00000000-0005-0000-0000-000022460000}"/>
    <cellStyle name="Финансовый 2 3 2 4 2 2 2" xfId="2274" xr:uid="{00000000-0005-0000-0000-000023460000}"/>
    <cellStyle name="Финансовый 2 3 2 4 2 2 2 2" xfId="3919" xr:uid="{00000000-0005-0000-0000-000024460000}"/>
    <cellStyle name="Финансовый 2 3 2 4 2 2 2 2 2" xfId="11659" xr:uid="{00000000-0005-0000-0000-000025460000}"/>
    <cellStyle name="Финансовый 2 3 2 4 2 2 2 2 2 2" xfId="23637" xr:uid="{00000000-0005-0000-0000-000026460000}"/>
    <cellStyle name="Финансовый 2 3 2 4 2 2 2 2 2 2 2" xfId="47592" xr:uid="{00000000-0005-0000-0000-000027460000}"/>
    <cellStyle name="Финансовый 2 3 2 4 2 2 2 2 2 3" xfId="35614" xr:uid="{00000000-0005-0000-0000-000028460000}"/>
    <cellStyle name="Финансовый 2 3 2 4 2 2 2 2 3" xfId="15898" xr:uid="{00000000-0005-0000-0000-000029460000}"/>
    <cellStyle name="Финансовый 2 3 2 4 2 2 2 2 3 2" xfId="39853" xr:uid="{00000000-0005-0000-0000-00002A460000}"/>
    <cellStyle name="Финансовый 2 3 2 4 2 2 2 2 4" xfId="27876" xr:uid="{00000000-0005-0000-0000-00002B460000}"/>
    <cellStyle name="Финансовый 2 3 2 4 2 2 2 2 5" xfId="51145" xr:uid="{00000000-0005-0000-0000-00002C460000}"/>
    <cellStyle name="Финансовый 2 3 2 4 2 2 2 3" xfId="5702" xr:uid="{00000000-0005-0000-0000-00002D460000}"/>
    <cellStyle name="Финансовый 2 3 2 4 2 2 2 3 2" xfId="17680" xr:uid="{00000000-0005-0000-0000-00002E460000}"/>
    <cellStyle name="Финансовый 2 3 2 4 2 2 2 3 2 2" xfId="41635" xr:uid="{00000000-0005-0000-0000-00002F460000}"/>
    <cellStyle name="Финансовый 2 3 2 4 2 2 2 3 3" xfId="29657" xr:uid="{00000000-0005-0000-0000-000030460000}"/>
    <cellStyle name="Финансовый 2 3 2 4 2 2 2 4" xfId="8312" xr:uid="{00000000-0005-0000-0000-000031460000}"/>
    <cellStyle name="Финансовый 2 3 2 4 2 2 2 4 2" xfId="20290" xr:uid="{00000000-0005-0000-0000-000032460000}"/>
    <cellStyle name="Финансовый 2 3 2 4 2 2 2 4 2 2" xfId="44245" xr:uid="{00000000-0005-0000-0000-000033460000}"/>
    <cellStyle name="Финансовый 2 3 2 4 2 2 2 4 3" xfId="32267" xr:uid="{00000000-0005-0000-0000-000034460000}"/>
    <cellStyle name="Финансовый 2 3 2 4 2 2 2 5" xfId="10095" xr:uid="{00000000-0005-0000-0000-000035460000}"/>
    <cellStyle name="Финансовый 2 3 2 4 2 2 2 5 2" xfId="22073" xr:uid="{00000000-0005-0000-0000-000036460000}"/>
    <cellStyle name="Финансовый 2 3 2 4 2 2 2 5 2 2" xfId="46028" xr:uid="{00000000-0005-0000-0000-000037460000}"/>
    <cellStyle name="Финансовый 2 3 2 4 2 2 2 5 3" xfId="34050" xr:uid="{00000000-0005-0000-0000-000038460000}"/>
    <cellStyle name="Финансовый 2 3 2 4 2 2 2 6" xfId="14253" xr:uid="{00000000-0005-0000-0000-000039460000}"/>
    <cellStyle name="Финансовый 2 3 2 4 2 2 2 6 2" xfId="38208" xr:uid="{00000000-0005-0000-0000-00003A460000}"/>
    <cellStyle name="Финансовый 2 3 2 4 2 2 2 7" xfId="26231" xr:uid="{00000000-0005-0000-0000-00003B460000}"/>
    <cellStyle name="Финансовый 2 3 2 4 2 2 2 8" xfId="49364" xr:uid="{00000000-0005-0000-0000-00003C460000}"/>
    <cellStyle name="Финансовый 2 3 2 4 2 2 3" xfId="3100" xr:uid="{00000000-0005-0000-0000-00003D460000}"/>
    <cellStyle name="Финансовый 2 3 2 4 2 2 3 2" xfId="10887" xr:uid="{00000000-0005-0000-0000-00003E460000}"/>
    <cellStyle name="Финансовый 2 3 2 4 2 2 3 2 2" xfId="22865" xr:uid="{00000000-0005-0000-0000-00003F460000}"/>
    <cellStyle name="Финансовый 2 3 2 4 2 2 3 2 2 2" xfId="46820" xr:uid="{00000000-0005-0000-0000-000040460000}"/>
    <cellStyle name="Финансовый 2 3 2 4 2 2 3 2 3" xfId="34842" xr:uid="{00000000-0005-0000-0000-000041460000}"/>
    <cellStyle name="Финансовый 2 3 2 4 2 2 3 3" xfId="15079" xr:uid="{00000000-0005-0000-0000-000042460000}"/>
    <cellStyle name="Финансовый 2 3 2 4 2 2 3 3 2" xfId="39034" xr:uid="{00000000-0005-0000-0000-000043460000}"/>
    <cellStyle name="Финансовый 2 3 2 4 2 2 3 4" xfId="27057" xr:uid="{00000000-0005-0000-0000-000044460000}"/>
    <cellStyle name="Финансовый 2 3 2 4 2 2 3 5" xfId="50188" xr:uid="{00000000-0005-0000-0000-000045460000}"/>
    <cellStyle name="Финансовый 2 3 2 4 2 2 4" xfId="4744" xr:uid="{00000000-0005-0000-0000-000046460000}"/>
    <cellStyle name="Финансовый 2 3 2 4 2 2 4 2" xfId="16723" xr:uid="{00000000-0005-0000-0000-000047460000}"/>
    <cellStyle name="Финансовый 2 3 2 4 2 2 4 2 2" xfId="40678" xr:uid="{00000000-0005-0000-0000-000048460000}"/>
    <cellStyle name="Финансовый 2 3 2 4 2 2 4 3" xfId="28701" xr:uid="{00000000-0005-0000-0000-000049460000}"/>
    <cellStyle name="Финансовый 2 3 2 4 2 2 5" xfId="7356" xr:uid="{00000000-0005-0000-0000-00004A460000}"/>
    <cellStyle name="Финансовый 2 3 2 4 2 2 5 2" xfId="19334" xr:uid="{00000000-0005-0000-0000-00004B460000}"/>
    <cellStyle name="Финансовый 2 3 2 4 2 2 5 2 2" xfId="43289" xr:uid="{00000000-0005-0000-0000-00004C460000}"/>
    <cellStyle name="Финансовый 2 3 2 4 2 2 5 3" xfId="31311" xr:uid="{00000000-0005-0000-0000-00004D460000}"/>
    <cellStyle name="Финансовый 2 3 2 4 2 2 6" xfId="9138" xr:uid="{00000000-0005-0000-0000-00004E460000}"/>
    <cellStyle name="Финансовый 2 3 2 4 2 2 6 2" xfId="21116" xr:uid="{00000000-0005-0000-0000-00004F460000}"/>
    <cellStyle name="Финансовый 2 3 2 4 2 2 6 2 2" xfId="45071" xr:uid="{00000000-0005-0000-0000-000050460000}"/>
    <cellStyle name="Финансовый 2 3 2 4 2 2 6 3" xfId="33093" xr:uid="{00000000-0005-0000-0000-000051460000}"/>
    <cellStyle name="Финансовый 2 3 2 4 2 2 7" xfId="13297" xr:uid="{00000000-0005-0000-0000-000052460000}"/>
    <cellStyle name="Финансовый 2 3 2 4 2 2 7 2" xfId="37252" xr:uid="{00000000-0005-0000-0000-000053460000}"/>
    <cellStyle name="Финансовый 2 3 2 4 2 2 8" xfId="25275" xr:uid="{00000000-0005-0000-0000-000054460000}"/>
    <cellStyle name="Финансовый 2 3 2 4 2 2 9" xfId="48408" xr:uid="{00000000-0005-0000-0000-000055460000}"/>
    <cellStyle name="Финансовый 2 3 2 4 2 3" xfId="2018" xr:uid="{00000000-0005-0000-0000-000056460000}"/>
    <cellStyle name="Финансовый 2 3 2 4 2 3 2" xfId="3663" xr:uid="{00000000-0005-0000-0000-000057460000}"/>
    <cellStyle name="Финансовый 2 3 2 4 2 3 2 2" xfId="11403" xr:uid="{00000000-0005-0000-0000-000058460000}"/>
    <cellStyle name="Финансовый 2 3 2 4 2 3 2 2 2" xfId="23381" xr:uid="{00000000-0005-0000-0000-000059460000}"/>
    <cellStyle name="Финансовый 2 3 2 4 2 3 2 2 2 2" xfId="47336" xr:uid="{00000000-0005-0000-0000-00005A460000}"/>
    <cellStyle name="Финансовый 2 3 2 4 2 3 2 2 3" xfId="35358" xr:uid="{00000000-0005-0000-0000-00005B460000}"/>
    <cellStyle name="Финансовый 2 3 2 4 2 3 2 3" xfId="15642" xr:uid="{00000000-0005-0000-0000-00005C460000}"/>
    <cellStyle name="Финансовый 2 3 2 4 2 3 2 3 2" xfId="39597" xr:uid="{00000000-0005-0000-0000-00005D460000}"/>
    <cellStyle name="Финансовый 2 3 2 4 2 3 2 4" xfId="27620" xr:uid="{00000000-0005-0000-0000-00005E460000}"/>
    <cellStyle name="Финансовый 2 3 2 4 2 3 2 5" xfId="50889" xr:uid="{00000000-0005-0000-0000-00005F460000}"/>
    <cellStyle name="Финансовый 2 3 2 4 2 3 3" xfId="5446" xr:uid="{00000000-0005-0000-0000-000060460000}"/>
    <cellStyle name="Финансовый 2 3 2 4 2 3 3 2" xfId="17424" xr:uid="{00000000-0005-0000-0000-000061460000}"/>
    <cellStyle name="Финансовый 2 3 2 4 2 3 3 2 2" xfId="41379" xr:uid="{00000000-0005-0000-0000-000062460000}"/>
    <cellStyle name="Финансовый 2 3 2 4 2 3 3 3" xfId="29401" xr:uid="{00000000-0005-0000-0000-000063460000}"/>
    <cellStyle name="Финансовый 2 3 2 4 2 3 4" xfId="8056" xr:uid="{00000000-0005-0000-0000-000064460000}"/>
    <cellStyle name="Финансовый 2 3 2 4 2 3 4 2" xfId="20034" xr:uid="{00000000-0005-0000-0000-000065460000}"/>
    <cellStyle name="Финансовый 2 3 2 4 2 3 4 2 2" xfId="43989" xr:uid="{00000000-0005-0000-0000-000066460000}"/>
    <cellStyle name="Финансовый 2 3 2 4 2 3 4 3" xfId="32011" xr:uid="{00000000-0005-0000-0000-000067460000}"/>
    <cellStyle name="Финансовый 2 3 2 4 2 3 5" xfId="9839" xr:uid="{00000000-0005-0000-0000-000068460000}"/>
    <cellStyle name="Финансовый 2 3 2 4 2 3 5 2" xfId="21817" xr:uid="{00000000-0005-0000-0000-000069460000}"/>
    <cellStyle name="Финансовый 2 3 2 4 2 3 5 2 2" xfId="45772" xr:uid="{00000000-0005-0000-0000-00006A460000}"/>
    <cellStyle name="Финансовый 2 3 2 4 2 3 5 3" xfId="33794" xr:uid="{00000000-0005-0000-0000-00006B460000}"/>
    <cellStyle name="Финансовый 2 3 2 4 2 3 6" xfId="13997" xr:uid="{00000000-0005-0000-0000-00006C460000}"/>
    <cellStyle name="Финансовый 2 3 2 4 2 3 6 2" xfId="37952" xr:uid="{00000000-0005-0000-0000-00006D460000}"/>
    <cellStyle name="Финансовый 2 3 2 4 2 3 7" xfId="25975" xr:uid="{00000000-0005-0000-0000-00006E460000}"/>
    <cellStyle name="Финансовый 2 3 2 4 2 3 8" xfId="49108" xr:uid="{00000000-0005-0000-0000-00006F460000}"/>
    <cellStyle name="Финансовый 2 3 2 4 2 4" xfId="2547" xr:uid="{00000000-0005-0000-0000-000070460000}"/>
    <cellStyle name="Финансовый 2 3 2 4 2 4 2" xfId="4192" xr:uid="{00000000-0005-0000-0000-000071460000}"/>
    <cellStyle name="Финансовый 2 3 2 4 2 4 2 2" xfId="11916" xr:uid="{00000000-0005-0000-0000-000072460000}"/>
    <cellStyle name="Финансовый 2 3 2 4 2 4 2 2 2" xfId="23894" xr:uid="{00000000-0005-0000-0000-000073460000}"/>
    <cellStyle name="Финансовый 2 3 2 4 2 4 2 2 2 2" xfId="47849" xr:uid="{00000000-0005-0000-0000-000074460000}"/>
    <cellStyle name="Финансовый 2 3 2 4 2 4 2 2 3" xfId="35871" xr:uid="{00000000-0005-0000-0000-000075460000}"/>
    <cellStyle name="Финансовый 2 3 2 4 2 4 2 3" xfId="16171" xr:uid="{00000000-0005-0000-0000-000076460000}"/>
    <cellStyle name="Финансовый 2 3 2 4 2 4 2 3 2" xfId="40126" xr:uid="{00000000-0005-0000-0000-000077460000}"/>
    <cellStyle name="Финансовый 2 3 2 4 2 4 2 4" xfId="28149" xr:uid="{00000000-0005-0000-0000-000078460000}"/>
    <cellStyle name="Финансовый 2 3 2 4 2 4 2 5" xfId="51418" xr:uid="{00000000-0005-0000-0000-000079460000}"/>
    <cellStyle name="Финансовый 2 3 2 4 2 4 3" xfId="5975" xr:uid="{00000000-0005-0000-0000-00007A460000}"/>
    <cellStyle name="Финансовый 2 3 2 4 2 4 3 2" xfId="17953" xr:uid="{00000000-0005-0000-0000-00007B460000}"/>
    <cellStyle name="Финансовый 2 3 2 4 2 4 3 2 2" xfId="41908" xr:uid="{00000000-0005-0000-0000-00007C460000}"/>
    <cellStyle name="Финансовый 2 3 2 4 2 4 3 3" xfId="29930" xr:uid="{00000000-0005-0000-0000-00007D460000}"/>
    <cellStyle name="Финансовый 2 3 2 4 2 4 4" xfId="8585" xr:uid="{00000000-0005-0000-0000-00007E460000}"/>
    <cellStyle name="Финансовый 2 3 2 4 2 4 4 2" xfId="20563" xr:uid="{00000000-0005-0000-0000-00007F460000}"/>
    <cellStyle name="Финансовый 2 3 2 4 2 4 4 2 2" xfId="44518" xr:uid="{00000000-0005-0000-0000-000080460000}"/>
    <cellStyle name="Финансовый 2 3 2 4 2 4 4 3" xfId="32540" xr:uid="{00000000-0005-0000-0000-000081460000}"/>
    <cellStyle name="Финансовый 2 3 2 4 2 4 5" xfId="10368" xr:uid="{00000000-0005-0000-0000-000082460000}"/>
    <cellStyle name="Финансовый 2 3 2 4 2 4 5 2" xfId="22346" xr:uid="{00000000-0005-0000-0000-000083460000}"/>
    <cellStyle name="Финансовый 2 3 2 4 2 4 5 2 2" xfId="46301" xr:uid="{00000000-0005-0000-0000-000084460000}"/>
    <cellStyle name="Финансовый 2 3 2 4 2 4 5 3" xfId="34323" xr:uid="{00000000-0005-0000-0000-000085460000}"/>
    <cellStyle name="Финансовый 2 3 2 4 2 4 6" xfId="14526" xr:uid="{00000000-0005-0000-0000-000086460000}"/>
    <cellStyle name="Финансовый 2 3 2 4 2 4 6 2" xfId="38481" xr:uid="{00000000-0005-0000-0000-000087460000}"/>
    <cellStyle name="Финансовый 2 3 2 4 2 4 7" xfId="26504" xr:uid="{00000000-0005-0000-0000-000088460000}"/>
    <cellStyle name="Финансовый 2 3 2 4 2 4 8" xfId="49637" xr:uid="{00000000-0005-0000-0000-000089460000}"/>
    <cellStyle name="Финансовый 2 3 2 4 2 5" xfId="1051" xr:uid="{00000000-0005-0000-0000-00008A460000}"/>
    <cellStyle name="Финансовый 2 3 2 4 2 5 2" xfId="7091" xr:uid="{00000000-0005-0000-0000-00008B460000}"/>
    <cellStyle name="Финансовый 2 3 2 4 2 5 2 2" xfId="19069" xr:uid="{00000000-0005-0000-0000-00008C460000}"/>
    <cellStyle name="Финансовый 2 3 2 4 2 5 2 2 2" xfId="43024" xr:uid="{00000000-0005-0000-0000-00008D460000}"/>
    <cellStyle name="Финансовый 2 3 2 4 2 5 2 3" xfId="31046" xr:uid="{00000000-0005-0000-0000-00008E460000}"/>
    <cellStyle name="Финансовый 2 3 2 4 2 5 3" xfId="10631" xr:uid="{00000000-0005-0000-0000-00008F460000}"/>
    <cellStyle name="Финансовый 2 3 2 4 2 5 3 2" xfId="22609" xr:uid="{00000000-0005-0000-0000-000090460000}"/>
    <cellStyle name="Финансовый 2 3 2 4 2 5 3 2 2" xfId="46564" xr:uid="{00000000-0005-0000-0000-000091460000}"/>
    <cellStyle name="Финансовый 2 3 2 4 2 5 3 3" xfId="34586" xr:uid="{00000000-0005-0000-0000-000092460000}"/>
    <cellStyle name="Финансовый 2 3 2 4 2 5 4" xfId="13032" xr:uid="{00000000-0005-0000-0000-000093460000}"/>
    <cellStyle name="Финансовый 2 3 2 4 2 5 4 2" xfId="36987" xr:uid="{00000000-0005-0000-0000-000094460000}"/>
    <cellStyle name="Финансовый 2 3 2 4 2 5 5" xfId="25010" xr:uid="{00000000-0005-0000-0000-000095460000}"/>
    <cellStyle name="Финансовый 2 3 2 4 2 5 6" xfId="49916" xr:uid="{00000000-0005-0000-0000-000096460000}"/>
    <cellStyle name="Финансовый 2 3 2 4 2 6" xfId="639" xr:uid="{00000000-0005-0000-0000-000097460000}"/>
    <cellStyle name="Финансовый 2 3 2 4 2 6 2" xfId="6679" xr:uid="{00000000-0005-0000-0000-000098460000}"/>
    <cellStyle name="Финансовый 2 3 2 4 2 6 2 2" xfId="18657" xr:uid="{00000000-0005-0000-0000-000099460000}"/>
    <cellStyle name="Финансовый 2 3 2 4 2 6 2 2 2" xfId="42612" xr:uid="{00000000-0005-0000-0000-00009A460000}"/>
    <cellStyle name="Финансовый 2 3 2 4 2 6 2 3" xfId="30634" xr:uid="{00000000-0005-0000-0000-00009B460000}"/>
    <cellStyle name="Финансовый 2 3 2 4 2 6 3" xfId="12620" xr:uid="{00000000-0005-0000-0000-00009C460000}"/>
    <cellStyle name="Финансовый 2 3 2 4 2 6 3 2" xfId="36575" xr:uid="{00000000-0005-0000-0000-00009D460000}"/>
    <cellStyle name="Финансовый 2 3 2 4 2 6 4" xfId="24598" xr:uid="{00000000-0005-0000-0000-00009E460000}"/>
    <cellStyle name="Финансовый 2 3 2 4 2 7" xfId="2828" xr:uid="{00000000-0005-0000-0000-00009F460000}"/>
    <cellStyle name="Финансовый 2 3 2 4 2 7 2" xfId="14807" xr:uid="{00000000-0005-0000-0000-0000A0460000}"/>
    <cellStyle name="Финансовый 2 3 2 4 2 7 2 2" xfId="38762" xr:uid="{00000000-0005-0000-0000-0000A1460000}"/>
    <cellStyle name="Финансовый 2 3 2 4 2 7 3" xfId="26785" xr:uid="{00000000-0005-0000-0000-0000A2460000}"/>
    <cellStyle name="Финансовый 2 3 2 4 2 8" xfId="4472" xr:uid="{00000000-0005-0000-0000-0000A3460000}"/>
    <cellStyle name="Финансовый 2 3 2 4 2 8 2" xfId="16451" xr:uid="{00000000-0005-0000-0000-0000A4460000}"/>
    <cellStyle name="Финансовый 2 3 2 4 2 8 2 2" xfId="40406" xr:uid="{00000000-0005-0000-0000-0000A5460000}"/>
    <cellStyle name="Финансовый 2 3 2 4 2 8 3" xfId="28429" xr:uid="{00000000-0005-0000-0000-0000A6460000}"/>
    <cellStyle name="Финансовый 2 3 2 4 2 9" xfId="6259" xr:uid="{00000000-0005-0000-0000-0000A7460000}"/>
    <cellStyle name="Финансовый 2 3 2 4 2 9 2" xfId="18237" xr:uid="{00000000-0005-0000-0000-0000A8460000}"/>
    <cellStyle name="Финансовый 2 3 2 4 2 9 2 2" xfId="42192" xr:uid="{00000000-0005-0000-0000-0000A9460000}"/>
    <cellStyle name="Финансовый 2 3 2 4 2 9 3" xfId="30214" xr:uid="{00000000-0005-0000-0000-0000AA460000}"/>
    <cellStyle name="Финансовый 2 3 2 4 3" xfId="367" xr:uid="{00000000-0005-0000-0000-0000AB460000}"/>
    <cellStyle name="Финансовый 2 3 2 4 3 10" xfId="24326" xr:uid="{00000000-0005-0000-0000-0000AC460000}"/>
    <cellStyle name="Финансовый 2 3 2 4 3 11" xfId="48272" xr:uid="{00000000-0005-0000-0000-0000AD460000}"/>
    <cellStyle name="Финансовый 2 3 2 4 3 2" xfId="2146" xr:uid="{00000000-0005-0000-0000-0000AE460000}"/>
    <cellStyle name="Финансовый 2 3 2 4 3 2 2" xfId="3791" xr:uid="{00000000-0005-0000-0000-0000AF460000}"/>
    <cellStyle name="Финансовый 2 3 2 4 3 2 2 2" xfId="11531" xr:uid="{00000000-0005-0000-0000-0000B0460000}"/>
    <cellStyle name="Финансовый 2 3 2 4 3 2 2 2 2" xfId="23509" xr:uid="{00000000-0005-0000-0000-0000B1460000}"/>
    <cellStyle name="Финансовый 2 3 2 4 3 2 2 2 2 2" xfId="47464" xr:uid="{00000000-0005-0000-0000-0000B2460000}"/>
    <cellStyle name="Финансовый 2 3 2 4 3 2 2 2 3" xfId="35486" xr:uid="{00000000-0005-0000-0000-0000B3460000}"/>
    <cellStyle name="Финансовый 2 3 2 4 3 2 2 3" xfId="15770" xr:uid="{00000000-0005-0000-0000-0000B4460000}"/>
    <cellStyle name="Финансовый 2 3 2 4 3 2 2 3 2" xfId="39725" xr:uid="{00000000-0005-0000-0000-0000B5460000}"/>
    <cellStyle name="Финансовый 2 3 2 4 3 2 2 4" xfId="27748" xr:uid="{00000000-0005-0000-0000-0000B6460000}"/>
    <cellStyle name="Финансовый 2 3 2 4 3 2 2 5" xfId="51017" xr:uid="{00000000-0005-0000-0000-0000B7460000}"/>
    <cellStyle name="Финансовый 2 3 2 4 3 2 3" xfId="5574" xr:uid="{00000000-0005-0000-0000-0000B8460000}"/>
    <cellStyle name="Финансовый 2 3 2 4 3 2 3 2" xfId="17552" xr:uid="{00000000-0005-0000-0000-0000B9460000}"/>
    <cellStyle name="Финансовый 2 3 2 4 3 2 3 2 2" xfId="41507" xr:uid="{00000000-0005-0000-0000-0000BA460000}"/>
    <cellStyle name="Финансовый 2 3 2 4 3 2 3 3" xfId="29529" xr:uid="{00000000-0005-0000-0000-0000BB460000}"/>
    <cellStyle name="Финансовый 2 3 2 4 3 2 4" xfId="8184" xr:uid="{00000000-0005-0000-0000-0000BC460000}"/>
    <cellStyle name="Финансовый 2 3 2 4 3 2 4 2" xfId="20162" xr:uid="{00000000-0005-0000-0000-0000BD460000}"/>
    <cellStyle name="Финансовый 2 3 2 4 3 2 4 2 2" xfId="44117" xr:uid="{00000000-0005-0000-0000-0000BE460000}"/>
    <cellStyle name="Финансовый 2 3 2 4 3 2 4 3" xfId="32139" xr:uid="{00000000-0005-0000-0000-0000BF460000}"/>
    <cellStyle name="Финансовый 2 3 2 4 3 2 5" xfId="9967" xr:uid="{00000000-0005-0000-0000-0000C0460000}"/>
    <cellStyle name="Финансовый 2 3 2 4 3 2 5 2" xfId="21945" xr:uid="{00000000-0005-0000-0000-0000C1460000}"/>
    <cellStyle name="Финансовый 2 3 2 4 3 2 5 2 2" xfId="45900" xr:uid="{00000000-0005-0000-0000-0000C2460000}"/>
    <cellStyle name="Финансовый 2 3 2 4 3 2 5 3" xfId="33922" xr:uid="{00000000-0005-0000-0000-0000C3460000}"/>
    <cellStyle name="Финансовый 2 3 2 4 3 2 6" xfId="14125" xr:uid="{00000000-0005-0000-0000-0000C4460000}"/>
    <cellStyle name="Финансовый 2 3 2 4 3 2 6 2" xfId="38080" xr:uid="{00000000-0005-0000-0000-0000C5460000}"/>
    <cellStyle name="Финансовый 2 3 2 4 3 2 7" xfId="26103" xr:uid="{00000000-0005-0000-0000-0000C6460000}"/>
    <cellStyle name="Финансовый 2 3 2 4 3 2 8" xfId="49236" xr:uid="{00000000-0005-0000-0000-0000C7460000}"/>
    <cellStyle name="Финансовый 2 3 2 4 3 3" xfId="1180" xr:uid="{00000000-0005-0000-0000-0000C8460000}"/>
    <cellStyle name="Финансовый 2 3 2 4 3 3 2" xfId="7220" xr:uid="{00000000-0005-0000-0000-0000C9460000}"/>
    <cellStyle name="Финансовый 2 3 2 4 3 3 2 2" xfId="19198" xr:uid="{00000000-0005-0000-0000-0000CA460000}"/>
    <cellStyle name="Финансовый 2 3 2 4 3 3 2 2 2" xfId="43153" xr:uid="{00000000-0005-0000-0000-0000CB460000}"/>
    <cellStyle name="Финансовый 2 3 2 4 3 3 2 3" xfId="31175" xr:uid="{00000000-0005-0000-0000-0000CC460000}"/>
    <cellStyle name="Финансовый 2 3 2 4 3 3 3" xfId="10759" xr:uid="{00000000-0005-0000-0000-0000CD460000}"/>
    <cellStyle name="Финансовый 2 3 2 4 3 3 3 2" xfId="22737" xr:uid="{00000000-0005-0000-0000-0000CE460000}"/>
    <cellStyle name="Финансовый 2 3 2 4 3 3 3 2 2" xfId="46692" xr:uid="{00000000-0005-0000-0000-0000CF460000}"/>
    <cellStyle name="Финансовый 2 3 2 4 3 3 3 3" xfId="34714" xr:uid="{00000000-0005-0000-0000-0000D0460000}"/>
    <cellStyle name="Финансовый 2 3 2 4 3 3 4" xfId="13161" xr:uid="{00000000-0005-0000-0000-0000D1460000}"/>
    <cellStyle name="Финансовый 2 3 2 4 3 3 4 2" xfId="37116" xr:uid="{00000000-0005-0000-0000-0000D2460000}"/>
    <cellStyle name="Финансовый 2 3 2 4 3 3 5" xfId="25139" xr:uid="{00000000-0005-0000-0000-0000D3460000}"/>
    <cellStyle name="Финансовый 2 3 2 4 3 3 6" xfId="50052" xr:uid="{00000000-0005-0000-0000-0000D4460000}"/>
    <cellStyle name="Финансовый 2 3 2 4 3 4" xfId="787" xr:uid="{00000000-0005-0000-0000-0000D5460000}"/>
    <cellStyle name="Финансовый 2 3 2 4 3 4 2" xfId="6827" xr:uid="{00000000-0005-0000-0000-0000D6460000}"/>
    <cellStyle name="Финансовый 2 3 2 4 3 4 2 2" xfId="18805" xr:uid="{00000000-0005-0000-0000-0000D7460000}"/>
    <cellStyle name="Финансовый 2 3 2 4 3 4 2 2 2" xfId="42760" xr:uid="{00000000-0005-0000-0000-0000D8460000}"/>
    <cellStyle name="Финансовый 2 3 2 4 3 4 2 3" xfId="30782" xr:uid="{00000000-0005-0000-0000-0000D9460000}"/>
    <cellStyle name="Финансовый 2 3 2 4 3 4 3" xfId="12768" xr:uid="{00000000-0005-0000-0000-0000DA460000}"/>
    <cellStyle name="Финансовый 2 3 2 4 3 4 3 2" xfId="36723" xr:uid="{00000000-0005-0000-0000-0000DB460000}"/>
    <cellStyle name="Финансовый 2 3 2 4 3 4 4" xfId="24746" xr:uid="{00000000-0005-0000-0000-0000DC460000}"/>
    <cellStyle name="Финансовый 2 3 2 4 3 5" xfId="2964" xr:uid="{00000000-0005-0000-0000-0000DD460000}"/>
    <cellStyle name="Финансовый 2 3 2 4 3 5 2" xfId="14943" xr:uid="{00000000-0005-0000-0000-0000DE460000}"/>
    <cellStyle name="Финансовый 2 3 2 4 3 5 2 2" xfId="38898" xr:uid="{00000000-0005-0000-0000-0000DF460000}"/>
    <cellStyle name="Финансовый 2 3 2 4 3 5 3" xfId="26921" xr:uid="{00000000-0005-0000-0000-0000E0460000}"/>
    <cellStyle name="Финансовый 2 3 2 4 3 6" xfId="4608" xr:uid="{00000000-0005-0000-0000-0000E1460000}"/>
    <cellStyle name="Финансовый 2 3 2 4 3 6 2" xfId="16587" xr:uid="{00000000-0005-0000-0000-0000E2460000}"/>
    <cellStyle name="Финансовый 2 3 2 4 3 6 2 2" xfId="40542" xr:uid="{00000000-0005-0000-0000-0000E3460000}"/>
    <cellStyle name="Финансовый 2 3 2 4 3 6 3" xfId="28565" xr:uid="{00000000-0005-0000-0000-0000E4460000}"/>
    <cellStyle name="Финансовый 2 3 2 4 3 7" xfId="6407" xr:uid="{00000000-0005-0000-0000-0000E5460000}"/>
    <cellStyle name="Финансовый 2 3 2 4 3 7 2" xfId="18385" xr:uid="{00000000-0005-0000-0000-0000E6460000}"/>
    <cellStyle name="Финансовый 2 3 2 4 3 7 2 2" xfId="42340" xr:uid="{00000000-0005-0000-0000-0000E7460000}"/>
    <cellStyle name="Финансовый 2 3 2 4 3 7 3" xfId="30362" xr:uid="{00000000-0005-0000-0000-0000E8460000}"/>
    <cellStyle name="Финансовый 2 3 2 4 3 8" xfId="9002" xr:uid="{00000000-0005-0000-0000-0000E9460000}"/>
    <cellStyle name="Финансовый 2 3 2 4 3 8 2" xfId="20980" xr:uid="{00000000-0005-0000-0000-0000EA460000}"/>
    <cellStyle name="Финансовый 2 3 2 4 3 8 2 2" xfId="44935" xr:uid="{00000000-0005-0000-0000-0000EB460000}"/>
    <cellStyle name="Финансовый 2 3 2 4 3 8 3" xfId="32957" xr:uid="{00000000-0005-0000-0000-0000EC460000}"/>
    <cellStyle name="Финансовый 2 3 2 4 3 9" xfId="12348" xr:uid="{00000000-0005-0000-0000-0000ED460000}"/>
    <cellStyle name="Финансовый 2 3 2 4 3 9 2" xfId="36303" xr:uid="{00000000-0005-0000-0000-0000EE460000}"/>
    <cellStyle name="Финансовый 2 3 2 4 4" xfId="1484" xr:uid="{00000000-0005-0000-0000-0000EF460000}"/>
    <cellStyle name="Финансовый 2 3 2 4 4 2" xfId="1890" xr:uid="{00000000-0005-0000-0000-0000F0460000}"/>
    <cellStyle name="Финансовый 2 3 2 4 4 2 2" xfId="3535" xr:uid="{00000000-0005-0000-0000-0000F1460000}"/>
    <cellStyle name="Финансовый 2 3 2 4 4 2 2 2" xfId="11275" xr:uid="{00000000-0005-0000-0000-0000F2460000}"/>
    <cellStyle name="Финансовый 2 3 2 4 4 2 2 2 2" xfId="23253" xr:uid="{00000000-0005-0000-0000-0000F3460000}"/>
    <cellStyle name="Финансовый 2 3 2 4 4 2 2 2 2 2" xfId="47208" xr:uid="{00000000-0005-0000-0000-0000F4460000}"/>
    <cellStyle name="Финансовый 2 3 2 4 4 2 2 2 3" xfId="35230" xr:uid="{00000000-0005-0000-0000-0000F5460000}"/>
    <cellStyle name="Финансовый 2 3 2 4 4 2 2 3" xfId="15514" xr:uid="{00000000-0005-0000-0000-0000F6460000}"/>
    <cellStyle name="Финансовый 2 3 2 4 4 2 2 3 2" xfId="39469" xr:uid="{00000000-0005-0000-0000-0000F7460000}"/>
    <cellStyle name="Финансовый 2 3 2 4 4 2 2 4" xfId="27492" xr:uid="{00000000-0005-0000-0000-0000F8460000}"/>
    <cellStyle name="Финансовый 2 3 2 4 4 2 2 5" xfId="50761" xr:uid="{00000000-0005-0000-0000-0000F9460000}"/>
    <cellStyle name="Финансовый 2 3 2 4 4 2 3" xfId="5318" xr:uid="{00000000-0005-0000-0000-0000FA460000}"/>
    <cellStyle name="Финансовый 2 3 2 4 4 2 3 2" xfId="17296" xr:uid="{00000000-0005-0000-0000-0000FB460000}"/>
    <cellStyle name="Финансовый 2 3 2 4 4 2 3 2 2" xfId="41251" xr:uid="{00000000-0005-0000-0000-0000FC460000}"/>
    <cellStyle name="Финансовый 2 3 2 4 4 2 3 3" xfId="29273" xr:uid="{00000000-0005-0000-0000-0000FD460000}"/>
    <cellStyle name="Финансовый 2 3 2 4 4 2 4" xfId="7928" xr:uid="{00000000-0005-0000-0000-0000FE460000}"/>
    <cellStyle name="Финансовый 2 3 2 4 4 2 4 2" xfId="19906" xr:uid="{00000000-0005-0000-0000-0000FF460000}"/>
    <cellStyle name="Финансовый 2 3 2 4 4 2 4 2 2" xfId="43861" xr:uid="{00000000-0005-0000-0000-000000470000}"/>
    <cellStyle name="Финансовый 2 3 2 4 4 2 4 3" xfId="31883" xr:uid="{00000000-0005-0000-0000-000001470000}"/>
    <cellStyle name="Финансовый 2 3 2 4 4 2 5" xfId="9711" xr:uid="{00000000-0005-0000-0000-000002470000}"/>
    <cellStyle name="Финансовый 2 3 2 4 4 2 5 2" xfId="21689" xr:uid="{00000000-0005-0000-0000-000003470000}"/>
    <cellStyle name="Финансовый 2 3 2 4 4 2 5 2 2" xfId="45644" xr:uid="{00000000-0005-0000-0000-000004470000}"/>
    <cellStyle name="Финансовый 2 3 2 4 4 2 5 3" xfId="33666" xr:uid="{00000000-0005-0000-0000-000005470000}"/>
    <cellStyle name="Финансовый 2 3 2 4 4 2 6" xfId="13869" xr:uid="{00000000-0005-0000-0000-000006470000}"/>
    <cellStyle name="Финансовый 2 3 2 4 4 2 6 2" xfId="37824" xr:uid="{00000000-0005-0000-0000-000007470000}"/>
    <cellStyle name="Финансовый 2 3 2 4 4 2 7" xfId="25847" xr:uid="{00000000-0005-0000-0000-000008470000}"/>
    <cellStyle name="Финансовый 2 3 2 4 4 2 8" xfId="48980" xr:uid="{00000000-0005-0000-0000-000009470000}"/>
    <cellStyle name="Финансовый 2 3 2 4 4 3" xfId="4912" xr:uid="{00000000-0005-0000-0000-00000A470000}"/>
    <cellStyle name="Финансовый 2 3 2 4 4 3 2" xfId="16890" xr:uid="{00000000-0005-0000-0000-00000B470000}"/>
    <cellStyle name="Финансовый 2 3 2 4 4 3 2 2" xfId="40845" xr:uid="{00000000-0005-0000-0000-00000C470000}"/>
    <cellStyle name="Финансовый 2 3 2 4 4 3 3" xfId="28867" xr:uid="{00000000-0005-0000-0000-00000D470000}"/>
    <cellStyle name="Финансовый 2 3 2 4 4 3 4" xfId="50355" xr:uid="{00000000-0005-0000-0000-00000E470000}"/>
    <cellStyle name="Финансовый 2 3 2 4 4 4" xfId="7522" xr:uid="{00000000-0005-0000-0000-00000F470000}"/>
    <cellStyle name="Финансовый 2 3 2 4 4 4 2" xfId="19500" xr:uid="{00000000-0005-0000-0000-000010470000}"/>
    <cellStyle name="Финансовый 2 3 2 4 4 4 2 2" xfId="43455" xr:uid="{00000000-0005-0000-0000-000011470000}"/>
    <cellStyle name="Финансовый 2 3 2 4 4 4 3" xfId="31477" xr:uid="{00000000-0005-0000-0000-000012470000}"/>
    <cellStyle name="Финансовый 2 3 2 4 4 5" xfId="9305" xr:uid="{00000000-0005-0000-0000-000013470000}"/>
    <cellStyle name="Финансовый 2 3 2 4 4 5 2" xfId="21283" xr:uid="{00000000-0005-0000-0000-000014470000}"/>
    <cellStyle name="Финансовый 2 3 2 4 4 5 2 2" xfId="45238" xr:uid="{00000000-0005-0000-0000-000015470000}"/>
    <cellStyle name="Финансовый 2 3 2 4 4 5 3" xfId="33260" xr:uid="{00000000-0005-0000-0000-000016470000}"/>
    <cellStyle name="Финансовый 2 3 2 4 4 6" xfId="13463" xr:uid="{00000000-0005-0000-0000-000017470000}"/>
    <cellStyle name="Финансовый 2 3 2 4 4 6 2" xfId="37418" xr:uid="{00000000-0005-0000-0000-000018470000}"/>
    <cellStyle name="Финансовый 2 3 2 4 4 7" xfId="25441" xr:uid="{00000000-0005-0000-0000-000019470000}"/>
    <cellStyle name="Финансовый 2 3 2 4 4 8" xfId="48574" xr:uid="{00000000-0005-0000-0000-00001A470000}"/>
    <cellStyle name="Финансовый 2 3 2 4 5" xfId="1766" xr:uid="{00000000-0005-0000-0000-00001B470000}"/>
    <cellStyle name="Финансовый 2 3 2 4 5 2" xfId="3411" xr:uid="{00000000-0005-0000-0000-00001C470000}"/>
    <cellStyle name="Финансовый 2 3 2 4 5 2 2" xfId="11159" xr:uid="{00000000-0005-0000-0000-00001D470000}"/>
    <cellStyle name="Финансовый 2 3 2 4 5 2 2 2" xfId="23137" xr:uid="{00000000-0005-0000-0000-00001E470000}"/>
    <cellStyle name="Финансовый 2 3 2 4 5 2 2 2 2" xfId="47092" xr:uid="{00000000-0005-0000-0000-00001F470000}"/>
    <cellStyle name="Финансовый 2 3 2 4 5 2 2 3" xfId="35114" xr:uid="{00000000-0005-0000-0000-000020470000}"/>
    <cellStyle name="Финансовый 2 3 2 4 5 2 3" xfId="15390" xr:uid="{00000000-0005-0000-0000-000021470000}"/>
    <cellStyle name="Финансовый 2 3 2 4 5 2 3 2" xfId="39345" xr:uid="{00000000-0005-0000-0000-000022470000}"/>
    <cellStyle name="Финансовый 2 3 2 4 5 2 4" xfId="27368" xr:uid="{00000000-0005-0000-0000-000023470000}"/>
    <cellStyle name="Финансовый 2 3 2 4 5 2 5" xfId="50637" xr:uid="{00000000-0005-0000-0000-000024470000}"/>
    <cellStyle name="Финансовый 2 3 2 4 5 3" xfId="5194" xr:uid="{00000000-0005-0000-0000-000025470000}"/>
    <cellStyle name="Финансовый 2 3 2 4 5 3 2" xfId="17172" xr:uid="{00000000-0005-0000-0000-000026470000}"/>
    <cellStyle name="Финансовый 2 3 2 4 5 3 2 2" xfId="41127" xr:uid="{00000000-0005-0000-0000-000027470000}"/>
    <cellStyle name="Финансовый 2 3 2 4 5 3 3" xfId="29149" xr:uid="{00000000-0005-0000-0000-000028470000}"/>
    <cellStyle name="Финансовый 2 3 2 4 5 4" xfId="7804" xr:uid="{00000000-0005-0000-0000-000029470000}"/>
    <cellStyle name="Финансовый 2 3 2 4 5 4 2" xfId="19782" xr:uid="{00000000-0005-0000-0000-00002A470000}"/>
    <cellStyle name="Финансовый 2 3 2 4 5 4 2 2" xfId="43737" xr:uid="{00000000-0005-0000-0000-00002B470000}"/>
    <cellStyle name="Финансовый 2 3 2 4 5 4 3" xfId="31759" xr:uid="{00000000-0005-0000-0000-00002C470000}"/>
    <cellStyle name="Финансовый 2 3 2 4 5 5" xfId="9587" xr:uid="{00000000-0005-0000-0000-00002D470000}"/>
    <cellStyle name="Финансовый 2 3 2 4 5 5 2" xfId="21565" xr:uid="{00000000-0005-0000-0000-00002E470000}"/>
    <cellStyle name="Финансовый 2 3 2 4 5 5 2 2" xfId="45520" xr:uid="{00000000-0005-0000-0000-00002F470000}"/>
    <cellStyle name="Финансовый 2 3 2 4 5 5 3" xfId="33542" xr:uid="{00000000-0005-0000-0000-000030470000}"/>
    <cellStyle name="Финансовый 2 3 2 4 5 6" xfId="13745" xr:uid="{00000000-0005-0000-0000-000031470000}"/>
    <cellStyle name="Финансовый 2 3 2 4 5 6 2" xfId="37700" xr:uid="{00000000-0005-0000-0000-000032470000}"/>
    <cellStyle name="Финансовый 2 3 2 4 5 7" xfId="25723" xr:uid="{00000000-0005-0000-0000-000033470000}"/>
    <cellStyle name="Финансовый 2 3 2 4 5 8" xfId="48856" xr:uid="{00000000-0005-0000-0000-000034470000}"/>
    <cellStyle name="Финансовый 2 3 2 4 6" xfId="2411" xr:uid="{00000000-0005-0000-0000-000035470000}"/>
    <cellStyle name="Финансовый 2 3 2 4 6 2" xfId="4056" xr:uid="{00000000-0005-0000-0000-000036470000}"/>
    <cellStyle name="Финансовый 2 3 2 4 6 2 2" xfId="11788" xr:uid="{00000000-0005-0000-0000-000037470000}"/>
    <cellStyle name="Финансовый 2 3 2 4 6 2 2 2" xfId="23766" xr:uid="{00000000-0005-0000-0000-000038470000}"/>
    <cellStyle name="Финансовый 2 3 2 4 6 2 2 2 2" xfId="47721" xr:uid="{00000000-0005-0000-0000-000039470000}"/>
    <cellStyle name="Финансовый 2 3 2 4 6 2 2 3" xfId="35743" xr:uid="{00000000-0005-0000-0000-00003A470000}"/>
    <cellStyle name="Финансовый 2 3 2 4 6 2 3" xfId="16035" xr:uid="{00000000-0005-0000-0000-00003B470000}"/>
    <cellStyle name="Финансовый 2 3 2 4 6 2 3 2" xfId="39990" xr:uid="{00000000-0005-0000-0000-00003C470000}"/>
    <cellStyle name="Финансовый 2 3 2 4 6 2 4" xfId="28013" xr:uid="{00000000-0005-0000-0000-00003D470000}"/>
    <cellStyle name="Финансовый 2 3 2 4 6 2 5" xfId="51282" xr:uid="{00000000-0005-0000-0000-00003E470000}"/>
    <cellStyle name="Финансовый 2 3 2 4 6 3" xfId="5839" xr:uid="{00000000-0005-0000-0000-00003F470000}"/>
    <cellStyle name="Финансовый 2 3 2 4 6 3 2" xfId="17817" xr:uid="{00000000-0005-0000-0000-000040470000}"/>
    <cellStyle name="Финансовый 2 3 2 4 6 3 2 2" xfId="41772" xr:uid="{00000000-0005-0000-0000-000041470000}"/>
    <cellStyle name="Финансовый 2 3 2 4 6 3 3" xfId="29794" xr:uid="{00000000-0005-0000-0000-000042470000}"/>
    <cellStyle name="Финансовый 2 3 2 4 6 4" xfId="8449" xr:uid="{00000000-0005-0000-0000-000043470000}"/>
    <cellStyle name="Финансовый 2 3 2 4 6 4 2" xfId="20427" xr:uid="{00000000-0005-0000-0000-000044470000}"/>
    <cellStyle name="Финансовый 2 3 2 4 6 4 2 2" xfId="44382" xr:uid="{00000000-0005-0000-0000-000045470000}"/>
    <cellStyle name="Финансовый 2 3 2 4 6 4 3" xfId="32404" xr:uid="{00000000-0005-0000-0000-000046470000}"/>
    <cellStyle name="Финансовый 2 3 2 4 6 5" xfId="10232" xr:uid="{00000000-0005-0000-0000-000047470000}"/>
    <cellStyle name="Финансовый 2 3 2 4 6 5 2" xfId="22210" xr:uid="{00000000-0005-0000-0000-000048470000}"/>
    <cellStyle name="Финансовый 2 3 2 4 6 5 2 2" xfId="46165" xr:uid="{00000000-0005-0000-0000-000049470000}"/>
    <cellStyle name="Финансовый 2 3 2 4 6 5 3" xfId="34187" xr:uid="{00000000-0005-0000-0000-00004A470000}"/>
    <cellStyle name="Финансовый 2 3 2 4 6 6" xfId="14390" xr:uid="{00000000-0005-0000-0000-00004B470000}"/>
    <cellStyle name="Финансовый 2 3 2 4 6 6 2" xfId="38345" xr:uid="{00000000-0005-0000-0000-00004C470000}"/>
    <cellStyle name="Финансовый 2 3 2 4 6 7" xfId="26368" xr:uid="{00000000-0005-0000-0000-00004D470000}"/>
    <cellStyle name="Финансовый 2 3 2 4 6 8" xfId="49501" xr:uid="{00000000-0005-0000-0000-00004E470000}"/>
    <cellStyle name="Финансовый 2 3 2 4 7" xfId="1638" xr:uid="{00000000-0005-0000-0000-00004F470000}"/>
    <cellStyle name="Финансовый 2 3 2 4 7 2" xfId="3283" xr:uid="{00000000-0005-0000-0000-000050470000}"/>
    <cellStyle name="Финансовый 2 3 2 4 7 2 2" xfId="11031" xr:uid="{00000000-0005-0000-0000-000051470000}"/>
    <cellStyle name="Финансовый 2 3 2 4 7 2 2 2" xfId="23009" xr:uid="{00000000-0005-0000-0000-000052470000}"/>
    <cellStyle name="Финансовый 2 3 2 4 7 2 2 2 2" xfId="46964" xr:uid="{00000000-0005-0000-0000-000053470000}"/>
    <cellStyle name="Финансовый 2 3 2 4 7 2 2 3" xfId="34986" xr:uid="{00000000-0005-0000-0000-000054470000}"/>
    <cellStyle name="Финансовый 2 3 2 4 7 2 3" xfId="15262" xr:uid="{00000000-0005-0000-0000-000055470000}"/>
    <cellStyle name="Финансовый 2 3 2 4 7 2 3 2" xfId="39217" xr:uid="{00000000-0005-0000-0000-000056470000}"/>
    <cellStyle name="Финансовый 2 3 2 4 7 2 4" xfId="27240" xr:uid="{00000000-0005-0000-0000-000057470000}"/>
    <cellStyle name="Финансовый 2 3 2 4 7 2 5" xfId="50509" xr:uid="{00000000-0005-0000-0000-000058470000}"/>
    <cellStyle name="Финансовый 2 3 2 4 7 3" xfId="5066" xr:uid="{00000000-0005-0000-0000-000059470000}"/>
    <cellStyle name="Финансовый 2 3 2 4 7 3 2" xfId="17044" xr:uid="{00000000-0005-0000-0000-00005A470000}"/>
    <cellStyle name="Финансовый 2 3 2 4 7 3 2 2" xfId="40999" xr:uid="{00000000-0005-0000-0000-00005B470000}"/>
    <cellStyle name="Финансовый 2 3 2 4 7 3 3" xfId="29021" xr:uid="{00000000-0005-0000-0000-00005C470000}"/>
    <cellStyle name="Финансовый 2 3 2 4 7 4" xfId="7676" xr:uid="{00000000-0005-0000-0000-00005D470000}"/>
    <cellStyle name="Финансовый 2 3 2 4 7 4 2" xfId="19654" xr:uid="{00000000-0005-0000-0000-00005E470000}"/>
    <cellStyle name="Финансовый 2 3 2 4 7 4 2 2" xfId="43609" xr:uid="{00000000-0005-0000-0000-00005F470000}"/>
    <cellStyle name="Финансовый 2 3 2 4 7 4 3" xfId="31631" xr:uid="{00000000-0005-0000-0000-000060470000}"/>
    <cellStyle name="Финансовый 2 3 2 4 7 5" xfId="9459" xr:uid="{00000000-0005-0000-0000-000061470000}"/>
    <cellStyle name="Финансовый 2 3 2 4 7 5 2" xfId="21437" xr:uid="{00000000-0005-0000-0000-000062470000}"/>
    <cellStyle name="Финансовый 2 3 2 4 7 5 2 2" xfId="45392" xr:uid="{00000000-0005-0000-0000-000063470000}"/>
    <cellStyle name="Финансовый 2 3 2 4 7 5 3" xfId="33414" xr:uid="{00000000-0005-0000-0000-000064470000}"/>
    <cellStyle name="Финансовый 2 3 2 4 7 6" xfId="13617" xr:uid="{00000000-0005-0000-0000-000065470000}"/>
    <cellStyle name="Финансовый 2 3 2 4 7 6 2" xfId="37572" xr:uid="{00000000-0005-0000-0000-000066470000}"/>
    <cellStyle name="Финансовый 2 3 2 4 7 7" xfId="25595" xr:uid="{00000000-0005-0000-0000-000067470000}"/>
    <cellStyle name="Финансовый 2 3 2 4 7 8" xfId="48728" xr:uid="{00000000-0005-0000-0000-000068470000}"/>
    <cellStyle name="Финансовый 2 3 2 4 8" xfId="915" xr:uid="{00000000-0005-0000-0000-000069470000}"/>
    <cellStyle name="Финансовый 2 3 2 4 8 2" xfId="6955" xr:uid="{00000000-0005-0000-0000-00006A470000}"/>
    <cellStyle name="Финансовый 2 3 2 4 8 2 2" xfId="18933" xr:uid="{00000000-0005-0000-0000-00006B470000}"/>
    <cellStyle name="Финансовый 2 3 2 4 8 2 2 2" xfId="42888" xr:uid="{00000000-0005-0000-0000-00006C470000}"/>
    <cellStyle name="Финансовый 2 3 2 4 8 2 3" xfId="30910" xr:uid="{00000000-0005-0000-0000-00006D470000}"/>
    <cellStyle name="Финансовый 2 3 2 4 8 3" xfId="10503" xr:uid="{00000000-0005-0000-0000-00006E470000}"/>
    <cellStyle name="Финансовый 2 3 2 4 8 3 2" xfId="22481" xr:uid="{00000000-0005-0000-0000-00006F470000}"/>
    <cellStyle name="Финансовый 2 3 2 4 8 3 2 2" xfId="46436" xr:uid="{00000000-0005-0000-0000-000070470000}"/>
    <cellStyle name="Финансовый 2 3 2 4 8 3 3" xfId="34458" xr:uid="{00000000-0005-0000-0000-000071470000}"/>
    <cellStyle name="Финансовый 2 3 2 4 8 4" xfId="12896" xr:uid="{00000000-0005-0000-0000-000072470000}"/>
    <cellStyle name="Финансовый 2 3 2 4 8 4 2" xfId="36851" xr:uid="{00000000-0005-0000-0000-000073470000}"/>
    <cellStyle name="Финансовый 2 3 2 4 8 5" xfId="24874" xr:uid="{00000000-0005-0000-0000-000074470000}"/>
    <cellStyle name="Финансовый 2 3 2 4 8 6" xfId="49780" xr:uid="{00000000-0005-0000-0000-000075470000}"/>
    <cellStyle name="Финансовый 2 3 2 4 9" xfId="503" xr:uid="{00000000-0005-0000-0000-000076470000}"/>
    <cellStyle name="Финансовый 2 3 2 4 9 2" xfId="6543" xr:uid="{00000000-0005-0000-0000-000077470000}"/>
    <cellStyle name="Финансовый 2 3 2 4 9 2 2" xfId="18521" xr:uid="{00000000-0005-0000-0000-000078470000}"/>
    <cellStyle name="Финансовый 2 3 2 4 9 2 2 2" xfId="42476" xr:uid="{00000000-0005-0000-0000-000079470000}"/>
    <cellStyle name="Финансовый 2 3 2 4 9 2 3" xfId="30498" xr:uid="{00000000-0005-0000-0000-00007A470000}"/>
    <cellStyle name="Финансовый 2 3 2 4 9 3" xfId="12484" xr:uid="{00000000-0005-0000-0000-00007B470000}"/>
    <cellStyle name="Финансовый 2 3 2 4 9 3 2" xfId="36439" xr:uid="{00000000-0005-0000-0000-00007C470000}"/>
    <cellStyle name="Финансовый 2 3 2 4 9 4" xfId="24462" xr:uid="{00000000-0005-0000-0000-00007D470000}"/>
    <cellStyle name="Финансовый 2 3 2 5" xfId="60" xr:uid="{00000000-0005-0000-0000-00007E470000}"/>
    <cellStyle name="Финансовый 2 3 2 5 10" xfId="2672" xr:uid="{00000000-0005-0000-0000-00007F470000}"/>
    <cellStyle name="Финансовый 2 3 2 5 10 2" xfId="14651" xr:uid="{00000000-0005-0000-0000-000080470000}"/>
    <cellStyle name="Финансовый 2 3 2 5 10 2 2" xfId="38606" xr:uid="{00000000-0005-0000-0000-000081470000}"/>
    <cellStyle name="Финансовый 2 3 2 5 10 3" xfId="26629" xr:uid="{00000000-0005-0000-0000-000082470000}"/>
    <cellStyle name="Финансовый 2 3 2 5 11" xfId="4315" xr:uid="{00000000-0005-0000-0000-000083470000}"/>
    <cellStyle name="Финансовый 2 3 2 5 11 2" xfId="16294" xr:uid="{00000000-0005-0000-0000-000084470000}"/>
    <cellStyle name="Финансовый 2 3 2 5 11 2 2" xfId="40249" xr:uid="{00000000-0005-0000-0000-000085470000}"/>
    <cellStyle name="Финансовый 2 3 2 5 11 3" xfId="28272" xr:uid="{00000000-0005-0000-0000-000086470000}"/>
    <cellStyle name="Финансовый 2 3 2 5 12" xfId="6103" xr:uid="{00000000-0005-0000-0000-000087470000}"/>
    <cellStyle name="Финансовый 2 3 2 5 12 2" xfId="18081" xr:uid="{00000000-0005-0000-0000-000088470000}"/>
    <cellStyle name="Финансовый 2 3 2 5 12 2 2" xfId="42036" xr:uid="{00000000-0005-0000-0000-000089470000}"/>
    <cellStyle name="Финансовый 2 3 2 5 12 3" xfId="30058" xr:uid="{00000000-0005-0000-0000-00008A470000}"/>
    <cellStyle name="Финансовый 2 3 2 5 13" xfId="8710" xr:uid="{00000000-0005-0000-0000-00008B470000}"/>
    <cellStyle name="Финансовый 2 3 2 5 13 2" xfId="20688" xr:uid="{00000000-0005-0000-0000-00008C470000}"/>
    <cellStyle name="Финансовый 2 3 2 5 13 2 2" xfId="44643" xr:uid="{00000000-0005-0000-0000-00008D470000}"/>
    <cellStyle name="Финансовый 2 3 2 5 13 3" xfId="32665" xr:uid="{00000000-0005-0000-0000-00008E470000}"/>
    <cellStyle name="Финансовый 2 3 2 5 14" xfId="12044" xr:uid="{00000000-0005-0000-0000-00008F470000}"/>
    <cellStyle name="Финансовый 2 3 2 5 14 2" xfId="35999" xr:uid="{00000000-0005-0000-0000-000090470000}"/>
    <cellStyle name="Финансовый 2 3 2 5 15" xfId="24022" xr:uid="{00000000-0005-0000-0000-000091470000}"/>
    <cellStyle name="Финансовый 2 3 2 5 16" xfId="47980" xr:uid="{00000000-0005-0000-0000-000092470000}"/>
    <cellStyle name="Финансовый 2 3 2 5 2" xfId="198" xr:uid="{00000000-0005-0000-0000-000093470000}"/>
    <cellStyle name="Финансовый 2 3 2 5 2 10" xfId="8846" xr:uid="{00000000-0005-0000-0000-000094470000}"/>
    <cellStyle name="Финансовый 2 3 2 5 2 10 2" xfId="20824" xr:uid="{00000000-0005-0000-0000-000095470000}"/>
    <cellStyle name="Финансовый 2 3 2 5 2 10 2 2" xfId="44779" xr:uid="{00000000-0005-0000-0000-000096470000}"/>
    <cellStyle name="Финансовый 2 3 2 5 2 10 3" xfId="32801" xr:uid="{00000000-0005-0000-0000-000097470000}"/>
    <cellStyle name="Финансовый 2 3 2 5 2 11" xfId="12180" xr:uid="{00000000-0005-0000-0000-000098470000}"/>
    <cellStyle name="Финансовый 2 3 2 5 2 11 2" xfId="36135" xr:uid="{00000000-0005-0000-0000-000099470000}"/>
    <cellStyle name="Финансовый 2 3 2 5 2 12" xfId="24158" xr:uid="{00000000-0005-0000-0000-00009A470000}"/>
    <cellStyle name="Финансовый 2 3 2 5 2 13" xfId="48116" xr:uid="{00000000-0005-0000-0000-00009B470000}"/>
    <cellStyle name="Финансовый 2 3 2 5 2 2" xfId="1296" xr:uid="{00000000-0005-0000-0000-00009C470000}"/>
    <cellStyle name="Финансовый 2 3 2 5 2 2 2" xfId="2262" xr:uid="{00000000-0005-0000-0000-00009D470000}"/>
    <cellStyle name="Финансовый 2 3 2 5 2 2 2 2" xfId="3907" xr:uid="{00000000-0005-0000-0000-00009E470000}"/>
    <cellStyle name="Финансовый 2 3 2 5 2 2 2 2 2" xfId="11647" xr:uid="{00000000-0005-0000-0000-00009F470000}"/>
    <cellStyle name="Финансовый 2 3 2 5 2 2 2 2 2 2" xfId="23625" xr:uid="{00000000-0005-0000-0000-0000A0470000}"/>
    <cellStyle name="Финансовый 2 3 2 5 2 2 2 2 2 2 2" xfId="47580" xr:uid="{00000000-0005-0000-0000-0000A1470000}"/>
    <cellStyle name="Финансовый 2 3 2 5 2 2 2 2 2 3" xfId="35602" xr:uid="{00000000-0005-0000-0000-0000A2470000}"/>
    <cellStyle name="Финансовый 2 3 2 5 2 2 2 2 3" xfId="15886" xr:uid="{00000000-0005-0000-0000-0000A3470000}"/>
    <cellStyle name="Финансовый 2 3 2 5 2 2 2 2 3 2" xfId="39841" xr:uid="{00000000-0005-0000-0000-0000A4470000}"/>
    <cellStyle name="Финансовый 2 3 2 5 2 2 2 2 4" xfId="27864" xr:uid="{00000000-0005-0000-0000-0000A5470000}"/>
    <cellStyle name="Финансовый 2 3 2 5 2 2 2 2 5" xfId="51133" xr:uid="{00000000-0005-0000-0000-0000A6470000}"/>
    <cellStyle name="Финансовый 2 3 2 5 2 2 2 3" xfId="5690" xr:uid="{00000000-0005-0000-0000-0000A7470000}"/>
    <cellStyle name="Финансовый 2 3 2 5 2 2 2 3 2" xfId="17668" xr:uid="{00000000-0005-0000-0000-0000A8470000}"/>
    <cellStyle name="Финансовый 2 3 2 5 2 2 2 3 2 2" xfId="41623" xr:uid="{00000000-0005-0000-0000-0000A9470000}"/>
    <cellStyle name="Финансовый 2 3 2 5 2 2 2 3 3" xfId="29645" xr:uid="{00000000-0005-0000-0000-0000AA470000}"/>
    <cellStyle name="Финансовый 2 3 2 5 2 2 2 4" xfId="8300" xr:uid="{00000000-0005-0000-0000-0000AB470000}"/>
    <cellStyle name="Финансовый 2 3 2 5 2 2 2 4 2" xfId="20278" xr:uid="{00000000-0005-0000-0000-0000AC470000}"/>
    <cellStyle name="Финансовый 2 3 2 5 2 2 2 4 2 2" xfId="44233" xr:uid="{00000000-0005-0000-0000-0000AD470000}"/>
    <cellStyle name="Финансовый 2 3 2 5 2 2 2 4 3" xfId="32255" xr:uid="{00000000-0005-0000-0000-0000AE470000}"/>
    <cellStyle name="Финансовый 2 3 2 5 2 2 2 5" xfId="10083" xr:uid="{00000000-0005-0000-0000-0000AF470000}"/>
    <cellStyle name="Финансовый 2 3 2 5 2 2 2 5 2" xfId="22061" xr:uid="{00000000-0005-0000-0000-0000B0470000}"/>
    <cellStyle name="Финансовый 2 3 2 5 2 2 2 5 2 2" xfId="46016" xr:uid="{00000000-0005-0000-0000-0000B1470000}"/>
    <cellStyle name="Финансовый 2 3 2 5 2 2 2 5 3" xfId="34038" xr:uid="{00000000-0005-0000-0000-0000B2470000}"/>
    <cellStyle name="Финансовый 2 3 2 5 2 2 2 6" xfId="14241" xr:uid="{00000000-0005-0000-0000-0000B3470000}"/>
    <cellStyle name="Финансовый 2 3 2 5 2 2 2 6 2" xfId="38196" xr:uid="{00000000-0005-0000-0000-0000B4470000}"/>
    <cellStyle name="Финансовый 2 3 2 5 2 2 2 7" xfId="26219" xr:uid="{00000000-0005-0000-0000-0000B5470000}"/>
    <cellStyle name="Финансовый 2 3 2 5 2 2 2 8" xfId="49352" xr:uid="{00000000-0005-0000-0000-0000B6470000}"/>
    <cellStyle name="Финансовый 2 3 2 5 2 2 3" xfId="3080" xr:uid="{00000000-0005-0000-0000-0000B7470000}"/>
    <cellStyle name="Финансовый 2 3 2 5 2 2 3 2" xfId="10875" xr:uid="{00000000-0005-0000-0000-0000B8470000}"/>
    <cellStyle name="Финансовый 2 3 2 5 2 2 3 2 2" xfId="22853" xr:uid="{00000000-0005-0000-0000-0000B9470000}"/>
    <cellStyle name="Финансовый 2 3 2 5 2 2 3 2 2 2" xfId="46808" xr:uid="{00000000-0005-0000-0000-0000BA470000}"/>
    <cellStyle name="Финансовый 2 3 2 5 2 2 3 2 3" xfId="34830" xr:uid="{00000000-0005-0000-0000-0000BB470000}"/>
    <cellStyle name="Финансовый 2 3 2 5 2 2 3 3" xfId="15059" xr:uid="{00000000-0005-0000-0000-0000BC470000}"/>
    <cellStyle name="Финансовый 2 3 2 5 2 2 3 3 2" xfId="39014" xr:uid="{00000000-0005-0000-0000-0000BD470000}"/>
    <cellStyle name="Финансовый 2 3 2 5 2 2 3 4" xfId="27037" xr:uid="{00000000-0005-0000-0000-0000BE470000}"/>
    <cellStyle name="Финансовый 2 3 2 5 2 2 3 5" xfId="50168" xr:uid="{00000000-0005-0000-0000-0000BF470000}"/>
    <cellStyle name="Финансовый 2 3 2 5 2 2 4" xfId="4724" xr:uid="{00000000-0005-0000-0000-0000C0470000}"/>
    <cellStyle name="Финансовый 2 3 2 5 2 2 4 2" xfId="16703" xr:uid="{00000000-0005-0000-0000-0000C1470000}"/>
    <cellStyle name="Финансовый 2 3 2 5 2 2 4 2 2" xfId="40658" xr:uid="{00000000-0005-0000-0000-0000C2470000}"/>
    <cellStyle name="Финансовый 2 3 2 5 2 2 4 3" xfId="28681" xr:uid="{00000000-0005-0000-0000-0000C3470000}"/>
    <cellStyle name="Финансовый 2 3 2 5 2 2 5" xfId="7336" xr:uid="{00000000-0005-0000-0000-0000C4470000}"/>
    <cellStyle name="Финансовый 2 3 2 5 2 2 5 2" xfId="19314" xr:uid="{00000000-0005-0000-0000-0000C5470000}"/>
    <cellStyle name="Финансовый 2 3 2 5 2 2 5 2 2" xfId="43269" xr:uid="{00000000-0005-0000-0000-0000C6470000}"/>
    <cellStyle name="Финансовый 2 3 2 5 2 2 5 3" xfId="31291" xr:uid="{00000000-0005-0000-0000-0000C7470000}"/>
    <cellStyle name="Финансовый 2 3 2 5 2 2 6" xfId="9118" xr:uid="{00000000-0005-0000-0000-0000C8470000}"/>
    <cellStyle name="Финансовый 2 3 2 5 2 2 6 2" xfId="21096" xr:uid="{00000000-0005-0000-0000-0000C9470000}"/>
    <cellStyle name="Финансовый 2 3 2 5 2 2 6 2 2" xfId="45051" xr:uid="{00000000-0005-0000-0000-0000CA470000}"/>
    <cellStyle name="Финансовый 2 3 2 5 2 2 6 3" xfId="33073" xr:uid="{00000000-0005-0000-0000-0000CB470000}"/>
    <cellStyle name="Финансовый 2 3 2 5 2 2 7" xfId="13277" xr:uid="{00000000-0005-0000-0000-0000CC470000}"/>
    <cellStyle name="Финансовый 2 3 2 5 2 2 7 2" xfId="37232" xr:uid="{00000000-0005-0000-0000-0000CD470000}"/>
    <cellStyle name="Финансовый 2 3 2 5 2 2 8" xfId="25255" xr:uid="{00000000-0005-0000-0000-0000CE470000}"/>
    <cellStyle name="Финансовый 2 3 2 5 2 2 9" xfId="48388" xr:uid="{00000000-0005-0000-0000-0000CF470000}"/>
    <cellStyle name="Финансовый 2 3 2 5 2 3" xfId="2006" xr:uid="{00000000-0005-0000-0000-0000D0470000}"/>
    <cellStyle name="Финансовый 2 3 2 5 2 3 2" xfId="3651" xr:uid="{00000000-0005-0000-0000-0000D1470000}"/>
    <cellStyle name="Финансовый 2 3 2 5 2 3 2 2" xfId="11391" xr:uid="{00000000-0005-0000-0000-0000D2470000}"/>
    <cellStyle name="Финансовый 2 3 2 5 2 3 2 2 2" xfId="23369" xr:uid="{00000000-0005-0000-0000-0000D3470000}"/>
    <cellStyle name="Финансовый 2 3 2 5 2 3 2 2 2 2" xfId="47324" xr:uid="{00000000-0005-0000-0000-0000D4470000}"/>
    <cellStyle name="Финансовый 2 3 2 5 2 3 2 2 3" xfId="35346" xr:uid="{00000000-0005-0000-0000-0000D5470000}"/>
    <cellStyle name="Финансовый 2 3 2 5 2 3 2 3" xfId="15630" xr:uid="{00000000-0005-0000-0000-0000D6470000}"/>
    <cellStyle name="Финансовый 2 3 2 5 2 3 2 3 2" xfId="39585" xr:uid="{00000000-0005-0000-0000-0000D7470000}"/>
    <cellStyle name="Финансовый 2 3 2 5 2 3 2 4" xfId="27608" xr:uid="{00000000-0005-0000-0000-0000D8470000}"/>
    <cellStyle name="Финансовый 2 3 2 5 2 3 2 5" xfId="50877" xr:uid="{00000000-0005-0000-0000-0000D9470000}"/>
    <cellStyle name="Финансовый 2 3 2 5 2 3 3" xfId="5434" xr:uid="{00000000-0005-0000-0000-0000DA470000}"/>
    <cellStyle name="Финансовый 2 3 2 5 2 3 3 2" xfId="17412" xr:uid="{00000000-0005-0000-0000-0000DB470000}"/>
    <cellStyle name="Финансовый 2 3 2 5 2 3 3 2 2" xfId="41367" xr:uid="{00000000-0005-0000-0000-0000DC470000}"/>
    <cellStyle name="Финансовый 2 3 2 5 2 3 3 3" xfId="29389" xr:uid="{00000000-0005-0000-0000-0000DD470000}"/>
    <cellStyle name="Финансовый 2 3 2 5 2 3 4" xfId="8044" xr:uid="{00000000-0005-0000-0000-0000DE470000}"/>
    <cellStyle name="Финансовый 2 3 2 5 2 3 4 2" xfId="20022" xr:uid="{00000000-0005-0000-0000-0000DF470000}"/>
    <cellStyle name="Финансовый 2 3 2 5 2 3 4 2 2" xfId="43977" xr:uid="{00000000-0005-0000-0000-0000E0470000}"/>
    <cellStyle name="Финансовый 2 3 2 5 2 3 4 3" xfId="31999" xr:uid="{00000000-0005-0000-0000-0000E1470000}"/>
    <cellStyle name="Финансовый 2 3 2 5 2 3 5" xfId="9827" xr:uid="{00000000-0005-0000-0000-0000E2470000}"/>
    <cellStyle name="Финансовый 2 3 2 5 2 3 5 2" xfId="21805" xr:uid="{00000000-0005-0000-0000-0000E3470000}"/>
    <cellStyle name="Финансовый 2 3 2 5 2 3 5 2 2" xfId="45760" xr:uid="{00000000-0005-0000-0000-0000E4470000}"/>
    <cellStyle name="Финансовый 2 3 2 5 2 3 5 3" xfId="33782" xr:uid="{00000000-0005-0000-0000-0000E5470000}"/>
    <cellStyle name="Финансовый 2 3 2 5 2 3 6" xfId="13985" xr:uid="{00000000-0005-0000-0000-0000E6470000}"/>
    <cellStyle name="Финансовый 2 3 2 5 2 3 6 2" xfId="37940" xr:uid="{00000000-0005-0000-0000-0000E7470000}"/>
    <cellStyle name="Финансовый 2 3 2 5 2 3 7" xfId="25963" xr:uid="{00000000-0005-0000-0000-0000E8470000}"/>
    <cellStyle name="Финансовый 2 3 2 5 2 3 8" xfId="49096" xr:uid="{00000000-0005-0000-0000-0000E9470000}"/>
    <cellStyle name="Финансовый 2 3 2 5 2 4" xfId="2527" xr:uid="{00000000-0005-0000-0000-0000EA470000}"/>
    <cellStyle name="Финансовый 2 3 2 5 2 4 2" xfId="4172" xr:uid="{00000000-0005-0000-0000-0000EB470000}"/>
    <cellStyle name="Финансовый 2 3 2 5 2 4 2 2" xfId="11904" xr:uid="{00000000-0005-0000-0000-0000EC470000}"/>
    <cellStyle name="Финансовый 2 3 2 5 2 4 2 2 2" xfId="23882" xr:uid="{00000000-0005-0000-0000-0000ED470000}"/>
    <cellStyle name="Финансовый 2 3 2 5 2 4 2 2 2 2" xfId="47837" xr:uid="{00000000-0005-0000-0000-0000EE470000}"/>
    <cellStyle name="Финансовый 2 3 2 5 2 4 2 2 3" xfId="35859" xr:uid="{00000000-0005-0000-0000-0000EF470000}"/>
    <cellStyle name="Финансовый 2 3 2 5 2 4 2 3" xfId="16151" xr:uid="{00000000-0005-0000-0000-0000F0470000}"/>
    <cellStyle name="Финансовый 2 3 2 5 2 4 2 3 2" xfId="40106" xr:uid="{00000000-0005-0000-0000-0000F1470000}"/>
    <cellStyle name="Финансовый 2 3 2 5 2 4 2 4" xfId="28129" xr:uid="{00000000-0005-0000-0000-0000F2470000}"/>
    <cellStyle name="Финансовый 2 3 2 5 2 4 2 5" xfId="51398" xr:uid="{00000000-0005-0000-0000-0000F3470000}"/>
    <cellStyle name="Финансовый 2 3 2 5 2 4 3" xfId="5955" xr:uid="{00000000-0005-0000-0000-0000F4470000}"/>
    <cellStyle name="Финансовый 2 3 2 5 2 4 3 2" xfId="17933" xr:uid="{00000000-0005-0000-0000-0000F5470000}"/>
    <cellStyle name="Финансовый 2 3 2 5 2 4 3 2 2" xfId="41888" xr:uid="{00000000-0005-0000-0000-0000F6470000}"/>
    <cellStyle name="Финансовый 2 3 2 5 2 4 3 3" xfId="29910" xr:uid="{00000000-0005-0000-0000-0000F7470000}"/>
    <cellStyle name="Финансовый 2 3 2 5 2 4 4" xfId="8565" xr:uid="{00000000-0005-0000-0000-0000F8470000}"/>
    <cellStyle name="Финансовый 2 3 2 5 2 4 4 2" xfId="20543" xr:uid="{00000000-0005-0000-0000-0000F9470000}"/>
    <cellStyle name="Финансовый 2 3 2 5 2 4 4 2 2" xfId="44498" xr:uid="{00000000-0005-0000-0000-0000FA470000}"/>
    <cellStyle name="Финансовый 2 3 2 5 2 4 4 3" xfId="32520" xr:uid="{00000000-0005-0000-0000-0000FB470000}"/>
    <cellStyle name="Финансовый 2 3 2 5 2 4 5" xfId="10348" xr:uid="{00000000-0005-0000-0000-0000FC470000}"/>
    <cellStyle name="Финансовый 2 3 2 5 2 4 5 2" xfId="22326" xr:uid="{00000000-0005-0000-0000-0000FD470000}"/>
    <cellStyle name="Финансовый 2 3 2 5 2 4 5 2 2" xfId="46281" xr:uid="{00000000-0005-0000-0000-0000FE470000}"/>
    <cellStyle name="Финансовый 2 3 2 5 2 4 5 3" xfId="34303" xr:uid="{00000000-0005-0000-0000-0000FF470000}"/>
    <cellStyle name="Финансовый 2 3 2 5 2 4 6" xfId="14506" xr:uid="{00000000-0005-0000-0000-000000480000}"/>
    <cellStyle name="Финансовый 2 3 2 5 2 4 6 2" xfId="38461" xr:uid="{00000000-0005-0000-0000-000001480000}"/>
    <cellStyle name="Финансовый 2 3 2 5 2 4 7" xfId="26484" xr:uid="{00000000-0005-0000-0000-000002480000}"/>
    <cellStyle name="Финансовый 2 3 2 5 2 4 8" xfId="49617" xr:uid="{00000000-0005-0000-0000-000003480000}"/>
    <cellStyle name="Финансовый 2 3 2 5 2 5" xfId="1031" xr:uid="{00000000-0005-0000-0000-000004480000}"/>
    <cellStyle name="Финансовый 2 3 2 5 2 5 2" xfId="7071" xr:uid="{00000000-0005-0000-0000-000005480000}"/>
    <cellStyle name="Финансовый 2 3 2 5 2 5 2 2" xfId="19049" xr:uid="{00000000-0005-0000-0000-000006480000}"/>
    <cellStyle name="Финансовый 2 3 2 5 2 5 2 2 2" xfId="43004" xr:uid="{00000000-0005-0000-0000-000007480000}"/>
    <cellStyle name="Финансовый 2 3 2 5 2 5 2 3" xfId="31026" xr:uid="{00000000-0005-0000-0000-000008480000}"/>
    <cellStyle name="Финансовый 2 3 2 5 2 5 3" xfId="10619" xr:uid="{00000000-0005-0000-0000-000009480000}"/>
    <cellStyle name="Финансовый 2 3 2 5 2 5 3 2" xfId="22597" xr:uid="{00000000-0005-0000-0000-00000A480000}"/>
    <cellStyle name="Финансовый 2 3 2 5 2 5 3 2 2" xfId="46552" xr:uid="{00000000-0005-0000-0000-00000B480000}"/>
    <cellStyle name="Финансовый 2 3 2 5 2 5 3 3" xfId="34574" xr:uid="{00000000-0005-0000-0000-00000C480000}"/>
    <cellStyle name="Финансовый 2 3 2 5 2 5 4" xfId="13012" xr:uid="{00000000-0005-0000-0000-00000D480000}"/>
    <cellStyle name="Финансовый 2 3 2 5 2 5 4 2" xfId="36967" xr:uid="{00000000-0005-0000-0000-00000E480000}"/>
    <cellStyle name="Финансовый 2 3 2 5 2 5 5" xfId="24990" xr:uid="{00000000-0005-0000-0000-00000F480000}"/>
    <cellStyle name="Финансовый 2 3 2 5 2 5 6" xfId="49896" xr:uid="{00000000-0005-0000-0000-000010480000}"/>
    <cellStyle name="Финансовый 2 3 2 5 2 6" xfId="619" xr:uid="{00000000-0005-0000-0000-000011480000}"/>
    <cellStyle name="Финансовый 2 3 2 5 2 6 2" xfId="6659" xr:uid="{00000000-0005-0000-0000-000012480000}"/>
    <cellStyle name="Финансовый 2 3 2 5 2 6 2 2" xfId="18637" xr:uid="{00000000-0005-0000-0000-000013480000}"/>
    <cellStyle name="Финансовый 2 3 2 5 2 6 2 2 2" xfId="42592" xr:uid="{00000000-0005-0000-0000-000014480000}"/>
    <cellStyle name="Финансовый 2 3 2 5 2 6 2 3" xfId="30614" xr:uid="{00000000-0005-0000-0000-000015480000}"/>
    <cellStyle name="Финансовый 2 3 2 5 2 6 3" xfId="12600" xr:uid="{00000000-0005-0000-0000-000016480000}"/>
    <cellStyle name="Финансовый 2 3 2 5 2 6 3 2" xfId="36555" xr:uid="{00000000-0005-0000-0000-000017480000}"/>
    <cellStyle name="Финансовый 2 3 2 5 2 6 4" xfId="24578" xr:uid="{00000000-0005-0000-0000-000018480000}"/>
    <cellStyle name="Финансовый 2 3 2 5 2 7" xfId="2808" xr:uid="{00000000-0005-0000-0000-000019480000}"/>
    <cellStyle name="Финансовый 2 3 2 5 2 7 2" xfId="14787" xr:uid="{00000000-0005-0000-0000-00001A480000}"/>
    <cellStyle name="Финансовый 2 3 2 5 2 7 2 2" xfId="38742" xr:uid="{00000000-0005-0000-0000-00001B480000}"/>
    <cellStyle name="Финансовый 2 3 2 5 2 7 3" xfId="26765" xr:uid="{00000000-0005-0000-0000-00001C480000}"/>
    <cellStyle name="Финансовый 2 3 2 5 2 8" xfId="4452" xr:uid="{00000000-0005-0000-0000-00001D480000}"/>
    <cellStyle name="Финансовый 2 3 2 5 2 8 2" xfId="16431" xr:uid="{00000000-0005-0000-0000-00001E480000}"/>
    <cellStyle name="Финансовый 2 3 2 5 2 8 2 2" xfId="40386" xr:uid="{00000000-0005-0000-0000-00001F480000}"/>
    <cellStyle name="Финансовый 2 3 2 5 2 8 3" xfId="28409" xr:uid="{00000000-0005-0000-0000-000020480000}"/>
    <cellStyle name="Финансовый 2 3 2 5 2 9" xfId="6239" xr:uid="{00000000-0005-0000-0000-000021480000}"/>
    <cellStyle name="Финансовый 2 3 2 5 2 9 2" xfId="18217" xr:uid="{00000000-0005-0000-0000-000022480000}"/>
    <cellStyle name="Финансовый 2 3 2 5 2 9 2 2" xfId="42172" xr:uid="{00000000-0005-0000-0000-000023480000}"/>
    <cellStyle name="Финансовый 2 3 2 5 2 9 3" xfId="30194" xr:uid="{00000000-0005-0000-0000-000024480000}"/>
    <cellStyle name="Финансовый 2 3 2 5 3" xfId="347" xr:uid="{00000000-0005-0000-0000-000025480000}"/>
    <cellStyle name="Финансовый 2 3 2 5 3 10" xfId="24306" xr:uid="{00000000-0005-0000-0000-000026480000}"/>
    <cellStyle name="Финансовый 2 3 2 5 3 11" xfId="48252" xr:uid="{00000000-0005-0000-0000-000027480000}"/>
    <cellStyle name="Финансовый 2 3 2 5 3 2" xfId="2134" xr:uid="{00000000-0005-0000-0000-000028480000}"/>
    <cellStyle name="Финансовый 2 3 2 5 3 2 2" xfId="3779" xr:uid="{00000000-0005-0000-0000-000029480000}"/>
    <cellStyle name="Финансовый 2 3 2 5 3 2 2 2" xfId="11519" xr:uid="{00000000-0005-0000-0000-00002A480000}"/>
    <cellStyle name="Финансовый 2 3 2 5 3 2 2 2 2" xfId="23497" xr:uid="{00000000-0005-0000-0000-00002B480000}"/>
    <cellStyle name="Финансовый 2 3 2 5 3 2 2 2 2 2" xfId="47452" xr:uid="{00000000-0005-0000-0000-00002C480000}"/>
    <cellStyle name="Финансовый 2 3 2 5 3 2 2 2 3" xfId="35474" xr:uid="{00000000-0005-0000-0000-00002D480000}"/>
    <cellStyle name="Финансовый 2 3 2 5 3 2 2 3" xfId="15758" xr:uid="{00000000-0005-0000-0000-00002E480000}"/>
    <cellStyle name="Финансовый 2 3 2 5 3 2 2 3 2" xfId="39713" xr:uid="{00000000-0005-0000-0000-00002F480000}"/>
    <cellStyle name="Финансовый 2 3 2 5 3 2 2 4" xfId="27736" xr:uid="{00000000-0005-0000-0000-000030480000}"/>
    <cellStyle name="Финансовый 2 3 2 5 3 2 2 5" xfId="51005" xr:uid="{00000000-0005-0000-0000-000031480000}"/>
    <cellStyle name="Финансовый 2 3 2 5 3 2 3" xfId="5562" xr:uid="{00000000-0005-0000-0000-000032480000}"/>
    <cellStyle name="Финансовый 2 3 2 5 3 2 3 2" xfId="17540" xr:uid="{00000000-0005-0000-0000-000033480000}"/>
    <cellStyle name="Финансовый 2 3 2 5 3 2 3 2 2" xfId="41495" xr:uid="{00000000-0005-0000-0000-000034480000}"/>
    <cellStyle name="Финансовый 2 3 2 5 3 2 3 3" xfId="29517" xr:uid="{00000000-0005-0000-0000-000035480000}"/>
    <cellStyle name="Финансовый 2 3 2 5 3 2 4" xfId="8172" xr:uid="{00000000-0005-0000-0000-000036480000}"/>
    <cellStyle name="Финансовый 2 3 2 5 3 2 4 2" xfId="20150" xr:uid="{00000000-0005-0000-0000-000037480000}"/>
    <cellStyle name="Финансовый 2 3 2 5 3 2 4 2 2" xfId="44105" xr:uid="{00000000-0005-0000-0000-000038480000}"/>
    <cellStyle name="Финансовый 2 3 2 5 3 2 4 3" xfId="32127" xr:uid="{00000000-0005-0000-0000-000039480000}"/>
    <cellStyle name="Финансовый 2 3 2 5 3 2 5" xfId="9955" xr:uid="{00000000-0005-0000-0000-00003A480000}"/>
    <cellStyle name="Финансовый 2 3 2 5 3 2 5 2" xfId="21933" xr:uid="{00000000-0005-0000-0000-00003B480000}"/>
    <cellStyle name="Финансовый 2 3 2 5 3 2 5 2 2" xfId="45888" xr:uid="{00000000-0005-0000-0000-00003C480000}"/>
    <cellStyle name="Финансовый 2 3 2 5 3 2 5 3" xfId="33910" xr:uid="{00000000-0005-0000-0000-00003D480000}"/>
    <cellStyle name="Финансовый 2 3 2 5 3 2 6" xfId="14113" xr:uid="{00000000-0005-0000-0000-00003E480000}"/>
    <cellStyle name="Финансовый 2 3 2 5 3 2 6 2" xfId="38068" xr:uid="{00000000-0005-0000-0000-00003F480000}"/>
    <cellStyle name="Финансовый 2 3 2 5 3 2 7" xfId="26091" xr:uid="{00000000-0005-0000-0000-000040480000}"/>
    <cellStyle name="Финансовый 2 3 2 5 3 2 8" xfId="49224" xr:uid="{00000000-0005-0000-0000-000041480000}"/>
    <cellStyle name="Финансовый 2 3 2 5 3 3" xfId="1167" xr:uid="{00000000-0005-0000-0000-000042480000}"/>
    <cellStyle name="Финансовый 2 3 2 5 3 3 2" xfId="7207" xr:uid="{00000000-0005-0000-0000-000043480000}"/>
    <cellStyle name="Финансовый 2 3 2 5 3 3 2 2" xfId="19185" xr:uid="{00000000-0005-0000-0000-000044480000}"/>
    <cellStyle name="Финансовый 2 3 2 5 3 3 2 2 2" xfId="43140" xr:uid="{00000000-0005-0000-0000-000045480000}"/>
    <cellStyle name="Финансовый 2 3 2 5 3 3 2 3" xfId="31162" xr:uid="{00000000-0005-0000-0000-000046480000}"/>
    <cellStyle name="Финансовый 2 3 2 5 3 3 3" xfId="10747" xr:uid="{00000000-0005-0000-0000-000047480000}"/>
    <cellStyle name="Финансовый 2 3 2 5 3 3 3 2" xfId="22725" xr:uid="{00000000-0005-0000-0000-000048480000}"/>
    <cellStyle name="Финансовый 2 3 2 5 3 3 3 2 2" xfId="46680" xr:uid="{00000000-0005-0000-0000-000049480000}"/>
    <cellStyle name="Финансовый 2 3 2 5 3 3 3 3" xfId="34702" xr:uid="{00000000-0005-0000-0000-00004A480000}"/>
    <cellStyle name="Финансовый 2 3 2 5 3 3 4" xfId="13148" xr:uid="{00000000-0005-0000-0000-00004B480000}"/>
    <cellStyle name="Финансовый 2 3 2 5 3 3 4 2" xfId="37103" xr:uid="{00000000-0005-0000-0000-00004C480000}"/>
    <cellStyle name="Финансовый 2 3 2 5 3 3 5" xfId="25126" xr:uid="{00000000-0005-0000-0000-00004D480000}"/>
    <cellStyle name="Финансовый 2 3 2 5 3 3 6" xfId="50032" xr:uid="{00000000-0005-0000-0000-00004E480000}"/>
    <cellStyle name="Финансовый 2 3 2 5 3 4" xfId="767" xr:uid="{00000000-0005-0000-0000-00004F480000}"/>
    <cellStyle name="Финансовый 2 3 2 5 3 4 2" xfId="6807" xr:uid="{00000000-0005-0000-0000-000050480000}"/>
    <cellStyle name="Финансовый 2 3 2 5 3 4 2 2" xfId="18785" xr:uid="{00000000-0005-0000-0000-000051480000}"/>
    <cellStyle name="Финансовый 2 3 2 5 3 4 2 2 2" xfId="42740" xr:uid="{00000000-0005-0000-0000-000052480000}"/>
    <cellStyle name="Финансовый 2 3 2 5 3 4 2 3" xfId="30762" xr:uid="{00000000-0005-0000-0000-000053480000}"/>
    <cellStyle name="Финансовый 2 3 2 5 3 4 3" xfId="12748" xr:uid="{00000000-0005-0000-0000-000054480000}"/>
    <cellStyle name="Финансовый 2 3 2 5 3 4 3 2" xfId="36703" xr:uid="{00000000-0005-0000-0000-000055480000}"/>
    <cellStyle name="Финансовый 2 3 2 5 3 4 4" xfId="24726" xr:uid="{00000000-0005-0000-0000-000056480000}"/>
    <cellStyle name="Финансовый 2 3 2 5 3 5" xfId="2944" xr:uid="{00000000-0005-0000-0000-000057480000}"/>
    <cellStyle name="Финансовый 2 3 2 5 3 5 2" xfId="14923" xr:uid="{00000000-0005-0000-0000-000058480000}"/>
    <cellStyle name="Финансовый 2 3 2 5 3 5 2 2" xfId="38878" xr:uid="{00000000-0005-0000-0000-000059480000}"/>
    <cellStyle name="Финансовый 2 3 2 5 3 5 3" xfId="26901" xr:uid="{00000000-0005-0000-0000-00005A480000}"/>
    <cellStyle name="Финансовый 2 3 2 5 3 6" xfId="4588" xr:uid="{00000000-0005-0000-0000-00005B480000}"/>
    <cellStyle name="Финансовый 2 3 2 5 3 6 2" xfId="16567" xr:uid="{00000000-0005-0000-0000-00005C480000}"/>
    <cellStyle name="Финансовый 2 3 2 5 3 6 2 2" xfId="40522" xr:uid="{00000000-0005-0000-0000-00005D480000}"/>
    <cellStyle name="Финансовый 2 3 2 5 3 6 3" xfId="28545" xr:uid="{00000000-0005-0000-0000-00005E480000}"/>
    <cellStyle name="Финансовый 2 3 2 5 3 7" xfId="6387" xr:uid="{00000000-0005-0000-0000-00005F480000}"/>
    <cellStyle name="Финансовый 2 3 2 5 3 7 2" xfId="18365" xr:uid="{00000000-0005-0000-0000-000060480000}"/>
    <cellStyle name="Финансовый 2 3 2 5 3 7 2 2" xfId="42320" xr:uid="{00000000-0005-0000-0000-000061480000}"/>
    <cellStyle name="Финансовый 2 3 2 5 3 7 3" xfId="30342" xr:uid="{00000000-0005-0000-0000-000062480000}"/>
    <cellStyle name="Финансовый 2 3 2 5 3 8" xfId="8982" xr:uid="{00000000-0005-0000-0000-000063480000}"/>
    <cellStyle name="Финансовый 2 3 2 5 3 8 2" xfId="20960" xr:uid="{00000000-0005-0000-0000-000064480000}"/>
    <cellStyle name="Финансовый 2 3 2 5 3 8 2 2" xfId="44915" xr:uid="{00000000-0005-0000-0000-000065480000}"/>
    <cellStyle name="Финансовый 2 3 2 5 3 8 3" xfId="32937" xr:uid="{00000000-0005-0000-0000-000066480000}"/>
    <cellStyle name="Финансовый 2 3 2 5 3 9" xfId="12328" xr:uid="{00000000-0005-0000-0000-000067480000}"/>
    <cellStyle name="Финансовый 2 3 2 5 3 9 2" xfId="36283" xr:uid="{00000000-0005-0000-0000-000068480000}"/>
    <cellStyle name="Финансовый 2 3 2 5 4" xfId="1485" xr:uid="{00000000-0005-0000-0000-000069480000}"/>
    <cellStyle name="Финансовый 2 3 2 5 4 2" xfId="1870" xr:uid="{00000000-0005-0000-0000-00006A480000}"/>
    <cellStyle name="Финансовый 2 3 2 5 4 2 2" xfId="3515" xr:uid="{00000000-0005-0000-0000-00006B480000}"/>
    <cellStyle name="Финансовый 2 3 2 5 4 2 2 2" xfId="11263" xr:uid="{00000000-0005-0000-0000-00006C480000}"/>
    <cellStyle name="Финансовый 2 3 2 5 4 2 2 2 2" xfId="23241" xr:uid="{00000000-0005-0000-0000-00006D480000}"/>
    <cellStyle name="Финансовый 2 3 2 5 4 2 2 2 2 2" xfId="47196" xr:uid="{00000000-0005-0000-0000-00006E480000}"/>
    <cellStyle name="Финансовый 2 3 2 5 4 2 2 2 3" xfId="35218" xr:uid="{00000000-0005-0000-0000-00006F480000}"/>
    <cellStyle name="Финансовый 2 3 2 5 4 2 2 3" xfId="15494" xr:uid="{00000000-0005-0000-0000-000070480000}"/>
    <cellStyle name="Финансовый 2 3 2 5 4 2 2 3 2" xfId="39449" xr:uid="{00000000-0005-0000-0000-000071480000}"/>
    <cellStyle name="Финансовый 2 3 2 5 4 2 2 4" xfId="27472" xr:uid="{00000000-0005-0000-0000-000072480000}"/>
    <cellStyle name="Финансовый 2 3 2 5 4 2 2 5" xfId="50741" xr:uid="{00000000-0005-0000-0000-000073480000}"/>
    <cellStyle name="Финансовый 2 3 2 5 4 2 3" xfId="5298" xr:uid="{00000000-0005-0000-0000-000074480000}"/>
    <cellStyle name="Финансовый 2 3 2 5 4 2 3 2" xfId="17276" xr:uid="{00000000-0005-0000-0000-000075480000}"/>
    <cellStyle name="Финансовый 2 3 2 5 4 2 3 2 2" xfId="41231" xr:uid="{00000000-0005-0000-0000-000076480000}"/>
    <cellStyle name="Финансовый 2 3 2 5 4 2 3 3" xfId="29253" xr:uid="{00000000-0005-0000-0000-000077480000}"/>
    <cellStyle name="Финансовый 2 3 2 5 4 2 4" xfId="7908" xr:uid="{00000000-0005-0000-0000-000078480000}"/>
    <cellStyle name="Финансовый 2 3 2 5 4 2 4 2" xfId="19886" xr:uid="{00000000-0005-0000-0000-000079480000}"/>
    <cellStyle name="Финансовый 2 3 2 5 4 2 4 2 2" xfId="43841" xr:uid="{00000000-0005-0000-0000-00007A480000}"/>
    <cellStyle name="Финансовый 2 3 2 5 4 2 4 3" xfId="31863" xr:uid="{00000000-0005-0000-0000-00007B480000}"/>
    <cellStyle name="Финансовый 2 3 2 5 4 2 5" xfId="9691" xr:uid="{00000000-0005-0000-0000-00007C480000}"/>
    <cellStyle name="Финансовый 2 3 2 5 4 2 5 2" xfId="21669" xr:uid="{00000000-0005-0000-0000-00007D480000}"/>
    <cellStyle name="Финансовый 2 3 2 5 4 2 5 2 2" xfId="45624" xr:uid="{00000000-0005-0000-0000-00007E480000}"/>
    <cellStyle name="Финансовый 2 3 2 5 4 2 5 3" xfId="33646" xr:uid="{00000000-0005-0000-0000-00007F480000}"/>
    <cellStyle name="Финансовый 2 3 2 5 4 2 6" xfId="13849" xr:uid="{00000000-0005-0000-0000-000080480000}"/>
    <cellStyle name="Финансовый 2 3 2 5 4 2 6 2" xfId="37804" xr:uid="{00000000-0005-0000-0000-000081480000}"/>
    <cellStyle name="Финансовый 2 3 2 5 4 2 7" xfId="25827" xr:uid="{00000000-0005-0000-0000-000082480000}"/>
    <cellStyle name="Финансовый 2 3 2 5 4 2 8" xfId="48960" xr:uid="{00000000-0005-0000-0000-000083480000}"/>
    <cellStyle name="Финансовый 2 3 2 5 4 3" xfId="4913" xr:uid="{00000000-0005-0000-0000-000084480000}"/>
    <cellStyle name="Финансовый 2 3 2 5 4 3 2" xfId="16891" xr:uid="{00000000-0005-0000-0000-000085480000}"/>
    <cellStyle name="Финансовый 2 3 2 5 4 3 2 2" xfId="40846" xr:uid="{00000000-0005-0000-0000-000086480000}"/>
    <cellStyle name="Финансовый 2 3 2 5 4 3 3" xfId="28868" xr:uid="{00000000-0005-0000-0000-000087480000}"/>
    <cellStyle name="Финансовый 2 3 2 5 4 3 4" xfId="50356" xr:uid="{00000000-0005-0000-0000-000088480000}"/>
    <cellStyle name="Финансовый 2 3 2 5 4 4" xfId="7523" xr:uid="{00000000-0005-0000-0000-000089480000}"/>
    <cellStyle name="Финансовый 2 3 2 5 4 4 2" xfId="19501" xr:uid="{00000000-0005-0000-0000-00008A480000}"/>
    <cellStyle name="Финансовый 2 3 2 5 4 4 2 2" xfId="43456" xr:uid="{00000000-0005-0000-0000-00008B480000}"/>
    <cellStyle name="Финансовый 2 3 2 5 4 4 3" xfId="31478" xr:uid="{00000000-0005-0000-0000-00008C480000}"/>
    <cellStyle name="Финансовый 2 3 2 5 4 5" xfId="9306" xr:uid="{00000000-0005-0000-0000-00008D480000}"/>
    <cellStyle name="Финансовый 2 3 2 5 4 5 2" xfId="21284" xr:uid="{00000000-0005-0000-0000-00008E480000}"/>
    <cellStyle name="Финансовый 2 3 2 5 4 5 2 2" xfId="45239" xr:uid="{00000000-0005-0000-0000-00008F480000}"/>
    <cellStyle name="Финансовый 2 3 2 5 4 5 3" xfId="33261" xr:uid="{00000000-0005-0000-0000-000090480000}"/>
    <cellStyle name="Финансовый 2 3 2 5 4 6" xfId="13464" xr:uid="{00000000-0005-0000-0000-000091480000}"/>
    <cellStyle name="Финансовый 2 3 2 5 4 6 2" xfId="37419" xr:uid="{00000000-0005-0000-0000-000092480000}"/>
    <cellStyle name="Финансовый 2 3 2 5 4 7" xfId="25442" xr:uid="{00000000-0005-0000-0000-000093480000}"/>
    <cellStyle name="Финансовый 2 3 2 5 4 8" xfId="48575" xr:uid="{00000000-0005-0000-0000-000094480000}"/>
    <cellStyle name="Финансовый 2 3 2 5 5" xfId="1754" xr:uid="{00000000-0005-0000-0000-000095480000}"/>
    <cellStyle name="Финансовый 2 3 2 5 5 2" xfId="3399" xr:uid="{00000000-0005-0000-0000-000096480000}"/>
    <cellStyle name="Финансовый 2 3 2 5 5 2 2" xfId="11147" xr:uid="{00000000-0005-0000-0000-000097480000}"/>
    <cellStyle name="Финансовый 2 3 2 5 5 2 2 2" xfId="23125" xr:uid="{00000000-0005-0000-0000-000098480000}"/>
    <cellStyle name="Финансовый 2 3 2 5 5 2 2 2 2" xfId="47080" xr:uid="{00000000-0005-0000-0000-000099480000}"/>
    <cellStyle name="Финансовый 2 3 2 5 5 2 2 3" xfId="35102" xr:uid="{00000000-0005-0000-0000-00009A480000}"/>
    <cellStyle name="Финансовый 2 3 2 5 5 2 3" xfId="15378" xr:uid="{00000000-0005-0000-0000-00009B480000}"/>
    <cellStyle name="Финансовый 2 3 2 5 5 2 3 2" xfId="39333" xr:uid="{00000000-0005-0000-0000-00009C480000}"/>
    <cellStyle name="Финансовый 2 3 2 5 5 2 4" xfId="27356" xr:uid="{00000000-0005-0000-0000-00009D480000}"/>
    <cellStyle name="Финансовый 2 3 2 5 5 2 5" xfId="50625" xr:uid="{00000000-0005-0000-0000-00009E480000}"/>
    <cellStyle name="Финансовый 2 3 2 5 5 3" xfId="5182" xr:uid="{00000000-0005-0000-0000-00009F480000}"/>
    <cellStyle name="Финансовый 2 3 2 5 5 3 2" xfId="17160" xr:uid="{00000000-0005-0000-0000-0000A0480000}"/>
    <cellStyle name="Финансовый 2 3 2 5 5 3 2 2" xfId="41115" xr:uid="{00000000-0005-0000-0000-0000A1480000}"/>
    <cellStyle name="Финансовый 2 3 2 5 5 3 3" xfId="29137" xr:uid="{00000000-0005-0000-0000-0000A2480000}"/>
    <cellStyle name="Финансовый 2 3 2 5 5 4" xfId="7792" xr:uid="{00000000-0005-0000-0000-0000A3480000}"/>
    <cellStyle name="Финансовый 2 3 2 5 5 4 2" xfId="19770" xr:uid="{00000000-0005-0000-0000-0000A4480000}"/>
    <cellStyle name="Финансовый 2 3 2 5 5 4 2 2" xfId="43725" xr:uid="{00000000-0005-0000-0000-0000A5480000}"/>
    <cellStyle name="Финансовый 2 3 2 5 5 4 3" xfId="31747" xr:uid="{00000000-0005-0000-0000-0000A6480000}"/>
    <cellStyle name="Финансовый 2 3 2 5 5 5" xfId="9575" xr:uid="{00000000-0005-0000-0000-0000A7480000}"/>
    <cellStyle name="Финансовый 2 3 2 5 5 5 2" xfId="21553" xr:uid="{00000000-0005-0000-0000-0000A8480000}"/>
    <cellStyle name="Финансовый 2 3 2 5 5 5 2 2" xfId="45508" xr:uid="{00000000-0005-0000-0000-0000A9480000}"/>
    <cellStyle name="Финансовый 2 3 2 5 5 5 3" xfId="33530" xr:uid="{00000000-0005-0000-0000-0000AA480000}"/>
    <cellStyle name="Финансовый 2 3 2 5 5 6" xfId="13733" xr:uid="{00000000-0005-0000-0000-0000AB480000}"/>
    <cellStyle name="Финансовый 2 3 2 5 5 6 2" xfId="37688" xr:uid="{00000000-0005-0000-0000-0000AC480000}"/>
    <cellStyle name="Финансовый 2 3 2 5 5 7" xfId="25711" xr:uid="{00000000-0005-0000-0000-0000AD480000}"/>
    <cellStyle name="Финансовый 2 3 2 5 5 8" xfId="48844" xr:uid="{00000000-0005-0000-0000-0000AE480000}"/>
    <cellStyle name="Финансовый 2 3 2 5 6" xfId="2390" xr:uid="{00000000-0005-0000-0000-0000AF480000}"/>
    <cellStyle name="Финансовый 2 3 2 5 6 2" xfId="4035" xr:uid="{00000000-0005-0000-0000-0000B0480000}"/>
    <cellStyle name="Финансовый 2 3 2 5 6 2 2" xfId="11775" xr:uid="{00000000-0005-0000-0000-0000B1480000}"/>
    <cellStyle name="Финансовый 2 3 2 5 6 2 2 2" xfId="23753" xr:uid="{00000000-0005-0000-0000-0000B2480000}"/>
    <cellStyle name="Финансовый 2 3 2 5 6 2 2 2 2" xfId="47708" xr:uid="{00000000-0005-0000-0000-0000B3480000}"/>
    <cellStyle name="Финансовый 2 3 2 5 6 2 2 3" xfId="35730" xr:uid="{00000000-0005-0000-0000-0000B4480000}"/>
    <cellStyle name="Финансовый 2 3 2 5 6 2 3" xfId="16014" xr:uid="{00000000-0005-0000-0000-0000B5480000}"/>
    <cellStyle name="Финансовый 2 3 2 5 6 2 3 2" xfId="39969" xr:uid="{00000000-0005-0000-0000-0000B6480000}"/>
    <cellStyle name="Финансовый 2 3 2 5 6 2 4" xfId="27992" xr:uid="{00000000-0005-0000-0000-0000B7480000}"/>
    <cellStyle name="Финансовый 2 3 2 5 6 2 5" xfId="51261" xr:uid="{00000000-0005-0000-0000-0000B8480000}"/>
    <cellStyle name="Финансовый 2 3 2 5 6 3" xfId="5818" xr:uid="{00000000-0005-0000-0000-0000B9480000}"/>
    <cellStyle name="Финансовый 2 3 2 5 6 3 2" xfId="17796" xr:uid="{00000000-0005-0000-0000-0000BA480000}"/>
    <cellStyle name="Финансовый 2 3 2 5 6 3 2 2" xfId="41751" xr:uid="{00000000-0005-0000-0000-0000BB480000}"/>
    <cellStyle name="Финансовый 2 3 2 5 6 3 3" xfId="29773" xr:uid="{00000000-0005-0000-0000-0000BC480000}"/>
    <cellStyle name="Финансовый 2 3 2 5 6 4" xfId="8428" xr:uid="{00000000-0005-0000-0000-0000BD480000}"/>
    <cellStyle name="Финансовый 2 3 2 5 6 4 2" xfId="20406" xr:uid="{00000000-0005-0000-0000-0000BE480000}"/>
    <cellStyle name="Финансовый 2 3 2 5 6 4 2 2" xfId="44361" xr:uid="{00000000-0005-0000-0000-0000BF480000}"/>
    <cellStyle name="Финансовый 2 3 2 5 6 4 3" xfId="32383" xr:uid="{00000000-0005-0000-0000-0000C0480000}"/>
    <cellStyle name="Финансовый 2 3 2 5 6 5" xfId="10211" xr:uid="{00000000-0005-0000-0000-0000C1480000}"/>
    <cellStyle name="Финансовый 2 3 2 5 6 5 2" xfId="22189" xr:uid="{00000000-0005-0000-0000-0000C2480000}"/>
    <cellStyle name="Финансовый 2 3 2 5 6 5 2 2" xfId="46144" xr:uid="{00000000-0005-0000-0000-0000C3480000}"/>
    <cellStyle name="Финансовый 2 3 2 5 6 5 3" xfId="34166" xr:uid="{00000000-0005-0000-0000-0000C4480000}"/>
    <cellStyle name="Финансовый 2 3 2 5 6 6" xfId="14369" xr:uid="{00000000-0005-0000-0000-0000C5480000}"/>
    <cellStyle name="Финансовый 2 3 2 5 6 6 2" xfId="38324" xr:uid="{00000000-0005-0000-0000-0000C6480000}"/>
    <cellStyle name="Финансовый 2 3 2 5 6 7" xfId="26347" xr:uid="{00000000-0005-0000-0000-0000C7480000}"/>
    <cellStyle name="Финансовый 2 3 2 5 6 8" xfId="49480" xr:uid="{00000000-0005-0000-0000-0000C8480000}"/>
    <cellStyle name="Финансовый 2 3 2 5 7" xfId="1617" xr:uid="{00000000-0005-0000-0000-0000C9480000}"/>
    <cellStyle name="Финансовый 2 3 2 5 7 2" xfId="3262" xr:uid="{00000000-0005-0000-0000-0000CA480000}"/>
    <cellStyle name="Финансовый 2 3 2 5 7 2 2" xfId="11018" xr:uid="{00000000-0005-0000-0000-0000CB480000}"/>
    <cellStyle name="Финансовый 2 3 2 5 7 2 2 2" xfId="22996" xr:uid="{00000000-0005-0000-0000-0000CC480000}"/>
    <cellStyle name="Финансовый 2 3 2 5 7 2 2 2 2" xfId="46951" xr:uid="{00000000-0005-0000-0000-0000CD480000}"/>
    <cellStyle name="Финансовый 2 3 2 5 7 2 2 3" xfId="34973" xr:uid="{00000000-0005-0000-0000-0000CE480000}"/>
    <cellStyle name="Финансовый 2 3 2 5 7 2 3" xfId="15241" xr:uid="{00000000-0005-0000-0000-0000CF480000}"/>
    <cellStyle name="Финансовый 2 3 2 5 7 2 3 2" xfId="39196" xr:uid="{00000000-0005-0000-0000-0000D0480000}"/>
    <cellStyle name="Финансовый 2 3 2 5 7 2 4" xfId="27219" xr:uid="{00000000-0005-0000-0000-0000D1480000}"/>
    <cellStyle name="Финансовый 2 3 2 5 7 2 5" xfId="50488" xr:uid="{00000000-0005-0000-0000-0000D2480000}"/>
    <cellStyle name="Финансовый 2 3 2 5 7 3" xfId="5045" xr:uid="{00000000-0005-0000-0000-0000D3480000}"/>
    <cellStyle name="Финансовый 2 3 2 5 7 3 2" xfId="17023" xr:uid="{00000000-0005-0000-0000-0000D4480000}"/>
    <cellStyle name="Финансовый 2 3 2 5 7 3 2 2" xfId="40978" xr:uid="{00000000-0005-0000-0000-0000D5480000}"/>
    <cellStyle name="Финансовый 2 3 2 5 7 3 3" xfId="29000" xr:uid="{00000000-0005-0000-0000-0000D6480000}"/>
    <cellStyle name="Финансовый 2 3 2 5 7 4" xfId="7655" xr:uid="{00000000-0005-0000-0000-0000D7480000}"/>
    <cellStyle name="Финансовый 2 3 2 5 7 4 2" xfId="19633" xr:uid="{00000000-0005-0000-0000-0000D8480000}"/>
    <cellStyle name="Финансовый 2 3 2 5 7 4 2 2" xfId="43588" xr:uid="{00000000-0005-0000-0000-0000D9480000}"/>
    <cellStyle name="Финансовый 2 3 2 5 7 4 3" xfId="31610" xr:uid="{00000000-0005-0000-0000-0000DA480000}"/>
    <cellStyle name="Финансовый 2 3 2 5 7 5" xfId="9438" xr:uid="{00000000-0005-0000-0000-0000DB480000}"/>
    <cellStyle name="Финансовый 2 3 2 5 7 5 2" xfId="21416" xr:uid="{00000000-0005-0000-0000-0000DC480000}"/>
    <cellStyle name="Финансовый 2 3 2 5 7 5 2 2" xfId="45371" xr:uid="{00000000-0005-0000-0000-0000DD480000}"/>
    <cellStyle name="Финансовый 2 3 2 5 7 5 3" xfId="33393" xr:uid="{00000000-0005-0000-0000-0000DE480000}"/>
    <cellStyle name="Финансовый 2 3 2 5 7 6" xfId="13596" xr:uid="{00000000-0005-0000-0000-0000DF480000}"/>
    <cellStyle name="Финансовый 2 3 2 5 7 6 2" xfId="37551" xr:uid="{00000000-0005-0000-0000-0000E0480000}"/>
    <cellStyle name="Финансовый 2 3 2 5 7 7" xfId="25574" xr:uid="{00000000-0005-0000-0000-0000E1480000}"/>
    <cellStyle name="Финансовый 2 3 2 5 7 8" xfId="48707" xr:uid="{00000000-0005-0000-0000-0000E2480000}"/>
    <cellStyle name="Финансовый 2 3 2 5 8" xfId="903" xr:uid="{00000000-0005-0000-0000-0000E3480000}"/>
    <cellStyle name="Финансовый 2 3 2 5 8 2" xfId="6943" xr:uid="{00000000-0005-0000-0000-0000E4480000}"/>
    <cellStyle name="Финансовый 2 3 2 5 8 2 2" xfId="18921" xr:uid="{00000000-0005-0000-0000-0000E5480000}"/>
    <cellStyle name="Финансовый 2 3 2 5 8 2 2 2" xfId="42876" xr:uid="{00000000-0005-0000-0000-0000E6480000}"/>
    <cellStyle name="Финансовый 2 3 2 5 8 2 3" xfId="30898" xr:uid="{00000000-0005-0000-0000-0000E7480000}"/>
    <cellStyle name="Финансовый 2 3 2 5 8 3" xfId="10491" xr:uid="{00000000-0005-0000-0000-0000E8480000}"/>
    <cellStyle name="Финансовый 2 3 2 5 8 3 2" xfId="22469" xr:uid="{00000000-0005-0000-0000-0000E9480000}"/>
    <cellStyle name="Финансовый 2 3 2 5 8 3 2 2" xfId="46424" xr:uid="{00000000-0005-0000-0000-0000EA480000}"/>
    <cellStyle name="Финансовый 2 3 2 5 8 3 3" xfId="34446" xr:uid="{00000000-0005-0000-0000-0000EB480000}"/>
    <cellStyle name="Финансовый 2 3 2 5 8 4" xfId="12884" xr:uid="{00000000-0005-0000-0000-0000EC480000}"/>
    <cellStyle name="Финансовый 2 3 2 5 8 4 2" xfId="36839" xr:uid="{00000000-0005-0000-0000-0000ED480000}"/>
    <cellStyle name="Финансовый 2 3 2 5 8 5" xfId="24862" xr:uid="{00000000-0005-0000-0000-0000EE480000}"/>
    <cellStyle name="Финансовый 2 3 2 5 8 6" xfId="49760" xr:uid="{00000000-0005-0000-0000-0000EF480000}"/>
    <cellStyle name="Финансовый 2 3 2 5 9" xfId="483" xr:uid="{00000000-0005-0000-0000-0000F0480000}"/>
    <cellStyle name="Финансовый 2 3 2 5 9 2" xfId="6523" xr:uid="{00000000-0005-0000-0000-0000F1480000}"/>
    <cellStyle name="Финансовый 2 3 2 5 9 2 2" xfId="18501" xr:uid="{00000000-0005-0000-0000-0000F2480000}"/>
    <cellStyle name="Финансовый 2 3 2 5 9 2 2 2" xfId="42456" xr:uid="{00000000-0005-0000-0000-0000F3480000}"/>
    <cellStyle name="Финансовый 2 3 2 5 9 2 3" xfId="30478" xr:uid="{00000000-0005-0000-0000-0000F4480000}"/>
    <cellStyle name="Финансовый 2 3 2 5 9 3" xfId="12464" xr:uid="{00000000-0005-0000-0000-0000F5480000}"/>
    <cellStyle name="Финансовый 2 3 2 5 9 3 2" xfId="36419" xr:uid="{00000000-0005-0000-0000-0000F6480000}"/>
    <cellStyle name="Финансовый 2 3 2 5 9 4" xfId="24442" xr:uid="{00000000-0005-0000-0000-0000F7480000}"/>
    <cellStyle name="Финансовый 2 3 2 6" xfId="138" xr:uid="{00000000-0005-0000-0000-0000F8480000}"/>
    <cellStyle name="Финансовый 2 3 2 6 10" xfId="2748" xr:uid="{00000000-0005-0000-0000-0000F9480000}"/>
    <cellStyle name="Финансовый 2 3 2 6 10 2" xfId="14727" xr:uid="{00000000-0005-0000-0000-0000FA480000}"/>
    <cellStyle name="Финансовый 2 3 2 6 10 2 2" xfId="38682" xr:uid="{00000000-0005-0000-0000-0000FB480000}"/>
    <cellStyle name="Финансовый 2 3 2 6 10 3" xfId="26705" xr:uid="{00000000-0005-0000-0000-0000FC480000}"/>
    <cellStyle name="Финансовый 2 3 2 6 11" xfId="4392" xr:uid="{00000000-0005-0000-0000-0000FD480000}"/>
    <cellStyle name="Финансовый 2 3 2 6 11 2" xfId="16371" xr:uid="{00000000-0005-0000-0000-0000FE480000}"/>
    <cellStyle name="Финансовый 2 3 2 6 11 2 2" xfId="40326" xr:uid="{00000000-0005-0000-0000-0000FF480000}"/>
    <cellStyle name="Финансовый 2 3 2 6 11 3" xfId="28349" xr:uid="{00000000-0005-0000-0000-000000490000}"/>
    <cellStyle name="Финансовый 2 3 2 6 12" xfId="6179" xr:uid="{00000000-0005-0000-0000-000001490000}"/>
    <cellStyle name="Финансовый 2 3 2 6 12 2" xfId="18157" xr:uid="{00000000-0005-0000-0000-000002490000}"/>
    <cellStyle name="Финансовый 2 3 2 6 12 2 2" xfId="42112" xr:uid="{00000000-0005-0000-0000-000003490000}"/>
    <cellStyle name="Финансовый 2 3 2 6 12 3" xfId="30134" xr:uid="{00000000-0005-0000-0000-000004490000}"/>
    <cellStyle name="Финансовый 2 3 2 6 13" xfId="8786" xr:uid="{00000000-0005-0000-0000-000005490000}"/>
    <cellStyle name="Финансовый 2 3 2 6 13 2" xfId="20764" xr:uid="{00000000-0005-0000-0000-000006490000}"/>
    <cellStyle name="Финансовый 2 3 2 6 13 2 2" xfId="44719" xr:uid="{00000000-0005-0000-0000-000007490000}"/>
    <cellStyle name="Финансовый 2 3 2 6 13 3" xfId="32741" xr:uid="{00000000-0005-0000-0000-000008490000}"/>
    <cellStyle name="Финансовый 2 3 2 6 14" xfId="12120" xr:uid="{00000000-0005-0000-0000-000009490000}"/>
    <cellStyle name="Финансовый 2 3 2 6 14 2" xfId="36075" xr:uid="{00000000-0005-0000-0000-00000A490000}"/>
    <cellStyle name="Финансовый 2 3 2 6 15" xfId="24098" xr:uid="{00000000-0005-0000-0000-00000B490000}"/>
    <cellStyle name="Финансовый 2 3 2 6 16" xfId="48056" xr:uid="{00000000-0005-0000-0000-00000C490000}"/>
    <cellStyle name="Финансовый 2 3 2 6 2" xfId="274" xr:uid="{00000000-0005-0000-0000-00000D490000}"/>
    <cellStyle name="Финансовый 2 3 2 6 2 10" xfId="8922" xr:uid="{00000000-0005-0000-0000-00000E490000}"/>
    <cellStyle name="Финансовый 2 3 2 6 2 10 2" xfId="20900" xr:uid="{00000000-0005-0000-0000-00000F490000}"/>
    <cellStyle name="Финансовый 2 3 2 6 2 10 2 2" xfId="44855" xr:uid="{00000000-0005-0000-0000-000010490000}"/>
    <cellStyle name="Финансовый 2 3 2 6 2 10 3" xfId="32877" xr:uid="{00000000-0005-0000-0000-000011490000}"/>
    <cellStyle name="Финансовый 2 3 2 6 2 11" xfId="12256" xr:uid="{00000000-0005-0000-0000-000012490000}"/>
    <cellStyle name="Финансовый 2 3 2 6 2 11 2" xfId="36211" xr:uid="{00000000-0005-0000-0000-000013490000}"/>
    <cellStyle name="Финансовый 2 3 2 6 2 12" xfId="24234" xr:uid="{00000000-0005-0000-0000-000014490000}"/>
    <cellStyle name="Финансовый 2 3 2 6 2 13" xfId="48192" xr:uid="{00000000-0005-0000-0000-000015490000}"/>
    <cellStyle name="Финансовый 2 3 2 6 2 2" xfId="1372" xr:uid="{00000000-0005-0000-0000-000016490000}"/>
    <cellStyle name="Финансовый 2 3 2 6 2 2 2" xfId="2330" xr:uid="{00000000-0005-0000-0000-000017490000}"/>
    <cellStyle name="Финансовый 2 3 2 6 2 2 2 2" xfId="3975" xr:uid="{00000000-0005-0000-0000-000018490000}"/>
    <cellStyle name="Финансовый 2 3 2 6 2 2 2 2 2" xfId="11715" xr:uid="{00000000-0005-0000-0000-000019490000}"/>
    <cellStyle name="Финансовый 2 3 2 6 2 2 2 2 2 2" xfId="23693" xr:uid="{00000000-0005-0000-0000-00001A490000}"/>
    <cellStyle name="Финансовый 2 3 2 6 2 2 2 2 2 2 2" xfId="47648" xr:uid="{00000000-0005-0000-0000-00001B490000}"/>
    <cellStyle name="Финансовый 2 3 2 6 2 2 2 2 2 3" xfId="35670" xr:uid="{00000000-0005-0000-0000-00001C490000}"/>
    <cellStyle name="Финансовый 2 3 2 6 2 2 2 2 3" xfId="15954" xr:uid="{00000000-0005-0000-0000-00001D490000}"/>
    <cellStyle name="Финансовый 2 3 2 6 2 2 2 2 3 2" xfId="39909" xr:uid="{00000000-0005-0000-0000-00001E490000}"/>
    <cellStyle name="Финансовый 2 3 2 6 2 2 2 2 4" xfId="27932" xr:uid="{00000000-0005-0000-0000-00001F490000}"/>
    <cellStyle name="Финансовый 2 3 2 6 2 2 2 2 5" xfId="51201" xr:uid="{00000000-0005-0000-0000-000020490000}"/>
    <cellStyle name="Финансовый 2 3 2 6 2 2 2 3" xfId="5758" xr:uid="{00000000-0005-0000-0000-000021490000}"/>
    <cellStyle name="Финансовый 2 3 2 6 2 2 2 3 2" xfId="17736" xr:uid="{00000000-0005-0000-0000-000022490000}"/>
    <cellStyle name="Финансовый 2 3 2 6 2 2 2 3 2 2" xfId="41691" xr:uid="{00000000-0005-0000-0000-000023490000}"/>
    <cellStyle name="Финансовый 2 3 2 6 2 2 2 3 3" xfId="29713" xr:uid="{00000000-0005-0000-0000-000024490000}"/>
    <cellStyle name="Финансовый 2 3 2 6 2 2 2 4" xfId="8368" xr:uid="{00000000-0005-0000-0000-000025490000}"/>
    <cellStyle name="Финансовый 2 3 2 6 2 2 2 4 2" xfId="20346" xr:uid="{00000000-0005-0000-0000-000026490000}"/>
    <cellStyle name="Финансовый 2 3 2 6 2 2 2 4 2 2" xfId="44301" xr:uid="{00000000-0005-0000-0000-000027490000}"/>
    <cellStyle name="Финансовый 2 3 2 6 2 2 2 4 3" xfId="32323" xr:uid="{00000000-0005-0000-0000-000028490000}"/>
    <cellStyle name="Финансовый 2 3 2 6 2 2 2 5" xfId="10151" xr:uid="{00000000-0005-0000-0000-000029490000}"/>
    <cellStyle name="Финансовый 2 3 2 6 2 2 2 5 2" xfId="22129" xr:uid="{00000000-0005-0000-0000-00002A490000}"/>
    <cellStyle name="Финансовый 2 3 2 6 2 2 2 5 2 2" xfId="46084" xr:uid="{00000000-0005-0000-0000-00002B490000}"/>
    <cellStyle name="Финансовый 2 3 2 6 2 2 2 5 3" xfId="34106" xr:uid="{00000000-0005-0000-0000-00002C490000}"/>
    <cellStyle name="Финансовый 2 3 2 6 2 2 2 6" xfId="14309" xr:uid="{00000000-0005-0000-0000-00002D490000}"/>
    <cellStyle name="Финансовый 2 3 2 6 2 2 2 6 2" xfId="38264" xr:uid="{00000000-0005-0000-0000-00002E490000}"/>
    <cellStyle name="Финансовый 2 3 2 6 2 2 2 7" xfId="26287" xr:uid="{00000000-0005-0000-0000-00002F490000}"/>
    <cellStyle name="Финансовый 2 3 2 6 2 2 2 8" xfId="49420" xr:uid="{00000000-0005-0000-0000-000030490000}"/>
    <cellStyle name="Финансовый 2 3 2 6 2 2 3" xfId="3156" xr:uid="{00000000-0005-0000-0000-000031490000}"/>
    <cellStyle name="Финансовый 2 3 2 6 2 2 3 2" xfId="10943" xr:uid="{00000000-0005-0000-0000-000032490000}"/>
    <cellStyle name="Финансовый 2 3 2 6 2 2 3 2 2" xfId="22921" xr:uid="{00000000-0005-0000-0000-000033490000}"/>
    <cellStyle name="Финансовый 2 3 2 6 2 2 3 2 2 2" xfId="46876" xr:uid="{00000000-0005-0000-0000-000034490000}"/>
    <cellStyle name="Финансовый 2 3 2 6 2 2 3 2 3" xfId="34898" xr:uid="{00000000-0005-0000-0000-000035490000}"/>
    <cellStyle name="Финансовый 2 3 2 6 2 2 3 3" xfId="15135" xr:uid="{00000000-0005-0000-0000-000036490000}"/>
    <cellStyle name="Финансовый 2 3 2 6 2 2 3 3 2" xfId="39090" xr:uid="{00000000-0005-0000-0000-000037490000}"/>
    <cellStyle name="Финансовый 2 3 2 6 2 2 3 4" xfId="27113" xr:uid="{00000000-0005-0000-0000-000038490000}"/>
    <cellStyle name="Финансовый 2 3 2 6 2 2 3 5" xfId="50244" xr:uid="{00000000-0005-0000-0000-000039490000}"/>
    <cellStyle name="Финансовый 2 3 2 6 2 2 4" xfId="4800" xr:uid="{00000000-0005-0000-0000-00003A490000}"/>
    <cellStyle name="Финансовый 2 3 2 6 2 2 4 2" xfId="16779" xr:uid="{00000000-0005-0000-0000-00003B490000}"/>
    <cellStyle name="Финансовый 2 3 2 6 2 2 4 2 2" xfId="40734" xr:uid="{00000000-0005-0000-0000-00003C490000}"/>
    <cellStyle name="Финансовый 2 3 2 6 2 2 4 3" xfId="28757" xr:uid="{00000000-0005-0000-0000-00003D490000}"/>
    <cellStyle name="Финансовый 2 3 2 6 2 2 5" xfId="7412" xr:uid="{00000000-0005-0000-0000-00003E490000}"/>
    <cellStyle name="Финансовый 2 3 2 6 2 2 5 2" xfId="19390" xr:uid="{00000000-0005-0000-0000-00003F490000}"/>
    <cellStyle name="Финансовый 2 3 2 6 2 2 5 2 2" xfId="43345" xr:uid="{00000000-0005-0000-0000-000040490000}"/>
    <cellStyle name="Финансовый 2 3 2 6 2 2 5 3" xfId="31367" xr:uid="{00000000-0005-0000-0000-000041490000}"/>
    <cellStyle name="Финансовый 2 3 2 6 2 2 6" xfId="9194" xr:uid="{00000000-0005-0000-0000-000042490000}"/>
    <cellStyle name="Финансовый 2 3 2 6 2 2 6 2" xfId="21172" xr:uid="{00000000-0005-0000-0000-000043490000}"/>
    <cellStyle name="Финансовый 2 3 2 6 2 2 6 2 2" xfId="45127" xr:uid="{00000000-0005-0000-0000-000044490000}"/>
    <cellStyle name="Финансовый 2 3 2 6 2 2 6 3" xfId="33149" xr:uid="{00000000-0005-0000-0000-000045490000}"/>
    <cellStyle name="Финансовый 2 3 2 6 2 2 7" xfId="13353" xr:uid="{00000000-0005-0000-0000-000046490000}"/>
    <cellStyle name="Финансовый 2 3 2 6 2 2 7 2" xfId="37308" xr:uid="{00000000-0005-0000-0000-000047490000}"/>
    <cellStyle name="Финансовый 2 3 2 6 2 2 8" xfId="25331" xr:uid="{00000000-0005-0000-0000-000048490000}"/>
    <cellStyle name="Финансовый 2 3 2 6 2 2 9" xfId="48464" xr:uid="{00000000-0005-0000-0000-000049490000}"/>
    <cellStyle name="Финансовый 2 3 2 6 2 3" xfId="2074" xr:uid="{00000000-0005-0000-0000-00004A490000}"/>
    <cellStyle name="Финансовый 2 3 2 6 2 3 2" xfId="3719" xr:uid="{00000000-0005-0000-0000-00004B490000}"/>
    <cellStyle name="Финансовый 2 3 2 6 2 3 2 2" xfId="11459" xr:uid="{00000000-0005-0000-0000-00004C490000}"/>
    <cellStyle name="Финансовый 2 3 2 6 2 3 2 2 2" xfId="23437" xr:uid="{00000000-0005-0000-0000-00004D490000}"/>
    <cellStyle name="Финансовый 2 3 2 6 2 3 2 2 2 2" xfId="47392" xr:uid="{00000000-0005-0000-0000-00004E490000}"/>
    <cellStyle name="Финансовый 2 3 2 6 2 3 2 2 3" xfId="35414" xr:uid="{00000000-0005-0000-0000-00004F490000}"/>
    <cellStyle name="Финансовый 2 3 2 6 2 3 2 3" xfId="15698" xr:uid="{00000000-0005-0000-0000-000050490000}"/>
    <cellStyle name="Финансовый 2 3 2 6 2 3 2 3 2" xfId="39653" xr:uid="{00000000-0005-0000-0000-000051490000}"/>
    <cellStyle name="Финансовый 2 3 2 6 2 3 2 4" xfId="27676" xr:uid="{00000000-0005-0000-0000-000052490000}"/>
    <cellStyle name="Финансовый 2 3 2 6 2 3 2 5" xfId="50945" xr:uid="{00000000-0005-0000-0000-000053490000}"/>
    <cellStyle name="Финансовый 2 3 2 6 2 3 3" xfId="5502" xr:uid="{00000000-0005-0000-0000-000054490000}"/>
    <cellStyle name="Финансовый 2 3 2 6 2 3 3 2" xfId="17480" xr:uid="{00000000-0005-0000-0000-000055490000}"/>
    <cellStyle name="Финансовый 2 3 2 6 2 3 3 2 2" xfId="41435" xr:uid="{00000000-0005-0000-0000-000056490000}"/>
    <cellStyle name="Финансовый 2 3 2 6 2 3 3 3" xfId="29457" xr:uid="{00000000-0005-0000-0000-000057490000}"/>
    <cellStyle name="Финансовый 2 3 2 6 2 3 4" xfId="8112" xr:uid="{00000000-0005-0000-0000-000058490000}"/>
    <cellStyle name="Финансовый 2 3 2 6 2 3 4 2" xfId="20090" xr:uid="{00000000-0005-0000-0000-000059490000}"/>
    <cellStyle name="Финансовый 2 3 2 6 2 3 4 2 2" xfId="44045" xr:uid="{00000000-0005-0000-0000-00005A490000}"/>
    <cellStyle name="Финансовый 2 3 2 6 2 3 4 3" xfId="32067" xr:uid="{00000000-0005-0000-0000-00005B490000}"/>
    <cellStyle name="Финансовый 2 3 2 6 2 3 5" xfId="9895" xr:uid="{00000000-0005-0000-0000-00005C490000}"/>
    <cellStyle name="Финансовый 2 3 2 6 2 3 5 2" xfId="21873" xr:uid="{00000000-0005-0000-0000-00005D490000}"/>
    <cellStyle name="Финансовый 2 3 2 6 2 3 5 2 2" xfId="45828" xr:uid="{00000000-0005-0000-0000-00005E490000}"/>
    <cellStyle name="Финансовый 2 3 2 6 2 3 5 3" xfId="33850" xr:uid="{00000000-0005-0000-0000-00005F490000}"/>
    <cellStyle name="Финансовый 2 3 2 6 2 3 6" xfId="14053" xr:uid="{00000000-0005-0000-0000-000060490000}"/>
    <cellStyle name="Финансовый 2 3 2 6 2 3 6 2" xfId="38008" xr:uid="{00000000-0005-0000-0000-000061490000}"/>
    <cellStyle name="Финансовый 2 3 2 6 2 3 7" xfId="26031" xr:uid="{00000000-0005-0000-0000-000062490000}"/>
    <cellStyle name="Финансовый 2 3 2 6 2 3 8" xfId="49164" xr:uid="{00000000-0005-0000-0000-000063490000}"/>
    <cellStyle name="Финансовый 2 3 2 6 2 4" xfId="2603" xr:uid="{00000000-0005-0000-0000-000064490000}"/>
    <cellStyle name="Финансовый 2 3 2 6 2 4 2" xfId="4248" xr:uid="{00000000-0005-0000-0000-000065490000}"/>
    <cellStyle name="Финансовый 2 3 2 6 2 4 2 2" xfId="11972" xr:uid="{00000000-0005-0000-0000-000066490000}"/>
    <cellStyle name="Финансовый 2 3 2 6 2 4 2 2 2" xfId="23950" xr:uid="{00000000-0005-0000-0000-000067490000}"/>
    <cellStyle name="Финансовый 2 3 2 6 2 4 2 2 2 2" xfId="47905" xr:uid="{00000000-0005-0000-0000-000068490000}"/>
    <cellStyle name="Финансовый 2 3 2 6 2 4 2 2 3" xfId="35927" xr:uid="{00000000-0005-0000-0000-000069490000}"/>
    <cellStyle name="Финансовый 2 3 2 6 2 4 2 3" xfId="16227" xr:uid="{00000000-0005-0000-0000-00006A490000}"/>
    <cellStyle name="Финансовый 2 3 2 6 2 4 2 3 2" xfId="40182" xr:uid="{00000000-0005-0000-0000-00006B490000}"/>
    <cellStyle name="Финансовый 2 3 2 6 2 4 2 4" xfId="28205" xr:uid="{00000000-0005-0000-0000-00006C490000}"/>
    <cellStyle name="Финансовый 2 3 2 6 2 4 2 5" xfId="51474" xr:uid="{00000000-0005-0000-0000-00006D490000}"/>
    <cellStyle name="Финансовый 2 3 2 6 2 4 3" xfId="6031" xr:uid="{00000000-0005-0000-0000-00006E490000}"/>
    <cellStyle name="Финансовый 2 3 2 6 2 4 3 2" xfId="18009" xr:uid="{00000000-0005-0000-0000-00006F490000}"/>
    <cellStyle name="Финансовый 2 3 2 6 2 4 3 2 2" xfId="41964" xr:uid="{00000000-0005-0000-0000-000070490000}"/>
    <cellStyle name="Финансовый 2 3 2 6 2 4 3 3" xfId="29986" xr:uid="{00000000-0005-0000-0000-000071490000}"/>
    <cellStyle name="Финансовый 2 3 2 6 2 4 4" xfId="8641" xr:uid="{00000000-0005-0000-0000-000072490000}"/>
    <cellStyle name="Финансовый 2 3 2 6 2 4 4 2" xfId="20619" xr:uid="{00000000-0005-0000-0000-000073490000}"/>
    <cellStyle name="Финансовый 2 3 2 6 2 4 4 2 2" xfId="44574" xr:uid="{00000000-0005-0000-0000-000074490000}"/>
    <cellStyle name="Финансовый 2 3 2 6 2 4 4 3" xfId="32596" xr:uid="{00000000-0005-0000-0000-000075490000}"/>
    <cellStyle name="Финансовый 2 3 2 6 2 4 5" xfId="10424" xr:uid="{00000000-0005-0000-0000-000076490000}"/>
    <cellStyle name="Финансовый 2 3 2 6 2 4 5 2" xfId="22402" xr:uid="{00000000-0005-0000-0000-000077490000}"/>
    <cellStyle name="Финансовый 2 3 2 6 2 4 5 2 2" xfId="46357" xr:uid="{00000000-0005-0000-0000-000078490000}"/>
    <cellStyle name="Финансовый 2 3 2 6 2 4 5 3" xfId="34379" xr:uid="{00000000-0005-0000-0000-000079490000}"/>
    <cellStyle name="Финансовый 2 3 2 6 2 4 6" xfId="14582" xr:uid="{00000000-0005-0000-0000-00007A490000}"/>
    <cellStyle name="Финансовый 2 3 2 6 2 4 6 2" xfId="38537" xr:uid="{00000000-0005-0000-0000-00007B490000}"/>
    <cellStyle name="Финансовый 2 3 2 6 2 4 7" xfId="26560" xr:uid="{00000000-0005-0000-0000-00007C490000}"/>
    <cellStyle name="Финансовый 2 3 2 6 2 4 8" xfId="49693" xr:uid="{00000000-0005-0000-0000-00007D490000}"/>
    <cellStyle name="Финансовый 2 3 2 6 2 5" xfId="1107" xr:uid="{00000000-0005-0000-0000-00007E490000}"/>
    <cellStyle name="Финансовый 2 3 2 6 2 5 2" xfId="7147" xr:uid="{00000000-0005-0000-0000-00007F490000}"/>
    <cellStyle name="Финансовый 2 3 2 6 2 5 2 2" xfId="19125" xr:uid="{00000000-0005-0000-0000-000080490000}"/>
    <cellStyle name="Финансовый 2 3 2 6 2 5 2 2 2" xfId="43080" xr:uid="{00000000-0005-0000-0000-000081490000}"/>
    <cellStyle name="Финансовый 2 3 2 6 2 5 2 3" xfId="31102" xr:uid="{00000000-0005-0000-0000-000082490000}"/>
    <cellStyle name="Финансовый 2 3 2 6 2 5 3" xfId="10687" xr:uid="{00000000-0005-0000-0000-000083490000}"/>
    <cellStyle name="Финансовый 2 3 2 6 2 5 3 2" xfId="22665" xr:uid="{00000000-0005-0000-0000-000084490000}"/>
    <cellStyle name="Финансовый 2 3 2 6 2 5 3 2 2" xfId="46620" xr:uid="{00000000-0005-0000-0000-000085490000}"/>
    <cellStyle name="Финансовый 2 3 2 6 2 5 3 3" xfId="34642" xr:uid="{00000000-0005-0000-0000-000086490000}"/>
    <cellStyle name="Финансовый 2 3 2 6 2 5 4" xfId="13088" xr:uid="{00000000-0005-0000-0000-000087490000}"/>
    <cellStyle name="Финансовый 2 3 2 6 2 5 4 2" xfId="37043" xr:uid="{00000000-0005-0000-0000-000088490000}"/>
    <cellStyle name="Финансовый 2 3 2 6 2 5 5" xfId="25066" xr:uid="{00000000-0005-0000-0000-000089490000}"/>
    <cellStyle name="Финансовый 2 3 2 6 2 5 6" xfId="49972" xr:uid="{00000000-0005-0000-0000-00008A490000}"/>
    <cellStyle name="Финансовый 2 3 2 6 2 6" xfId="695" xr:uid="{00000000-0005-0000-0000-00008B490000}"/>
    <cellStyle name="Финансовый 2 3 2 6 2 6 2" xfId="6735" xr:uid="{00000000-0005-0000-0000-00008C490000}"/>
    <cellStyle name="Финансовый 2 3 2 6 2 6 2 2" xfId="18713" xr:uid="{00000000-0005-0000-0000-00008D490000}"/>
    <cellStyle name="Финансовый 2 3 2 6 2 6 2 2 2" xfId="42668" xr:uid="{00000000-0005-0000-0000-00008E490000}"/>
    <cellStyle name="Финансовый 2 3 2 6 2 6 2 3" xfId="30690" xr:uid="{00000000-0005-0000-0000-00008F490000}"/>
    <cellStyle name="Финансовый 2 3 2 6 2 6 3" xfId="12676" xr:uid="{00000000-0005-0000-0000-000090490000}"/>
    <cellStyle name="Финансовый 2 3 2 6 2 6 3 2" xfId="36631" xr:uid="{00000000-0005-0000-0000-000091490000}"/>
    <cellStyle name="Финансовый 2 3 2 6 2 6 4" xfId="24654" xr:uid="{00000000-0005-0000-0000-000092490000}"/>
    <cellStyle name="Финансовый 2 3 2 6 2 7" xfId="2884" xr:uid="{00000000-0005-0000-0000-000093490000}"/>
    <cellStyle name="Финансовый 2 3 2 6 2 7 2" xfId="14863" xr:uid="{00000000-0005-0000-0000-000094490000}"/>
    <cellStyle name="Финансовый 2 3 2 6 2 7 2 2" xfId="38818" xr:uid="{00000000-0005-0000-0000-000095490000}"/>
    <cellStyle name="Финансовый 2 3 2 6 2 7 3" xfId="26841" xr:uid="{00000000-0005-0000-0000-000096490000}"/>
    <cellStyle name="Финансовый 2 3 2 6 2 8" xfId="4528" xr:uid="{00000000-0005-0000-0000-000097490000}"/>
    <cellStyle name="Финансовый 2 3 2 6 2 8 2" xfId="16507" xr:uid="{00000000-0005-0000-0000-000098490000}"/>
    <cellStyle name="Финансовый 2 3 2 6 2 8 2 2" xfId="40462" xr:uid="{00000000-0005-0000-0000-000099490000}"/>
    <cellStyle name="Финансовый 2 3 2 6 2 8 3" xfId="28485" xr:uid="{00000000-0005-0000-0000-00009A490000}"/>
    <cellStyle name="Финансовый 2 3 2 6 2 9" xfId="6315" xr:uid="{00000000-0005-0000-0000-00009B490000}"/>
    <cellStyle name="Финансовый 2 3 2 6 2 9 2" xfId="18293" xr:uid="{00000000-0005-0000-0000-00009C490000}"/>
    <cellStyle name="Финансовый 2 3 2 6 2 9 2 2" xfId="42248" xr:uid="{00000000-0005-0000-0000-00009D490000}"/>
    <cellStyle name="Финансовый 2 3 2 6 2 9 3" xfId="30270" xr:uid="{00000000-0005-0000-0000-00009E490000}"/>
    <cellStyle name="Финансовый 2 3 2 6 3" xfId="423" xr:uid="{00000000-0005-0000-0000-00009F490000}"/>
    <cellStyle name="Финансовый 2 3 2 6 3 10" xfId="24382" xr:uid="{00000000-0005-0000-0000-0000A0490000}"/>
    <cellStyle name="Финансовый 2 3 2 6 3 11" xfId="48328" xr:uid="{00000000-0005-0000-0000-0000A1490000}"/>
    <cellStyle name="Финансовый 2 3 2 6 3 2" xfId="2202" xr:uid="{00000000-0005-0000-0000-0000A2490000}"/>
    <cellStyle name="Финансовый 2 3 2 6 3 2 2" xfId="3847" xr:uid="{00000000-0005-0000-0000-0000A3490000}"/>
    <cellStyle name="Финансовый 2 3 2 6 3 2 2 2" xfId="11587" xr:uid="{00000000-0005-0000-0000-0000A4490000}"/>
    <cellStyle name="Финансовый 2 3 2 6 3 2 2 2 2" xfId="23565" xr:uid="{00000000-0005-0000-0000-0000A5490000}"/>
    <cellStyle name="Финансовый 2 3 2 6 3 2 2 2 2 2" xfId="47520" xr:uid="{00000000-0005-0000-0000-0000A6490000}"/>
    <cellStyle name="Финансовый 2 3 2 6 3 2 2 2 3" xfId="35542" xr:uid="{00000000-0005-0000-0000-0000A7490000}"/>
    <cellStyle name="Финансовый 2 3 2 6 3 2 2 3" xfId="15826" xr:uid="{00000000-0005-0000-0000-0000A8490000}"/>
    <cellStyle name="Финансовый 2 3 2 6 3 2 2 3 2" xfId="39781" xr:uid="{00000000-0005-0000-0000-0000A9490000}"/>
    <cellStyle name="Финансовый 2 3 2 6 3 2 2 4" xfId="27804" xr:uid="{00000000-0005-0000-0000-0000AA490000}"/>
    <cellStyle name="Финансовый 2 3 2 6 3 2 2 5" xfId="51073" xr:uid="{00000000-0005-0000-0000-0000AB490000}"/>
    <cellStyle name="Финансовый 2 3 2 6 3 2 3" xfId="5630" xr:uid="{00000000-0005-0000-0000-0000AC490000}"/>
    <cellStyle name="Финансовый 2 3 2 6 3 2 3 2" xfId="17608" xr:uid="{00000000-0005-0000-0000-0000AD490000}"/>
    <cellStyle name="Финансовый 2 3 2 6 3 2 3 2 2" xfId="41563" xr:uid="{00000000-0005-0000-0000-0000AE490000}"/>
    <cellStyle name="Финансовый 2 3 2 6 3 2 3 3" xfId="29585" xr:uid="{00000000-0005-0000-0000-0000AF490000}"/>
    <cellStyle name="Финансовый 2 3 2 6 3 2 4" xfId="8240" xr:uid="{00000000-0005-0000-0000-0000B0490000}"/>
    <cellStyle name="Финансовый 2 3 2 6 3 2 4 2" xfId="20218" xr:uid="{00000000-0005-0000-0000-0000B1490000}"/>
    <cellStyle name="Финансовый 2 3 2 6 3 2 4 2 2" xfId="44173" xr:uid="{00000000-0005-0000-0000-0000B2490000}"/>
    <cellStyle name="Финансовый 2 3 2 6 3 2 4 3" xfId="32195" xr:uid="{00000000-0005-0000-0000-0000B3490000}"/>
    <cellStyle name="Финансовый 2 3 2 6 3 2 5" xfId="10023" xr:uid="{00000000-0005-0000-0000-0000B4490000}"/>
    <cellStyle name="Финансовый 2 3 2 6 3 2 5 2" xfId="22001" xr:uid="{00000000-0005-0000-0000-0000B5490000}"/>
    <cellStyle name="Финансовый 2 3 2 6 3 2 5 2 2" xfId="45956" xr:uid="{00000000-0005-0000-0000-0000B6490000}"/>
    <cellStyle name="Финансовый 2 3 2 6 3 2 5 3" xfId="33978" xr:uid="{00000000-0005-0000-0000-0000B7490000}"/>
    <cellStyle name="Финансовый 2 3 2 6 3 2 6" xfId="14181" xr:uid="{00000000-0005-0000-0000-0000B8490000}"/>
    <cellStyle name="Финансовый 2 3 2 6 3 2 6 2" xfId="38136" xr:uid="{00000000-0005-0000-0000-0000B9490000}"/>
    <cellStyle name="Финансовый 2 3 2 6 3 2 7" xfId="26159" xr:uid="{00000000-0005-0000-0000-0000BA490000}"/>
    <cellStyle name="Финансовый 2 3 2 6 3 2 8" xfId="49292" xr:uid="{00000000-0005-0000-0000-0000BB490000}"/>
    <cellStyle name="Финансовый 2 3 2 6 3 3" xfId="1236" xr:uid="{00000000-0005-0000-0000-0000BC490000}"/>
    <cellStyle name="Финансовый 2 3 2 6 3 3 2" xfId="7276" xr:uid="{00000000-0005-0000-0000-0000BD490000}"/>
    <cellStyle name="Финансовый 2 3 2 6 3 3 2 2" xfId="19254" xr:uid="{00000000-0005-0000-0000-0000BE490000}"/>
    <cellStyle name="Финансовый 2 3 2 6 3 3 2 2 2" xfId="43209" xr:uid="{00000000-0005-0000-0000-0000BF490000}"/>
    <cellStyle name="Финансовый 2 3 2 6 3 3 2 3" xfId="31231" xr:uid="{00000000-0005-0000-0000-0000C0490000}"/>
    <cellStyle name="Финансовый 2 3 2 6 3 3 3" xfId="10815" xr:uid="{00000000-0005-0000-0000-0000C1490000}"/>
    <cellStyle name="Финансовый 2 3 2 6 3 3 3 2" xfId="22793" xr:uid="{00000000-0005-0000-0000-0000C2490000}"/>
    <cellStyle name="Финансовый 2 3 2 6 3 3 3 2 2" xfId="46748" xr:uid="{00000000-0005-0000-0000-0000C3490000}"/>
    <cellStyle name="Финансовый 2 3 2 6 3 3 3 3" xfId="34770" xr:uid="{00000000-0005-0000-0000-0000C4490000}"/>
    <cellStyle name="Финансовый 2 3 2 6 3 3 4" xfId="13217" xr:uid="{00000000-0005-0000-0000-0000C5490000}"/>
    <cellStyle name="Финансовый 2 3 2 6 3 3 4 2" xfId="37172" xr:uid="{00000000-0005-0000-0000-0000C6490000}"/>
    <cellStyle name="Финансовый 2 3 2 6 3 3 5" xfId="25195" xr:uid="{00000000-0005-0000-0000-0000C7490000}"/>
    <cellStyle name="Финансовый 2 3 2 6 3 3 6" xfId="50108" xr:uid="{00000000-0005-0000-0000-0000C8490000}"/>
    <cellStyle name="Финансовый 2 3 2 6 3 4" xfId="843" xr:uid="{00000000-0005-0000-0000-0000C9490000}"/>
    <cellStyle name="Финансовый 2 3 2 6 3 4 2" xfId="6883" xr:uid="{00000000-0005-0000-0000-0000CA490000}"/>
    <cellStyle name="Финансовый 2 3 2 6 3 4 2 2" xfId="18861" xr:uid="{00000000-0005-0000-0000-0000CB490000}"/>
    <cellStyle name="Финансовый 2 3 2 6 3 4 2 2 2" xfId="42816" xr:uid="{00000000-0005-0000-0000-0000CC490000}"/>
    <cellStyle name="Финансовый 2 3 2 6 3 4 2 3" xfId="30838" xr:uid="{00000000-0005-0000-0000-0000CD490000}"/>
    <cellStyle name="Финансовый 2 3 2 6 3 4 3" xfId="12824" xr:uid="{00000000-0005-0000-0000-0000CE490000}"/>
    <cellStyle name="Финансовый 2 3 2 6 3 4 3 2" xfId="36779" xr:uid="{00000000-0005-0000-0000-0000CF490000}"/>
    <cellStyle name="Финансовый 2 3 2 6 3 4 4" xfId="24802" xr:uid="{00000000-0005-0000-0000-0000D0490000}"/>
    <cellStyle name="Финансовый 2 3 2 6 3 5" xfId="3020" xr:uid="{00000000-0005-0000-0000-0000D1490000}"/>
    <cellStyle name="Финансовый 2 3 2 6 3 5 2" xfId="14999" xr:uid="{00000000-0005-0000-0000-0000D2490000}"/>
    <cellStyle name="Финансовый 2 3 2 6 3 5 2 2" xfId="38954" xr:uid="{00000000-0005-0000-0000-0000D3490000}"/>
    <cellStyle name="Финансовый 2 3 2 6 3 5 3" xfId="26977" xr:uid="{00000000-0005-0000-0000-0000D4490000}"/>
    <cellStyle name="Финансовый 2 3 2 6 3 6" xfId="4664" xr:uid="{00000000-0005-0000-0000-0000D5490000}"/>
    <cellStyle name="Финансовый 2 3 2 6 3 6 2" xfId="16643" xr:uid="{00000000-0005-0000-0000-0000D6490000}"/>
    <cellStyle name="Финансовый 2 3 2 6 3 6 2 2" xfId="40598" xr:uid="{00000000-0005-0000-0000-0000D7490000}"/>
    <cellStyle name="Финансовый 2 3 2 6 3 6 3" xfId="28621" xr:uid="{00000000-0005-0000-0000-0000D8490000}"/>
    <cellStyle name="Финансовый 2 3 2 6 3 7" xfId="6463" xr:uid="{00000000-0005-0000-0000-0000D9490000}"/>
    <cellStyle name="Финансовый 2 3 2 6 3 7 2" xfId="18441" xr:uid="{00000000-0005-0000-0000-0000DA490000}"/>
    <cellStyle name="Финансовый 2 3 2 6 3 7 2 2" xfId="42396" xr:uid="{00000000-0005-0000-0000-0000DB490000}"/>
    <cellStyle name="Финансовый 2 3 2 6 3 7 3" xfId="30418" xr:uid="{00000000-0005-0000-0000-0000DC490000}"/>
    <cellStyle name="Финансовый 2 3 2 6 3 8" xfId="9058" xr:uid="{00000000-0005-0000-0000-0000DD490000}"/>
    <cellStyle name="Финансовый 2 3 2 6 3 8 2" xfId="21036" xr:uid="{00000000-0005-0000-0000-0000DE490000}"/>
    <cellStyle name="Финансовый 2 3 2 6 3 8 2 2" xfId="44991" xr:uid="{00000000-0005-0000-0000-0000DF490000}"/>
    <cellStyle name="Финансовый 2 3 2 6 3 8 3" xfId="33013" xr:uid="{00000000-0005-0000-0000-0000E0490000}"/>
    <cellStyle name="Финансовый 2 3 2 6 3 9" xfId="12404" xr:uid="{00000000-0005-0000-0000-0000E1490000}"/>
    <cellStyle name="Финансовый 2 3 2 6 3 9 2" xfId="36359" xr:uid="{00000000-0005-0000-0000-0000E2490000}"/>
    <cellStyle name="Финансовый 2 3 2 6 4" xfId="1486" xr:uid="{00000000-0005-0000-0000-0000E3490000}"/>
    <cellStyle name="Финансовый 2 3 2 6 4 2" xfId="1946" xr:uid="{00000000-0005-0000-0000-0000E4490000}"/>
    <cellStyle name="Финансовый 2 3 2 6 4 2 2" xfId="3591" xr:uid="{00000000-0005-0000-0000-0000E5490000}"/>
    <cellStyle name="Финансовый 2 3 2 6 4 2 2 2" xfId="11331" xr:uid="{00000000-0005-0000-0000-0000E6490000}"/>
    <cellStyle name="Финансовый 2 3 2 6 4 2 2 2 2" xfId="23309" xr:uid="{00000000-0005-0000-0000-0000E7490000}"/>
    <cellStyle name="Финансовый 2 3 2 6 4 2 2 2 2 2" xfId="47264" xr:uid="{00000000-0005-0000-0000-0000E8490000}"/>
    <cellStyle name="Финансовый 2 3 2 6 4 2 2 2 3" xfId="35286" xr:uid="{00000000-0005-0000-0000-0000E9490000}"/>
    <cellStyle name="Финансовый 2 3 2 6 4 2 2 3" xfId="15570" xr:uid="{00000000-0005-0000-0000-0000EA490000}"/>
    <cellStyle name="Финансовый 2 3 2 6 4 2 2 3 2" xfId="39525" xr:uid="{00000000-0005-0000-0000-0000EB490000}"/>
    <cellStyle name="Финансовый 2 3 2 6 4 2 2 4" xfId="27548" xr:uid="{00000000-0005-0000-0000-0000EC490000}"/>
    <cellStyle name="Финансовый 2 3 2 6 4 2 2 5" xfId="50817" xr:uid="{00000000-0005-0000-0000-0000ED490000}"/>
    <cellStyle name="Финансовый 2 3 2 6 4 2 3" xfId="5374" xr:uid="{00000000-0005-0000-0000-0000EE490000}"/>
    <cellStyle name="Финансовый 2 3 2 6 4 2 3 2" xfId="17352" xr:uid="{00000000-0005-0000-0000-0000EF490000}"/>
    <cellStyle name="Финансовый 2 3 2 6 4 2 3 2 2" xfId="41307" xr:uid="{00000000-0005-0000-0000-0000F0490000}"/>
    <cellStyle name="Финансовый 2 3 2 6 4 2 3 3" xfId="29329" xr:uid="{00000000-0005-0000-0000-0000F1490000}"/>
    <cellStyle name="Финансовый 2 3 2 6 4 2 4" xfId="7984" xr:uid="{00000000-0005-0000-0000-0000F2490000}"/>
    <cellStyle name="Финансовый 2 3 2 6 4 2 4 2" xfId="19962" xr:uid="{00000000-0005-0000-0000-0000F3490000}"/>
    <cellStyle name="Финансовый 2 3 2 6 4 2 4 2 2" xfId="43917" xr:uid="{00000000-0005-0000-0000-0000F4490000}"/>
    <cellStyle name="Финансовый 2 3 2 6 4 2 4 3" xfId="31939" xr:uid="{00000000-0005-0000-0000-0000F5490000}"/>
    <cellStyle name="Финансовый 2 3 2 6 4 2 5" xfId="9767" xr:uid="{00000000-0005-0000-0000-0000F6490000}"/>
    <cellStyle name="Финансовый 2 3 2 6 4 2 5 2" xfId="21745" xr:uid="{00000000-0005-0000-0000-0000F7490000}"/>
    <cellStyle name="Финансовый 2 3 2 6 4 2 5 2 2" xfId="45700" xr:uid="{00000000-0005-0000-0000-0000F8490000}"/>
    <cellStyle name="Финансовый 2 3 2 6 4 2 5 3" xfId="33722" xr:uid="{00000000-0005-0000-0000-0000F9490000}"/>
    <cellStyle name="Финансовый 2 3 2 6 4 2 6" xfId="13925" xr:uid="{00000000-0005-0000-0000-0000FA490000}"/>
    <cellStyle name="Финансовый 2 3 2 6 4 2 6 2" xfId="37880" xr:uid="{00000000-0005-0000-0000-0000FB490000}"/>
    <cellStyle name="Финансовый 2 3 2 6 4 2 7" xfId="25903" xr:uid="{00000000-0005-0000-0000-0000FC490000}"/>
    <cellStyle name="Финансовый 2 3 2 6 4 2 8" xfId="49036" xr:uid="{00000000-0005-0000-0000-0000FD490000}"/>
    <cellStyle name="Финансовый 2 3 2 6 4 3" xfId="4914" xr:uid="{00000000-0005-0000-0000-0000FE490000}"/>
    <cellStyle name="Финансовый 2 3 2 6 4 3 2" xfId="16892" xr:uid="{00000000-0005-0000-0000-0000FF490000}"/>
    <cellStyle name="Финансовый 2 3 2 6 4 3 2 2" xfId="40847" xr:uid="{00000000-0005-0000-0000-0000004A0000}"/>
    <cellStyle name="Финансовый 2 3 2 6 4 3 3" xfId="28869" xr:uid="{00000000-0005-0000-0000-0000014A0000}"/>
    <cellStyle name="Финансовый 2 3 2 6 4 3 4" xfId="50357" xr:uid="{00000000-0005-0000-0000-0000024A0000}"/>
    <cellStyle name="Финансовый 2 3 2 6 4 4" xfId="7524" xr:uid="{00000000-0005-0000-0000-0000034A0000}"/>
    <cellStyle name="Финансовый 2 3 2 6 4 4 2" xfId="19502" xr:uid="{00000000-0005-0000-0000-0000044A0000}"/>
    <cellStyle name="Финансовый 2 3 2 6 4 4 2 2" xfId="43457" xr:uid="{00000000-0005-0000-0000-0000054A0000}"/>
    <cellStyle name="Финансовый 2 3 2 6 4 4 3" xfId="31479" xr:uid="{00000000-0005-0000-0000-0000064A0000}"/>
    <cellStyle name="Финансовый 2 3 2 6 4 5" xfId="9307" xr:uid="{00000000-0005-0000-0000-0000074A0000}"/>
    <cellStyle name="Финансовый 2 3 2 6 4 5 2" xfId="21285" xr:uid="{00000000-0005-0000-0000-0000084A0000}"/>
    <cellStyle name="Финансовый 2 3 2 6 4 5 2 2" xfId="45240" xr:uid="{00000000-0005-0000-0000-0000094A0000}"/>
    <cellStyle name="Финансовый 2 3 2 6 4 5 3" xfId="33262" xr:uid="{00000000-0005-0000-0000-00000A4A0000}"/>
    <cellStyle name="Финансовый 2 3 2 6 4 6" xfId="13465" xr:uid="{00000000-0005-0000-0000-00000B4A0000}"/>
    <cellStyle name="Финансовый 2 3 2 6 4 6 2" xfId="37420" xr:uid="{00000000-0005-0000-0000-00000C4A0000}"/>
    <cellStyle name="Финансовый 2 3 2 6 4 7" xfId="25443" xr:uid="{00000000-0005-0000-0000-00000D4A0000}"/>
    <cellStyle name="Финансовый 2 3 2 6 4 8" xfId="48576" xr:uid="{00000000-0005-0000-0000-00000E4A0000}"/>
    <cellStyle name="Финансовый 2 3 2 6 5" xfId="1822" xr:uid="{00000000-0005-0000-0000-00000F4A0000}"/>
    <cellStyle name="Финансовый 2 3 2 6 5 2" xfId="3467" xr:uid="{00000000-0005-0000-0000-0000104A0000}"/>
    <cellStyle name="Финансовый 2 3 2 6 5 2 2" xfId="11215" xr:uid="{00000000-0005-0000-0000-0000114A0000}"/>
    <cellStyle name="Финансовый 2 3 2 6 5 2 2 2" xfId="23193" xr:uid="{00000000-0005-0000-0000-0000124A0000}"/>
    <cellStyle name="Финансовый 2 3 2 6 5 2 2 2 2" xfId="47148" xr:uid="{00000000-0005-0000-0000-0000134A0000}"/>
    <cellStyle name="Финансовый 2 3 2 6 5 2 2 3" xfId="35170" xr:uid="{00000000-0005-0000-0000-0000144A0000}"/>
    <cellStyle name="Финансовый 2 3 2 6 5 2 3" xfId="15446" xr:uid="{00000000-0005-0000-0000-0000154A0000}"/>
    <cellStyle name="Финансовый 2 3 2 6 5 2 3 2" xfId="39401" xr:uid="{00000000-0005-0000-0000-0000164A0000}"/>
    <cellStyle name="Финансовый 2 3 2 6 5 2 4" xfId="27424" xr:uid="{00000000-0005-0000-0000-0000174A0000}"/>
    <cellStyle name="Финансовый 2 3 2 6 5 2 5" xfId="50693" xr:uid="{00000000-0005-0000-0000-0000184A0000}"/>
    <cellStyle name="Финансовый 2 3 2 6 5 3" xfId="5250" xr:uid="{00000000-0005-0000-0000-0000194A0000}"/>
    <cellStyle name="Финансовый 2 3 2 6 5 3 2" xfId="17228" xr:uid="{00000000-0005-0000-0000-00001A4A0000}"/>
    <cellStyle name="Финансовый 2 3 2 6 5 3 2 2" xfId="41183" xr:uid="{00000000-0005-0000-0000-00001B4A0000}"/>
    <cellStyle name="Финансовый 2 3 2 6 5 3 3" xfId="29205" xr:uid="{00000000-0005-0000-0000-00001C4A0000}"/>
    <cellStyle name="Финансовый 2 3 2 6 5 4" xfId="7860" xr:uid="{00000000-0005-0000-0000-00001D4A0000}"/>
    <cellStyle name="Финансовый 2 3 2 6 5 4 2" xfId="19838" xr:uid="{00000000-0005-0000-0000-00001E4A0000}"/>
    <cellStyle name="Финансовый 2 3 2 6 5 4 2 2" xfId="43793" xr:uid="{00000000-0005-0000-0000-00001F4A0000}"/>
    <cellStyle name="Финансовый 2 3 2 6 5 4 3" xfId="31815" xr:uid="{00000000-0005-0000-0000-0000204A0000}"/>
    <cellStyle name="Финансовый 2 3 2 6 5 5" xfId="9643" xr:uid="{00000000-0005-0000-0000-0000214A0000}"/>
    <cellStyle name="Финансовый 2 3 2 6 5 5 2" xfId="21621" xr:uid="{00000000-0005-0000-0000-0000224A0000}"/>
    <cellStyle name="Финансовый 2 3 2 6 5 5 2 2" xfId="45576" xr:uid="{00000000-0005-0000-0000-0000234A0000}"/>
    <cellStyle name="Финансовый 2 3 2 6 5 5 3" xfId="33598" xr:uid="{00000000-0005-0000-0000-0000244A0000}"/>
    <cellStyle name="Финансовый 2 3 2 6 5 6" xfId="13801" xr:uid="{00000000-0005-0000-0000-0000254A0000}"/>
    <cellStyle name="Финансовый 2 3 2 6 5 6 2" xfId="37756" xr:uid="{00000000-0005-0000-0000-0000264A0000}"/>
    <cellStyle name="Финансовый 2 3 2 6 5 7" xfId="25779" xr:uid="{00000000-0005-0000-0000-0000274A0000}"/>
    <cellStyle name="Финансовый 2 3 2 6 5 8" xfId="48912" xr:uid="{00000000-0005-0000-0000-0000284A0000}"/>
    <cellStyle name="Финансовый 2 3 2 6 6" xfId="2467" xr:uid="{00000000-0005-0000-0000-0000294A0000}"/>
    <cellStyle name="Финансовый 2 3 2 6 6 2" xfId="4112" xr:uid="{00000000-0005-0000-0000-00002A4A0000}"/>
    <cellStyle name="Финансовый 2 3 2 6 6 2 2" xfId="11844" xr:uid="{00000000-0005-0000-0000-00002B4A0000}"/>
    <cellStyle name="Финансовый 2 3 2 6 6 2 2 2" xfId="23822" xr:uid="{00000000-0005-0000-0000-00002C4A0000}"/>
    <cellStyle name="Финансовый 2 3 2 6 6 2 2 2 2" xfId="47777" xr:uid="{00000000-0005-0000-0000-00002D4A0000}"/>
    <cellStyle name="Финансовый 2 3 2 6 6 2 2 3" xfId="35799" xr:uid="{00000000-0005-0000-0000-00002E4A0000}"/>
    <cellStyle name="Финансовый 2 3 2 6 6 2 3" xfId="16091" xr:uid="{00000000-0005-0000-0000-00002F4A0000}"/>
    <cellStyle name="Финансовый 2 3 2 6 6 2 3 2" xfId="40046" xr:uid="{00000000-0005-0000-0000-0000304A0000}"/>
    <cellStyle name="Финансовый 2 3 2 6 6 2 4" xfId="28069" xr:uid="{00000000-0005-0000-0000-0000314A0000}"/>
    <cellStyle name="Финансовый 2 3 2 6 6 2 5" xfId="51338" xr:uid="{00000000-0005-0000-0000-0000324A0000}"/>
    <cellStyle name="Финансовый 2 3 2 6 6 3" xfId="5895" xr:uid="{00000000-0005-0000-0000-0000334A0000}"/>
    <cellStyle name="Финансовый 2 3 2 6 6 3 2" xfId="17873" xr:uid="{00000000-0005-0000-0000-0000344A0000}"/>
    <cellStyle name="Финансовый 2 3 2 6 6 3 2 2" xfId="41828" xr:uid="{00000000-0005-0000-0000-0000354A0000}"/>
    <cellStyle name="Финансовый 2 3 2 6 6 3 3" xfId="29850" xr:uid="{00000000-0005-0000-0000-0000364A0000}"/>
    <cellStyle name="Финансовый 2 3 2 6 6 4" xfId="8505" xr:uid="{00000000-0005-0000-0000-0000374A0000}"/>
    <cellStyle name="Финансовый 2 3 2 6 6 4 2" xfId="20483" xr:uid="{00000000-0005-0000-0000-0000384A0000}"/>
    <cellStyle name="Финансовый 2 3 2 6 6 4 2 2" xfId="44438" xr:uid="{00000000-0005-0000-0000-0000394A0000}"/>
    <cellStyle name="Финансовый 2 3 2 6 6 4 3" xfId="32460" xr:uid="{00000000-0005-0000-0000-00003A4A0000}"/>
    <cellStyle name="Финансовый 2 3 2 6 6 5" xfId="10288" xr:uid="{00000000-0005-0000-0000-00003B4A0000}"/>
    <cellStyle name="Финансовый 2 3 2 6 6 5 2" xfId="22266" xr:uid="{00000000-0005-0000-0000-00003C4A0000}"/>
    <cellStyle name="Финансовый 2 3 2 6 6 5 2 2" xfId="46221" xr:uid="{00000000-0005-0000-0000-00003D4A0000}"/>
    <cellStyle name="Финансовый 2 3 2 6 6 5 3" xfId="34243" xr:uid="{00000000-0005-0000-0000-00003E4A0000}"/>
    <cellStyle name="Финансовый 2 3 2 6 6 6" xfId="14446" xr:uid="{00000000-0005-0000-0000-00003F4A0000}"/>
    <cellStyle name="Финансовый 2 3 2 6 6 6 2" xfId="38401" xr:uid="{00000000-0005-0000-0000-0000404A0000}"/>
    <cellStyle name="Финансовый 2 3 2 6 6 7" xfId="26424" xr:uid="{00000000-0005-0000-0000-0000414A0000}"/>
    <cellStyle name="Финансовый 2 3 2 6 6 8" xfId="49557" xr:uid="{00000000-0005-0000-0000-0000424A0000}"/>
    <cellStyle name="Финансовый 2 3 2 6 7" xfId="1694" xr:uid="{00000000-0005-0000-0000-0000434A0000}"/>
    <cellStyle name="Финансовый 2 3 2 6 7 2" xfId="3339" xr:uid="{00000000-0005-0000-0000-0000444A0000}"/>
    <cellStyle name="Финансовый 2 3 2 6 7 2 2" xfId="11087" xr:uid="{00000000-0005-0000-0000-0000454A0000}"/>
    <cellStyle name="Финансовый 2 3 2 6 7 2 2 2" xfId="23065" xr:uid="{00000000-0005-0000-0000-0000464A0000}"/>
    <cellStyle name="Финансовый 2 3 2 6 7 2 2 2 2" xfId="47020" xr:uid="{00000000-0005-0000-0000-0000474A0000}"/>
    <cellStyle name="Финансовый 2 3 2 6 7 2 2 3" xfId="35042" xr:uid="{00000000-0005-0000-0000-0000484A0000}"/>
    <cellStyle name="Финансовый 2 3 2 6 7 2 3" xfId="15318" xr:uid="{00000000-0005-0000-0000-0000494A0000}"/>
    <cellStyle name="Финансовый 2 3 2 6 7 2 3 2" xfId="39273" xr:uid="{00000000-0005-0000-0000-00004A4A0000}"/>
    <cellStyle name="Финансовый 2 3 2 6 7 2 4" xfId="27296" xr:uid="{00000000-0005-0000-0000-00004B4A0000}"/>
    <cellStyle name="Финансовый 2 3 2 6 7 2 5" xfId="50565" xr:uid="{00000000-0005-0000-0000-00004C4A0000}"/>
    <cellStyle name="Финансовый 2 3 2 6 7 3" xfId="5122" xr:uid="{00000000-0005-0000-0000-00004D4A0000}"/>
    <cellStyle name="Финансовый 2 3 2 6 7 3 2" xfId="17100" xr:uid="{00000000-0005-0000-0000-00004E4A0000}"/>
    <cellStyle name="Финансовый 2 3 2 6 7 3 2 2" xfId="41055" xr:uid="{00000000-0005-0000-0000-00004F4A0000}"/>
    <cellStyle name="Финансовый 2 3 2 6 7 3 3" xfId="29077" xr:uid="{00000000-0005-0000-0000-0000504A0000}"/>
    <cellStyle name="Финансовый 2 3 2 6 7 4" xfId="7732" xr:uid="{00000000-0005-0000-0000-0000514A0000}"/>
    <cellStyle name="Финансовый 2 3 2 6 7 4 2" xfId="19710" xr:uid="{00000000-0005-0000-0000-0000524A0000}"/>
    <cellStyle name="Финансовый 2 3 2 6 7 4 2 2" xfId="43665" xr:uid="{00000000-0005-0000-0000-0000534A0000}"/>
    <cellStyle name="Финансовый 2 3 2 6 7 4 3" xfId="31687" xr:uid="{00000000-0005-0000-0000-0000544A0000}"/>
    <cellStyle name="Финансовый 2 3 2 6 7 5" xfId="9515" xr:uid="{00000000-0005-0000-0000-0000554A0000}"/>
    <cellStyle name="Финансовый 2 3 2 6 7 5 2" xfId="21493" xr:uid="{00000000-0005-0000-0000-0000564A0000}"/>
    <cellStyle name="Финансовый 2 3 2 6 7 5 2 2" xfId="45448" xr:uid="{00000000-0005-0000-0000-0000574A0000}"/>
    <cellStyle name="Финансовый 2 3 2 6 7 5 3" xfId="33470" xr:uid="{00000000-0005-0000-0000-0000584A0000}"/>
    <cellStyle name="Финансовый 2 3 2 6 7 6" xfId="13673" xr:uid="{00000000-0005-0000-0000-0000594A0000}"/>
    <cellStyle name="Финансовый 2 3 2 6 7 6 2" xfId="37628" xr:uid="{00000000-0005-0000-0000-00005A4A0000}"/>
    <cellStyle name="Финансовый 2 3 2 6 7 7" xfId="25651" xr:uid="{00000000-0005-0000-0000-00005B4A0000}"/>
    <cellStyle name="Финансовый 2 3 2 6 7 8" xfId="48784" xr:uid="{00000000-0005-0000-0000-00005C4A0000}"/>
    <cellStyle name="Финансовый 2 3 2 6 8" xfId="971" xr:uid="{00000000-0005-0000-0000-00005D4A0000}"/>
    <cellStyle name="Финансовый 2 3 2 6 8 2" xfId="7011" xr:uid="{00000000-0005-0000-0000-00005E4A0000}"/>
    <cellStyle name="Финансовый 2 3 2 6 8 2 2" xfId="18989" xr:uid="{00000000-0005-0000-0000-00005F4A0000}"/>
    <cellStyle name="Финансовый 2 3 2 6 8 2 2 2" xfId="42944" xr:uid="{00000000-0005-0000-0000-0000604A0000}"/>
    <cellStyle name="Финансовый 2 3 2 6 8 2 3" xfId="30966" xr:uid="{00000000-0005-0000-0000-0000614A0000}"/>
    <cellStyle name="Финансовый 2 3 2 6 8 3" xfId="10559" xr:uid="{00000000-0005-0000-0000-0000624A0000}"/>
    <cellStyle name="Финансовый 2 3 2 6 8 3 2" xfId="22537" xr:uid="{00000000-0005-0000-0000-0000634A0000}"/>
    <cellStyle name="Финансовый 2 3 2 6 8 3 2 2" xfId="46492" xr:uid="{00000000-0005-0000-0000-0000644A0000}"/>
    <cellStyle name="Финансовый 2 3 2 6 8 3 3" xfId="34514" xr:uid="{00000000-0005-0000-0000-0000654A0000}"/>
    <cellStyle name="Финансовый 2 3 2 6 8 4" xfId="12952" xr:uid="{00000000-0005-0000-0000-0000664A0000}"/>
    <cellStyle name="Финансовый 2 3 2 6 8 4 2" xfId="36907" xr:uid="{00000000-0005-0000-0000-0000674A0000}"/>
    <cellStyle name="Финансовый 2 3 2 6 8 5" xfId="24930" xr:uid="{00000000-0005-0000-0000-0000684A0000}"/>
    <cellStyle name="Финансовый 2 3 2 6 8 6" xfId="49836" xr:uid="{00000000-0005-0000-0000-0000694A0000}"/>
    <cellStyle name="Финансовый 2 3 2 6 9" xfId="559" xr:uid="{00000000-0005-0000-0000-00006A4A0000}"/>
    <cellStyle name="Финансовый 2 3 2 6 9 2" xfId="6599" xr:uid="{00000000-0005-0000-0000-00006B4A0000}"/>
    <cellStyle name="Финансовый 2 3 2 6 9 2 2" xfId="18577" xr:uid="{00000000-0005-0000-0000-00006C4A0000}"/>
    <cellStyle name="Финансовый 2 3 2 6 9 2 2 2" xfId="42532" xr:uid="{00000000-0005-0000-0000-00006D4A0000}"/>
    <cellStyle name="Финансовый 2 3 2 6 9 2 3" xfId="30554" xr:uid="{00000000-0005-0000-0000-00006E4A0000}"/>
    <cellStyle name="Финансовый 2 3 2 6 9 3" xfId="12540" xr:uid="{00000000-0005-0000-0000-00006F4A0000}"/>
    <cellStyle name="Финансовый 2 3 2 6 9 3 2" xfId="36495" xr:uid="{00000000-0005-0000-0000-0000704A0000}"/>
    <cellStyle name="Финансовый 2 3 2 6 9 4" xfId="24518" xr:uid="{00000000-0005-0000-0000-0000714A0000}"/>
    <cellStyle name="Финансовый 2 3 2 7" xfId="36" xr:uid="{00000000-0005-0000-0000-0000724A0000}"/>
    <cellStyle name="Финансовый 2 3 2 7 10" xfId="2648" xr:uid="{00000000-0005-0000-0000-0000734A0000}"/>
    <cellStyle name="Финансовый 2 3 2 7 10 2" xfId="14627" xr:uid="{00000000-0005-0000-0000-0000744A0000}"/>
    <cellStyle name="Финансовый 2 3 2 7 10 2 2" xfId="38582" xr:uid="{00000000-0005-0000-0000-0000754A0000}"/>
    <cellStyle name="Финансовый 2 3 2 7 10 3" xfId="26605" xr:uid="{00000000-0005-0000-0000-0000764A0000}"/>
    <cellStyle name="Финансовый 2 3 2 7 11" xfId="4291" xr:uid="{00000000-0005-0000-0000-0000774A0000}"/>
    <cellStyle name="Финансовый 2 3 2 7 11 2" xfId="16270" xr:uid="{00000000-0005-0000-0000-0000784A0000}"/>
    <cellStyle name="Финансовый 2 3 2 7 11 2 2" xfId="40225" xr:uid="{00000000-0005-0000-0000-0000794A0000}"/>
    <cellStyle name="Финансовый 2 3 2 7 11 3" xfId="28248" xr:uid="{00000000-0005-0000-0000-00007A4A0000}"/>
    <cellStyle name="Финансовый 2 3 2 7 12" xfId="6079" xr:uid="{00000000-0005-0000-0000-00007B4A0000}"/>
    <cellStyle name="Финансовый 2 3 2 7 12 2" xfId="18057" xr:uid="{00000000-0005-0000-0000-00007C4A0000}"/>
    <cellStyle name="Финансовый 2 3 2 7 12 2 2" xfId="42012" xr:uid="{00000000-0005-0000-0000-00007D4A0000}"/>
    <cellStyle name="Финансовый 2 3 2 7 12 3" xfId="30034" xr:uid="{00000000-0005-0000-0000-00007E4A0000}"/>
    <cellStyle name="Финансовый 2 3 2 7 13" xfId="8686" xr:uid="{00000000-0005-0000-0000-00007F4A0000}"/>
    <cellStyle name="Финансовый 2 3 2 7 13 2" xfId="20664" xr:uid="{00000000-0005-0000-0000-0000804A0000}"/>
    <cellStyle name="Финансовый 2 3 2 7 13 2 2" xfId="44619" xr:uid="{00000000-0005-0000-0000-0000814A0000}"/>
    <cellStyle name="Финансовый 2 3 2 7 13 3" xfId="32641" xr:uid="{00000000-0005-0000-0000-0000824A0000}"/>
    <cellStyle name="Финансовый 2 3 2 7 14" xfId="12020" xr:uid="{00000000-0005-0000-0000-0000834A0000}"/>
    <cellStyle name="Финансовый 2 3 2 7 14 2" xfId="35975" xr:uid="{00000000-0005-0000-0000-0000844A0000}"/>
    <cellStyle name="Финансовый 2 3 2 7 15" xfId="23998" xr:uid="{00000000-0005-0000-0000-0000854A0000}"/>
    <cellStyle name="Финансовый 2 3 2 7 16" xfId="47956" xr:uid="{00000000-0005-0000-0000-0000864A0000}"/>
    <cellStyle name="Финансовый 2 3 2 7 2" xfId="174" xr:uid="{00000000-0005-0000-0000-0000874A0000}"/>
    <cellStyle name="Финансовый 2 3 2 7 2 10" xfId="8822" xr:uid="{00000000-0005-0000-0000-0000884A0000}"/>
    <cellStyle name="Финансовый 2 3 2 7 2 10 2" xfId="20800" xr:uid="{00000000-0005-0000-0000-0000894A0000}"/>
    <cellStyle name="Финансовый 2 3 2 7 2 10 2 2" xfId="44755" xr:uid="{00000000-0005-0000-0000-00008A4A0000}"/>
    <cellStyle name="Финансовый 2 3 2 7 2 10 3" xfId="32777" xr:uid="{00000000-0005-0000-0000-00008B4A0000}"/>
    <cellStyle name="Финансовый 2 3 2 7 2 11" xfId="12156" xr:uid="{00000000-0005-0000-0000-00008C4A0000}"/>
    <cellStyle name="Финансовый 2 3 2 7 2 11 2" xfId="36111" xr:uid="{00000000-0005-0000-0000-00008D4A0000}"/>
    <cellStyle name="Финансовый 2 3 2 7 2 12" xfId="24134" xr:uid="{00000000-0005-0000-0000-00008E4A0000}"/>
    <cellStyle name="Финансовый 2 3 2 7 2 13" xfId="48092" xr:uid="{00000000-0005-0000-0000-00008F4A0000}"/>
    <cellStyle name="Финансовый 2 3 2 7 2 2" xfId="1272" xr:uid="{00000000-0005-0000-0000-0000904A0000}"/>
    <cellStyle name="Финансовый 2 3 2 7 2 2 2" xfId="2238" xr:uid="{00000000-0005-0000-0000-0000914A0000}"/>
    <cellStyle name="Финансовый 2 3 2 7 2 2 2 2" xfId="3883" xr:uid="{00000000-0005-0000-0000-0000924A0000}"/>
    <cellStyle name="Финансовый 2 3 2 7 2 2 2 2 2" xfId="11623" xr:uid="{00000000-0005-0000-0000-0000934A0000}"/>
    <cellStyle name="Финансовый 2 3 2 7 2 2 2 2 2 2" xfId="23601" xr:uid="{00000000-0005-0000-0000-0000944A0000}"/>
    <cellStyle name="Финансовый 2 3 2 7 2 2 2 2 2 2 2" xfId="47556" xr:uid="{00000000-0005-0000-0000-0000954A0000}"/>
    <cellStyle name="Финансовый 2 3 2 7 2 2 2 2 2 3" xfId="35578" xr:uid="{00000000-0005-0000-0000-0000964A0000}"/>
    <cellStyle name="Финансовый 2 3 2 7 2 2 2 2 3" xfId="15862" xr:uid="{00000000-0005-0000-0000-0000974A0000}"/>
    <cellStyle name="Финансовый 2 3 2 7 2 2 2 2 3 2" xfId="39817" xr:uid="{00000000-0005-0000-0000-0000984A0000}"/>
    <cellStyle name="Финансовый 2 3 2 7 2 2 2 2 4" xfId="27840" xr:uid="{00000000-0005-0000-0000-0000994A0000}"/>
    <cellStyle name="Финансовый 2 3 2 7 2 2 2 2 5" xfId="51109" xr:uid="{00000000-0005-0000-0000-00009A4A0000}"/>
    <cellStyle name="Финансовый 2 3 2 7 2 2 2 3" xfId="5666" xr:uid="{00000000-0005-0000-0000-00009B4A0000}"/>
    <cellStyle name="Финансовый 2 3 2 7 2 2 2 3 2" xfId="17644" xr:uid="{00000000-0005-0000-0000-00009C4A0000}"/>
    <cellStyle name="Финансовый 2 3 2 7 2 2 2 3 2 2" xfId="41599" xr:uid="{00000000-0005-0000-0000-00009D4A0000}"/>
    <cellStyle name="Финансовый 2 3 2 7 2 2 2 3 3" xfId="29621" xr:uid="{00000000-0005-0000-0000-00009E4A0000}"/>
    <cellStyle name="Финансовый 2 3 2 7 2 2 2 4" xfId="8276" xr:uid="{00000000-0005-0000-0000-00009F4A0000}"/>
    <cellStyle name="Финансовый 2 3 2 7 2 2 2 4 2" xfId="20254" xr:uid="{00000000-0005-0000-0000-0000A04A0000}"/>
    <cellStyle name="Финансовый 2 3 2 7 2 2 2 4 2 2" xfId="44209" xr:uid="{00000000-0005-0000-0000-0000A14A0000}"/>
    <cellStyle name="Финансовый 2 3 2 7 2 2 2 4 3" xfId="32231" xr:uid="{00000000-0005-0000-0000-0000A24A0000}"/>
    <cellStyle name="Финансовый 2 3 2 7 2 2 2 5" xfId="10059" xr:uid="{00000000-0005-0000-0000-0000A34A0000}"/>
    <cellStyle name="Финансовый 2 3 2 7 2 2 2 5 2" xfId="22037" xr:uid="{00000000-0005-0000-0000-0000A44A0000}"/>
    <cellStyle name="Финансовый 2 3 2 7 2 2 2 5 2 2" xfId="45992" xr:uid="{00000000-0005-0000-0000-0000A54A0000}"/>
    <cellStyle name="Финансовый 2 3 2 7 2 2 2 5 3" xfId="34014" xr:uid="{00000000-0005-0000-0000-0000A64A0000}"/>
    <cellStyle name="Финансовый 2 3 2 7 2 2 2 6" xfId="14217" xr:uid="{00000000-0005-0000-0000-0000A74A0000}"/>
    <cellStyle name="Финансовый 2 3 2 7 2 2 2 6 2" xfId="38172" xr:uid="{00000000-0005-0000-0000-0000A84A0000}"/>
    <cellStyle name="Финансовый 2 3 2 7 2 2 2 7" xfId="26195" xr:uid="{00000000-0005-0000-0000-0000A94A0000}"/>
    <cellStyle name="Финансовый 2 3 2 7 2 2 2 8" xfId="49328" xr:uid="{00000000-0005-0000-0000-0000AA4A0000}"/>
    <cellStyle name="Финансовый 2 3 2 7 2 2 3" xfId="3056" xr:uid="{00000000-0005-0000-0000-0000AB4A0000}"/>
    <cellStyle name="Финансовый 2 3 2 7 2 2 3 2" xfId="10851" xr:uid="{00000000-0005-0000-0000-0000AC4A0000}"/>
    <cellStyle name="Финансовый 2 3 2 7 2 2 3 2 2" xfId="22829" xr:uid="{00000000-0005-0000-0000-0000AD4A0000}"/>
    <cellStyle name="Финансовый 2 3 2 7 2 2 3 2 2 2" xfId="46784" xr:uid="{00000000-0005-0000-0000-0000AE4A0000}"/>
    <cellStyle name="Финансовый 2 3 2 7 2 2 3 2 3" xfId="34806" xr:uid="{00000000-0005-0000-0000-0000AF4A0000}"/>
    <cellStyle name="Финансовый 2 3 2 7 2 2 3 3" xfId="15035" xr:uid="{00000000-0005-0000-0000-0000B04A0000}"/>
    <cellStyle name="Финансовый 2 3 2 7 2 2 3 3 2" xfId="38990" xr:uid="{00000000-0005-0000-0000-0000B14A0000}"/>
    <cellStyle name="Финансовый 2 3 2 7 2 2 3 4" xfId="27013" xr:uid="{00000000-0005-0000-0000-0000B24A0000}"/>
    <cellStyle name="Финансовый 2 3 2 7 2 2 3 5" xfId="50144" xr:uid="{00000000-0005-0000-0000-0000B34A0000}"/>
    <cellStyle name="Финансовый 2 3 2 7 2 2 4" xfId="4700" xr:uid="{00000000-0005-0000-0000-0000B44A0000}"/>
    <cellStyle name="Финансовый 2 3 2 7 2 2 4 2" xfId="16679" xr:uid="{00000000-0005-0000-0000-0000B54A0000}"/>
    <cellStyle name="Финансовый 2 3 2 7 2 2 4 2 2" xfId="40634" xr:uid="{00000000-0005-0000-0000-0000B64A0000}"/>
    <cellStyle name="Финансовый 2 3 2 7 2 2 4 3" xfId="28657" xr:uid="{00000000-0005-0000-0000-0000B74A0000}"/>
    <cellStyle name="Финансовый 2 3 2 7 2 2 5" xfId="7312" xr:uid="{00000000-0005-0000-0000-0000B84A0000}"/>
    <cellStyle name="Финансовый 2 3 2 7 2 2 5 2" xfId="19290" xr:uid="{00000000-0005-0000-0000-0000B94A0000}"/>
    <cellStyle name="Финансовый 2 3 2 7 2 2 5 2 2" xfId="43245" xr:uid="{00000000-0005-0000-0000-0000BA4A0000}"/>
    <cellStyle name="Финансовый 2 3 2 7 2 2 5 3" xfId="31267" xr:uid="{00000000-0005-0000-0000-0000BB4A0000}"/>
    <cellStyle name="Финансовый 2 3 2 7 2 2 6" xfId="9094" xr:uid="{00000000-0005-0000-0000-0000BC4A0000}"/>
    <cellStyle name="Финансовый 2 3 2 7 2 2 6 2" xfId="21072" xr:uid="{00000000-0005-0000-0000-0000BD4A0000}"/>
    <cellStyle name="Финансовый 2 3 2 7 2 2 6 2 2" xfId="45027" xr:uid="{00000000-0005-0000-0000-0000BE4A0000}"/>
    <cellStyle name="Финансовый 2 3 2 7 2 2 6 3" xfId="33049" xr:uid="{00000000-0005-0000-0000-0000BF4A0000}"/>
    <cellStyle name="Финансовый 2 3 2 7 2 2 7" xfId="13253" xr:uid="{00000000-0005-0000-0000-0000C04A0000}"/>
    <cellStyle name="Финансовый 2 3 2 7 2 2 7 2" xfId="37208" xr:uid="{00000000-0005-0000-0000-0000C14A0000}"/>
    <cellStyle name="Финансовый 2 3 2 7 2 2 8" xfId="25231" xr:uid="{00000000-0005-0000-0000-0000C24A0000}"/>
    <cellStyle name="Финансовый 2 3 2 7 2 2 9" xfId="48364" xr:uid="{00000000-0005-0000-0000-0000C34A0000}"/>
    <cellStyle name="Финансовый 2 3 2 7 2 3" xfId="1982" xr:uid="{00000000-0005-0000-0000-0000C44A0000}"/>
    <cellStyle name="Финансовый 2 3 2 7 2 3 2" xfId="3627" xr:uid="{00000000-0005-0000-0000-0000C54A0000}"/>
    <cellStyle name="Финансовый 2 3 2 7 2 3 2 2" xfId="11367" xr:uid="{00000000-0005-0000-0000-0000C64A0000}"/>
    <cellStyle name="Финансовый 2 3 2 7 2 3 2 2 2" xfId="23345" xr:uid="{00000000-0005-0000-0000-0000C74A0000}"/>
    <cellStyle name="Финансовый 2 3 2 7 2 3 2 2 2 2" xfId="47300" xr:uid="{00000000-0005-0000-0000-0000C84A0000}"/>
    <cellStyle name="Финансовый 2 3 2 7 2 3 2 2 3" xfId="35322" xr:uid="{00000000-0005-0000-0000-0000C94A0000}"/>
    <cellStyle name="Финансовый 2 3 2 7 2 3 2 3" xfId="15606" xr:uid="{00000000-0005-0000-0000-0000CA4A0000}"/>
    <cellStyle name="Финансовый 2 3 2 7 2 3 2 3 2" xfId="39561" xr:uid="{00000000-0005-0000-0000-0000CB4A0000}"/>
    <cellStyle name="Финансовый 2 3 2 7 2 3 2 4" xfId="27584" xr:uid="{00000000-0005-0000-0000-0000CC4A0000}"/>
    <cellStyle name="Финансовый 2 3 2 7 2 3 2 5" xfId="50853" xr:uid="{00000000-0005-0000-0000-0000CD4A0000}"/>
    <cellStyle name="Финансовый 2 3 2 7 2 3 3" xfId="5410" xr:uid="{00000000-0005-0000-0000-0000CE4A0000}"/>
    <cellStyle name="Финансовый 2 3 2 7 2 3 3 2" xfId="17388" xr:uid="{00000000-0005-0000-0000-0000CF4A0000}"/>
    <cellStyle name="Финансовый 2 3 2 7 2 3 3 2 2" xfId="41343" xr:uid="{00000000-0005-0000-0000-0000D04A0000}"/>
    <cellStyle name="Финансовый 2 3 2 7 2 3 3 3" xfId="29365" xr:uid="{00000000-0005-0000-0000-0000D14A0000}"/>
    <cellStyle name="Финансовый 2 3 2 7 2 3 4" xfId="8020" xr:uid="{00000000-0005-0000-0000-0000D24A0000}"/>
    <cellStyle name="Финансовый 2 3 2 7 2 3 4 2" xfId="19998" xr:uid="{00000000-0005-0000-0000-0000D34A0000}"/>
    <cellStyle name="Финансовый 2 3 2 7 2 3 4 2 2" xfId="43953" xr:uid="{00000000-0005-0000-0000-0000D44A0000}"/>
    <cellStyle name="Финансовый 2 3 2 7 2 3 4 3" xfId="31975" xr:uid="{00000000-0005-0000-0000-0000D54A0000}"/>
    <cellStyle name="Финансовый 2 3 2 7 2 3 5" xfId="9803" xr:uid="{00000000-0005-0000-0000-0000D64A0000}"/>
    <cellStyle name="Финансовый 2 3 2 7 2 3 5 2" xfId="21781" xr:uid="{00000000-0005-0000-0000-0000D74A0000}"/>
    <cellStyle name="Финансовый 2 3 2 7 2 3 5 2 2" xfId="45736" xr:uid="{00000000-0005-0000-0000-0000D84A0000}"/>
    <cellStyle name="Финансовый 2 3 2 7 2 3 5 3" xfId="33758" xr:uid="{00000000-0005-0000-0000-0000D94A0000}"/>
    <cellStyle name="Финансовый 2 3 2 7 2 3 6" xfId="13961" xr:uid="{00000000-0005-0000-0000-0000DA4A0000}"/>
    <cellStyle name="Финансовый 2 3 2 7 2 3 6 2" xfId="37916" xr:uid="{00000000-0005-0000-0000-0000DB4A0000}"/>
    <cellStyle name="Финансовый 2 3 2 7 2 3 7" xfId="25939" xr:uid="{00000000-0005-0000-0000-0000DC4A0000}"/>
    <cellStyle name="Финансовый 2 3 2 7 2 3 8" xfId="49072" xr:uid="{00000000-0005-0000-0000-0000DD4A0000}"/>
    <cellStyle name="Финансовый 2 3 2 7 2 4" xfId="2503" xr:uid="{00000000-0005-0000-0000-0000DE4A0000}"/>
    <cellStyle name="Финансовый 2 3 2 7 2 4 2" xfId="4148" xr:uid="{00000000-0005-0000-0000-0000DF4A0000}"/>
    <cellStyle name="Финансовый 2 3 2 7 2 4 2 2" xfId="11880" xr:uid="{00000000-0005-0000-0000-0000E04A0000}"/>
    <cellStyle name="Финансовый 2 3 2 7 2 4 2 2 2" xfId="23858" xr:uid="{00000000-0005-0000-0000-0000E14A0000}"/>
    <cellStyle name="Финансовый 2 3 2 7 2 4 2 2 2 2" xfId="47813" xr:uid="{00000000-0005-0000-0000-0000E24A0000}"/>
    <cellStyle name="Финансовый 2 3 2 7 2 4 2 2 3" xfId="35835" xr:uid="{00000000-0005-0000-0000-0000E34A0000}"/>
    <cellStyle name="Финансовый 2 3 2 7 2 4 2 3" xfId="16127" xr:uid="{00000000-0005-0000-0000-0000E44A0000}"/>
    <cellStyle name="Финансовый 2 3 2 7 2 4 2 3 2" xfId="40082" xr:uid="{00000000-0005-0000-0000-0000E54A0000}"/>
    <cellStyle name="Финансовый 2 3 2 7 2 4 2 4" xfId="28105" xr:uid="{00000000-0005-0000-0000-0000E64A0000}"/>
    <cellStyle name="Финансовый 2 3 2 7 2 4 2 5" xfId="51374" xr:uid="{00000000-0005-0000-0000-0000E74A0000}"/>
    <cellStyle name="Финансовый 2 3 2 7 2 4 3" xfId="5931" xr:uid="{00000000-0005-0000-0000-0000E84A0000}"/>
    <cellStyle name="Финансовый 2 3 2 7 2 4 3 2" xfId="17909" xr:uid="{00000000-0005-0000-0000-0000E94A0000}"/>
    <cellStyle name="Финансовый 2 3 2 7 2 4 3 2 2" xfId="41864" xr:uid="{00000000-0005-0000-0000-0000EA4A0000}"/>
    <cellStyle name="Финансовый 2 3 2 7 2 4 3 3" xfId="29886" xr:uid="{00000000-0005-0000-0000-0000EB4A0000}"/>
    <cellStyle name="Финансовый 2 3 2 7 2 4 4" xfId="8541" xr:uid="{00000000-0005-0000-0000-0000EC4A0000}"/>
    <cellStyle name="Финансовый 2 3 2 7 2 4 4 2" xfId="20519" xr:uid="{00000000-0005-0000-0000-0000ED4A0000}"/>
    <cellStyle name="Финансовый 2 3 2 7 2 4 4 2 2" xfId="44474" xr:uid="{00000000-0005-0000-0000-0000EE4A0000}"/>
    <cellStyle name="Финансовый 2 3 2 7 2 4 4 3" xfId="32496" xr:uid="{00000000-0005-0000-0000-0000EF4A0000}"/>
    <cellStyle name="Финансовый 2 3 2 7 2 4 5" xfId="10324" xr:uid="{00000000-0005-0000-0000-0000F04A0000}"/>
    <cellStyle name="Финансовый 2 3 2 7 2 4 5 2" xfId="22302" xr:uid="{00000000-0005-0000-0000-0000F14A0000}"/>
    <cellStyle name="Финансовый 2 3 2 7 2 4 5 2 2" xfId="46257" xr:uid="{00000000-0005-0000-0000-0000F24A0000}"/>
    <cellStyle name="Финансовый 2 3 2 7 2 4 5 3" xfId="34279" xr:uid="{00000000-0005-0000-0000-0000F34A0000}"/>
    <cellStyle name="Финансовый 2 3 2 7 2 4 6" xfId="14482" xr:uid="{00000000-0005-0000-0000-0000F44A0000}"/>
    <cellStyle name="Финансовый 2 3 2 7 2 4 6 2" xfId="38437" xr:uid="{00000000-0005-0000-0000-0000F54A0000}"/>
    <cellStyle name="Финансовый 2 3 2 7 2 4 7" xfId="26460" xr:uid="{00000000-0005-0000-0000-0000F64A0000}"/>
    <cellStyle name="Финансовый 2 3 2 7 2 4 8" xfId="49593" xr:uid="{00000000-0005-0000-0000-0000F74A0000}"/>
    <cellStyle name="Финансовый 2 3 2 7 2 5" xfId="1007" xr:uid="{00000000-0005-0000-0000-0000F84A0000}"/>
    <cellStyle name="Финансовый 2 3 2 7 2 5 2" xfId="7047" xr:uid="{00000000-0005-0000-0000-0000F94A0000}"/>
    <cellStyle name="Финансовый 2 3 2 7 2 5 2 2" xfId="19025" xr:uid="{00000000-0005-0000-0000-0000FA4A0000}"/>
    <cellStyle name="Финансовый 2 3 2 7 2 5 2 2 2" xfId="42980" xr:uid="{00000000-0005-0000-0000-0000FB4A0000}"/>
    <cellStyle name="Финансовый 2 3 2 7 2 5 2 3" xfId="31002" xr:uid="{00000000-0005-0000-0000-0000FC4A0000}"/>
    <cellStyle name="Финансовый 2 3 2 7 2 5 3" xfId="10595" xr:uid="{00000000-0005-0000-0000-0000FD4A0000}"/>
    <cellStyle name="Финансовый 2 3 2 7 2 5 3 2" xfId="22573" xr:uid="{00000000-0005-0000-0000-0000FE4A0000}"/>
    <cellStyle name="Финансовый 2 3 2 7 2 5 3 2 2" xfId="46528" xr:uid="{00000000-0005-0000-0000-0000FF4A0000}"/>
    <cellStyle name="Финансовый 2 3 2 7 2 5 3 3" xfId="34550" xr:uid="{00000000-0005-0000-0000-0000004B0000}"/>
    <cellStyle name="Финансовый 2 3 2 7 2 5 4" xfId="12988" xr:uid="{00000000-0005-0000-0000-0000014B0000}"/>
    <cellStyle name="Финансовый 2 3 2 7 2 5 4 2" xfId="36943" xr:uid="{00000000-0005-0000-0000-0000024B0000}"/>
    <cellStyle name="Финансовый 2 3 2 7 2 5 5" xfId="24966" xr:uid="{00000000-0005-0000-0000-0000034B0000}"/>
    <cellStyle name="Финансовый 2 3 2 7 2 5 6" xfId="49872" xr:uid="{00000000-0005-0000-0000-0000044B0000}"/>
    <cellStyle name="Финансовый 2 3 2 7 2 6" xfId="595" xr:uid="{00000000-0005-0000-0000-0000054B0000}"/>
    <cellStyle name="Финансовый 2 3 2 7 2 6 2" xfId="6635" xr:uid="{00000000-0005-0000-0000-0000064B0000}"/>
    <cellStyle name="Финансовый 2 3 2 7 2 6 2 2" xfId="18613" xr:uid="{00000000-0005-0000-0000-0000074B0000}"/>
    <cellStyle name="Финансовый 2 3 2 7 2 6 2 2 2" xfId="42568" xr:uid="{00000000-0005-0000-0000-0000084B0000}"/>
    <cellStyle name="Финансовый 2 3 2 7 2 6 2 3" xfId="30590" xr:uid="{00000000-0005-0000-0000-0000094B0000}"/>
    <cellStyle name="Финансовый 2 3 2 7 2 6 3" xfId="12576" xr:uid="{00000000-0005-0000-0000-00000A4B0000}"/>
    <cellStyle name="Финансовый 2 3 2 7 2 6 3 2" xfId="36531" xr:uid="{00000000-0005-0000-0000-00000B4B0000}"/>
    <cellStyle name="Финансовый 2 3 2 7 2 6 4" xfId="24554" xr:uid="{00000000-0005-0000-0000-00000C4B0000}"/>
    <cellStyle name="Финансовый 2 3 2 7 2 7" xfId="2784" xr:uid="{00000000-0005-0000-0000-00000D4B0000}"/>
    <cellStyle name="Финансовый 2 3 2 7 2 7 2" xfId="14763" xr:uid="{00000000-0005-0000-0000-00000E4B0000}"/>
    <cellStyle name="Финансовый 2 3 2 7 2 7 2 2" xfId="38718" xr:uid="{00000000-0005-0000-0000-00000F4B0000}"/>
    <cellStyle name="Финансовый 2 3 2 7 2 7 3" xfId="26741" xr:uid="{00000000-0005-0000-0000-0000104B0000}"/>
    <cellStyle name="Финансовый 2 3 2 7 2 8" xfId="4428" xr:uid="{00000000-0005-0000-0000-0000114B0000}"/>
    <cellStyle name="Финансовый 2 3 2 7 2 8 2" xfId="16407" xr:uid="{00000000-0005-0000-0000-0000124B0000}"/>
    <cellStyle name="Финансовый 2 3 2 7 2 8 2 2" xfId="40362" xr:uid="{00000000-0005-0000-0000-0000134B0000}"/>
    <cellStyle name="Финансовый 2 3 2 7 2 8 3" xfId="28385" xr:uid="{00000000-0005-0000-0000-0000144B0000}"/>
    <cellStyle name="Финансовый 2 3 2 7 2 9" xfId="6215" xr:uid="{00000000-0005-0000-0000-0000154B0000}"/>
    <cellStyle name="Финансовый 2 3 2 7 2 9 2" xfId="18193" xr:uid="{00000000-0005-0000-0000-0000164B0000}"/>
    <cellStyle name="Финансовый 2 3 2 7 2 9 2 2" xfId="42148" xr:uid="{00000000-0005-0000-0000-0000174B0000}"/>
    <cellStyle name="Финансовый 2 3 2 7 2 9 3" xfId="30170" xr:uid="{00000000-0005-0000-0000-0000184B0000}"/>
    <cellStyle name="Финансовый 2 3 2 7 3" xfId="323" xr:uid="{00000000-0005-0000-0000-0000194B0000}"/>
    <cellStyle name="Финансовый 2 3 2 7 3 10" xfId="24282" xr:uid="{00000000-0005-0000-0000-00001A4B0000}"/>
    <cellStyle name="Финансовый 2 3 2 7 3 11" xfId="48228" xr:uid="{00000000-0005-0000-0000-00001B4B0000}"/>
    <cellStyle name="Финансовый 2 3 2 7 3 2" xfId="2110" xr:uid="{00000000-0005-0000-0000-00001C4B0000}"/>
    <cellStyle name="Финансовый 2 3 2 7 3 2 2" xfId="3755" xr:uid="{00000000-0005-0000-0000-00001D4B0000}"/>
    <cellStyle name="Финансовый 2 3 2 7 3 2 2 2" xfId="11495" xr:uid="{00000000-0005-0000-0000-00001E4B0000}"/>
    <cellStyle name="Финансовый 2 3 2 7 3 2 2 2 2" xfId="23473" xr:uid="{00000000-0005-0000-0000-00001F4B0000}"/>
    <cellStyle name="Финансовый 2 3 2 7 3 2 2 2 2 2" xfId="47428" xr:uid="{00000000-0005-0000-0000-0000204B0000}"/>
    <cellStyle name="Финансовый 2 3 2 7 3 2 2 2 3" xfId="35450" xr:uid="{00000000-0005-0000-0000-0000214B0000}"/>
    <cellStyle name="Финансовый 2 3 2 7 3 2 2 3" xfId="15734" xr:uid="{00000000-0005-0000-0000-0000224B0000}"/>
    <cellStyle name="Финансовый 2 3 2 7 3 2 2 3 2" xfId="39689" xr:uid="{00000000-0005-0000-0000-0000234B0000}"/>
    <cellStyle name="Финансовый 2 3 2 7 3 2 2 4" xfId="27712" xr:uid="{00000000-0005-0000-0000-0000244B0000}"/>
    <cellStyle name="Финансовый 2 3 2 7 3 2 2 5" xfId="50981" xr:uid="{00000000-0005-0000-0000-0000254B0000}"/>
    <cellStyle name="Финансовый 2 3 2 7 3 2 3" xfId="5538" xr:uid="{00000000-0005-0000-0000-0000264B0000}"/>
    <cellStyle name="Финансовый 2 3 2 7 3 2 3 2" xfId="17516" xr:uid="{00000000-0005-0000-0000-0000274B0000}"/>
    <cellStyle name="Финансовый 2 3 2 7 3 2 3 2 2" xfId="41471" xr:uid="{00000000-0005-0000-0000-0000284B0000}"/>
    <cellStyle name="Финансовый 2 3 2 7 3 2 3 3" xfId="29493" xr:uid="{00000000-0005-0000-0000-0000294B0000}"/>
    <cellStyle name="Финансовый 2 3 2 7 3 2 4" xfId="8148" xr:uid="{00000000-0005-0000-0000-00002A4B0000}"/>
    <cellStyle name="Финансовый 2 3 2 7 3 2 4 2" xfId="20126" xr:uid="{00000000-0005-0000-0000-00002B4B0000}"/>
    <cellStyle name="Финансовый 2 3 2 7 3 2 4 2 2" xfId="44081" xr:uid="{00000000-0005-0000-0000-00002C4B0000}"/>
    <cellStyle name="Финансовый 2 3 2 7 3 2 4 3" xfId="32103" xr:uid="{00000000-0005-0000-0000-00002D4B0000}"/>
    <cellStyle name="Финансовый 2 3 2 7 3 2 5" xfId="9931" xr:uid="{00000000-0005-0000-0000-00002E4B0000}"/>
    <cellStyle name="Финансовый 2 3 2 7 3 2 5 2" xfId="21909" xr:uid="{00000000-0005-0000-0000-00002F4B0000}"/>
    <cellStyle name="Финансовый 2 3 2 7 3 2 5 2 2" xfId="45864" xr:uid="{00000000-0005-0000-0000-0000304B0000}"/>
    <cellStyle name="Финансовый 2 3 2 7 3 2 5 3" xfId="33886" xr:uid="{00000000-0005-0000-0000-0000314B0000}"/>
    <cellStyle name="Финансовый 2 3 2 7 3 2 6" xfId="14089" xr:uid="{00000000-0005-0000-0000-0000324B0000}"/>
    <cellStyle name="Финансовый 2 3 2 7 3 2 6 2" xfId="38044" xr:uid="{00000000-0005-0000-0000-0000334B0000}"/>
    <cellStyle name="Финансовый 2 3 2 7 3 2 7" xfId="26067" xr:uid="{00000000-0005-0000-0000-0000344B0000}"/>
    <cellStyle name="Финансовый 2 3 2 7 3 2 8" xfId="49200" xr:uid="{00000000-0005-0000-0000-0000354B0000}"/>
    <cellStyle name="Финансовый 2 3 2 7 3 3" xfId="1143" xr:uid="{00000000-0005-0000-0000-0000364B0000}"/>
    <cellStyle name="Финансовый 2 3 2 7 3 3 2" xfId="7183" xr:uid="{00000000-0005-0000-0000-0000374B0000}"/>
    <cellStyle name="Финансовый 2 3 2 7 3 3 2 2" xfId="19161" xr:uid="{00000000-0005-0000-0000-0000384B0000}"/>
    <cellStyle name="Финансовый 2 3 2 7 3 3 2 2 2" xfId="43116" xr:uid="{00000000-0005-0000-0000-0000394B0000}"/>
    <cellStyle name="Финансовый 2 3 2 7 3 3 2 3" xfId="31138" xr:uid="{00000000-0005-0000-0000-00003A4B0000}"/>
    <cellStyle name="Финансовый 2 3 2 7 3 3 3" xfId="10723" xr:uid="{00000000-0005-0000-0000-00003B4B0000}"/>
    <cellStyle name="Финансовый 2 3 2 7 3 3 3 2" xfId="22701" xr:uid="{00000000-0005-0000-0000-00003C4B0000}"/>
    <cellStyle name="Финансовый 2 3 2 7 3 3 3 2 2" xfId="46656" xr:uid="{00000000-0005-0000-0000-00003D4B0000}"/>
    <cellStyle name="Финансовый 2 3 2 7 3 3 3 3" xfId="34678" xr:uid="{00000000-0005-0000-0000-00003E4B0000}"/>
    <cellStyle name="Финансовый 2 3 2 7 3 3 4" xfId="13124" xr:uid="{00000000-0005-0000-0000-00003F4B0000}"/>
    <cellStyle name="Финансовый 2 3 2 7 3 3 4 2" xfId="37079" xr:uid="{00000000-0005-0000-0000-0000404B0000}"/>
    <cellStyle name="Финансовый 2 3 2 7 3 3 5" xfId="25102" xr:uid="{00000000-0005-0000-0000-0000414B0000}"/>
    <cellStyle name="Финансовый 2 3 2 7 3 3 6" xfId="50008" xr:uid="{00000000-0005-0000-0000-0000424B0000}"/>
    <cellStyle name="Финансовый 2 3 2 7 3 4" xfId="743" xr:uid="{00000000-0005-0000-0000-0000434B0000}"/>
    <cellStyle name="Финансовый 2 3 2 7 3 4 2" xfId="6783" xr:uid="{00000000-0005-0000-0000-0000444B0000}"/>
    <cellStyle name="Финансовый 2 3 2 7 3 4 2 2" xfId="18761" xr:uid="{00000000-0005-0000-0000-0000454B0000}"/>
    <cellStyle name="Финансовый 2 3 2 7 3 4 2 2 2" xfId="42716" xr:uid="{00000000-0005-0000-0000-0000464B0000}"/>
    <cellStyle name="Финансовый 2 3 2 7 3 4 2 3" xfId="30738" xr:uid="{00000000-0005-0000-0000-0000474B0000}"/>
    <cellStyle name="Финансовый 2 3 2 7 3 4 3" xfId="12724" xr:uid="{00000000-0005-0000-0000-0000484B0000}"/>
    <cellStyle name="Финансовый 2 3 2 7 3 4 3 2" xfId="36679" xr:uid="{00000000-0005-0000-0000-0000494B0000}"/>
    <cellStyle name="Финансовый 2 3 2 7 3 4 4" xfId="24702" xr:uid="{00000000-0005-0000-0000-00004A4B0000}"/>
    <cellStyle name="Финансовый 2 3 2 7 3 5" xfId="2920" xr:uid="{00000000-0005-0000-0000-00004B4B0000}"/>
    <cellStyle name="Финансовый 2 3 2 7 3 5 2" xfId="14899" xr:uid="{00000000-0005-0000-0000-00004C4B0000}"/>
    <cellStyle name="Финансовый 2 3 2 7 3 5 2 2" xfId="38854" xr:uid="{00000000-0005-0000-0000-00004D4B0000}"/>
    <cellStyle name="Финансовый 2 3 2 7 3 5 3" xfId="26877" xr:uid="{00000000-0005-0000-0000-00004E4B0000}"/>
    <cellStyle name="Финансовый 2 3 2 7 3 6" xfId="4564" xr:uid="{00000000-0005-0000-0000-00004F4B0000}"/>
    <cellStyle name="Финансовый 2 3 2 7 3 6 2" xfId="16543" xr:uid="{00000000-0005-0000-0000-0000504B0000}"/>
    <cellStyle name="Финансовый 2 3 2 7 3 6 2 2" xfId="40498" xr:uid="{00000000-0005-0000-0000-0000514B0000}"/>
    <cellStyle name="Финансовый 2 3 2 7 3 6 3" xfId="28521" xr:uid="{00000000-0005-0000-0000-0000524B0000}"/>
    <cellStyle name="Финансовый 2 3 2 7 3 7" xfId="6363" xr:uid="{00000000-0005-0000-0000-0000534B0000}"/>
    <cellStyle name="Финансовый 2 3 2 7 3 7 2" xfId="18341" xr:uid="{00000000-0005-0000-0000-0000544B0000}"/>
    <cellStyle name="Финансовый 2 3 2 7 3 7 2 2" xfId="42296" xr:uid="{00000000-0005-0000-0000-0000554B0000}"/>
    <cellStyle name="Финансовый 2 3 2 7 3 7 3" xfId="30318" xr:uid="{00000000-0005-0000-0000-0000564B0000}"/>
    <cellStyle name="Финансовый 2 3 2 7 3 8" xfId="8958" xr:uid="{00000000-0005-0000-0000-0000574B0000}"/>
    <cellStyle name="Финансовый 2 3 2 7 3 8 2" xfId="20936" xr:uid="{00000000-0005-0000-0000-0000584B0000}"/>
    <cellStyle name="Финансовый 2 3 2 7 3 8 2 2" xfId="44891" xr:uid="{00000000-0005-0000-0000-0000594B0000}"/>
    <cellStyle name="Финансовый 2 3 2 7 3 8 3" xfId="32913" xr:uid="{00000000-0005-0000-0000-00005A4B0000}"/>
    <cellStyle name="Финансовый 2 3 2 7 3 9" xfId="12304" xr:uid="{00000000-0005-0000-0000-00005B4B0000}"/>
    <cellStyle name="Финансовый 2 3 2 7 3 9 2" xfId="36259" xr:uid="{00000000-0005-0000-0000-00005C4B0000}"/>
    <cellStyle name="Финансовый 2 3 2 7 4" xfId="1456" xr:uid="{00000000-0005-0000-0000-00005D4B0000}"/>
    <cellStyle name="Финансовый 2 3 2 7 4 2" xfId="1846" xr:uid="{00000000-0005-0000-0000-00005E4B0000}"/>
    <cellStyle name="Финансовый 2 3 2 7 4 2 2" xfId="3491" xr:uid="{00000000-0005-0000-0000-00005F4B0000}"/>
    <cellStyle name="Финансовый 2 3 2 7 4 2 2 2" xfId="11239" xr:uid="{00000000-0005-0000-0000-0000604B0000}"/>
    <cellStyle name="Финансовый 2 3 2 7 4 2 2 2 2" xfId="23217" xr:uid="{00000000-0005-0000-0000-0000614B0000}"/>
    <cellStyle name="Финансовый 2 3 2 7 4 2 2 2 2 2" xfId="47172" xr:uid="{00000000-0005-0000-0000-0000624B0000}"/>
    <cellStyle name="Финансовый 2 3 2 7 4 2 2 2 3" xfId="35194" xr:uid="{00000000-0005-0000-0000-0000634B0000}"/>
    <cellStyle name="Финансовый 2 3 2 7 4 2 2 3" xfId="15470" xr:uid="{00000000-0005-0000-0000-0000644B0000}"/>
    <cellStyle name="Финансовый 2 3 2 7 4 2 2 3 2" xfId="39425" xr:uid="{00000000-0005-0000-0000-0000654B0000}"/>
    <cellStyle name="Финансовый 2 3 2 7 4 2 2 4" xfId="27448" xr:uid="{00000000-0005-0000-0000-0000664B0000}"/>
    <cellStyle name="Финансовый 2 3 2 7 4 2 2 5" xfId="50717" xr:uid="{00000000-0005-0000-0000-0000674B0000}"/>
    <cellStyle name="Финансовый 2 3 2 7 4 2 3" xfId="5274" xr:uid="{00000000-0005-0000-0000-0000684B0000}"/>
    <cellStyle name="Финансовый 2 3 2 7 4 2 3 2" xfId="17252" xr:uid="{00000000-0005-0000-0000-0000694B0000}"/>
    <cellStyle name="Финансовый 2 3 2 7 4 2 3 2 2" xfId="41207" xr:uid="{00000000-0005-0000-0000-00006A4B0000}"/>
    <cellStyle name="Финансовый 2 3 2 7 4 2 3 3" xfId="29229" xr:uid="{00000000-0005-0000-0000-00006B4B0000}"/>
    <cellStyle name="Финансовый 2 3 2 7 4 2 4" xfId="7884" xr:uid="{00000000-0005-0000-0000-00006C4B0000}"/>
    <cellStyle name="Финансовый 2 3 2 7 4 2 4 2" xfId="19862" xr:uid="{00000000-0005-0000-0000-00006D4B0000}"/>
    <cellStyle name="Финансовый 2 3 2 7 4 2 4 2 2" xfId="43817" xr:uid="{00000000-0005-0000-0000-00006E4B0000}"/>
    <cellStyle name="Финансовый 2 3 2 7 4 2 4 3" xfId="31839" xr:uid="{00000000-0005-0000-0000-00006F4B0000}"/>
    <cellStyle name="Финансовый 2 3 2 7 4 2 5" xfId="9667" xr:uid="{00000000-0005-0000-0000-0000704B0000}"/>
    <cellStyle name="Финансовый 2 3 2 7 4 2 5 2" xfId="21645" xr:uid="{00000000-0005-0000-0000-0000714B0000}"/>
    <cellStyle name="Финансовый 2 3 2 7 4 2 5 2 2" xfId="45600" xr:uid="{00000000-0005-0000-0000-0000724B0000}"/>
    <cellStyle name="Финансовый 2 3 2 7 4 2 5 3" xfId="33622" xr:uid="{00000000-0005-0000-0000-0000734B0000}"/>
    <cellStyle name="Финансовый 2 3 2 7 4 2 6" xfId="13825" xr:uid="{00000000-0005-0000-0000-0000744B0000}"/>
    <cellStyle name="Финансовый 2 3 2 7 4 2 6 2" xfId="37780" xr:uid="{00000000-0005-0000-0000-0000754B0000}"/>
    <cellStyle name="Финансовый 2 3 2 7 4 2 7" xfId="25803" xr:uid="{00000000-0005-0000-0000-0000764B0000}"/>
    <cellStyle name="Финансовый 2 3 2 7 4 2 8" xfId="48936" xr:uid="{00000000-0005-0000-0000-0000774B0000}"/>
    <cellStyle name="Финансовый 2 3 2 7 4 3" xfId="4884" xr:uid="{00000000-0005-0000-0000-0000784B0000}"/>
    <cellStyle name="Финансовый 2 3 2 7 4 3 2" xfId="16862" xr:uid="{00000000-0005-0000-0000-0000794B0000}"/>
    <cellStyle name="Финансовый 2 3 2 7 4 3 2 2" xfId="40817" xr:uid="{00000000-0005-0000-0000-00007A4B0000}"/>
    <cellStyle name="Финансовый 2 3 2 7 4 3 3" xfId="28839" xr:uid="{00000000-0005-0000-0000-00007B4B0000}"/>
    <cellStyle name="Финансовый 2 3 2 7 4 3 4" xfId="50327" xr:uid="{00000000-0005-0000-0000-00007C4B0000}"/>
    <cellStyle name="Финансовый 2 3 2 7 4 4" xfId="7494" xr:uid="{00000000-0005-0000-0000-00007D4B0000}"/>
    <cellStyle name="Финансовый 2 3 2 7 4 4 2" xfId="19472" xr:uid="{00000000-0005-0000-0000-00007E4B0000}"/>
    <cellStyle name="Финансовый 2 3 2 7 4 4 2 2" xfId="43427" xr:uid="{00000000-0005-0000-0000-00007F4B0000}"/>
    <cellStyle name="Финансовый 2 3 2 7 4 4 3" xfId="31449" xr:uid="{00000000-0005-0000-0000-0000804B0000}"/>
    <cellStyle name="Финансовый 2 3 2 7 4 5" xfId="9277" xr:uid="{00000000-0005-0000-0000-0000814B0000}"/>
    <cellStyle name="Финансовый 2 3 2 7 4 5 2" xfId="21255" xr:uid="{00000000-0005-0000-0000-0000824B0000}"/>
    <cellStyle name="Финансовый 2 3 2 7 4 5 2 2" xfId="45210" xr:uid="{00000000-0005-0000-0000-0000834B0000}"/>
    <cellStyle name="Финансовый 2 3 2 7 4 5 3" xfId="33232" xr:uid="{00000000-0005-0000-0000-0000844B0000}"/>
    <cellStyle name="Финансовый 2 3 2 7 4 6" xfId="13435" xr:uid="{00000000-0005-0000-0000-0000854B0000}"/>
    <cellStyle name="Финансовый 2 3 2 7 4 6 2" xfId="37390" xr:uid="{00000000-0005-0000-0000-0000864B0000}"/>
    <cellStyle name="Финансовый 2 3 2 7 4 7" xfId="25413" xr:uid="{00000000-0005-0000-0000-0000874B0000}"/>
    <cellStyle name="Финансовый 2 3 2 7 4 8" xfId="48546" xr:uid="{00000000-0005-0000-0000-0000884B0000}"/>
    <cellStyle name="Финансовый 2 3 2 7 5" xfId="1730" xr:uid="{00000000-0005-0000-0000-0000894B0000}"/>
    <cellStyle name="Финансовый 2 3 2 7 5 2" xfId="3375" xr:uid="{00000000-0005-0000-0000-00008A4B0000}"/>
    <cellStyle name="Финансовый 2 3 2 7 5 2 2" xfId="11123" xr:uid="{00000000-0005-0000-0000-00008B4B0000}"/>
    <cellStyle name="Финансовый 2 3 2 7 5 2 2 2" xfId="23101" xr:uid="{00000000-0005-0000-0000-00008C4B0000}"/>
    <cellStyle name="Финансовый 2 3 2 7 5 2 2 2 2" xfId="47056" xr:uid="{00000000-0005-0000-0000-00008D4B0000}"/>
    <cellStyle name="Финансовый 2 3 2 7 5 2 2 3" xfId="35078" xr:uid="{00000000-0005-0000-0000-00008E4B0000}"/>
    <cellStyle name="Финансовый 2 3 2 7 5 2 3" xfId="15354" xr:uid="{00000000-0005-0000-0000-00008F4B0000}"/>
    <cellStyle name="Финансовый 2 3 2 7 5 2 3 2" xfId="39309" xr:uid="{00000000-0005-0000-0000-0000904B0000}"/>
    <cellStyle name="Финансовый 2 3 2 7 5 2 4" xfId="27332" xr:uid="{00000000-0005-0000-0000-0000914B0000}"/>
    <cellStyle name="Финансовый 2 3 2 7 5 2 5" xfId="50601" xr:uid="{00000000-0005-0000-0000-0000924B0000}"/>
    <cellStyle name="Финансовый 2 3 2 7 5 3" xfId="5158" xr:uid="{00000000-0005-0000-0000-0000934B0000}"/>
    <cellStyle name="Финансовый 2 3 2 7 5 3 2" xfId="17136" xr:uid="{00000000-0005-0000-0000-0000944B0000}"/>
    <cellStyle name="Финансовый 2 3 2 7 5 3 2 2" xfId="41091" xr:uid="{00000000-0005-0000-0000-0000954B0000}"/>
    <cellStyle name="Финансовый 2 3 2 7 5 3 3" xfId="29113" xr:uid="{00000000-0005-0000-0000-0000964B0000}"/>
    <cellStyle name="Финансовый 2 3 2 7 5 4" xfId="7768" xr:uid="{00000000-0005-0000-0000-0000974B0000}"/>
    <cellStyle name="Финансовый 2 3 2 7 5 4 2" xfId="19746" xr:uid="{00000000-0005-0000-0000-0000984B0000}"/>
    <cellStyle name="Финансовый 2 3 2 7 5 4 2 2" xfId="43701" xr:uid="{00000000-0005-0000-0000-0000994B0000}"/>
    <cellStyle name="Финансовый 2 3 2 7 5 4 3" xfId="31723" xr:uid="{00000000-0005-0000-0000-00009A4B0000}"/>
    <cellStyle name="Финансовый 2 3 2 7 5 5" xfId="9551" xr:uid="{00000000-0005-0000-0000-00009B4B0000}"/>
    <cellStyle name="Финансовый 2 3 2 7 5 5 2" xfId="21529" xr:uid="{00000000-0005-0000-0000-00009C4B0000}"/>
    <cellStyle name="Финансовый 2 3 2 7 5 5 2 2" xfId="45484" xr:uid="{00000000-0005-0000-0000-00009D4B0000}"/>
    <cellStyle name="Финансовый 2 3 2 7 5 5 3" xfId="33506" xr:uid="{00000000-0005-0000-0000-00009E4B0000}"/>
    <cellStyle name="Финансовый 2 3 2 7 5 6" xfId="13709" xr:uid="{00000000-0005-0000-0000-00009F4B0000}"/>
    <cellStyle name="Финансовый 2 3 2 7 5 6 2" xfId="37664" xr:uid="{00000000-0005-0000-0000-0000A04B0000}"/>
    <cellStyle name="Финансовый 2 3 2 7 5 7" xfId="25687" xr:uid="{00000000-0005-0000-0000-0000A14B0000}"/>
    <cellStyle name="Финансовый 2 3 2 7 5 8" xfId="48820" xr:uid="{00000000-0005-0000-0000-0000A24B0000}"/>
    <cellStyle name="Финансовый 2 3 2 7 6" xfId="2366" xr:uid="{00000000-0005-0000-0000-0000A34B0000}"/>
    <cellStyle name="Финансовый 2 3 2 7 6 2" xfId="4011" xr:uid="{00000000-0005-0000-0000-0000A44B0000}"/>
    <cellStyle name="Финансовый 2 3 2 7 6 2 2" xfId="11751" xr:uid="{00000000-0005-0000-0000-0000A54B0000}"/>
    <cellStyle name="Финансовый 2 3 2 7 6 2 2 2" xfId="23729" xr:uid="{00000000-0005-0000-0000-0000A64B0000}"/>
    <cellStyle name="Финансовый 2 3 2 7 6 2 2 2 2" xfId="47684" xr:uid="{00000000-0005-0000-0000-0000A74B0000}"/>
    <cellStyle name="Финансовый 2 3 2 7 6 2 2 3" xfId="35706" xr:uid="{00000000-0005-0000-0000-0000A84B0000}"/>
    <cellStyle name="Финансовый 2 3 2 7 6 2 3" xfId="15990" xr:uid="{00000000-0005-0000-0000-0000A94B0000}"/>
    <cellStyle name="Финансовый 2 3 2 7 6 2 3 2" xfId="39945" xr:uid="{00000000-0005-0000-0000-0000AA4B0000}"/>
    <cellStyle name="Финансовый 2 3 2 7 6 2 4" xfId="27968" xr:uid="{00000000-0005-0000-0000-0000AB4B0000}"/>
    <cellStyle name="Финансовый 2 3 2 7 6 2 5" xfId="51237" xr:uid="{00000000-0005-0000-0000-0000AC4B0000}"/>
    <cellStyle name="Финансовый 2 3 2 7 6 3" xfId="5794" xr:uid="{00000000-0005-0000-0000-0000AD4B0000}"/>
    <cellStyle name="Финансовый 2 3 2 7 6 3 2" xfId="17772" xr:uid="{00000000-0005-0000-0000-0000AE4B0000}"/>
    <cellStyle name="Финансовый 2 3 2 7 6 3 2 2" xfId="41727" xr:uid="{00000000-0005-0000-0000-0000AF4B0000}"/>
    <cellStyle name="Финансовый 2 3 2 7 6 3 3" xfId="29749" xr:uid="{00000000-0005-0000-0000-0000B04B0000}"/>
    <cellStyle name="Финансовый 2 3 2 7 6 4" xfId="8404" xr:uid="{00000000-0005-0000-0000-0000B14B0000}"/>
    <cellStyle name="Финансовый 2 3 2 7 6 4 2" xfId="20382" xr:uid="{00000000-0005-0000-0000-0000B24B0000}"/>
    <cellStyle name="Финансовый 2 3 2 7 6 4 2 2" xfId="44337" xr:uid="{00000000-0005-0000-0000-0000B34B0000}"/>
    <cellStyle name="Финансовый 2 3 2 7 6 4 3" xfId="32359" xr:uid="{00000000-0005-0000-0000-0000B44B0000}"/>
    <cellStyle name="Финансовый 2 3 2 7 6 5" xfId="10187" xr:uid="{00000000-0005-0000-0000-0000B54B0000}"/>
    <cellStyle name="Финансовый 2 3 2 7 6 5 2" xfId="22165" xr:uid="{00000000-0005-0000-0000-0000B64B0000}"/>
    <cellStyle name="Финансовый 2 3 2 7 6 5 2 2" xfId="46120" xr:uid="{00000000-0005-0000-0000-0000B74B0000}"/>
    <cellStyle name="Финансовый 2 3 2 7 6 5 3" xfId="34142" xr:uid="{00000000-0005-0000-0000-0000B84B0000}"/>
    <cellStyle name="Финансовый 2 3 2 7 6 6" xfId="14345" xr:uid="{00000000-0005-0000-0000-0000B94B0000}"/>
    <cellStyle name="Финансовый 2 3 2 7 6 6 2" xfId="38300" xr:uid="{00000000-0005-0000-0000-0000BA4B0000}"/>
    <cellStyle name="Финансовый 2 3 2 7 6 7" xfId="26323" xr:uid="{00000000-0005-0000-0000-0000BB4B0000}"/>
    <cellStyle name="Финансовый 2 3 2 7 6 8" xfId="49456" xr:uid="{00000000-0005-0000-0000-0000BC4B0000}"/>
    <cellStyle name="Финансовый 2 3 2 7 7" xfId="1593" xr:uid="{00000000-0005-0000-0000-0000BD4B0000}"/>
    <cellStyle name="Финансовый 2 3 2 7 7 2" xfId="3238" xr:uid="{00000000-0005-0000-0000-0000BE4B0000}"/>
    <cellStyle name="Финансовый 2 3 2 7 7 2 2" xfId="10994" xr:uid="{00000000-0005-0000-0000-0000BF4B0000}"/>
    <cellStyle name="Финансовый 2 3 2 7 7 2 2 2" xfId="22972" xr:uid="{00000000-0005-0000-0000-0000C04B0000}"/>
    <cellStyle name="Финансовый 2 3 2 7 7 2 2 2 2" xfId="46927" xr:uid="{00000000-0005-0000-0000-0000C14B0000}"/>
    <cellStyle name="Финансовый 2 3 2 7 7 2 2 3" xfId="34949" xr:uid="{00000000-0005-0000-0000-0000C24B0000}"/>
    <cellStyle name="Финансовый 2 3 2 7 7 2 3" xfId="15217" xr:uid="{00000000-0005-0000-0000-0000C34B0000}"/>
    <cellStyle name="Финансовый 2 3 2 7 7 2 3 2" xfId="39172" xr:uid="{00000000-0005-0000-0000-0000C44B0000}"/>
    <cellStyle name="Финансовый 2 3 2 7 7 2 4" xfId="27195" xr:uid="{00000000-0005-0000-0000-0000C54B0000}"/>
    <cellStyle name="Финансовый 2 3 2 7 7 2 5" xfId="50464" xr:uid="{00000000-0005-0000-0000-0000C64B0000}"/>
    <cellStyle name="Финансовый 2 3 2 7 7 3" xfId="5021" xr:uid="{00000000-0005-0000-0000-0000C74B0000}"/>
    <cellStyle name="Финансовый 2 3 2 7 7 3 2" xfId="16999" xr:uid="{00000000-0005-0000-0000-0000C84B0000}"/>
    <cellStyle name="Финансовый 2 3 2 7 7 3 2 2" xfId="40954" xr:uid="{00000000-0005-0000-0000-0000C94B0000}"/>
    <cellStyle name="Финансовый 2 3 2 7 7 3 3" xfId="28976" xr:uid="{00000000-0005-0000-0000-0000CA4B0000}"/>
    <cellStyle name="Финансовый 2 3 2 7 7 4" xfId="7631" xr:uid="{00000000-0005-0000-0000-0000CB4B0000}"/>
    <cellStyle name="Финансовый 2 3 2 7 7 4 2" xfId="19609" xr:uid="{00000000-0005-0000-0000-0000CC4B0000}"/>
    <cellStyle name="Финансовый 2 3 2 7 7 4 2 2" xfId="43564" xr:uid="{00000000-0005-0000-0000-0000CD4B0000}"/>
    <cellStyle name="Финансовый 2 3 2 7 7 4 3" xfId="31586" xr:uid="{00000000-0005-0000-0000-0000CE4B0000}"/>
    <cellStyle name="Финансовый 2 3 2 7 7 5" xfId="9414" xr:uid="{00000000-0005-0000-0000-0000CF4B0000}"/>
    <cellStyle name="Финансовый 2 3 2 7 7 5 2" xfId="21392" xr:uid="{00000000-0005-0000-0000-0000D04B0000}"/>
    <cellStyle name="Финансовый 2 3 2 7 7 5 2 2" xfId="45347" xr:uid="{00000000-0005-0000-0000-0000D14B0000}"/>
    <cellStyle name="Финансовый 2 3 2 7 7 5 3" xfId="33369" xr:uid="{00000000-0005-0000-0000-0000D24B0000}"/>
    <cellStyle name="Финансовый 2 3 2 7 7 6" xfId="13572" xr:uid="{00000000-0005-0000-0000-0000D34B0000}"/>
    <cellStyle name="Финансовый 2 3 2 7 7 6 2" xfId="37527" xr:uid="{00000000-0005-0000-0000-0000D44B0000}"/>
    <cellStyle name="Финансовый 2 3 2 7 7 7" xfId="25550" xr:uid="{00000000-0005-0000-0000-0000D54B0000}"/>
    <cellStyle name="Финансовый 2 3 2 7 7 8" xfId="48683" xr:uid="{00000000-0005-0000-0000-0000D64B0000}"/>
    <cellStyle name="Финансовый 2 3 2 7 8" xfId="879" xr:uid="{00000000-0005-0000-0000-0000D74B0000}"/>
    <cellStyle name="Финансовый 2 3 2 7 8 2" xfId="6919" xr:uid="{00000000-0005-0000-0000-0000D84B0000}"/>
    <cellStyle name="Финансовый 2 3 2 7 8 2 2" xfId="18897" xr:uid="{00000000-0005-0000-0000-0000D94B0000}"/>
    <cellStyle name="Финансовый 2 3 2 7 8 2 2 2" xfId="42852" xr:uid="{00000000-0005-0000-0000-0000DA4B0000}"/>
    <cellStyle name="Финансовый 2 3 2 7 8 2 3" xfId="30874" xr:uid="{00000000-0005-0000-0000-0000DB4B0000}"/>
    <cellStyle name="Финансовый 2 3 2 7 8 3" xfId="10467" xr:uid="{00000000-0005-0000-0000-0000DC4B0000}"/>
    <cellStyle name="Финансовый 2 3 2 7 8 3 2" xfId="22445" xr:uid="{00000000-0005-0000-0000-0000DD4B0000}"/>
    <cellStyle name="Финансовый 2 3 2 7 8 3 2 2" xfId="46400" xr:uid="{00000000-0005-0000-0000-0000DE4B0000}"/>
    <cellStyle name="Финансовый 2 3 2 7 8 3 3" xfId="34422" xr:uid="{00000000-0005-0000-0000-0000DF4B0000}"/>
    <cellStyle name="Финансовый 2 3 2 7 8 4" xfId="12860" xr:uid="{00000000-0005-0000-0000-0000E04B0000}"/>
    <cellStyle name="Финансовый 2 3 2 7 8 4 2" xfId="36815" xr:uid="{00000000-0005-0000-0000-0000E14B0000}"/>
    <cellStyle name="Финансовый 2 3 2 7 8 5" xfId="24838" xr:uid="{00000000-0005-0000-0000-0000E24B0000}"/>
    <cellStyle name="Финансовый 2 3 2 7 8 6" xfId="49736" xr:uid="{00000000-0005-0000-0000-0000E34B0000}"/>
    <cellStyle name="Финансовый 2 3 2 7 9" xfId="459" xr:uid="{00000000-0005-0000-0000-0000E44B0000}"/>
    <cellStyle name="Финансовый 2 3 2 7 9 2" xfId="6499" xr:uid="{00000000-0005-0000-0000-0000E54B0000}"/>
    <cellStyle name="Финансовый 2 3 2 7 9 2 2" xfId="18477" xr:uid="{00000000-0005-0000-0000-0000E64B0000}"/>
    <cellStyle name="Финансовый 2 3 2 7 9 2 2 2" xfId="42432" xr:uid="{00000000-0005-0000-0000-0000E74B0000}"/>
    <cellStyle name="Финансовый 2 3 2 7 9 2 3" xfId="30454" xr:uid="{00000000-0005-0000-0000-0000E84B0000}"/>
    <cellStyle name="Финансовый 2 3 2 7 9 3" xfId="12440" xr:uid="{00000000-0005-0000-0000-0000E94B0000}"/>
    <cellStyle name="Финансовый 2 3 2 7 9 3 2" xfId="36395" xr:uid="{00000000-0005-0000-0000-0000EA4B0000}"/>
    <cellStyle name="Финансовый 2 3 2 7 9 4" xfId="24418" xr:uid="{00000000-0005-0000-0000-0000EB4B0000}"/>
    <cellStyle name="Финансовый 2 3 2 8" xfId="24" xr:uid="{00000000-0005-0000-0000-0000EC4B0000}"/>
    <cellStyle name="Финансовый 2 3 2 8 10" xfId="2636" xr:uid="{00000000-0005-0000-0000-0000ED4B0000}"/>
    <cellStyle name="Финансовый 2 3 2 8 10 2" xfId="14615" xr:uid="{00000000-0005-0000-0000-0000EE4B0000}"/>
    <cellStyle name="Финансовый 2 3 2 8 10 2 2" xfId="38570" xr:uid="{00000000-0005-0000-0000-0000EF4B0000}"/>
    <cellStyle name="Финансовый 2 3 2 8 10 3" xfId="26593" xr:uid="{00000000-0005-0000-0000-0000F04B0000}"/>
    <cellStyle name="Финансовый 2 3 2 8 11" xfId="4279" xr:uid="{00000000-0005-0000-0000-0000F14B0000}"/>
    <cellStyle name="Финансовый 2 3 2 8 11 2" xfId="16258" xr:uid="{00000000-0005-0000-0000-0000F24B0000}"/>
    <cellStyle name="Финансовый 2 3 2 8 11 2 2" xfId="40213" xr:uid="{00000000-0005-0000-0000-0000F34B0000}"/>
    <cellStyle name="Финансовый 2 3 2 8 11 3" xfId="28236" xr:uid="{00000000-0005-0000-0000-0000F44B0000}"/>
    <cellStyle name="Финансовый 2 3 2 8 12" xfId="6067" xr:uid="{00000000-0005-0000-0000-0000F54B0000}"/>
    <cellStyle name="Финансовый 2 3 2 8 12 2" xfId="18045" xr:uid="{00000000-0005-0000-0000-0000F64B0000}"/>
    <cellStyle name="Финансовый 2 3 2 8 12 2 2" xfId="42000" xr:uid="{00000000-0005-0000-0000-0000F74B0000}"/>
    <cellStyle name="Финансовый 2 3 2 8 12 3" xfId="30022" xr:uid="{00000000-0005-0000-0000-0000F84B0000}"/>
    <cellStyle name="Финансовый 2 3 2 8 13" xfId="8674" xr:uid="{00000000-0005-0000-0000-0000F94B0000}"/>
    <cellStyle name="Финансовый 2 3 2 8 13 2" xfId="20652" xr:uid="{00000000-0005-0000-0000-0000FA4B0000}"/>
    <cellStyle name="Финансовый 2 3 2 8 13 2 2" xfId="44607" xr:uid="{00000000-0005-0000-0000-0000FB4B0000}"/>
    <cellStyle name="Финансовый 2 3 2 8 13 3" xfId="32629" xr:uid="{00000000-0005-0000-0000-0000FC4B0000}"/>
    <cellStyle name="Финансовый 2 3 2 8 14" xfId="12008" xr:uid="{00000000-0005-0000-0000-0000FD4B0000}"/>
    <cellStyle name="Финансовый 2 3 2 8 14 2" xfId="35963" xr:uid="{00000000-0005-0000-0000-0000FE4B0000}"/>
    <cellStyle name="Финансовый 2 3 2 8 15" xfId="23986" xr:uid="{00000000-0005-0000-0000-0000FF4B0000}"/>
    <cellStyle name="Финансовый 2 3 2 8 16" xfId="47944" xr:uid="{00000000-0005-0000-0000-0000004C0000}"/>
    <cellStyle name="Финансовый 2 3 2 8 2" xfId="162" xr:uid="{00000000-0005-0000-0000-0000014C0000}"/>
    <cellStyle name="Финансовый 2 3 2 8 2 10" xfId="8810" xr:uid="{00000000-0005-0000-0000-0000024C0000}"/>
    <cellStyle name="Финансовый 2 3 2 8 2 10 2" xfId="20788" xr:uid="{00000000-0005-0000-0000-0000034C0000}"/>
    <cellStyle name="Финансовый 2 3 2 8 2 10 2 2" xfId="44743" xr:uid="{00000000-0005-0000-0000-0000044C0000}"/>
    <cellStyle name="Финансовый 2 3 2 8 2 10 3" xfId="32765" xr:uid="{00000000-0005-0000-0000-0000054C0000}"/>
    <cellStyle name="Финансовый 2 3 2 8 2 11" xfId="12144" xr:uid="{00000000-0005-0000-0000-0000064C0000}"/>
    <cellStyle name="Финансовый 2 3 2 8 2 11 2" xfId="36099" xr:uid="{00000000-0005-0000-0000-0000074C0000}"/>
    <cellStyle name="Финансовый 2 3 2 8 2 12" xfId="24122" xr:uid="{00000000-0005-0000-0000-0000084C0000}"/>
    <cellStyle name="Финансовый 2 3 2 8 2 13" xfId="48080" xr:uid="{00000000-0005-0000-0000-0000094C0000}"/>
    <cellStyle name="Финансовый 2 3 2 8 2 2" xfId="1260" xr:uid="{00000000-0005-0000-0000-00000A4C0000}"/>
    <cellStyle name="Финансовый 2 3 2 8 2 2 2" xfId="2226" xr:uid="{00000000-0005-0000-0000-00000B4C0000}"/>
    <cellStyle name="Финансовый 2 3 2 8 2 2 2 2" xfId="3871" xr:uid="{00000000-0005-0000-0000-00000C4C0000}"/>
    <cellStyle name="Финансовый 2 3 2 8 2 2 2 2 2" xfId="11611" xr:uid="{00000000-0005-0000-0000-00000D4C0000}"/>
    <cellStyle name="Финансовый 2 3 2 8 2 2 2 2 2 2" xfId="23589" xr:uid="{00000000-0005-0000-0000-00000E4C0000}"/>
    <cellStyle name="Финансовый 2 3 2 8 2 2 2 2 2 2 2" xfId="47544" xr:uid="{00000000-0005-0000-0000-00000F4C0000}"/>
    <cellStyle name="Финансовый 2 3 2 8 2 2 2 2 2 3" xfId="35566" xr:uid="{00000000-0005-0000-0000-0000104C0000}"/>
    <cellStyle name="Финансовый 2 3 2 8 2 2 2 2 3" xfId="15850" xr:uid="{00000000-0005-0000-0000-0000114C0000}"/>
    <cellStyle name="Финансовый 2 3 2 8 2 2 2 2 3 2" xfId="39805" xr:uid="{00000000-0005-0000-0000-0000124C0000}"/>
    <cellStyle name="Финансовый 2 3 2 8 2 2 2 2 4" xfId="27828" xr:uid="{00000000-0005-0000-0000-0000134C0000}"/>
    <cellStyle name="Финансовый 2 3 2 8 2 2 2 2 5" xfId="51097" xr:uid="{00000000-0005-0000-0000-0000144C0000}"/>
    <cellStyle name="Финансовый 2 3 2 8 2 2 2 3" xfId="5654" xr:uid="{00000000-0005-0000-0000-0000154C0000}"/>
    <cellStyle name="Финансовый 2 3 2 8 2 2 2 3 2" xfId="17632" xr:uid="{00000000-0005-0000-0000-0000164C0000}"/>
    <cellStyle name="Финансовый 2 3 2 8 2 2 2 3 2 2" xfId="41587" xr:uid="{00000000-0005-0000-0000-0000174C0000}"/>
    <cellStyle name="Финансовый 2 3 2 8 2 2 2 3 3" xfId="29609" xr:uid="{00000000-0005-0000-0000-0000184C0000}"/>
    <cellStyle name="Финансовый 2 3 2 8 2 2 2 4" xfId="8264" xr:uid="{00000000-0005-0000-0000-0000194C0000}"/>
    <cellStyle name="Финансовый 2 3 2 8 2 2 2 4 2" xfId="20242" xr:uid="{00000000-0005-0000-0000-00001A4C0000}"/>
    <cellStyle name="Финансовый 2 3 2 8 2 2 2 4 2 2" xfId="44197" xr:uid="{00000000-0005-0000-0000-00001B4C0000}"/>
    <cellStyle name="Финансовый 2 3 2 8 2 2 2 4 3" xfId="32219" xr:uid="{00000000-0005-0000-0000-00001C4C0000}"/>
    <cellStyle name="Финансовый 2 3 2 8 2 2 2 5" xfId="10047" xr:uid="{00000000-0005-0000-0000-00001D4C0000}"/>
    <cellStyle name="Финансовый 2 3 2 8 2 2 2 5 2" xfId="22025" xr:uid="{00000000-0005-0000-0000-00001E4C0000}"/>
    <cellStyle name="Финансовый 2 3 2 8 2 2 2 5 2 2" xfId="45980" xr:uid="{00000000-0005-0000-0000-00001F4C0000}"/>
    <cellStyle name="Финансовый 2 3 2 8 2 2 2 5 3" xfId="34002" xr:uid="{00000000-0005-0000-0000-0000204C0000}"/>
    <cellStyle name="Финансовый 2 3 2 8 2 2 2 6" xfId="14205" xr:uid="{00000000-0005-0000-0000-0000214C0000}"/>
    <cellStyle name="Финансовый 2 3 2 8 2 2 2 6 2" xfId="38160" xr:uid="{00000000-0005-0000-0000-0000224C0000}"/>
    <cellStyle name="Финансовый 2 3 2 8 2 2 2 7" xfId="26183" xr:uid="{00000000-0005-0000-0000-0000234C0000}"/>
    <cellStyle name="Финансовый 2 3 2 8 2 2 2 8" xfId="49316" xr:uid="{00000000-0005-0000-0000-0000244C0000}"/>
    <cellStyle name="Финансовый 2 3 2 8 2 2 3" xfId="3044" xr:uid="{00000000-0005-0000-0000-0000254C0000}"/>
    <cellStyle name="Финансовый 2 3 2 8 2 2 3 2" xfId="10839" xr:uid="{00000000-0005-0000-0000-0000264C0000}"/>
    <cellStyle name="Финансовый 2 3 2 8 2 2 3 2 2" xfId="22817" xr:uid="{00000000-0005-0000-0000-0000274C0000}"/>
    <cellStyle name="Финансовый 2 3 2 8 2 2 3 2 2 2" xfId="46772" xr:uid="{00000000-0005-0000-0000-0000284C0000}"/>
    <cellStyle name="Финансовый 2 3 2 8 2 2 3 2 3" xfId="34794" xr:uid="{00000000-0005-0000-0000-0000294C0000}"/>
    <cellStyle name="Финансовый 2 3 2 8 2 2 3 3" xfId="15023" xr:uid="{00000000-0005-0000-0000-00002A4C0000}"/>
    <cellStyle name="Финансовый 2 3 2 8 2 2 3 3 2" xfId="38978" xr:uid="{00000000-0005-0000-0000-00002B4C0000}"/>
    <cellStyle name="Финансовый 2 3 2 8 2 2 3 4" xfId="27001" xr:uid="{00000000-0005-0000-0000-00002C4C0000}"/>
    <cellStyle name="Финансовый 2 3 2 8 2 2 3 5" xfId="50132" xr:uid="{00000000-0005-0000-0000-00002D4C0000}"/>
    <cellStyle name="Финансовый 2 3 2 8 2 2 4" xfId="4688" xr:uid="{00000000-0005-0000-0000-00002E4C0000}"/>
    <cellStyle name="Финансовый 2 3 2 8 2 2 4 2" xfId="16667" xr:uid="{00000000-0005-0000-0000-00002F4C0000}"/>
    <cellStyle name="Финансовый 2 3 2 8 2 2 4 2 2" xfId="40622" xr:uid="{00000000-0005-0000-0000-0000304C0000}"/>
    <cellStyle name="Финансовый 2 3 2 8 2 2 4 3" xfId="28645" xr:uid="{00000000-0005-0000-0000-0000314C0000}"/>
    <cellStyle name="Финансовый 2 3 2 8 2 2 5" xfId="7300" xr:uid="{00000000-0005-0000-0000-0000324C0000}"/>
    <cellStyle name="Финансовый 2 3 2 8 2 2 5 2" xfId="19278" xr:uid="{00000000-0005-0000-0000-0000334C0000}"/>
    <cellStyle name="Финансовый 2 3 2 8 2 2 5 2 2" xfId="43233" xr:uid="{00000000-0005-0000-0000-0000344C0000}"/>
    <cellStyle name="Финансовый 2 3 2 8 2 2 5 3" xfId="31255" xr:uid="{00000000-0005-0000-0000-0000354C0000}"/>
    <cellStyle name="Финансовый 2 3 2 8 2 2 6" xfId="9082" xr:uid="{00000000-0005-0000-0000-0000364C0000}"/>
    <cellStyle name="Финансовый 2 3 2 8 2 2 6 2" xfId="21060" xr:uid="{00000000-0005-0000-0000-0000374C0000}"/>
    <cellStyle name="Финансовый 2 3 2 8 2 2 6 2 2" xfId="45015" xr:uid="{00000000-0005-0000-0000-0000384C0000}"/>
    <cellStyle name="Финансовый 2 3 2 8 2 2 6 3" xfId="33037" xr:uid="{00000000-0005-0000-0000-0000394C0000}"/>
    <cellStyle name="Финансовый 2 3 2 8 2 2 7" xfId="13241" xr:uid="{00000000-0005-0000-0000-00003A4C0000}"/>
    <cellStyle name="Финансовый 2 3 2 8 2 2 7 2" xfId="37196" xr:uid="{00000000-0005-0000-0000-00003B4C0000}"/>
    <cellStyle name="Финансовый 2 3 2 8 2 2 8" xfId="25219" xr:uid="{00000000-0005-0000-0000-00003C4C0000}"/>
    <cellStyle name="Финансовый 2 3 2 8 2 2 9" xfId="48352" xr:uid="{00000000-0005-0000-0000-00003D4C0000}"/>
    <cellStyle name="Финансовый 2 3 2 8 2 3" xfId="1970" xr:uid="{00000000-0005-0000-0000-00003E4C0000}"/>
    <cellStyle name="Финансовый 2 3 2 8 2 3 2" xfId="3615" xr:uid="{00000000-0005-0000-0000-00003F4C0000}"/>
    <cellStyle name="Финансовый 2 3 2 8 2 3 2 2" xfId="11355" xr:uid="{00000000-0005-0000-0000-0000404C0000}"/>
    <cellStyle name="Финансовый 2 3 2 8 2 3 2 2 2" xfId="23333" xr:uid="{00000000-0005-0000-0000-0000414C0000}"/>
    <cellStyle name="Финансовый 2 3 2 8 2 3 2 2 2 2" xfId="47288" xr:uid="{00000000-0005-0000-0000-0000424C0000}"/>
    <cellStyle name="Финансовый 2 3 2 8 2 3 2 2 3" xfId="35310" xr:uid="{00000000-0005-0000-0000-0000434C0000}"/>
    <cellStyle name="Финансовый 2 3 2 8 2 3 2 3" xfId="15594" xr:uid="{00000000-0005-0000-0000-0000444C0000}"/>
    <cellStyle name="Финансовый 2 3 2 8 2 3 2 3 2" xfId="39549" xr:uid="{00000000-0005-0000-0000-0000454C0000}"/>
    <cellStyle name="Финансовый 2 3 2 8 2 3 2 4" xfId="27572" xr:uid="{00000000-0005-0000-0000-0000464C0000}"/>
    <cellStyle name="Финансовый 2 3 2 8 2 3 2 5" xfId="50841" xr:uid="{00000000-0005-0000-0000-0000474C0000}"/>
    <cellStyle name="Финансовый 2 3 2 8 2 3 3" xfId="5398" xr:uid="{00000000-0005-0000-0000-0000484C0000}"/>
    <cellStyle name="Финансовый 2 3 2 8 2 3 3 2" xfId="17376" xr:uid="{00000000-0005-0000-0000-0000494C0000}"/>
    <cellStyle name="Финансовый 2 3 2 8 2 3 3 2 2" xfId="41331" xr:uid="{00000000-0005-0000-0000-00004A4C0000}"/>
    <cellStyle name="Финансовый 2 3 2 8 2 3 3 3" xfId="29353" xr:uid="{00000000-0005-0000-0000-00004B4C0000}"/>
    <cellStyle name="Финансовый 2 3 2 8 2 3 4" xfId="8008" xr:uid="{00000000-0005-0000-0000-00004C4C0000}"/>
    <cellStyle name="Финансовый 2 3 2 8 2 3 4 2" xfId="19986" xr:uid="{00000000-0005-0000-0000-00004D4C0000}"/>
    <cellStyle name="Финансовый 2 3 2 8 2 3 4 2 2" xfId="43941" xr:uid="{00000000-0005-0000-0000-00004E4C0000}"/>
    <cellStyle name="Финансовый 2 3 2 8 2 3 4 3" xfId="31963" xr:uid="{00000000-0005-0000-0000-00004F4C0000}"/>
    <cellStyle name="Финансовый 2 3 2 8 2 3 5" xfId="9791" xr:uid="{00000000-0005-0000-0000-0000504C0000}"/>
    <cellStyle name="Финансовый 2 3 2 8 2 3 5 2" xfId="21769" xr:uid="{00000000-0005-0000-0000-0000514C0000}"/>
    <cellStyle name="Финансовый 2 3 2 8 2 3 5 2 2" xfId="45724" xr:uid="{00000000-0005-0000-0000-0000524C0000}"/>
    <cellStyle name="Финансовый 2 3 2 8 2 3 5 3" xfId="33746" xr:uid="{00000000-0005-0000-0000-0000534C0000}"/>
    <cellStyle name="Финансовый 2 3 2 8 2 3 6" xfId="13949" xr:uid="{00000000-0005-0000-0000-0000544C0000}"/>
    <cellStyle name="Финансовый 2 3 2 8 2 3 6 2" xfId="37904" xr:uid="{00000000-0005-0000-0000-0000554C0000}"/>
    <cellStyle name="Финансовый 2 3 2 8 2 3 7" xfId="25927" xr:uid="{00000000-0005-0000-0000-0000564C0000}"/>
    <cellStyle name="Финансовый 2 3 2 8 2 3 8" xfId="49060" xr:uid="{00000000-0005-0000-0000-0000574C0000}"/>
    <cellStyle name="Финансовый 2 3 2 8 2 4" xfId="2491" xr:uid="{00000000-0005-0000-0000-0000584C0000}"/>
    <cellStyle name="Финансовый 2 3 2 8 2 4 2" xfId="4136" xr:uid="{00000000-0005-0000-0000-0000594C0000}"/>
    <cellStyle name="Финансовый 2 3 2 8 2 4 2 2" xfId="11868" xr:uid="{00000000-0005-0000-0000-00005A4C0000}"/>
    <cellStyle name="Финансовый 2 3 2 8 2 4 2 2 2" xfId="23846" xr:uid="{00000000-0005-0000-0000-00005B4C0000}"/>
    <cellStyle name="Финансовый 2 3 2 8 2 4 2 2 2 2" xfId="47801" xr:uid="{00000000-0005-0000-0000-00005C4C0000}"/>
    <cellStyle name="Финансовый 2 3 2 8 2 4 2 2 3" xfId="35823" xr:uid="{00000000-0005-0000-0000-00005D4C0000}"/>
    <cellStyle name="Финансовый 2 3 2 8 2 4 2 3" xfId="16115" xr:uid="{00000000-0005-0000-0000-00005E4C0000}"/>
    <cellStyle name="Финансовый 2 3 2 8 2 4 2 3 2" xfId="40070" xr:uid="{00000000-0005-0000-0000-00005F4C0000}"/>
    <cellStyle name="Финансовый 2 3 2 8 2 4 2 4" xfId="28093" xr:uid="{00000000-0005-0000-0000-0000604C0000}"/>
    <cellStyle name="Финансовый 2 3 2 8 2 4 2 5" xfId="51362" xr:uid="{00000000-0005-0000-0000-0000614C0000}"/>
    <cellStyle name="Финансовый 2 3 2 8 2 4 3" xfId="5919" xr:uid="{00000000-0005-0000-0000-0000624C0000}"/>
    <cellStyle name="Финансовый 2 3 2 8 2 4 3 2" xfId="17897" xr:uid="{00000000-0005-0000-0000-0000634C0000}"/>
    <cellStyle name="Финансовый 2 3 2 8 2 4 3 2 2" xfId="41852" xr:uid="{00000000-0005-0000-0000-0000644C0000}"/>
    <cellStyle name="Финансовый 2 3 2 8 2 4 3 3" xfId="29874" xr:uid="{00000000-0005-0000-0000-0000654C0000}"/>
    <cellStyle name="Финансовый 2 3 2 8 2 4 4" xfId="8529" xr:uid="{00000000-0005-0000-0000-0000664C0000}"/>
    <cellStyle name="Финансовый 2 3 2 8 2 4 4 2" xfId="20507" xr:uid="{00000000-0005-0000-0000-0000674C0000}"/>
    <cellStyle name="Финансовый 2 3 2 8 2 4 4 2 2" xfId="44462" xr:uid="{00000000-0005-0000-0000-0000684C0000}"/>
    <cellStyle name="Финансовый 2 3 2 8 2 4 4 3" xfId="32484" xr:uid="{00000000-0005-0000-0000-0000694C0000}"/>
    <cellStyle name="Финансовый 2 3 2 8 2 4 5" xfId="10312" xr:uid="{00000000-0005-0000-0000-00006A4C0000}"/>
    <cellStyle name="Финансовый 2 3 2 8 2 4 5 2" xfId="22290" xr:uid="{00000000-0005-0000-0000-00006B4C0000}"/>
    <cellStyle name="Финансовый 2 3 2 8 2 4 5 2 2" xfId="46245" xr:uid="{00000000-0005-0000-0000-00006C4C0000}"/>
    <cellStyle name="Финансовый 2 3 2 8 2 4 5 3" xfId="34267" xr:uid="{00000000-0005-0000-0000-00006D4C0000}"/>
    <cellStyle name="Финансовый 2 3 2 8 2 4 6" xfId="14470" xr:uid="{00000000-0005-0000-0000-00006E4C0000}"/>
    <cellStyle name="Финансовый 2 3 2 8 2 4 6 2" xfId="38425" xr:uid="{00000000-0005-0000-0000-00006F4C0000}"/>
    <cellStyle name="Финансовый 2 3 2 8 2 4 7" xfId="26448" xr:uid="{00000000-0005-0000-0000-0000704C0000}"/>
    <cellStyle name="Финансовый 2 3 2 8 2 4 8" xfId="49581" xr:uid="{00000000-0005-0000-0000-0000714C0000}"/>
    <cellStyle name="Финансовый 2 3 2 8 2 5" xfId="995" xr:uid="{00000000-0005-0000-0000-0000724C0000}"/>
    <cellStyle name="Финансовый 2 3 2 8 2 5 2" xfId="7035" xr:uid="{00000000-0005-0000-0000-0000734C0000}"/>
    <cellStyle name="Финансовый 2 3 2 8 2 5 2 2" xfId="19013" xr:uid="{00000000-0005-0000-0000-0000744C0000}"/>
    <cellStyle name="Финансовый 2 3 2 8 2 5 2 2 2" xfId="42968" xr:uid="{00000000-0005-0000-0000-0000754C0000}"/>
    <cellStyle name="Финансовый 2 3 2 8 2 5 2 3" xfId="30990" xr:uid="{00000000-0005-0000-0000-0000764C0000}"/>
    <cellStyle name="Финансовый 2 3 2 8 2 5 3" xfId="10583" xr:uid="{00000000-0005-0000-0000-0000774C0000}"/>
    <cellStyle name="Финансовый 2 3 2 8 2 5 3 2" xfId="22561" xr:uid="{00000000-0005-0000-0000-0000784C0000}"/>
    <cellStyle name="Финансовый 2 3 2 8 2 5 3 2 2" xfId="46516" xr:uid="{00000000-0005-0000-0000-0000794C0000}"/>
    <cellStyle name="Финансовый 2 3 2 8 2 5 3 3" xfId="34538" xr:uid="{00000000-0005-0000-0000-00007A4C0000}"/>
    <cellStyle name="Финансовый 2 3 2 8 2 5 4" xfId="12976" xr:uid="{00000000-0005-0000-0000-00007B4C0000}"/>
    <cellStyle name="Финансовый 2 3 2 8 2 5 4 2" xfId="36931" xr:uid="{00000000-0005-0000-0000-00007C4C0000}"/>
    <cellStyle name="Финансовый 2 3 2 8 2 5 5" xfId="24954" xr:uid="{00000000-0005-0000-0000-00007D4C0000}"/>
    <cellStyle name="Финансовый 2 3 2 8 2 5 6" xfId="49860" xr:uid="{00000000-0005-0000-0000-00007E4C0000}"/>
    <cellStyle name="Финансовый 2 3 2 8 2 6" xfId="583" xr:uid="{00000000-0005-0000-0000-00007F4C0000}"/>
    <cellStyle name="Финансовый 2 3 2 8 2 6 2" xfId="6623" xr:uid="{00000000-0005-0000-0000-0000804C0000}"/>
    <cellStyle name="Финансовый 2 3 2 8 2 6 2 2" xfId="18601" xr:uid="{00000000-0005-0000-0000-0000814C0000}"/>
    <cellStyle name="Финансовый 2 3 2 8 2 6 2 2 2" xfId="42556" xr:uid="{00000000-0005-0000-0000-0000824C0000}"/>
    <cellStyle name="Финансовый 2 3 2 8 2 6 2 3" xfId="30578" xr:uid="{00000000-0005-0000-0000-0000834C0000}"/>
    <cellStyle name="Финансовый 2 3 2 8 2 6 3" xfId="12564" xr:uid="{00000000-0005-0000-0000-0000844C0000}"/>
    <cellStyle name="Финансовый 2 3 2 8 2 6 3 2" xfId="36519" xr:uid="{00000000-0005-0000-0000-0000854C0000}"/>
    <cellStyle name="Финансовый 2 3 2 8 2 6 4" xfId="24542" xr:uid="{00000000-0005-0000-0000-0000864C0000}"/>
    <cellStyle name="Финансовый 2 3 2 8 2 7" xfId="2772" xr:uid="{00000000-0005-0000-0000-0000874C0000}"/>
    <cellStyle name="Финансовый 2 3 2 8 2 7 2" xfId="14751" xr:uid="{00000000-0005-0000-0000-0000884C0000}"/>
    <cellStyle name="Финансовый 2 3 2 8 2 7 2 2" xfId="38706" xr:uid="{00000000-0005-0000-0000-0000894C0000}"/>
    <cellStyle name="Финансовый 2 3 2 8 2 7 3" xfId="26729" xr:uid="{00000000-0005-0000-0000-00008A4C0000}"/>
    <cellStyle name="Финансовый 2 3 2 8 2 8" xfId="4416" xr:uid="{00000000-0005-0000-0000-00008B4C0000}"/>
    <cellStyle name="Финансовый 2 3 2 8 2 8 2" xfId="16395" xr:uid="{00000000-0005-0000-0000-00008C4C0000}"/>
    <cellStyle name="Финансовый 2 3 2 8 2 8 2 2" xfId="40350" xr:uid="{00000000-0005-0000-0000-00008D4C0000}"/>
    <cellStyle name="Финансовый 2 3 2 8 2 8 3" xfId="28373" xr:uid="{00000000-0005-0000-0000-00008E4C0000}"/>
    <cellStyle name="Финансовый 2 3 2 8 2 9" xfId="6203" xr:uid="{00000000-0005-0000-0000-00008F4C0000}"/>
    <cellStyle name="Финансовый 2 3 2 8 2 9 2" xfId="18181" xr:uid="{00000000-0005-0000-0000-0000904C0000}"/>
    <cellStyle name="Финансовый 2 3 2 8 2 9 2 2" xfId="42136" xr:uid="{00000000-0005-0000-0000-0000914C0000}"/>
    <cellStyle name="Финансовый 2 3 2 8 2 9 3" xfId="30158" xr:uid="{00000000-0005-0000-0000-0000924C0000}"/>
    <cellStyle name="Финансовый 2 3 2 8 3" xfId="311" xr:uid="{00000000-0005-0000-0000-0000934C0000}"/>
    <cellStyle name="Финансовый 2 3 2 8 3 10" xfId="24270" xr:uid="{00000000-0005-0000-0000-0000944C0000}"/>
    <cellStyle name="Финансовый 2 3 2 8 3 11" xfId="48216" xr:uid="{00000000-0005-0000-0000-0000954C0000}"/>
    <cellStyle name="Финансовый 2 3 2 8 3 2" xfId="2098" xr:uid="{00000000-0005-0000-0000-0000964C0000}"/>
    <cellStyle name="Финансовый 2 3 2 8 3 2 2" xfId="3743" xr:uid="{00000000-0005-0000-0000-0000974C0000}"/>
    <cellStyle name="Финансовый 2 3 2 8 3 2 2 2" xfId="11483" xr:uid="{00000000-0005-0000-0000-0000984C0000}"/>
    <cellStyle name="Финансовый 2 3 2 8 3 2 2 2 2" xfId="23461" xr:uid="{00000000-0005-0000-0000-0000994C0000}"/>
    <cellStyle name="Финансовый 2 3 2 8 3 2 2 2 2 2" xfId="47416" xr:uid="{00000000-0005-0000-0000-00009A4C0000}"/>
    <cellStyle name="Финансовый 2 3 2 8 3 2 2 2 3" xfId="35438" xr:uid="{00000000-0005-0000-0000-00009B4C0000}"/>
    <cellStyle name="Финансовый 2 3 2 8 3 2 2 3" xfId="15722" xr:uid="{00000000-0005-0000-0000-00009C4C0000}"/>
    <cellStyle name="Финансовый 2 3 2 8 3 2 2 3 2" xfId="39677" xr:uid="{00000000-0005-0000-0000-00009D4C0000}"/>
    <cellStyle name="Финансовый 2 3 2 8 3 2 2 4" xfId="27700" xr:uid="{00000000-0005-0000-0000-00009E4C0000}"/>
    <cellStyle name="Финансовый 2 3 2 8 3 2 2 5" xfId="50969" xr:uid="{00000000-0005-0000-0000-00009F4C0000}"/>
    <cellStyle name="Финансовый 2 3 2 8 3 2 3" xfId="5526" xr:uid="{00000000-0005-0000-0000-0000A04C0000}"/>
    <cellStyle name="Финансовый 2 3 2 8 3 2 3 2" xfId="17504" xr:uid="{00000000-0005-0000-0000-0000A14C0000}"/>
    <cellStyle name="Финансовый 2 3 2 8 3 2 3 2 2" xfId="41459" xr:uid="{00000000-0005-0000-0000-0000A24C0000}"/>
    <cellStyle name="Финансовый 2 3 2 8 3 2 3 3" xfId="29481" xr:uid="{00000000-0005-0000-0000-0000A34C0000}"/>
    <cellStyle name="Финансовый 2 3 2 8 3 2 4" xfId="8136" xr:uid="{00000000-0005-0000-0000-0000A44C0000}"/>
    <cellStyle name="Финансовый 2 3 2 8 3 2 4 2" xfId="20114" xr:uid="{00000000-0005-0000-0000-0000A54C0000}"/>
    <cellStyle name="Финансовый 2 3 2 8 3 2 4 2 2" xfId="44069" xr:uid="{00000000-0005-0000-0000-0000A64C0000}"/>
    <cellStyle name="Финансовый 2 3 2 8 3 2 4 3" xfId="32091" xr:uid="{00000000-0005-0000-0000-0000A74C0000}"/>
    <cellStyle name="Финансовый 2 3 2 8 3 2 5" xfId="9919" xr:uid="{00000000-0005-0000-0000-0000A84C0000}"/>
    <cellStyle name="Финансовый 2 3 2 8 3 2 5 2" xfId="21897" xr:uid="{00000000-0005-0000-0000-0000A94C0000}"/>
    <cellStyle name="Финансовый 2 3 2 8 3 2 5 2 2" xfId="45852" xr:uid="{00000000-0005-0000-0000-0000AA4C0000}"/>
    <cellStyle name="Финансовый 2 3 2 8 3 2 5 3" xfId="33874" xr:uid="{00000000-0005-0000-0000-0000AB4C0000}"/>
    <cellStyle name="Финансовый 2 3 2 8 3 2 6" xfId="14077" xr:uid="{00000000-0005-0000-0000-0000AC4C0000}"/>
    <cellStyle name="Финансовый 2 3 2 8 3 2 6 2" xfId="38032" xr:uid="{00000000-0005-0000-0000-0000AD4C0000}"/>
    <cellStyle name="Финансовый 2 3 2 8 3 2 7" xfId="26055" xr:uid="{00000000-0005-0000-0000-0000AE4C0000}"/>
    <cellStyle name="Финансовый 2 3 2 8 3 2 8" xfId="49188" xr:uid="{00000000-0005-0000-0000-0000AF4C0000}"/>
    <cellStyle name="Финансовый 2 3 2 8 3 3" xfId="1131" xr:uid="{00000000-0005-0000-0000-0000B04C0000}"/>
    <cellStyle name="Финансовый 2 3 2 8 3 3 2" xfId="7171" xr:uid="{00000000-0005-0000-0000-0000B14C0000}"/>
    <cellStyle name="Финансовый 2 3 2 8 3 3 2 2" xfId="19149" xr:uid="{00000000-0005-0000-0000-0000B24C0000}"/>
    <cellStyle name="Финансовый 2 3 2 8 3 3 2 2 2" xfId="43104" xr:uid="{00000000-0005-0000-0000-0000B34C0000}"/>
    <cellStyle name="Финансовый 2 3 2 8 3 3 2 3" xfId="31126" xr:uid="{00000000-0005-0000-0000-0000B44C0000}"/>
    <cellStyle name="Финансовый 2 3 2 8 3 3 3" xfId="10711" xr:uid="{00000000-0005-0000-0000-0000B54C0000}"/>
    <cellStyle name="Финансовый 2 3 2 8 3 3 3 2" xfId="22689" xr:uid="{00000000-0005-0000-0000-0000B64C0000}"/>
    <cellStyle name="Финансовый 2 3 2 8 3 3 3 2 2" xfId="46644" xr:uid="{00000000-0005-0000-0000-0000B74C0000}"/>
    <cellStyle name="Финансовый 2 3 2 8 3 3 3 3" xfId="34666" xr:uid="{00000000-0005-0000-0000-0000B84C0000}"/>
    <cellStyle name="Финансовый 2 3 2 8 3 3 4" xfId="13112" xr:uid="{00000000-0005-0000-0000-0000B94C0000}"/>
    <cellStyle name="Финансовый 2 3 2 8 3 3 4 2" xfId="37067" xr:uid="{00000000-0005-0000-0000-0000BA4C0000}"/>
    <cellStyle name="Финансовый 2 3 2 8 3 3 5" xfId="25090" xr:uid="{00000000-0005-0000-0000-0000BB4C0000}"/>
    <cellStyle name="Финансовый 2 3 2 8 3 3 6" xfId="49996" xr:uid="{00000000-0005-0000-0000-0000BC4C0000}"/>
    <cellStyle name="Финансовый 2 3 2 8 3 4" xfId="731" xr:uid="{00000000-0005-0000-0000-0000BD4C0000}"/>
    <cellStyle name="Финансовый 2 3 2 8 3 4 2" xfId="6771" xr:uid="{00000000-0005-0000-0000-0000BE4C0000}"/>
    <cellStyle name="Финансовый 2 3 2 8 3 4 2 2" xfId="18749" xr:uid="{00000000-0005-0000-0000-0000BF4C0000}"/>
    <cellStyle name="Финансовый 2 3 2 8 3 4 2 2 2" xfId="42704" xr:uid="{00000000-0005-0000-0000-0000C04C0000}"/>
    <cellStyle name="Финансовый 2 3 2 8 3 4 2 3" xfId="30726" xr:uid="{00000000-0005-0000-0000-0000C14C0000}"/>
    <cellStyle name="Финансовый 2 3 2 8 3 4 3" xfId="12712" xr:uid="{00000000-0005-0000-0000-0000C24C0000}"/>
    <cellStyle name="Финансовый 2 3 2 8 3 4 3 2" xfId="36667" xr:uid="{00000000-0005-0000-0000-0000C34C0000}"/>
    <cellStyle name="Финансовый 2 3 2 8 3 4 4" xfId="24690" xr:uid="{00000000-0005-0000-0000-0000C44C0000}"/>
    <cellStyle name="Финансовый 2 3 2 8 3 5" xfId="2908" xr:uid="{00000000-0005-0000-0000-0000C54C0000}"/>
    <cellStyle name="Финансовый 2 3 2 8 3 5 2" xfId="14887" xr:uid="{00000000-0005-0000-0000-0000C64C0000}"/>
    <cellStyle name="Финансовый 2 3 2 8 3 5 2 2" xfId="38842" xr:uid="{00000000-0005-0000-0000-0000C74C0000}"/>
    <cellStyle name="Финансовый 2 3 2 8 3 5 3" xfId="26865" xr:uid="{00000000-0005-0000-0000-0000C84C0000}"/>
    <cellStyle name="Финансовый 2 3 2 8 3 6" xfId="4552" xr:uid="{00000000-0005-0000-0000-0000C94C0000}"/>
    <cellStyle name="Финансовый 2 3 2 8 3 6 2" xfId="16531" xr:uid="{00000000-0005-0000-0000-0000CA4C0000}"/>
    <cellStyle name="Финансовый 2 3 2 8 3 6 2 2" xfId="40486" xr:uid="{00000000-0005-0000-0000-0000CB4C0000}"/>
    <cellStyle name="Финансовый 2 3 2 8 3 6 3" xfId="28509" xr:uid="{00000000-0005-0000-0000-0000CC4C0000}"/>
    <cellStyle name="Финансовый 2 3 2 8 3 7" xfId="6351" xr:uid="{00000000-0005-0000-0000-0000CD4C0000}"/>
    <cellStyle name="Финансовый 2 3 2 8 3 7 2" xfId="18329" xr:uid="{00000000-0005-0000-0000-0000CE4C0000}"/>
    <cellStyle name="Финансовый 2 3 2 8 3 7 2 2" xfId="42284" xr:uid="{00000000-0005-0000-0000-0000CF4C0000}"/>
    <cellStyle name="Финансовый 2 3 2 8 3 7 3" xfId="30306" xr:uid="{00000000-0005-0000-0000-0000D04C0000}"/>
    <cellStyle name="Финансовый 2 3 2 8 3 8" xfId="8946" xr:uid="{00000000-0005-0000-0000-0000D14C0000}"/>
    <cellStyle name="Финансовый 2 3 2 8 3 8 2" xfId="20924" xr:uid="{00000000-0005-0000-0000-0000D24C0000}"/>
    <cellStyle name="Финансовый 2 3 2 8 3 8 2 2" xfId="44879" xr:uid="{00000000-0005-0000-0000-0000D34C0000}"/>
    <cellStyle name="Финансовый 2 3 2 8 3 8 3" xfId="32901" xr:uid="{00000000-0005-0000-0000-0000D44C0000}"/>
    <cellStyle name="Финансовый 2 3 2 8 3 9" xfId="12292" xr:uid="{00000000-0005-0000-0000-0000D54C0000}"/>
    <cellStyle name="Финансовый 2 3 2 8 3 9 2" xfId="36247" xr:uid="{00000000-0005-0000-0000-0000D64C0000}"/>
    <cellStyle name="Финансовый 2 3 2 8 4" xfId="1467" xr:uid="{00000000-0005-0000-0000-0000D74C0000}"/>
    <cellStyle name="Финансовый 2 3 2 8 4 2" xfId="1834" xr:uid="{00000000-0005-0000-0000-0000D84C0000}"/>
    <cellStyle name="Финансовый 2 3 2 8 4 2 2" xfId="3479" xr:uid="{00000000-0005-0000-0000-0000D94C0000}"/>
    <cellStyle name="Финансовый 2 3 2 8 4 2 2 2" xfId="11227" xr:uid="{00000000-0005-0000-0000-0000DA4C0000}"/>
    <cellStyle name="Финансовый 2 3 2 8 4 2 2 2 2" xfId="23205" xr:uid="{00000000-0005-0000-0000-0000DB4C0000}"/>
    <cellStyle name="Финансовый 2 3 2 8 4 2 2 2 2 2" xfId="47160" xr:uid="{00000000-0005-0000-0000-0000DC4C0000}"/>
    <cellStyle name="Финансовый 2 3 2 8 4 2 2 2 3" xfId="35182" xr:uid="{00000000-0005-0000-0000-0000DD4C0000}"/>
    <cellStyle name="Финансовый 2 3 2 8 4 2 2 3" xfId="15458" xr:uid="{00000000-0005-0000-0000-0000DE4C0000}"/>
    <cellStyle name="Финансовый 2 3 2 8 4 2 2 3 2" xfId="39413" xr:uid="{00000000-0005-0000-0000-0000DF4C0000}"/>
    <cellStyle name="Финансовый 2 3 2 8 4 2 2 4" xfId="27436" xr:uid="{00000000-0005-0000-0000-0000E04C0000}"/>
    <cellStyle name="Финансовый 2 3 2 8 4 2 2 5" xfId="50705" xr:uid="{00000000-0005-0000-0000-0000E14C0000}"/>
    <cellStyle name="Финансовый 2 3 2 8 4 2 3" xfId="5262" xr:uid="{00000000-0005-0000-0000-0000E24C0000}"/>
    <cellStyle name="Финансовый 2 3 2 8 4 2 3 2" xfId="17240" xr:uid="{00000000-0005-0000-0000-0000E34C0000}"/>
    <cellStyle name="Финансовый 2 3 2 8 4 2 3 2 2" xfId="41195" xr:uid="{00000000-0005-0000-0000-0000E44C0000}"/>
    <cellStyle name="Финансовый 2 3 2 8 4 2 3 3" xfId="29217" xr:uid="{00000000-0005-0000-0000-0000E54C0000}"/>
    <cellStyle name="Финансовый 2 3 2 8 4 2 4" xfId="7872" xr:uid="{00000000-0005-0000-0000-0000E64C0000}"/>
    <cellStyle name="Финансовый 2 3 2 8 4 2 4 2" xfId="19850" xr:uid="{00000000-0005-0000-0000-0000E74C0000}"/>
    <cellStyle name="Финансовый 2 3 2 8 4 2 4 2 2" xfId="43805" xr:uid="{00000000-0005-0000-0000-0000E84C0000}"/>
    <cellStyle name="Финансовый 2 3 2 8 4 2 4 3" xfId="31827" xr:uid="{00000000-0005-0000-0000-0000E94C0000}"/>
    <cellStyle name="Финансовый 2 3 2 8 4 2 5" xfId="9655" xr:uid="{00000000-0005-0000-0000-0000EA4C0000}"/>
    <cellStyle name="Финансовый 2 3 2 8 4 2 5 2" xfId="21633" xr:uid="{00000000-0005-0000-0000-0000EB4C0000}"/>
    <cellStyle name="Финансовый 2 3 2 8 4 2 5 2 2" xfId="45588" xr:uid="{00000000-0005-0000-0000-0000EC4C0000}"/>
    <cellStyle name="Финансовый 2 3 2 8 4 2 5 3" xfId="33610" xr:uid="{00000000-0005-0000-0000-0000ED4C0000}"/>
    <cellStyle name="Финансовый 2 3 2 8 4 2 6" xfId="13813" xr:uid="{00000000-0005-0000-0000-0000EE4C0000}"/>
    <cellStyle name="Финансовый 2 3 2 8 4 2 6 2" xfId="37768" xr:uid="{00000000-0005-0000-0000-0000EF4C0000}"/>
    <cellStyle name="Финансовый 2 3 2 8 4 2 7" xfId="25791" xr:uid="{00000000-0005-0000-0000-0000F04C0000}"/>
    <cellStyle name="Финансовый 2 3 2 8 4 2 8" xfId="48924" xr:uid="{00000000-0005-0000-0000-0000F14C0000}"/>
    <cellStyle name="Финансовый 2 3 2 8 4 3" xfId="4895" xr:uid="{00000000-0005-0000-0000-0000F24C0000}"/>
    <cellStyle name="Финансовый 2 3 2 8 4 3 2" xfId="16873" xr:uid="{00000000-0005-0000-0000-0000F34C0000}"/>
    <cellStyle name="Финансовый 2 3 2 8 4 3 2 2" xfId="40828" xr:uid="{00000000-0005-0000-0000-0000F44C0000}"/>
    <cellStyle name="Финансовый 2 3 2 8 4 3 3" xfId="28850" xr:uid="{00000000-0005-0000-0000-0000F54C0000}"/>
    <cellStyle name="Финансовый 2 3 2 8 4 3 4" xfId="50338" xr:uid="{00000000-0005-0000-0000-0000F64C0000}"/>
    <cellStyle name="Финансовый 2 3 2 8 4 4" xfId="7505" xr:uid="{00000000-0005-0000-0000-0000F74C0000}"/>
    <cellStyle name="Финансовый 2 3 2 8 4 4 2" xfId="19483" xr:uid="{00000000-0005-0000-0000-0000F84C0000}"/>
    <cellStyle name="Финансовый 2 3 2 8 4 4 2 2" xfId="43438" xr:uid="{00000000-0005-0000-0000-0000F94C0000}"/>
    <cellStyle name="Финансовый 2 3 2 8 4 4 3" xfId="31460" xr:uid="{00000000-0005-0000-0000-0000FA4C0000}"/>
    <cellStyle name="Финансовый 2 3 2 8 4 5" xfId="9288" xr:uid="{00000000-0005-0000-0000-0000FB4C0000}"/>
    <cellStyle name="Финансовый 2 3 2 8 4 5 2" xfId="21266" xr:uid="{00000000-0005-0000-0000-0000FC4C0000}"/>
    <cellStyle name="Финансовый 2 3 2 8 4 5 2 2" xfId="45221" xr:uid="{00000000-0005-0000-0000-0000FD4C0000}"/>
    <cellStyle name="Финансовый 2 3 2 8 4 5 3" xfId="33243" xr:uid="{00000000-0005-0000-0000-0000FE4C0000}"/>
    <cellStyle name="Финансовый 2 3 2 8 4 6" xfId="13446" xr:uid="{00000000-0005-0000-0000-0000FF4C0000}"/>
    <cellStyle name="Финансовый 2 3 2 8 4 6 2" xfId="37401" xr:uid="{00000000-0005-0000-0000-0000004D0000}"/>
    <cellStyle name="Финансовый 2 3 2 8 4 7" xfId="25424" xr:uid="{00000000-0005-0000-0000-0000014D0000}"/>
    <cellStyle name="Финансовый 2 3 2 8 4 8" xfId="48557" xr:uid="{00000000-0005-0000-0000-0000024D0000}"/>
    <cellStyle name="Финансовый 2 3 2 8 5" xfId="1718" xr:uid="{00000000-0005-0000-0000-0000034D0000}"/>
    <cellStyle name="Финансовый 2 3 2 8 5 2" xfId="3363" xr:uid="{00000000-0005-0000-0000-0000044D0000}"/>
    <cellStyle name="Финансовый 2 3 2 8 5 2 2" xfId="11111" xr:uid="{00000000-0005-0000-0000-0000054D0000}"/>
    <cellStyle name="Финансовый 2 3 2 8 5 2 2 2" xfId="23089" xr:uid="{00000000-0005-0000-0000-0000064D0000}"/>
    <cellStyle name="Финансовый 2 3 2 8 5 2 2 2 2" xfId="47044" xr:uid="{00000000-0005-0000-0000-0000074D0000}"/>
    <cellStyle name="Финансовый 2 3 2 8 5 2 2 3" xfId="35066" xr:uid="{00000000-0005-0000-0000-0000084D0000}"/>
    <cellStyle name="Финансовый 2 3 2 8 5 2 3" xfId="15342" xr:uid="{00000000-0005-0000-0000-0000094D0000}"/>
    <cellStyle name="Финансовый 2 3 2 8 5 2 3 2" xfId="39297" xr:uid="{00000000-0005-0000-0000-00000A4D0000}"/>
    <cellStyle name="Финансовый 2 3 2 8 5 2 4" xfId="27320" xr:uid="{00000000-0005-0000-0000-00000B4D0000}"/>
    <cellStyle name="Финансовый 2 3 2 8 5 2 5" xfId="50589" xr:uid="{00000000-0005-0000-0000-00000C4D0000}"/>
    <cellStyle name="Финансовый 2 3 2 8 5 3" xfId="5146" xr:uid="{00000000-0005-0000-0000-00000D4D0000}"/>
    <cellStyle name="Финансовый 2 3 2 8 5 3 2" xfId="17124" xr:uid="{00000000-0005-0000-0000-00000E4D0000}"/>
    <cellStyle name="Финансовый 2 3 2 8 5 3 2 2" xfId="41079" xr:uid="{00000000-0005-0000-0000-00000F4D0000}"/>
    <cellStyle name="Финансовый 2 3 2 8 5 3 3" xfId="29101" xr:uid="{00000000-0005-0000-0000-0000104D0000}"/>
    <cellStyle name="Финансовый 2 3 2 8 5 4" xfId="7756" xr:uid="{00000000-0005-0000-0000-0000114D0000}"/>
    <cellStyle name="Финансовый 2 3 2 8 5 4 2" xfId="19734" xr:uid="{00000000-0005-0000-0000-0000124D0000}"/>
    <cellStyle name="Финансовый 2 3 2 8 5 4 2 2" xfId="43689" xr:uid="{00000000-0005-0000-0000-0000134D0000}"/>
    <cellStyle name="Финансовый 2 3 2 8 5 4 3" xfId="31711" xr:uid="{00000000-0005-0000-0000-0000144D0000}"/>
    <cellStyle name="Финансовый 2 3 2 8 5 5" xfId="9539" xr:uid="{00000000-0005-0000-0000-0000154D0000}"/>
    <cellStyle name="Финансовый 2 3 2 8 5 5 2" xfId="21517" xr:uid="{00000000-0005-0000-0000-0000164D0000}"/>
    <cellStyle name="Финансовый 2 3 2 8 5 5 2 2" xfId="45472" xr:uid="{00000000-0005-0000-0000-0000174D0000}"/>
    <cellStyle name="Финансовый 2 3 2 8 5 5 3" xfId="33494" xr:uid="{00000000-0005-0000-0000-0000184D0000}"/>
    <cellStyle name="Финансовый 2 3 2 8 5 6" xfId="13697" xr:uid="{00000000-0005-0000-0000-0000194D0000}"/>
    <cellStyle name="Финансовый 2 3 2 8 5 6 2" xfId="37652" xr:uid="{00000000-0005-0000-0000-00001A4D0000}"/>
    <cellStyle name="Финансовый 2 3 2 8 5 7" xfId="25675" xr:uid="{00000000-0005-0000-0000-00001B4D0000}"/>
    <cellStyle name="Финансовый 2 3 2 8 5 8" xfId="48808" xr:uid="{00000000-0005-0000-0000-00001C4D0000}"/>
    <cellStyle name="Финансовый 2 3 2 8 6" xfId="2354" xr:uid="{00000000-0005-0000-0000-00001D4D0000}"/>
    <cellStyle name="Финансовый 2 3 2 8 6 2" xfId="3999" xr:uid="{00000000-0005-0000-0000-00001E4D0000}"/>
    <cellStyle name="Финансовый 2 3 2 8 6 2 2" xfId="11739" xr:uid="{00000000-0005-0000-0000-00001F4D0000}"/>
    <cellStyle name="Финансовый 2 3 2 8 6 2 2 2" xfId="23717" xr:uid="{00000000-0005-0000-0000-0000204D0000}"/>
    <cellStyle name="Финансовый 2 3 2 8 6 2 2 2 2" xfId="47672" xr:uid="{00000000-0005-0000-0000-0000214D0000}"/>
    <cellStyle name="Финансовый 2 3 2 8 6 2 2 3" xfId="35694" xr:uid="{00000000-0005-0000-0000-0000224D0000}"/>
    <cellStyle name="Финансовый 2 3 2 8 6 2 3" xfId="15978" xr:uid="{00000000-0005-0000-0000-0000234D0000}"/>
    <cellStyle name="Финансовый 2 3 2 8 6 2 3 2" xfId="39933" xr:uid="{00000000-0005-0000-0000-0000244D0000}"/>
    <cellStyle name="Финансовый 2 3 2 8 6 2 4" xfId="27956" xr:uid="{00000000-0005-0000-0000-0000254D0000}"/>
    <cellStyle name="Финансовый 2 3 2 8 6 2 5" xfId="51225" xr:uid="{00000000-0005-0000-0000-0000264D0000}"/>
    <cellStyle name="Финансовый 2 3 2 8 6 3" xfId="5782" xr:uid="{00000000-0005-0000-0000-0000274D0000}"/>
    <cellStyle name="Финансовый 2 3 2 8 6 3 2" xfId="17760" xr:uid="{00000000-0005-0000-0000-0000284D0000}"/>
    <cellStyle name="Финансовый 2 3 2 8 6 3 2 2" xfId="41715" xr:uid="{00000000-0005-0000-0000-0000294D0000}"/>
    <cellStyle name="Финансовый 2 3 2 8 6 3 3" xfId="29737" xr:uid="{00000000-0005-0000-0000-00002A4D0000}"/>
    <cellStyle name="Финансовый 2 3 2 8 6 4" xfId="8392" xr:uid="{00000000-0005-0000-0000-00002B4D0000}"/>
    <cellStyle name="Финансовый 2 3 2 8 6 4 2" xfId="20370" xr:uid="{00000000-0005-0000-0000-00002C4D0000}"/>
    <cellStyle name="Финансовый 2 3 2 8 6 4 2 2" xfId="44325" xr:uid="{00000000-0005-0000-0000-00002D4D0000}"/>
    <cellStyle name="Финансовый 2 3 2 8 6 4 3" xfId="32347" xr:uid="{00000000-0005-0000-0000-00002E4D0000}"/>
    <cellStyle name="Финансовый 2 3 2 8 6 5" xfId="10175" xr:uid="{00000000-0005-0000-0000-00002F4D0000}"/>
    <cellStyle name="Финансовый 2 3 2 8 6 5 2" xfId="22153" xr:uid="{00000000-0005-0000-0000-0000304D0000}"/>
    <cellStyle name="Финансовый 2 3 2 8 6 5 2 2" xfId="46108" xr:uid="{00000000-0005-0000-0000-0000314D0000}"/>
    <cellStyle name="Финансовый 2 3 2 8 6 5 3" xfId="34130" xr:uid="{00000000-0005-0000-0000-0000324D0000}"/>
    <cellStyle name="Финансовый 2 3 2 8 6 6" xfId="14333" xr:uid="{00000000-0005-0000-0000-0000334D0000}"/>
    <cellStyle name="Финансовый 2 3 2 8 6 6 2" xfId="38288" xr:uid="{00000000-0005-0000-0000-0000344D0000}"/>
    <cellStyle name="Финансовый 2 3 2 8 6 7" xfId="26311" xr:uid="{00000000-0005-0000-0000-0000354D0000}"/>
    <cellStyle name="Финансовый 2 3 2 8 6 8" xfId="49444" xr:uid="{00000000-0005-0000-0000-0000364D0000}"/>
    <cellStyle name="Финансовый 2 3 2 8 7" xfId="1581" xr:uid="{00000000-0005-0000-0000-0000374D0000}"/>
    <cellStyle name="Финансовый 2 3 2 8 7 2" xfId="3226" xr:uid="{00000000-0005-0000-0000-0000384D0000}"/>
    <cellStyle name="Финансовый 2 3 2 8 7 2 2" xfId="10982" xr:uid="{00000000-0005-0000-0000-0000394D0000}"/>
    <cellStyle name="Финансовый 2 3 2 8 7 2 2 2" xfId="22960" xr:uid="{00000000-0005-0000-0000-00003A4D0000}"/>
    <cellStyle name="Финансовый 2 3 2 8 7 2 2 2 2" xfId="46915" xr:uid="{00000000-0005-0000-0000-00003B4D0000}"/>
    <cellStyle name="Финансовый 2 3 2 8 7 2 2 3" xfId="34937" xr:uid="{00000000-0005-0000-0000-00003C4D0000}"/>
    <cellStyle name="Финансовый 2 3 2 8 7 2 3" xfId="15205" xr:uid="{00000000-0005-0000-0000-00003D4D0000}"/>
    <cellStyle name="Финансовый 2 3 2 8 7 2 3 2" xfId="39160" xr:uid="{00000000-0005-0000-0000-00003E4D0000}"/>
    <cellStyle name="Финансовый 2 3 2 8 7 2 4" xfId="27183" xr:uid="{00000000-0005-0000-0000-00003F4D0000}"/>
    <cellStyle name="Финансовый 2 3 2 8 7 2 5" xfId="50452" xr:uid="{00000000-0005-0000-0000-0000404D0000}"/>
    <cellStyle name="Финансовый 2 3 2 8 7 3" xfId="5009" xr:uid="{00000000-0005-0000-0000-0000414D0000}"/>
    <cellStyle name="Финансовый 2 3 2 8 7 3 2" xfId="16987" xr:uid="{00000000-0005-0000-0000-0000424D0000}"/>
    <cellStyle name="Финансовый 2 3 2 8 7 3 2 2" xfId="40942" xr:uid="{00000000-0005-0000-0000-0000434D0000}"/>
    <cellStyle name="Финансовый 2 3 2 8 7 3 3" xfId="28964" xr:uid="{00000000-0005-0000-0000-0000444D0000}"/>
    <cellStyle name="Финансовый 2 3 2 8 7 4" xfId="7619" xr:uid="{00000000-0005-0000-0000-0000454D0000}"/>
    <cellStyle name="Финансовый 2 3 2 8 7 4 2" xfId="19597" xr:uid="{00000000-0005-0000-0000-0000464D0000}"/>
    <cellStyle name="Финансовый 2 3 2 8 7 4 2 2" xfId="43552" xr:uid="{00000000-0005-0000-0000-0000474D0000}"/>
    <cellStyle name="Финансовый 2 3 2 8 7 4 3" xfId="31574" xr:uid="{00000000-0005-0000-0000-0000484D0000}"/>
    <cellStyle name="Финансовый 2 3 2 8 7 5" xfId="9402" xr:uid="{00000000-0005-0000-0000-0000494D0000}"/>
    <cellStyle name="Финансовый 2 3 2 8 7 5 2" xfId="21380" xr:uid="{00000000-0005-0000-0000-00004A4D0000}"/>
    <cellStyle name="Финансовый 2 3 2 8 7 5 2 2" xfId="45335" xr:uid="{00000000-0005-0000-0000-00004B4D0000}"/>
    <cellStyle name="Финансовый 2 3 2 8 7 5 3" xfId="33357" xr:uid="{00000000-0005-0000-0000-00004C4D0000}"/>
    <cellStyle name="Финансовый 2 3 2 8 7 6" xfId="13560" xr:uid="{00000000-0005-0000-0000-00004D4D0000}"/>
    <cellStyle name="Финансовый 2 3 2 8 7 6 2" xfId="37515" xr:uid="{00000000-0005-0000-0000-00004E4D0000}"/>
    <cellStyle name="Финансовый 2 3 2 8 7 7" xfId="25538" xr:uid="{00000000-0005-0000-0000-00004F4D0000}"/>
    <cellStyle name="Финансовый 2 3 2 8 7 8" xfId="48671" xr:uid="{00000000-0005-0000-0000-0000504D0000}"/>
    <cellStyle name="Финансовый 2 3 2 8 8" xfId="867" xr:uid="{00000000-0005-0000-0000-0000514D0000}"/>
    <cellStyle name="Финансовый 2 3 2 8 8 2" xfId="6907" xr:uid="{00000000-0005-0000-0000-0000524D0000}"/>
    <cellStyle name="Финансовый 2 3 2 8 8 2 2" xfId="18885" xr:uid="{00000000-0005-0000-0000-0000534D0000}"/>
    <cellStyle name="Финансовый 2 3 2 8 8 2 2 2" xfId="42840" xr:uid="{00000000-0005-0000-0000-0000544D0000}"/>
    <cellStyle name="Финансовый 2 3 2 8 8 2 3" xfId="30862" xr:uid="{00000000-0005-0000-0000-0000554D0000}"/>
    <cellStyle name="Финансовый 2 3 2 8 8 3" xfId="10455" xr:uid="{00000000-0005-0000-0000-0000564D0000}"/>
    <cellStyle name="Финансовый 2 3 2 8 8 3 2" xfId="22433" xr:uid="{00000000-0005-0000-0000-0000574D0000}"/>
    <cellStyle name="Финансовый 2 3 2 8 8 3 2 2" xfId="46388" xr:uid="{00000000-0005-0000-0000-0000584D0000}"/>
    <cellStyle name="Финансовый 2 3 2 8 8 3 3" xfId="34410" xr:uid="{00000000-0005-0000-0000-0000594D0000}"/>
    <cellStyle name="Финансовый 2 3 2 8 8 4" xfId="12848" xr:uid="{00000000-0005-0000-0000-00005A4D0000}"/>
    <cellStyle name="Финансовый 2 3 2 8 8 4 2" xfId="36803" xr:uid="{00000000-0005-0000-0000-00005B4D0000}"/>
    <cellStyle name="Финансовый 2 3 2 8 8 5" xfId="24826" xr:uid="{00000000-0005-0000-0000-00005C4D0000}"/>
    <cellStyle name="Финансовый 2 3 2 8 8 6" xfId="49724" xr:uid="{00000000-0005-0000-0000-00005D4D0000}"/>
    <cellStyle name="Финансовый 2 3 2 8 9" xfId="447" xr:uid="{00000000-0005-0000-0000-00005E4D0000}"/>
    <cellStyle name="Финансовый 2 3 2 8 9 2" xfId="6487" xr:uid="{00000000-0005-0000-0000-00005F4D0000}"/>
    <cellStyle name="Финансовый 2 3 2 8 9 2 2" xfId="18465" xr:uid="{00000000-0005-0000-0000-0000604D0000}"/>
    <cellStyle name="Финансовый 2 3 2 8 9 2 2 2" xfId="42420" xr:uid="{00000000-0005-0000-0000-0000614D0000}"/>
    <cellStyle name="Финансовый 2 3 2 8 9 2 3" xfId="30442" xr:uid="{00000000-0005-0000-0000-0000624D0000}"/>
    <cellStyle name="Финансовый 2 3 2 8 9 3" xfId="12428" xr:uid="{00000000-0005-0000-0000-0000634D0000}"/>
    <cellStyle name="Финансовый 2 3 2 8 9 3 2" xfId="36383" xr:uid="{00000000-0005-0000-0000-0000644D0000}"/>
    <cellStyle name="Финансовый 2 3 2 8 9 4" xfId="24406" xr:uid="{00000000-0005-0000-0000-0000654D0000}"/>
    <cellStyle name="Финансовый 2 3 2 9" xfId="150" xr:uid="{00000000-0005-0000-0000-0000664D0000}"/>
    <cellStyle name="Финансовый 2 3 2 9 10" xfId="8798" xr:uid="{00000000-0005-0000-0000-0000674D0000}"/>
    <cellStyle name="Финансовый 2 3 2 9 10 2" xfId="20776" xr:uid="{00000000-0005-0000-0000-0000684D0000}"/>
    <cellStyle name="Финансовый 2 3 2 9 10 2 2" xfId="44731" xr:uid="{00000000-0005-0000-0000-0000694D0000}"/>
    <cellStyle name="Финансовый 2 3 2 9 10 3" xfId="32753" xr:uid="{00000000-0005-0000-0000-00006A4D0000}"/>
    <cellStyle name="Финансовый 2 3 2 9 11" xfId="12132" xr:uid="{00000000-0005-0000-0000-00006B4D0000}"/>
    <cellStyle name="Финансовый 2 3 2 9 11 2" xfId="36087" xr:uid="{00000000-0005-0000-0000-00006C4D0000}"/>
    <cellStyle name="Финансовый 2 3 2 9 12" xfId="24110" xr:uid="{00000000-0005-0000-0000-00006D4D0000}"/>
    <cellStyle name="Финансовый 2 3 2 9 13" xfId="48068" xr:uid="{00000000-0005-0000-0000-00006E4D0000}"/>
    <cellStyle name="Финансовый 2 3 2 9 2" xfId="1248" xr:uid="{00000000-0005-0000-0000-00006F4D0000}"/>
    <cellStyle name="Финансовый 2 3 2 9 2 2" xfId="2214" xr:uid="{00000000-0005-0000-0000-0000704D0000}"/>
    <cellStyle name="Финансовый 2 3 2 9 2 2 2" xfId="3859" xr:uid="{00000000-0005-0000-0000-0000714D0000}"/>
    <cellStyle name="Финансовый 2 3 2 9 2 2 2 2" xfId="11599" xr:uid="{00000000-0005-0000-0000-0000724D0000}"/>
    <cellStyle name="Финансовый 2 3 2 9 2 2 2 2 2" xfId="23577" xr:uid="{00000000-0005-0000-0000-0000734D0000}"/>
    <cellStyle name="Финансовый 2 3 2 9 2 2 2 2 2 2" xfId="47532" xr:uid="{00000000-0005-0000-0000-0000744D0000}"/>
    <cellStyle name="Финансовый 2 3 2 9 2 2 2 2 3" xfId="35554" xr:uid="{00000000-0005-0000-0000-0000754D0000}"/>
    <cellStyle name="Финансовый 2 3 2 9 2 2 2 3" xfId="15838" xr:uid="{00000000-0005-0000-0000-0000764D0000}"/>
    <cellStyle name="Финансовый 2 3 2 9 2 2 2 3 2" xfId="39793" xr:uid="{00000000-0005-0000-0000-0000774D0000}"/>
    <cellStyle name="Финансовый 2 3 2 9 2 2 2 4" xfId="27816" xr:uid="{00000000-0005-0000-0000-0000784D0000}"/>
    <cellStyle name="Финансовый 2 3 2 9 2 2 2 5" xfId="51085" xr:uid="{00000000-0005-0000-0000-0000794D0000}"/>
    <cellStyle name="Финансовый 2 3 2 9 2 2 3" xfId="5642" xr:uid="{00000000-0005-0000-0000-00007A4D0000}"/>
    <cellStyle name="Финансовый 2 3 2 9 2 2 3 2" xfId="17620" xr:uid="{00000000-0005-0000-0000-00007B4D0000}"/>
    <cellStyle name="Финансовый 2 3 2 9 2 2 3 2 2" xfId="41575" xr:uid="{00000000-0005-0000-0000-00007C4D0000}"/>
    <cellStyle name="Финансовый 2 3 2 9 2 2 3 3" xfId="29597" xr:uid="{00000000-0005-0000-0000-00007D4D0000}"/>
    <cellStyle name="Финансовый 2 3 2 9 2 2 4" xfId="8252" xr:uid="{00000000-0005-0000-0000-00007E4D0000}"/>
    <cellStyle name="Финансовый 2 3 2 9 2 2 4 2" xfId="20230" xr:uid="{00000000-0005-0000-0000-00007F4D0000}"/>
    <cellStyle name="Финансовый 2 3 2 9 2 2 4 2 2" xfId="44185" xr:uid="{00000000-0005-0000-0000-0000804D0000}"/>
    <cellStyle name="Финансовый 2 3 2 9 2 2 4 3" xfId="32207" xr:uid="{00000000-0005-0000-0000-0000814D0000}"/>
    <cellStyle name="Финансовый 2 3 2 9 2 2 5" xfId="10035" xr:uid="{00000000-0005-0000-0000-0000824D0000}"/>
    <cellStyle name="Финансовый 2 3 2 9 2 2 5 2" xfId="22013" xr:uid="{00000000-0005-0000-0000-0000834D0000}"/>
    <cellStyle name="Финансовый 2 3 2 9 2 2 5 2 2" xfId="45968" xr:uid="{00000000-0005-0000-0000-0000844D0000}"/>
    <cellStyle name="Финансовый 2 3 2 9 2 2 5 3" xfId="33990" xr:uid="{00000000-0005-0000-0000-0000854D0000}"/>
    <cellStyle name="Финансовый 2 3 2 9 2 2 6" xfId="14193" xr:uid="{00000000-0005-0000-0000-0000864D0000}"/>
    <cellStyle name="Финансовый 2 3 2 9 2 2 6 2" xfId="38148" xr:uid="{00000000-0005-0000-0000-0000874D0000}"/>
    <cellStyle name="Финансовый 2 3 2 9 2 2 7" xfId="26171" xr:uid="{00000000-0005-0000-0000-0000884D0000}"/>
    <cellStyle name="Финансовый 2 3 2 9 2 2 8" xfId="49304" xr:uid="{00000000-0005-0000-0000-0000894D0000}"/>
    <cellStyle name="Финансовый 2 3 2 9 2 3" xfId="3032" xr:uid="{00000000-0005-0000-0000-00008A4D0000}"/>
    <cellStyle name="Финансовый 2 3 2 9 2 3 2" xfId="10827" xr:uid="{00000000-0005-0000-0000-00008B4D0000}"/>
    <cellStyle name="Финансовый 2 3 2 9 2 3 2 2" xfId="22805" xr:uid="{00000000-0005-0000-0000-00008C4D0000}"/>
    <cellStyle name="Финансовый 2 3 2 9 2 3 2 2 2" xfId="46760" xr:uid="{00000000-0005-0000-0000-00008D4D0000}"/>
    <cellStyle name="Финансовый 2 3 2 9 2 3 2 3" xfId="34782" xr:uid="{00000000-0005-0000-0000-00008E4D0000}"/>
    <cellStyle name="Финансовый 2 3 2 9 2 3 3" xfId="15011" xr:uid="{00000000-0005-0000-0000-00008F4D0000}"/>
    <cellStyle name="Финансовый 2 3 2 9 2 3 3 2" xfId="38966" xr:uid="{00000000-0005-0000-0000-0000904D0000}"/>
    <cellStyle name="Финансовый 2 3 2 9 2 3 4" xfId="26989" xr:uid="{00000000-0005-0000-0000-0000914D0000}"/>
    <cellStyle name="Финансовый 2 3 2 9 2 3 5" xfId="50120" xr:uid="{00000000-0005-0000-0000-0000924D0000}"/>
    <cellStyle name="Финансовый 2 3 2 9 2 4" xfId="4676" xr:uid="{00000000-0005-0000-0000-0000934D0000}"/>
    <cellStyle name="Финансовый 2 3 2 9 2 4 2" xfId="16655" xr:uid="{00000000-0005-0000-0000-0000944D0000}"/>
    <cellStyle name="Финансовый 2 3 2 9 2 4 2 2" xfId="40610" xr:uid="{00000000-0005-0000-0000-0000954D0000}"/>
    <cellStyle name="Финансовый 2 3 2 9 2 4 3" xfId="28633" xr:uid="{00000000-0005-0000-0000-0000964D0000}"/>
    <cellStyle name="Финансовый 2 3 2 9 2 5" xfId="7288" xr:uid="{00000000-0005-0000-0000-0000974D0000}"/>
    <cellStyle name="Финансовый 2 3 2 9 2 5 2" xfId="19266" xr:uid="{00000000-0005-0000-0000-0000984D0000}"/>
    <cellStyle name="Финансовый 2 3 2 9 2 5 2 2" xfId="43221" xr:uid="{00000000-0005-0000-0000-0000994D0000}"/>
    <cellStyle name="Финансовый 2 3 2 9 2 5 3" xfId="31243" xr:uid="{00000000-0005-0000-0000-00009A4D0000}"/>
    <cellStyle name="Финансовый 2 3 2 9 2 6" xfId="9070" xr:uid="{00000000-0005-0000-0000-00009B4D0000}"/>
    <cellStyle name="Финансовый 2 3 2 9 2 6 2" xfId="21048" xr:uid="{00000000-0005-0000-0000-00009C4D0000}"/>
    <cellStyle name="Финансовый 2 3 2 9 2 6 2 2" xfId="45003" xr:uid="{00000000-0005-0000-0000-00009D4D0000}"/>
    <cellStyle name="Финансовый 2 3 2 9 2 6 3" xfId="33025" xr:uid="{00000000-0005-0000-0000-00009E4D0000}"/>
    <cellStyle name="Финансовый 2 3 2 9 2 7" xfId="13229" xr:uid="{00000000-0005-0000-0000-00009F4D0000}"/>
    <cellStyle name="Финансовый 2 3 2 9 2 7 2" xfId="37184" xr:uid="{00000000-0005-0000-0000-0000A04D0000}"/>
    <cellStyle name="Финансовый 2 3 2 9 2 8" xfId="25207" xr:uid="{00000000-0005-0000-0000-0000A14D0000}"/>
    <cellStyle name="Финансовый 2 3 2 9 2 9" xfId="48340" xr:uid="{00000000-0005-0000-0000-0000A24D0000}"/>
    <cellStyle name="Финансовый 2 3 2 9 3" xfId="1958" xr:uid="{00000000-0005-0000-0000-0000A34D0000}"/>
    <cellStyle name="Финансовый 2 3 2 9 3 2" xfId="3603" xr:uid="{00000000-0005-0000-0000-0000A44D0000}"/>
    <cellStyle name="Финансовый 2 3 2 9 3 2 2" xfId="11343" xr:uid="{00000000-0005-0000-0000-0000A54D0000}"/>
    <cellStyle name="Финансовый 2 3 2 9 3 2 2 2" xfId="23321" xr:uid="{00000000-0005-0000-0000-0000A64D0000}"/>
    <cellStyle name="Финансовый 2 3 2 9 3 2 2 2 2" xfId="47276" xr:uid="{00000000-0005-0000-0000-0000A74D0000}"/>
    <cellStyle name="Финансовый 2 3 2 9 3 2 2 3" xfId="35298" xr:uid="{00000000-0005-0000-0000-0000A84D0000}"/>
    <cellStyle name="Финансовый 2 3 2 9 3 2 3" xfId="15582" xr:uid="{00000000-0005-0000-0000-0000A94D0000}"/>
    <cellStyle name="Финансовый 2 3 2 9 3 2 3 2" xfId="39537" xr:uid="{00000000-0005-0000-0000-0000AA4D0000}"/>
    <cellStyle name="Финансовый 2 3 2 9 3 2 4" xfId="27560" xr:uid="{00000000-0005-0000-0000-0000AB4D0000}"/>
    <cellStyle name="Финансовый 2 3 2 9 3 2 5" xfId="50829" xr:uid="{00000000-0005-0000-0000-0000AC4D0000}"/>
    <cellStyle name="Финансовый 2 3 2 9 3 3" xfId="5386" xr:uid="{00000000-0005-0000-0000-0000AD4D0000}"/>
    <cellStyle name="Финансовый 2 3 2 9 3 3 2" xfId="17364" xr:uid="{00000000-0005-0000-0000-0000AE4D0000}"/>
    <cellStyle name="Финансовый 2 3 2 9 3 3 2 2" xfId="41319" xr:uid="{00000000-0005-0000-0000-0000AF4D0000}"/>
    <cellStyle name="Финансовый 2 3 2 9 3 3 3" xfId="29341" xr:uid="{00000000-0005-0000-0000-0000B04D0000}"/>
    <cellStyle name="Финансовый 2 3 2 9 3 4" xfId="7996" xr:uid="{00000000-0005-0000-0000-0000B14D0000}"/>
    <cellStyle name="Финансовый 2 3 2 9 3 4 2" xfId="19974" xr:uid="{00000000-0005-0000-0000-0000B24D0000}"/>
    <cellStyle name="Финансовый 2 3 2 9 3 4 2 2" xfId="43929" xr:uid="{00000000-0005-0000-0000-0000B34D0000}"/>
    <cellStyle name="Финансовый 2 3 2 9 3 4 3" xfId="31951" xr:uid="{00000000-0005-0000-0000-0000B44D0000}"/>
    <cellStyle name="Финансовый 2 3 2 9 3 5" xfId="9779" xr:uid="{00000000-0005-0000-0000-0000B54D0000}"/>
    <cellStyle name="Финансовый 2 3 2 9 3 5 2" xfId="21757" xr:uid="{00000000-0005-0000-0000-0000B64D0000}"/>
    <cellStyle name="Финансовый 2 3 2 9 3 5 2 2" xfId="45712" xr:uid="{00000000-0005-0000-0000-0000B74D0000}"/>
    <cellStyle name="Финансовый 2 3 2 9 3 5 3" xfId="33734" xr:uid="{00000000-0005-0000-0000-0000B84D0000}"/>
    <cellStyle name="Финансовый 2 3 2 9 3 6" xfId="13937" xr:uid="{00000000-0005-0000-0000-0000B94D0000}"/>
    <cellStyle name="Финансовый 2 3 2 9 3 6 2" xfId="37892" xr:uid="{00000000-0005-0000-0000-0000BA4D0000}"/>
    <cellStyle name="Финансовый 2 3 2 9 3 7" xfId="25915" xr:uid="{00000000-0005-0000-0000-0000BB4D0000}"/>
    <cellStyle name="Финансовый 2 3 2 9 3 8" xfId="49048" xr:uid="{00000000-0005-0000-0000-0000BC4D0000}"/>
    <cellStyle name="Финансовый 2 3 2 9 4" xfId="2479" xr:uid="{00000000-0005-0000-0000-0000BD4D0000}"/>
    <cellStyle name="Финансовый 2 3 2 9 4 2" xfId="4124" xr:uid="{00000000-0005-0000-0000-0000BE4D0000}"/>
    <cellStyle name="Финансовый 2 3 2 9 4 2 2" xfId="11856" xr:uid="{00000000-0005-0000-0000-0000BF4D0000}"/>
    <cellStyle name="Финансовый 2 3 2 9 4 2 2 2" xfId="23834" xr:uid="{00000000-0005-0000-0000-0000C04D0000}"/>
    <cellStyle name="Финансовый 2 3 2 9 4 2 2 2 2" xfId="47789" xr:uid="{00000000-0005-0000-0000-0000C14D0000}"/>
    <cellStyle name="Финансовый 2 3 2 9 4 2 2 3" xfId="35811" xr:uid="{00000000-0005-0000-0000-0000C24D0000}"/>
    <cellStyle name="Финансовый 2 3 2 9 4 2 3" xfId="16103" xr:uid="{00000000-0005-0000-0000-0000C34D0000}"/>
    <cellStyle name="Финансовый 2 3 2 9 4 2 3 2" xfId="40058" xr:uid="{00000000-0005-0000-0000-0000C44D0000}"/>
    <cellStyle name="Финансовый 2 3 2 9 4 2 4" xfId="28081" xr:uid="{00000000-0005-0000-0000-0000C54D0000}"/>
    <cellStyle name="Финансовый 2 3 2 9 4 2 5" xfId="51350" xr:uid="{00000000-0005-0000-0000-0000C64D0000}"/>
    <cellStyle name="Финансовый 2 3 2 9 4 3" xfId="5907" xr:uid="{00000000-0005-0000-0000-0000C74D0000}"/>
    <cellStyle name="Финансовый 2 3 2 9 4 3 2" xfId="17885" xr:uid="{00000000-0005-0000-0000-0000C84D0000}"/>
    <cellStyle name="Финансовый 2 3 2 9 4 3 2 2" xfId="41840" xr:uid="{00000000-0005-0000-0000-0000C94D0000}"/>
    <cellStyle name="Финансовый 2 3 2 9 4 3 3" xfId="29862" xr:uid="{00000000-0005-0000-0000-0000CA4D0000}"/>
    <cellStyle name="Финансовый 2 3 2 9 4 4" xfId="8517" xr:uid="{00000000-0005-0000-0000-0000CB4D0000}"/>
    <cellStyle name="Финансовый 2 3 2 9 4 4 2" xfId="20495" xr:uid="{00000000-0005-0000-0000-0000CC4D0000}"/>
    <cellStyle name="Финансовый 2 3 2 9 4 4 2 2" xfId="44450" xr:uid="{00000000-0005-0000-0000-0000CD4D0000}"/>
    <cellStyle name="Финансовый 2 3 2 9 4 4 3" xfId="32472" xr:uid="{00000000-0005-0000-0000-0000CE4D0000}"/>
    <cellStyle name="Финансовый 2 3 2 9 4 5" xfId="10300" xr:uid="{00000000-0005-0000-0000-0000CF4D0000}"/>
    <cellStyle name="Финансовый 2 3 2 9 4 5 2" xfId="22278" xr:uid="{00000000-0005-0000-0000-0000D04D0000}"/>
    <cellStyle name="Финансовый 2 3 2 9 4 5 2 2" xfId="46233" xr:uid="{00000000-0005-0000-0000-0000D14D0000}"/>
    <cellStyle name="Финансовый 2 3 2 9 4 5 3" xfId="34255" xr:uid="{00000000-0005-0000-0000-0000D24D0000}"/>
    <cellStyle name="Финансовый 2 3 2 9 4 6" xfId="14458" xr:uid="{00000000-0005-0000-0000-0000D34D0000}"/>
    <cellStyle name="Финансовый 2 3 2 9 4 6 2" xfId="38413" xr:uid="{00000000-0005-0000-0000-0000D44D0000}"/>
    <cellStyle name="Финансовый 2 3 2 9 4 7" xfId="26436" xr:uid="{00000000-0005-0000-0000-0000D54D0000}"/>
    <cellStyle name="Финансовый 2 3 2 9 4 8" xfId="49569" xr:uid="{00000000-0005-0000-0000-0000D64D0000}"/>
    <cellStyle name="Финансовый 2 3 2 9 5" xfId="983" xr:uid="{00000000-0005-0000-0000-0000D74D0000}"/>
    <cellStyle name="Финансовый 2 3 2 9 5 2" xfId="7023" xr:uid="{00000000-0005-0000-0000-0000D84D0000}"/>
    <cellStyle name="Финансовый 2 3 2 9 5 2 2" xfId="19001" xr:uid="{00000000-0005-0000-0000-0000D94D0000}"/>
    <cellStyle name="Финансовый 2 3 2 9 5 2 2 2" xfId="42956" xr:uid="{00000000-0005-0000-0000-0000DA4D0000}"/>
    <cellStyle name="Финансовый 2 3 2 9 5 2 3" xfId="30978" xr:uid="{00000000-0005-0000-0000-0000DB4D0000}"/>
    <cellStyle name="Финансовый 2 3 2 9 5 3" xfId="10571" xr:uid="{00000000-0005-0000-0000-0000DC4D0000}"/>
    <cellStyle name="Финансовый 2 3 2 9 5 3 2" xfId="22549" xr:uid="{00000000-0005-0000-0000-0000DD4D0000}"/>
    <cellStyle name="Финансовый 2 3 2 9 5 3 2 2" xfId="46504" xr:uid="{00000000-0005-0000-0000-0000DE4D0000}"/>
    <cellStyle name="Финансовый 2 3 2 9 5 3 3" xfId="34526" xr:uid="{00000000-0005-0000-0000-0000DF4D0000}"/>
    <cellStyle name="Финансовый 2 3 2 9 5 4" xfId="12964" xr:uid="{00000000-0005-0000-0000-0000E04D0000}"/>
    <cellStyle name="Финансовый 2 3 2 9 5 4 2" xfId="36919" xr:uid="{00000000-0005-0000-0000-0000E14D0000}"/>
    <cellStyle name="Финансовый 2 3 2 9 5 5" xfId="24942" xr:uid="{00000000-0005-0000-0000-0000E24D0000}"/>
    <cellStyle name="Финансовый 2 3 2 9 5 6" xfId="49848" xr:uid="{00000000-0005-0000-0000-0000E34D0000}"/>
    <cellStyle name="Финансовый 2 3 2 9 6" xfId="571" xr:uid="{00000000-0005-0000-0000-0000E44D0000}"/>
    <cellStyle name="Финансовый 2 3 2 9 6 2" xfId="6611" xr:uid="{00000000-0005-0000-0000-0000E54D0000}"/>
    <cellStyle name="Финансовый 2 3 2 9 6 2 2" xfId="18589" xr:uid="{00000000-0005-0000-0000-0000E64D0000}"/>
    <cellStyle name="Финансовый 2 3 2 9 6 2 2 2" xfId="42544" xr:uid="{00000000-0005-0000-0000-0000E74D0000}"/>
    <cellStyle name="Финансовый 2 3 2 9 6 2 3" xfId="30566" xr:uid="{00000000-0005-0000-0000-0000E84D0000}"/>
    <cellStyle name="Финансовый 2 3 2 9 6 3" xfId="12552" xr:uid="{00000000-0005-0000-0000-0000E94D0000}"/>
    <cellStyle name="Финансовый 2 3 2 9 6 3 2" xfId="36507" xr:uid="{00000000-0005-0000-0000-0000EA4D0000}"/>
    <cellStyle name="Финансовый 2 3 2 9 6 4" xfId="24530" xr:uid="{00000000-0005-0000-0000-0000EB4D0000}"/>
    <cellStyle name="Финансовый 2 3 2 9 7" xfId="2760" xr:uid="{00000000-0005-0000-0000-0000EC4D0000}"/>
    <cellStyle name="Финансовый 2 3 2 9 7 2" xfId="14739" xr:uid="{00000000-0005-0000-0000-0000ED4D0000}"/>
    <cellStyle name="Финансовый 2 3 2 9 7 2 2" xfId="38694" xr:uid="{00000000-0005-0000-0000-0000EE4D0000}"/>
    <cellStyle name="Финансовый 2 3 2 9 7 3" xfId="26717" xr:uid="{00000000-0005-0000-0000-0000EF4D0000}"/>
    <cellStyle name="Финансовый 2 3 2 9 8" xfId="4404" xr:uid="{00000000-0005-0000-0000-0000F04D0000}"/>
    <cellStyle name="Финансовый 2 3 2 9 8 2" xfId="16383" xr:uid="{00000000-0005-0000-0000-0000F14D0000}"/>
    <cellStyle name="Финансовый 2 3 2 9 8 2 2" xfId="40338" xr:uid="{00000000-0005-0000-0000-0000F24D0000}"/>
    <cellStyle name="Финансовый 2 3 2 9 8 3" xfId="28361" xr:uid="{00000000-0005-0000-0000-0000F34D0000}"/>
    <cellStyle name="Финансовый 2 3 2 9 9" xfId="6191" xr:uid="{00000000-0005-0000-0000-0000F44D0000}"/>
    <cellStyle name="Финансовый 2 3 2 9 9 2" xfId="18169" xr:uid="{00000000-0005-0000-0000-0000F54D0000}"/>
    <cellStyle name="Финансовый 2 3 2 9 9 2 2" xfId="42124" xr:uid="{00000000-0005-0000-0000-0000F64D0000}"/>
    <cellStyle name="Финансовый 2 3 2 9 9 3" xfId="30146" xr:uid="{00000000-0005-0000-0000-0000F74D0000}"/>
    <cellStyle name="Финансовый 2 3 20" xfId="2618" xr:uid="{00000000-0005-0000-0000-0000F84D0000}"/>
    <cellStyle name="Финансовый 2 3 20 2" xfId="14597" xr:uid="{00000000-0005-0000-0000-0000F94D0000}"/>
    <cellStyle name="Финансовый 2 3 20 2 2" xfId="38552" xr:uid="{00000000-0005-0000-0000-0000FA4D0000}"/>
    <cellStyle name="Финансовый 2 3 20 3" xfId="26575" xr:uid="{00000000-0005-0000-0000-0000FB4D0000}"/>
    <cellStyle name="Финансовый 2 3 21" xfId="4261" xr:uid="{00000000-0005-0000-0000-0000FC4D0000}"/>
    <cellStyle name="Финансовый 2 3 21 2" xfId="16240" xr:uid="{00000000-0005-0000-0000-0000FD4D0000}"/>
    <cellStyle name="Финансовый 2 3 21 2 2" xfId="40195" xr:uid="{00000000-0005-0000-0000-0000FE4D0000}"/>
    <cellStyle name="Финансовый 2 3 21 3" xfId="28218" xr:uid="{00000000-0005-0000-0000-0000FF4D0000}"/>
    <cellStyle name="Финансовый 2 3 22" xfId="6049" xr:uid="{00000000-0005-0000-0000-0000004E0000}"/>
    <cellStyle name="Финансовый 2 3 22 2" xfId="18027" xr:uid="{00000000-0005-0000-0000-0000014E0000}"/>
    <cellStyle name="Финансовый 2 3 22 2 2" xfId="41982" xr:uid="{00000000-0005-0000-0000-0000024E0000}"/>
    <cellStyle name="Финансовый 2 3 22 3" xfId="30004" xr:uid="{00000000-0005-0000-0000-0000034E0000}"/>
    <cellStyle name="Финансовый 2 3 23" xfId="8656" xr:uid="{00000000-0005-0000-0000-0000044E0000}"/>
    <cellStyle name="Финансовый 2 3 23 2" xfId="20634" xr:uid="{00000000-0005-0000-0000-0000054E0000}"/>
    <cellStyle name="Финансовый 2 3 23 2 2" xfId="44589" xr:uid="{00000000-0005-0000-0000-0000064E0000}"/>
    <cellStyle name="Финансовый 2 3 23 3" xfId="32611" xr:uid="{00000000-0005-0000-0000-0000074E0000}"/>
    <cellStyle name="Финансовый 2 3 24" xfId="11990" xr:uid="{00000000-0005-0000-0000-0000084E0000}"/>
    <cellStyle name="Финансовый 2 3 24 2" xfId="35945" xr:uid="{00000000-0005-0000-0000-0000094E0000}"/>
    <cellStyle name="Финансовый 2 3 25" xfId="23968" xr:uid="{00000000-0005-0000-0000-00000A4E0000}"/>
    <cellStyle name="Финансовый 2 3 26" xfId="47926" xr:uid="{00000000-0005-0000-0000-00000B4E0000}"/>
    <cellStyle name="Финансовый 2 3 3" xfId="42" xr:uid="{00000000-0005-0000-0000-00000C4E0000}"/>
    <cellStyle name="Финансовый 2 3 3 10" xfId="885" xr:uid="{00000000-0005-0000-0000-00000D4E0000}"/>
    <cellStyle name="Финансовый 2 3 3 10 2" xfId="6925" xr:uid="{00000000-0005-0000-0000-00000E4E0000}"/>
    <cellStyle name="Финансовый 2 3 3 10 2 2" xfId="18903" xr:uid="{00000000-0005-0000-0000-00000F4E0000}"/>
    <cellStyle name="Финансовый 2 3 3 10 2 2 2" xfId="42858" xr:uid="{00000000-0005-0000-0000-0000104E0000}"/>
    <cellStyle name="Финансовый 2 3 3 10 2 3" xfId="30880" xr:uid="{00000000-0005-0000-0000-0000114E0000}"/>
    <cellStyle name="Финансовый 2 3 3 10 3" xfId="10473" xr:uid="{00000000-0005-0000-0000-0000124E0000}"/>
    <cellStyle name="Финансовый 2 3 3 10 3 2" xfId="22451" xr:uid="{00000000-0005-0000-0000-0000134E0000}"/>
    <cellStyle name="Финансовый 2 3 3 10 3 2 2" xfId="46406" xr:uid="{00000000-0005-0000-0000-0000144E0000}"/>
    <cellStyle name="Финансовый 2 3 3 10 3 3" xfId="34428" xr:uid="{00000000-0005-0000-0000-0000154E0000}"/>
    <cellStyle name="Финансовый 2 3 3 10 4" xfId="12866" xr:uid="{00000000-0005-0000-0000-0000164E0000}"/>
    <cellStyle name="Финансовый 2 3 3 10 4 2" xfId="36821" xr:uid="{00000000-0005-0000-0000-0000174E0000}"/>
    <cellStyle name="Финансовый 2 3 3 10 5" xfId="24844" xr:uid="{00000000-0005-0000-0000-0000184E0000}"/>
    <cellStyle name="Финансовый 2 3 3 10 6" xfId="49742" xr:uid="{00000000-0005-0000-0000-0000194E0000}"/>
    <cellStyle name="Финансовый 2 3 3 11" xfId="465" xr:uid="{00000000-0005-0000-0000-00001A4E0000}"/>
    <cellStyle name="Финансовый 2 3 3 11 2" xfId="6505" xr:uid="{00000000-0005-0000-0000-00001B4E0000}"/>
    <cellStyle name="Финансовый 2 3 3 11 2 2" xfId="18483" xr:uid="{00000000-0005-0000-0000-00001C4E0000}"/>
    <cellStyle name="Финансовый 2 3 3 11 2 2 2" xfId="42438" xr:uid="{00000000-0005-0000-0000-00001D4E0000}"/>
    <cellStyle name="Финансовый 2 3 3 11 2 3" xfId="30460" xr:uid="{00000000-0005-0000-0000-00001E4E0000}"/>
    <cellStyle name="Финансовый 2 3 3 11 3" xfId="12446" xr:uid="{00000000-0005-0000-0000-00001F4E0000}"/>
    <cellStyle name="Финансовый 2 3 3 11 3 2" xfId="36401" xr:uid="{00000000-0005-0000-0000-0000204E0000}"/>
    <cellStyle name="Финансовый 2 3 3 11 4" xfId="24424" xr:uid="{00000000-0005-0000-0000-0000214E0000}"/>
    <cellStyle name="Финансовый 2 3 3 12" xfId="2654" xr:uid="{00000000-0005-0000-0000-0000224E0000}"/>
    <cellStyle name="Финансовый 2 3 3 12 2" xfId="14633" xr:uid="{00000000-0005-0000-0000-0000234E0000}"/>
    <cellStyle name="Финансовый 2 3 3 12 2 2" xfId="38588" xr:uid="{00000000-0005-0000-0000-0000244E0000}"/>
    <cellStyle name="Финансовый 2 3 3 12 3" xfId="26611" xr:uid="{00000000-0005-0000-0000-0000254E0000}"/>
    <cellStyle name="Финансовый 2 3 3 13" xfId="4297" xr:uid="{00000000-0005-0000-0000-0000264E0000}"/>
    <cellStyle name="Финансовый 2 3 3 13 2" xfId="16276" xr:uid="{00000000-0005-0000-0000-0000274E0000}"/>
    <cellStyle name="Финансовый 2 3 3 13 2 2" xfId="40231" xr:uid="{00000000-0005-0000-0000-0000284E0000}"/>
    <cellStyle name="Финансовый 2 3 3 13 3" xfId="28254" xr:uid="{00000000-0005-0000-0000-0000294E0000}"/>
    <cellStyle name="Финансовый 2 3 3 14" xfId="6085" xr:uid="{00000000-0005-0000-0000-00002A4E0000}"/>
    <cellStyle name="Финансовый 2 3 3 14 2" xfId="18063" xr:uid="{00000000-0005-0000-0000-00002B4E0000}"/>
    <cellStyle name="Финансовый 2 3 3 14 2 2" xfId="42018" xr:uid="{00000000-0005-0000-0000-00002C4E0000}"/>
    <cellStyle name="Финансовый 2 3 3 14 3" xfId="30040" xr:uid="{00000000-0005-0000-0000-00002D4E0000}"/>
    <cellStyle name="Финансовый 2 3 3 15" xfId="8692" xr:uid="{00000000-0005-0000-0000-00002E4E0000}"/>
    <cellStyle name="Финансовый 2 3 3 15 2" xfId="20670" xr:uid="{00000000-0005-0000-0000-00002F4E0000}"/>
    <cellStyle name="Финансовый 2 3 3 15 2 2" xfId="44625" xr:uid="{00000000-0005-0000-0000-0000304E0000}"/>
    <cellStyle name="Финансовый 2 3 3 15 3" xfId="32647" xr:uid="{00000000-0005-0000-0000-0000314E0000}"/>
    <cellStyle name="Финансовый 2 3 3 16" xfId="12026" xr:uid="{00000000-0005-0000-0000-0000324E0000}"/>
    <cellStyle name="Финансовый 2 3 3 16 2" xfId="35981" xr:uid="{00000000-0005-0000-0000-0000334E0000}"/>
    <cellStyle name="Финансовый 2 3 3 17" xfId="24004" xr:uid="{00000000-0005-0000-0000-0000344E0000}"/>
    <cellStyle name="Финансовый 2 3 3 18" xfId="47962" xr:uid="{00000000-0005-0000-0000-0000354E0000}"/>
    <cellStyle name="Финансовый 2 3 3 2" xfId="124" xr:uid="{00000000-0005-0000-0000-0000364E0000}"/>
    <cellStyle name="Финансовый 2 3 3 2 10" xfId="2734" xr:uid="{00000000-0005-0000-0000-0000374E0000}"/>
    <cellStyle name="Финансовый 2 3 3 2 10 2" xfId="14713" xr:uid="{00000000-0005-0000-0000-0000384E0000}"/>
    <cellStyle name="Финансовый 2 3 3 2 10 2 2" xfId="38668" xr:uid="{00000000-0005-0000-0000-0000394E0000}"/>
    <cellStyle name="Финансовый 2 3 3 2 10 3" xfId="26691" xr:uid="{00000000-0005-0000-0000-00003A4E0000}"/>
    <cellStyle name="Финансовый 2 3 3 2 11" xfId="4378" xr:uid="{00000000-0005-0000-0000-00003B4E0000}"/>
    <cellStyle name="Финансовый 2 3 3 2 11 2" xfId="16357" xr:uid="{00000000-0005-0000-0000-00003C4E0000}"/>
    <cellStyle name="Финансовый 2 3 3 2 11 2 2" xfId="40312" xr:uid="{00000000-0005-0000-0000-00003D4E0000}"/>
    <cellStyle name="Финансовый 2 3 3 2 11 3" xfId="28335" xr:uid="{00000000-0005-0000-0000-00003E4E0000}"/>
    <cellStyle name="Финансовый 2 3 3 2 12" xfId="6165" xr:uid="{00000000-0005-0000-0000-00003F4E0000}"/>
    <cellStyle name="Финансовый 2 3 3 2 12 2" xfId="18143" xr:uid="{00000000-0005-0000-0000-0000404E0000}"/>
    <cellStyle name="Финансовый 2 3 3 2 12 2 2" xfId="42098" xr:uid="{00000000-0005-0000-0000-0000414E0000}"/>
    <cellStyle name="Финансовый 2 3 3 2 12 3" xfId="30120" xr:uid="{00000000-0005-0000-0000-0000424E0000}"/>
    <cellStyle name="Финансовый 2 3 3 2 13" xfId="8772" xr:uid="{00000000-0005-0000-0000-0000434E0000}"/>
    <cellStyle name="Финансовый 2 3 3 2 13 2" xfId="20750" xr:uid="{00000000-0005-0000-0000-0000444E0000}"/>
    <cellStyle name="Финансовый 2 3 3 2 13 2 2" xfId="44705" xr:uid="{00000000-0005-0000-0000-0000454E0000}"/>
    <cellStyle name="Финансовый 2 3 3 2 13 3" xfId="32727" xr:uid="{00000000-0005-0000-0000-0000464E0000}"/>
    <cellStyle name="Финансовый 2 3 3 2 14" xfId="12106" xr:uid="{00000000-0005-0000-0000-0000474E0000}"/>
    <cellStyle name="Финансовый 2 3 3 2 14 2" xfId="36061" xr:uid="{00000000-0005-0000-0000-0000484E0000}"/>
    <cellStyle name="Финансовый 2 3 3 2 15" xfId="24084" xr:uid="{00000000-0005-0000-0000-0000494E0000}"/>
    <cellStyle name="Финансовый 2 3 3 2 16" xfId="48042" xr:uid="{00000000-0005-0000-0000-00004A4E0000}"/>
    <cellStyle name="Финансовый 2 3 3 2 2" xfId="260" xr:uid="{00000000-0005-0000-0000-00004B4E0000}"/>
    <cellStyle name="Финансовый 2 3 3 2 2 10" xfId="8908" xr:uid="{00000000-0005-0000-0000-00004C4E0000}"/>
    <cellStyle name="Финансовый 2 3 3 2 2 10 2" xfId="20886" xr:uid="{00000000-0005-0000-0000-00004D4E0000}"/>
    <cellStyle name="Финансовый 2 3 3 2 2 10 2 2" xfId="44841" xr:uid="{00000000-0005-0000-0000-00004E4E0000}"/>
    <cellStyle name="Финансовый 2 3 3 2 2 10 3" xfId="32863" xr:uid="{00000000-0005-0000-0000-00004F4E0000}"/>
    <cellStyle name="Финансовый 2 3 3 2 2 11" xfId="12242" xr:uid="{00000000-0005-0000-0000-0000504E0000}"/>
    <cellStyle name="Финансовый 2 3 3 2 2 11 2" xfId="36197" xr:uid="{00000000-0005-0000-0000-0000514E0000}"/>
    <cellStyle name="Финансовый 2 3 3 2 2 12" xfId="24220" xr:uid="{00000000-0005-0000-0000-0000524E0000}"/>
    <cellStyle name="Финансовый 2 3 3 2 2 13" xfId="48178" xr:uid="{00000000-0005-0000-0000-0000534E0000}"/>
    <cellStyle name="Финансовый 2 3 3 2 2 2" xfId="1358" xr:uid="{00000000-0005-0000-0000-0000544E0000}"/>
    <cellStyle name="Финансовый 2 3 3 2 2 2 2" xfId="2316" xr:uid="{00000000-0005-0000-0000-0000554E0000}"/>
    <cellStyle name="Финансовый 2 3 3 2 2 2 2 2" xfId="3961" xr:uid="{00000000-0005-0000-0000-0000564E0000}"/>
    <cellStyle name="Финансовый 2 3 3 2 2 2 2 2 2" xfId="11701" xr:uid="{00000000-0005-0000-0000-0000574E0000}"/>
    <cellStyle name="Финансовый 2 3 3 2 2 2 2 2 2 2" xfId="23679" xr:uid="{00000000-0005-0000-0000-0000584E0000}"/>
    <cellStyle name="Финансовый 2 3 3 2 2 2 2 2 2 2 2" xfId="47634" xr:uid="{00000000-0005-0000-0000-0000594E0000}"/>
    <cellStyle name="Финансовый 2 3 3 2 2 2 2 2 2 3" xfId="35656" xr:uid="{00000000-0005-0000-0000-00005A4E0000}"/>
    <cellStyle name="Финансовый 2 3 3 2 2 2 2 2 3" xfId="15940" xr:uid="{00000000-0005-0000-0000-00005B4E0000}"/>
    <cellStyle name="Финансовый 2 3 3 2 2 2 2 2 3 2" xfId="39895" xr:uid="{00000000-0005-0000-0000-00005C4E0000}"/>
    <cellStyle name="Финансовый 2 3 3 2 2 2 2 2 4" xfId="27918" xr:uid="{00000000-0005-0000-0000-00005D4E0000}"/>
    <cellStyle name="Финансовый 2 3 3 2 2 2 2 2 5" xfId="51187" xr:uid="{00000000-0005-0000-0000-00005E4E0000}"/>
    <cellStyle name="Финансовый 2 3 3 2 2 2 2 3" xfId="5744" xr:uid="{00000000-0005-0000-0000-00005F4E0000}"/>
    <cellStyle name="Финансовый 2 3 3 2 2 2 2 3 2" xfId="17722" xr:uid="{00000000-0005-0000-0000-0000604E0000}"/>
    <cellStyle name="Финансовый 2 3 3 2 2 2 2 3 2 2" xfId="41677" xr:uid="{00000000-0005-0000-0000-0000614E0000}"/>
    <cellStyle name="Финансовый 2 3 3 2 2 2 2 3 3" xfId="29699" xr:uid="{00000000-0005-0000-0000-0000624E0000}"/>
    <cellStyle name="Финансовый 2 3 3 2 2 2 2 4" xfId="8354" xr:uid="{00000000-0005-0000-0000-0000634E0000}"/>
    <cellStyle name="Финансовый 2 3 3 2 2 2 2 4 2" xfId="20332" xr:uid="{00000000-0005-0000-0000-0000644E0000}"/>
    <cellStyle name="Финансовый 2 3 3 2 2 2 2 4 2 2" xfId="44287" xr:uid="{00000000-0005-0000-0000-0000654E0000}"/>
    <cellStyle name="Финансовый 2 3 3 2 2 2 2 4 3" xfId="32309" xr:uid="{00000000-0005-0000-0000-0000664E0000}"/>
    <cellStyle name="Финансовый 2 3 3 2 2 2 2 5" xfId="10137" xr:uid="{00000000-0005-0000-0000-0000674E0000}"/>
    <cellStyle name="Финансовый 2 3 3 2 2 2 2 5 2" xfId="22115" xr:uid="{00000000-0005-0000-0000-0000684E0000}"/>
    <cellStyle name="Финансовый 2 3 3 2 2 2 2 5 2 2" xfId="46070" xr:uid="{00000000-0005-0000-0000-0000694E0000}"/>
    <cellStyle name="Финансовый 2 3 3 2 2 2 2 5 3" xfId="34092" xr:uid="{00000000-0005-0000-0000-00006A4E0000}"/>
    <cellStyle name="Финансовый 2 3 3 2 2 2 2 6" xfId="14295" xr:uid="{00000000-0005-0000-0000-00006B4E0000}"/>
    <cellStyle name="Финансовый 2 3 3 2 2 2 2 6 2" xfId="38250" xr:uid="{00000000-0005-0000-0000-00006C4E0000}"/>
    <cellStyle name="Финансовый 2 3 3 2 2 2 2 7" xfId="26273" xr:uid="{00000000-0005-0000-0000-00006D4E0000}"/>
    <cellStyle name="Финансовый 2 3 3 2 2 2 2 8" xfId="49406" xr:uid="{00000000-0005-0000-0000-00006E4E0000}"/>
    <cellStyle name="Финансовый 2 3 3 2 2 2 3" xfId="3142" xr:uid="{00000000-0005-0000-0000-00006F4E0000}"/>
    <cellStyle name="Финансовый 2 3 3 2 2 2 3 2" xfId="10929" xr:uid="{00000000-0005-0000-0000-0000704E0000}"/>
    <cellStyle name="Финансовый 2 3 3 2 2 2 3 2 2" xfId="22907" xr:uid="{00000000-0005-0000-0000-0000714E0000}"/>
    <cellStyle name="Финансовый 2 3 3 2 2 2 3 2 2 2" xfId="46862" xr:uid="{00000000-0005-0000-0000-0000724E0000}"/>
    <cellStyle name="Финансовый 2 3 3 2 2 2 3 2 3" xfId="34884" xr:uid="{00000000-0005-0000-0000-0000734E0000}"/>
    <cellStyle name="Финансовый 2 3 3 2 2 2 3 3" xfId="15121" xr:uid="{00000000-0005-0000-0000-0000744E0000}"/>
    <cellStyle name="Финансовый 2 3 3 2 2 2 3 3 2" xfId="39076" xr:uid="{00000000-0005-0000-0000-0000754E0000}"/>
    <cellStyle name="Финансовый 2 3 3 2 2 2 3 4" xfId="27099" xr:uid="{00000000-0005-0000-0000-0000764E0000}"/>
    <cellStyle name="Финансовый 2 3 3 2 2 2 3 5" xfId="50230" xr:uid="{00000000-0005-0000-0000-0000774E0000}"/>
    <cellStyle name="Финансовый 2 3 3 2 2 2 4" xfId="4786" xr:uid="{00000000-0005-0000-0000-0000784E0000}"/>
    <cellStyle name="Финансовый 2 3 3 2 2 2 4 2" xfId="16765" xr:uid="{00000000-0005-0000-0000-0000794E0000}"/>
    <cellStyle name="Финансовый 2 3 3 2 2 2 4 2 2" xfId="40720" xr:uid="{00000000-0005-0000-0000-00007A4E0000}"/>
    <cellStyle name="Финансовый 2 3 3 2 2 2 4 3" xfId="28743" xr:uid="{00000000-0005-0000-0000-00007B4E0000}"/>
    <cellStyle name="Финансовый 2 3 3 2 2 2 5" xfId="7398" xr:uid="{00000000-0005-0000-0000-00007C4E0000}"/>
    <cellStyle name="Финансовый 2 3 3 2 2 2 5 2" xfId="19376" xr:uid="{00000000-0005-0000-0000-00007D4E0000}"/>
    <cellStyle name="Финансовый 2 3 3 2 2 2 5 2 2" xfId="43331" xr:uid="{00000000-0005-0000-0000-00007E4E0000}"/>
    <cellStyle name="Финансовый 2 3 3 2 2 2 5 3" xfId="31353" xr:uid="{00000000-0005-0000-0000-00007F4E0000}"/>
    <cellStyle name="Финансовый 2 3 3 2 2 2 6" xfId="9180" xr:uid="{00000000-0005-0000-0000-0000804E0000}"/>
    <cellStyle name="Финансовый 2 3 3 2 2 2 6 2" xfId="21158" xr:uid="{00000000-0005-0000-0000-0000814E0000}"/>
    <cellStyle name="Финансовый 2 3 3 2 2 2 6 2 2" xfId="45113" xr:uid="{00000000-0005-0000-0000-0000824E0000}"/>
    <cellStyle name="Финансовый 2 3 3 2 2 2 6 3" xfId="33135" xr:uid="{00000000-0005-0000-0000-0000834E0000}"/>
    <cellStyle name="Финансовый 2 3 3 2 2 2 7" xfId="13339" xr:uid="{00000000-0005-0000-0000-0000844E0000}"/>
    <cellStyle name="Финансовый 2 3 3 2 2 2 7 2" xfId="37294" xr:uid="{00000000-0005-0000-0000-0000854E0000}"/>
    <cellStyle name="Финансовый 2 3 3 2 2 2 8" xfId="25317" xr:uid="{00000000-0005-0000-0000-0000864E0000}"/>
    <cellStyle name="Финансовый 2 3 3 2 2 2 9" xfId="48450" xr:uid="{00000000-0005-0000-0000-0000874E0000}"/>
    <cellStyle name="Финансовый 2 3 3 2 2 3" xfId="2060" xr:uid="{00000000-0005-0000-0000-0000884E0000}"/>
    <cellStyle name="Финансовый 2 3 3 2 2 3 2" xfId="3705" xr:uid="{00000000-0005-0000-0000-0000894E0000}"/>
    <cellStyle name="Финансовый 2 3 3 2 2 3 2 2" xfId="11445" xr:uid="{00000000-0005-0000-0000-00008A4E0000}"/>
    <cellStyle name="Финансовый 2 3 3 2 2 3 2 2 2" xfId="23423" xr:uid="{00000000-0005-0000-0000-00008B4E0000}"/>
    <cellStyle name="Финансовый 2 3 3 2 2 3 2 2 2 2" xfId="47378" xr:uid="{00000000-0005-0000-0000-00008C4E0000}"/>
    <cellStyle name="Финансовый 2 3 3 2 2 3 2 2 3" xfId="35400" xr:uid="{00000000-0005-0000-0000-00008D4E0000}"/>
    <cellStyle name="Финансовый 2 3 3 2 2 3 2 3" xfId="15684" xr:uid="{00000000-0005-0000-0000-00008E4E0000}"/>
    <cellStyle name="Финансовый 2 3 3 2 2 3 2 3 2" xfId="39639" xr:uid="{00000000-0005-0000-0000-00008F4E0000}"/>
    <cellStyle name="Финансовый 2 3 3 2 2 3 2 4" xfId="27662" xr:uid="{00000000-0005-0000-0000-0000904E0000}"/>
    <cellStyle name="Финансовый 2 3 3 2 2 3 2 5" xfId="50931" xr:uid="{00000000-0005-0000-0000-0000914E0000}"/>
    <cellStyle name="Финансовый 2 3 3 2 2 3 3" xfId="5488" xr:uid="{00000000-0005-0000-0000-0000924E0000}"/>
    <cellStyle name="Финансовый 2 3 3 2 2 3 3 2" xfId="17466" xr:uid="{00000000-0005-0000-0000-0000934E0000}"/>
    <cellStyle name="Финансовый 2 3 3 2 2 3 3 2 2" xfId="41421" xr:uid="{00000000-0005-0000-0000-0000944E0000}"/>
    <cellStyle name="Финансовый 2 3 3 2 2 3 3 3" xfId="29443" xr:uid="{00000000-0005-0000-0000-0000954E0000}"/>
    <cellStyle name="Финансовый 2 3 3 2 2 3 4" xfId="8098" xr:uid="{00000000-0005-0000-0000-0000964E0000}"/>
    <cellStyle name="Финансовый 2 3 3 2 2 3 4 2" xfId="20076" xr:uid="{00000000-0005-0000-0000-0000974E0000}"/>
    <cellStyle name="Финансовый 2 3 3 2 2 3 4 2 2" xfId="44031" xr:uid="{00000000-0005-0000-0000-0000984E0000}"/>
    <cellStyle name="Финансовый 2 3 3 2 2 3 4 3" xfId="32053" xr:uid="{00000000-0005-0000-0000-0000994E0000}"/>
    <cellStyle name="Финансовый 2 3 3 2 2 3 5" xfId="9881" xr:uid="{00000000-0005-0000-0000-00009A4E0000}"/>
    <cellStyle name="Финансовый 2 3 3 2 2 3 5 2" xfId="21859" xr:uid="{00000000-0005-0000-0000-00009B4E0000}"/>
    <cellStyle name="Финансовый 2 3 3 2 2 3 5 2 2" xfId="45814" xr:uid="{00000000-0005-0000-0000-00009C4E0000}"/>
    <cellStyle name="Финансовый 2 3 3 2 2 3 5 3" xfId="33836" xr:uid="{00000000-0005-0000-0000-00009D4E0000}"/>
    <cellStyle name="Финансовый 2 3 3 2 2 3 6" xfId="14039" xr:uid="{00000000-0005-0000-0000-00009E4E0000}"/>
    <cellStyle name="Финансовый 2 3 3 2 2 3 6 2" xfId="37994" xr:uid="{00000000-0005-0000-0000-00009F4E0000}"/>
    <cellStyle name="Финансовый 2 3 3 2 2 3 7" xfId="26017" xr:uid="{00000000-0005-0000-0000-0000A04E0000}"/>
    <cellStyle name="Финансовый 2 3 3 2 2 3 8" xfId="49150" xr:uid="{00000000-0005-0000-0000-0000A14E0000}"/>
    <cellStyle name="Финансовый 2 3 3 2 2 4" xfId="2589" xr:uid="{00000000-0005-0000-0000-0000A24E0000}"/>
    <cellStyle name="Финансовый 2 3 3 2 2 4 2" xfId="4234" xr:uid="{00000000-0005-0000-0000-0000A34E0000}"/>
    <cellStyle name="Финансовый 2 3 3 2 2 4 2 2" xfId="11958" xr:uid="{00000000-0005-0000-0000-0000A44E0000}"/>
    <cellStyle name="Финансовый 2 3 3 2 2 4 2 2 2" xfId="23936" xr:uid="{00000000-0005-0000-0000-0000A54E0000}"/>
    <cellStyle name="Финансовый 2 3 3 2 2 4 2 2 2 2" xfId="47891" xr:uid="{00000000-0005-0000-0000-0000A64E0000}"/>
    <cellStyle name="Финансовый 2 3 3 2 2 4 2 2 3" xfId="35913" xr:uid="{00000000-0005-0000-0000-0000A74E0000}"/>
    <cellStyle name="Финансовый 2 3 3 2 2 4 2 3" xfId="16213" xr:uid="{00000000-0005-0000-0000-0000A84E0000}"/>
    <cellStyle name="Финансовый 2 3 3 2 2 4 2 3 2" xfId="40168" xr:uid="{00000000-0005-0000-0000-0000A94E0000}"/>
    <cellStyle name="Финансовый 2 3 3 2 2 4 2 4" xfId="28191" xr:uid="{00000000-0005-0000-0000-0000AA4E0000}"/>
    <cellStyle name="Финансовый 2 3 3 2 2 4 2 5" xfId="51460" xr:uid="{00000000-0005-0000-0000-0000AB4E0000}"/>
    <cellStyle name="Финансовый 2 3 3 2 2 4 3" xfId="6017" xr:uid="{00000000-0005-0000-0000-0000AC4E0000}"/>
    <cellStyle name="Финансовый 2 3 3 2 2 4 3 2" xfId="17995" xr:uid="{00000000-0005-0000-0000-0000AD4E0000}"/>
    <cellStyle name="Финансовый 2 3 3 2 2 4 3 2 2" xfId="41950" xr:uid="{00000000-0005-0000-0000-0000AE4E0000}"/>
    <cellStyle name="Финансовый 2 3 3 2 2 4 3 3" xfId="29972" xr:uid="{00000000-0005-0000-0000-0000AF4E0000}"/>
    <cellStyle name="Финансовый 2 3 3 2 2 4 4" xfId="8627" xr:uid="{00000000-0005-0000-0000-0000B04E0000}"/>
    <cellStyle name="Финансовый 2 3 3 2 2 4 4 2" xfId="20605" xr:uid="{00000000-0005-0000-0000-0000B14E0000}"/>
    <cellStyle name="Финансовый 2 3 3 2 2 4 4 2 2" xfId="44560" xr:uid="{00000000-0005-0000-0000-0000B24E0000}"/>
    <cellStyle name="Финансовый 2 3 3 2 2 4 4 3" xfId="32582" xr:uid="{00000000-0005-0000-0000-0000B34E0000}"/>
    <cellStyle name="Финансовый 2 3 3 2 2 4 5" xfId="10410" xr:uid="{00000000-0005-0000-0000-0000B44E0000}"/>
    <cellStyle name="Финансовый 2 3 3 2 2 4 5 2" xfId="22388" xr:uid="{00000000-0005-0000-0000-0000B54E0000}"/>
    <cellStyle name="Финансовый 2 3 3 2 2 4 5 2 2" xfId="46343" xr:uid="{00000000-0005-0000-0000-0000B64E0000}"/>
    <cellStyle name="Финансовый 2 3 3 2 2 4 5 3" xfId="34365" xr:uid="{00000000-0005-0000-0000-0000B74E0000}"/>
    <cellStyle name="Финансовый 2 3 3 2 2 4 6" xfId="14568" xr:uid="{00000000-0005-0000-0000-0000B84E0000}"/>
    <cellStyle name="Финансовый 2 3 3 2 2 4 6 2" xfId="38523" xr:uid="{00000000-0005-0000-0000-0000B94E0000}"/>
    <cellStyle name="Финансовый 2 3 3 2 2 4 7" xfId="26546" xr:uid="{00000000-0005-0000-0000-0000BA4E0000}"/>
    <cellStyle name="Финансовый 2 3 3 2 2 4 8" xfId="49679" xr:uid="{00000000-0005-0000-0000-0000BB4E0000}"/>
    <cellStyle name="Финансовый 2 3 3 2 2 5" xfId="1093" xr:uid="{00000000-0005-0000-0000-0000BC4E0000}"/>
    <cellStyle name="Финансовый 2 3 3 2 2 5 2" xfId="7133" xr:uid="{00000000-0005-0000-0000-0000BD4E0000}"/>
    <cellStyle name="Финансовый 2 3 3 2 2 5 2 2" xfId="19111" xr:uid="{00000000-0005-0000-0000-0000BE4E0000}"/>
    <cellStyle name="Финансовый 2 3 3 2 2 5 2 2 2" xfId="43066" xr:uid="{00000000-0005-0000-0000-0000BF4E0000}"/>
    <cellStyle name="Финансовый 2 3 3 2 2 5 2 3" xfId="31088" xr:uid="{00000000-0005-0000-0000-0000C04E0000}"/>
    <cellStyle name="Финансовый 2 3 3 2 2 5 3" xfId="10673" xr:uid="{00000000-0005-0000-0000-0000C14E0000}"/>
    <cellStyle name="Финансовый 2 3 3 2 2 5 3 2" xfId="22651" xr:uid="{00000000-0005-0000-0000-0000C24E0000}"/>
    <cellStyle name="Финансовый 2 3 3 2 2 5 3 2 2" xfId="46606" xr:uid="{00000000-0005-0000-0000-0000C34E0000}"/>
    <cellStyle name="Финансовый 2 3 3 2 2 5 3 3" xfId="34628" xr:uid="{00000000-0005-0000-0000-0000C44E0000}"/>
    <cellStyle name="Финансовый 2 3 3 2 2 5 4" xfId="13074" xr:uid="{00000000-0005-0000-0000-0000C54E0000}"/>
    <cellStyle name="Финансовый 2 3 3 2 2 5 4 2" xfId="37029" xr:uid="{00000000-0005-0000-0000-0000C64E0000}"/>
    <cellStyle name="Финансовый 2 3 3 2 2 5 5" xfId="25052" xr:uid="{00000000-0005-0000-0000-0000C74E0000}"/>
    <cellStyle name="Финансовый 2 3 3 2 2 5 6" xfId="49958" xr:uid="{00000000-0005-0000-0000-0000C84E0000}"/>
    <cellStyle name="Финансовый 2 3 3 2 2 6" xfId="681" xr:uid="{00000000-0005-0000-0000-0000C94E0000}"/>
    <cellStyle name="Финансовый 2 3 3 2 2 6 2" xfId="6721" xr:uid="{00000000-0005-0000-0000-0000CA4E0000}"/>
    <cellStyle name="Финансовый 2 3 3 2 2 6 2 2" xfId="18699" xr:uid="{00000000-0005-0000-0000-0000CB4E0000}"/>
    <cellStyle name="Финансовый 2 3 3 2 2 6 2 2 2" xfId="42654" xr:uid="{00000000-0005-0000-0000-0000CC4E0000}"/>
    <cellStyle name="Финансовый 2 3 3 2 2 6 2 3" xfId="30676" xr:uid="{00000000-0005-0000-0000-0000CD4E0000}"/>
    <cellStyle name="Финансовый 2 3 3 2 2 6 3" xfId="12662" xr:uid="{00000000-0005-0000-0000-0000CE4E0000}"/>
    <cellStyle name="Финансовый 2 3 3 2 2 6 3 2" xfId="36617" xr:uid="{00000000-0005-0000-0000-0000CF4E0000}"/>
    <cellStyle name="Финансовый 2 3 3 2 2 6 4" xfId="24640" xr:uid="{00000000-0005-0000-0000-0000D04E0000}"/>
    <cellStyle name="Финансовый 2 3 3 2 2 7" xfId="2870" xr:uid="{00000000-0005-0000-0000-0000D14E0000}"/>
    <cellStyle name="Финансовый 2 3 3 2 2 7 2" xfId="14849" xr:uid="{00000000-0005-0000-0000-0000D24E0000}"/>
    <cellStyle name="Финансовый 2 3 3 2 2 7 2 2" xfId="38804" xr:uid="{00000000-0005-0000-0000-0000D34E0000}"/>
    <cellStyle name="Финансовый 2 3 3 2 2 7 3" xfId="26827" xr:uid="{00000000-0005-0000-0000-0000D44E0000}"/>
    <cellStyle name="Финансовый 2 3 3 2 2 8" xfId="4514" xr:uid="{00000000-0005-0000-0000-0000D54E0000}"/>
    <cellStyle name="Финансовый 2 3 3 2 2 8 2" xfId="16493" xr:uid="{00000000-0005-0000-0000-0000D64E0000}"/>
    <cellStyle name="Финансовый 2 3 3 2 2 8 2 2" xfId="40448" xr:uid="{00000000-0005-0000-0000-0000D74E0000}"/>
    <cellStyle name="Финансовый 2 3 3 2 2 8 3" xfId="28471" xr:uid="{00000000-0005-0000-0000-0000D84E0000}"/>
    <cellStyle name="Финансовый 2 3 3 2 2 9" xfId="6301" xr:uid="{00000000-0005-0000-0000-0000D94E0000}"/>
    <cellStyle name="Финансовый 2 3 3 2 2 9 2" xfId="18279" xr:uid="{00000000-0005-0000-0000-0000DA4E0000}"/>
    <cellStyle name="Финансовый 2 3 3 2 2 9 2 2" xfId="42234" xr:uid="{00000000-0005-0000-0000-0000DB4E0000}"/>
    <cellStyle name="Финансовый 2 3 3 2 2 9 3" xfId="30256" xr:uid="{00000000-0005-0000-0000-0000DC4E0000}"/>
    <cellStyle name="Финансовый 2 3 3 2 3" xfId="409" xr:uid="{00000000-0005-0000-0000-0000DD4E0000}"/>
    <cellStyle name="Финансовый 2 3 3 2 3 10" xfId="24368" xr:uid="{00000000-0005-0000-0000-0000DE4E0000}"/>
    <cellStyle name="Финансовый 2 3 3 2 3 11" xfId="48314" xr:uid="{00000000-0005-0000-0000-0000DF4E0000}"/>
    <cellStyle name="Финансовый 2 3 3 2 3 2" xfId="2188" xr:uid="{00000000-0005-0000-0000-0000E04E0000}"/>
    <cellStyle name="Финансовый 2 3 3 2 3 2 2" xfId="3833" xr:uid="{00000000-0005-0000-0000-0000E14E0000}"/>
    <cellStyle name="Финансовый 2 3 3 2 3 2 2 2" xfId="11573" xr:uid="{00000000-0005-0000-0000-0000E24E0000}"/>
    <cellStyle name="Финансовый 2 3 3 2 3 2 2 2 2" xfId="23551" xr:uid="{00000000-0005-0000-0000-0000E34E0000}"/>
    <cellStyle name="Финансовый 2 3 3 2 3 2 2 2 2 2" xfId="47506" xr:uid="{00000000-0005-0000-0000-0000E44E0000}"/>
    <cellStyle name="Финансовый 2 3 3 2 3 2 2 2 3" xfId="35528" xr:uid="{00000000-0005-0000-0000-0000E54E0000}"/>
    <cellStyle name="Финансовый 2 3 3 2 3 2 2 3" xfId="15812" xr:uid="{00000000-0005-0000-0000-0000E64E0000}"/>
    <cellStyle name="Финансовый 2 3 3 2 3 2 2 3 2" xfId="39767" xr:uid="{00000000-0005-0000-0000-0000E74E0000}"/>
    <cellStyle name="Финансовый 2 3 3 2 3 2 2 4" xfId="27790" xr:uid="{00000000-0005-0000-0000-0000E84E0000}"/>
    <cellStyle name="Финансовый 2 3 3 2 3 2 2 5" xfId="51059" xr:uid="{00000000-0005-0000-0000-0000E94E0000}"/>
    <cellStyle name="Финансовый 2 3 3 2 3 2 3" xfId="5616" xr:uid="{00000000-0005-0000-0000-0000EA4E0000}"/>
    <cellStyle name="Финансовый 2 3 3 2 3 2 3 2" xfId="17594" xr:uid="{00000000-0005-0000-0000-0000EB4E0000}"/>
    <cellStyle name="Финансовый 2 3 3 2 3 2 3 2 2" xfId="41549" xr:uid="{00000000-0005-0000-0000-0000EC4E0000}"/>
    <cellStyle name="Финансовый 2 3 3 2 3 2 3 3" xfId="29571" xr:uid="{00000000-0005-0000-0000-0000ED4E0000}"/>
    <cellStyle name="Финансовый 2 3 3 2 3 2 4" xfId="8226" xr:uid="{00000000-0005-0000-0000-0000EE4E0000}"/>
    <cellStyle name="Финансовый 2 3 3 2 3 2 4 2" xfId="20204" xr:uid="{00000000-0005-0000-0000-0000EF4E0000}"/>
    <cellStyle name="Финансовый 2 3 3 2 3 2 4 2 2" xfId="44159" xr:uid="{00000000-0005-0000-0000-0000F04E0000}"/>
    <cellStyle name="Финансовый 2 3 3 2 3 2 4 3" xfId="32181" xr:uid="{00000000-0005-0000-0000-0000F14E0000}"/>
    <cellStyle name="Финансовый 2 3 3 2 3 2 5" xfId="10009" xr:uid="{00000000-0005-0000-0000-0000F24E0000}"/>
    <cellStyle name="Финансовый 2 3 3 2 3 2 5 2" xfId="21987" xr:uid="{00000000-0005-0000-0000-0000F34E0000}"/>
    <cellStyle name="Финансовый 2 3 3 2 3 2 5 2 2" xfId="45942" xr:uid="{00000000-0005-0000-0000-0000F44E0000}"/>
    <cellStyle name="Финансовый 2 3 3 2 3 2 5 3" xfId="33964" xr:uid="{00000000-0005-0000-0000-0000F54E0000}"/>
    <cellStyle name="Финансовый 2 3 3 2 3 2 6" xfId="14167" xr:uid="{00000000-0005-0000-0000-0000F64E0000}"/>
    <cellStyle name="Финансовый 2 3 3 2 3 2 6 2" xfId="38122" xr:uid="{00000000-0005-0000-0000-0000F74E0000}"/>
    <cellStyle name="Финансовый 2 3 3 2 3 2 7" xfId="26145" xr:uid="{00000000-0005-0000-0000-0000F84E0000}"/>
    <cellStyle name="Финансовый 2 3 3 2 3 2 8" xfId="49278" xr:uid="{00000000-0005-0000-0000-0000F94E0000}"/>
    <cellStyle name="Финансовый 2 3 3 2 3 3" xfId="1222" xr:uid="{00000000-0005-0000-0000-0000FA4E0000}"/>
    <cellStyle name="Финансовый 2 3 3 2 3 3 2" xfId="7262" xr:uid="{00000000-0005-0000-0000-0000FB4E0000}"/>
    <cellStyle name="Финансовый 2 3 3 2 3 3 2 2" xfId="19240" xr:uid="{00000000-0005-0000-0000-0000FC4E0000}"/>
    <cellStyle name="Финансовый 2 3 3 2 3 3 2 2 2" xfId="43195" xr:uid="{00000000-0005-0000-0000-0000FD4E0000}"/>
    <cellStyle name="Финансовый 2 3 3 2 3 3 2 3" xfId="31217" xr:uid="{00000000-0005-0000-0000-0000FE4E0000}"/>
    <cellStyle name="Финансовый 2 3 3 2 3 3 3" xfId="10801" xr:uid="{00000000-0005-0000-0000-0000FF4E0000}"/>
    <cellStyle name="Финансовый 2 3 3 2 3 3 3 2" xfId="22779" xr:uid="{00000000-0005-0000-0000-0000004F0000}"/>
    <cellStyle name="Финансовый 2 3 3 2 3 3 3 2 2" xfId="46734" xr:uid="{00000000-0005-0000-0000-0000014F0000}"/>
    <cellStyle name="Финансовый 2 3 3 2 3 3 3 3" xfId="34756" xr:uid="{00000000-0005-0000-0000-0000024F0000}"/>
    <cellStyle name="Финансовый 2 3 3 2 3 3 4" xfId="13203" xr:uid="{00000000-0005-0000-0000-0000034F0000}"/>
    <cellStyle name="Финансовый 2 3 3 2 3 3 4 2" xfId="37158" xr:uid="{00000000-0005-0000-0000-0000044F0000}"/>
    <cellStyle name="Финансовый 2 3 3 2 3 3 5" xfId="25181" xr:uid="{00000000-0005-0000-0000-0000054F0000}"/>
    <cellStyle name="Финансовый 2 3 3 2 3 3 6" xfId="50094" xr:uid="{00000000-0005-0000-0000-0000064F0000}"/>
    <cellStyle name="Финансовый 2 3 3 2 3 4" xfId="829" xr:uid="{00000000-0005-0000-0000-0000074F0000}"/>
    <cellStyle name="Финансовый 2 3 3 2 3 4 2" xfId="6869" xr:uid="{00000000-0005-0000-0000-0000084F0000}"/>
    <cellStyle name="Финансовый 2 3 3 2 3 4 2 2" xfId="18847" xr:uid="{00000000-0005-0000-0000-0000094F0000}"/>
    <cellStyle name="Финансовый 2 3 3 2 3 4 2 2 2" xfId="42802" xr:uid="{00000000-0005-0000-0000-00000A4F0000}"/>
    <cellStyle name="Финансовый 2 3 3 2 3 4 2 3" xfId="30824" xr:uid="{00000000-0005-0000-0000-00000B4F0000}"/>
    <cellStyle name="Финансовый 2 3 3 2 3 4 3" xfId="12810" xr:uid="{00000000-0005-0000-0000-00000C4F0000}"/>
    <cellStyle name="Финансовый 2 3 3 2 3 4 3 2" xfId="36765" xr:uid="{00000000-0005-0000-0000-00000D4F0000}"/>
    <cellStyle name="Финансовый 2 3 3 2 3 4 4" xfId="24788" xr:uid="{00000000-0005-0000-0000-00000E4F0000}"/>
    <cellStyle name="Финансовый 2 3 3 2 3 5" xfId="3006" xr:uid="{00000000-0005-0000-0000-00000F4F0000}"/>
    <cellStyle name="Финансовый 2 3 3 2 3 5 2" xfId="14985" xr:uid="{00000000-0005-0000-0000-0000104F0000}"/>
    <cellStyle name="Финансовый 2 3 3 2 3 5 2 2" xfId="38940" xr:uid="{00000000-0005-0000-0000-0000114F0000}"/>
    <cellStyle name="Финансовый 2 3 3 2 3 5 3" xfId="26963" xr:uid="{00000000-0005-0000-0000-0000124F0000}"/>
    <cellStyle name="Финансовый 2 3 3 2 3 6" xfId="4650" xr:uid="{00000000-0005-0000-0000-0000134F0000}"/>
    <cellStyle name="Финансовый 2 3 3 2 3 6 2" xfId="16629" xr:uid="{00000000-0005-0000-0000-0000144F0000}"/>
    <cellStyle name="Финансовый 2 3 3 2 3 6 2 2" xfId="40584" xr:uid="{00000000-0005-0000-0000-0000154F0000}"/>
    <cellStyle name="Финансовый 2 3 3 2 3 6 3" xfId="28607" xr:uid="{00000000-0005-0000-0000-0000164F0000}"/>
    <cellStyle name="Финансовый 2 3 3 2 3 7" xfId="6449" xr:uid="{00000000-0005-0000-0000-0000174F0000}"/>
    <cellStyle name="Финансовый 2 3 3 2 3 7 2" xfId="18427" xr:uid="{00000000-0005-0000-0000-0000184F0000}"/>
    <cellStyle name="Финансовый 2 3 3 2 3 7 2 2" xfId="42382" xr:uid="{00000000-0005-0000-0000-0000194F0000}"/>
    <cellStyle name="Финансовый 2 3 3 2 3 7 3" xfId="30404" xr:uid="{00000000-0005-0000-0000-00001A4F0000}"/>
    <cellStyle name="Финансовый 2 3 3 2 3 8" xfId="9044" xr:uid="{00000000-0005-0000-0000-00001B4F0000}"/>
    <cellStyle name="Финансовый 2 3 3 2 3 8 2" xfId="21022" xr:uid="{00000000-0005-0000-0000-00001C4F0000}"/>
    <cellStyle name="Финансовый 2 3 3 2 3 8 2 2" xfId="44977" xr:uid="{00000000-0005-0000-0000-00001D4F0000}"/>
    <cellStyle name="Финансовый 2 3 3 2 3 8 3" xfId="32999" xr:uid="{00000000-0005-0000-0000-00001E4F0000}"/>
    <cellStyle name="Финансовый 2 3 3 2 3 9" xfId="12390" xr:uid="{00000000-0005-0000-0000-00001F4F0000}"/>
    <cellStyle name="Финансовый 2 3 3 2 3 9 2" xfId="36345" xr:uid="{00000000-0005-0000-0000-0000204F0000}"/>
    <cellStyle name="Финансовый 2 3 3 2 4" xfId="1488" xr:uid="{00000000-0005-0000-0000-0000214F0000}"/>
    <cellStyle name="Финансовый 2 3 3 2 4 2" xfId="1932" xr:uid="{00000000-0005-0000-0000-0000224F0000}"/>
    <cellStyle name="Финансовый 2 3 3 2 4 2 2" xfId="3577" xr:uid="{00000000-0005-0000-0000-0000234F0000}"/>
    <cellStyle name="Финансовый 2 3 3 2 4 2 2 2" xfId="11317" xr:uid="{00000000-0005-0000-0000-0000244F0000}"/>
    <cellStyle name="Финансовый 2 3 3 2 4 2 2 2 2" xfId="23295" xr:uid="{00000000-0005-0000-0000-0000254F0000}"/>
    <cellStyle name="Финансовый 2 3 3 2 4 2 2 2 2 2" xfId="47250" xr:uid="{00000000-0005-0000-0000-0000264F0000}"/>
    <cellStyle name="Финансовый 2 3 3 2 4 2 2 2 3" xfId="35272" xr:uid="{00000000-0005-0000-0000-0000274F0000}"/>
    <cellStyle name="Финансовый 2 3 3 2 4 2 2 3" xfId="15556" xr:uid="{00000000-0005-0000-0000-0000284F0000}"/>
    <cellStyle name="Финансовый 2 3 3 2 4 2 2 3 2" xfId="39511" xr:uid="{00000000-0005-0000-0000-0000294F0000}"/>
    <cellStyle name="Финансовый 2 3 3 2 4 2 2 4" xfId="27534" xr:uid="{00000000-0005-0000-0000-00002A4F0000}"/>
    <cellStyle name="Финансовый 2 3 3 2 4 2 2 5" xfId="50803" xr:uid="{00000000-0005-0000-0000-00002B4F0000}"/>
    <cellStyle name="Финансовый 2 3 3 2 4 2 3" xfId="5360" xr:uid="{00000000-0005-0000-0000-00002C4F0000}"/>
    <cellStyle name="Финансовый 2 3 3 2 4 2 3 2" xfId="17338" xr:uid="{00000000-0005-0000-0000-00002D4F0000}"/>
    <cellStyle name="Финансовый 2 3 3 2 4 2 3 2 2" xfId="41293" xr:uid="{00000000-0005-0000-0000-00002E4F0000}"/>
    <cellStyle name="Финансовый 2 3 3 2 4 2 3 3" xfId="29315" xr:uid="{00000000-0005-0000-0000-00002F4F0000}"/>
    <cellStyle name="Финансовый 2 3 3 2 4 2 4" xfId="7970" xr:uid="{00000000-0005-0000-0000-0000304F0000}"/>
    <cellStyle name="Финансовый 2 3 3 2 4 2 4 2" xfId="19948" xr:uid="{00000000-0005-0000-0000-0000314F0000}"/>
    <cellStyle name="Финансовый 2 3 3 2 4 2 4 2 2" xfId="43903" xr:uid="{00000000-0005-0000-0000-0000324F0000}"/>
    <cellStyle name="Финансовый 2 3 3 2 4 2 4 3" xfId="31925" xr:uid="{00000000-0005-0000-0000-0000334F0000}"/>
    <cellStyle name="Финансовый 2 3 3 2 4 2 5" xfId="9753" xr:uid="{00000000-0005-0000-0000-0000344F0000}"/>
    <cellStyle name="Финансовый 2 3 3 2 4 2 5 2" xfId="21731" xr:uid="{00000000-0005-0000-0000-0000354F0000}"/>
    <cellStyle name="Финансовый 2 3 3 2 4 2 5 2 2" xfId="45686" xr:uid="{00000000-0005-0000-0000-0000364F0000}"/>
    <cellStyle name="Финансовый 2 3 3 2 4 2 5 3" xfId="33708" xr:uid="{00000000-0005-0000-0000-0000374F0000}"/>
    <cellStyle name="Финансовый 2 3 3 2 4 2 6" xfId="13911" xr:uid="{00000000-0005-0000-0000-0000384F0000}"/>
    <cellStyle name="Финансовый 2 3 3 2 4 2 6 2" xfId="37866" xr:uid="{00000000-0005-0000-0000-0000394F0000}"/>
    <cellStyle name="Финансовый 2 3 3 2 4 2 7" xfId="25889" xr:uid="{00000000-0005-0000-0000-00003A4F0000}"/>
    <cellStyle name="Финансовый 2 3 3 2 4 2 8" xfId="49022" xr:uid="{00000000-0005-0000-0000-00003B4F0000}"/>
    <cellStyle name="Финансовый 2 3 3 2 4 3" xfId="4916" xr:uid="{00000000-0005-0000-0000-00003C4F0000}"/>
    <cellStyle name="Финансовый 2 3 3 2 4 3 2" xfId="16894" xr:uid="{00000000-0005-0000-0000-00003D4F0000}"/>
    <cellStyle name="Финансовый 2 3 3 2 4 3 2 2" xfId="40849" xr:uid="{00000000-0005-0000-0000-00003E4F0000}"/>
    <cellStyle name="Финансовый 2 3 3 2 4 3 3" xfId="28871" xr:uid="{00000000-0005-0000-0000-00003F4F0000}"/>
    <cellStyle name="Финансовый 2 3 3 2 4 3 4" xfId="50359" xr:uid="{00000000-0005-0000-0000-0000404F0000}"/>
    <cellStyle name="Финансовый 2 3 3 2 4 4" xfId="7526" xr:uid="{00000000-0005-0000-0000-0000414F0000}"/>
    <cellStyle name="Финансовый 2 3 3 2 4 4 2" xfId="19504" xr:uid="{00000000-0005-0000-0000-0000424F0000}"/>
    <cellStyle name="Финансовый 2 3 3 2 4 4 2 2" xfId="43459" xr:uid="{00000000-0005-0000-0000-0000434F0000}"/>
    <cellStyle name="Финансовый 2 3 3 2 4 4 3" xfId="31481" xr:uid="{00000000-0005-0000-0000-0000444F0000}"/>
    <cellStyle name="Финансовый 2 3 3 2 4 5" xfId="9309" xr:uid="{00000000-0005-0000-0000-0000454F0000}"/>
    <cellStyle name="Финансовый 2 3 3 2 4 5 2" xfId="21287" xr:uid="{00000000-0005-0000-0000-0000464F0000}"/>
    <cellStyle name="Финансовый 2 3 3 2 4 5 2 2" xfId="45242" xr:uid="{00000000-0005-0000-0000-0000474F0000}"/>
    <cellStyle name="Финансовый 2 3 3 2 4 5 3" xfId="33264" xr:uid="{00000000-0005-0000-0000-0000484F0000}"/>
    <cellStyle name="Финансовый 2 3 3 2 4 6" xfId="13467" xr:uid="{00000000-0005-0000-0000-0000494F0000}"/>
    <cellStyle name="Финансовый 2 3 3 2 4 6 2" xfId="37422" xr:uid="{00000000-0005-0000-0000-00004A4F0000}"/>
    <cellStyle name="Финансовый 2 3 3 2 4 7" xfId="25445" xr:uid="{00000000-0005-0000-0000-00004B4F0000}"/>
    <cellStyle name="Финансовый 2 3 3 2 4 8" xfId="48578" xr:uid="{00000000-0005-0000-0000-00004C4F0000}"/>
    <cellStyle name="Финансовый 2 3 3 2 5" xfId="1808" xr:uid="{00000000-0005-0000-0000-00004D4F0000}"/>
    <cellStyle name="Финансовый 2 3 3 2 5 2" xfId="3453" xr:uid="{00000000-0005-0000-0000-00004E4F0000}"/>
    <cellStyle name="Финансовый 2 3 3 2 5 2 2" xfId="11201" xr:uid="{00000000-0005-0000-0000-00004F4F0000}"/>
    <cellStyle name="Финансовый 2 3 3 2 5 2 2 2" xfId="23179" xr:uid="{00000000-0005-0000-0000-0000504F0000}"/>
    <cellStyle name="Финансовый 2 3 3 2 5 2 2 2 2" xfId="47134" xr:uid="{00000000-0005-0000-0000-0000514F0000}"/>
    <cellStyle name="Финансовый 2 3 3 2 5 2 2 3" xfId="35156" xr:uid="{00000000-0005-0000-0000-0000524F0000}"/>
    <cellStyle name="Финансовый 2 3 3 2 5 2 3" xfId="15432" xr:uid="{00000000-0005-0000-0000-0000534F0000}"/>
    <cellStyle name="Финансовый 2 3 3 2 5 2 3 2" xfId="39387" xr:uid="{00000000-0005-0000-0000-0000544F0000}"/>
    <cellStyle name="Финансовый 2 3 3 2 5 2 4" xfId="27410" xr:uid="{00000000-0005-0000-0000-0000554F0000}"/>
    <cellStyle name="Финансовый 2 3 3 2 5 2 5" xfId="50679" xr:uid="{00000000-0005-0000-0000-0000564F0000}"/>
    <cellStyle name="Финансовый 2 3 3 2 5 3" xfId="5236" xr:uid="{00000000-0005-0000-0000-0000574F0000}"/>
    <cellStyle name="Финансовый 2 3 3 2 5 3 2" xfId="17214" xr:uid="{00000000-0005-0000-0000-0000584F0000}"/>
    <cellStyle name="Финансовый 2 3 3 2 5 3 2 2" xfId="41169" xr:uid="{00000000-0005-0000-0000-0000594F0000}"/>
    <cellStyle name="Финансовый 2 3 3 2 5 3 3" xfId="29191" xr:uid="{00000000-0005-0000-0000-00005A4F0000}"/>
    <cellStyle name="Финансовый 2 3 3 2 5 4" xfId="7846" xr:uid="{00000000-0005-0000-0000-00005B4F0000}"/>
    <cellStyle name="Финансовый 2 3 3 2 5 4 2" xfId="19824" xr:uid="{00000000-0005-0000-0000-00005C4F0000}"/>
    <cellStyle name="Финансовый 2 3 3 2 5 4 2 2" xfId="43779" xr:uid="{00000000-0005-0000-0000-00005D4F0000}"/>
    <cellStyle name="Финансовый 2 3 3 2 5 4 3" xfId="31801" xr:uid="{00000000-0005-0000-0000-00005E4F0000}"/>
    <cellStyle name="Финансовый 2 3 3 2 5 5" xfId="9629" xr:uid="{00000000-0005-0000-0000-00005F4F0000}"/>
    <cellStyle name="Финансовый 2 3 3 2 5 5 2" xfId="21607" xr:uid="{00000000-0005-0000-0000-0000604F0000}"/>
    <cellStyle name="Финансовый 2 3 3 2 5 5 2 2" xfId="45562" xr:uid="{00000000-0005-0000-0000-0000614F0000}"/>
    <cellStyle name="Финансовый 2 3 3 2 5 5 3" xfId="33584" xr:uid="{00000000-0005-0000-0000-0000624F0000}"/>
    <cellStyle name="Финансовый 2 3 3 2 5 6" xfId="13787" xr:uid="{00000000-0005-0000-0000-0000634F0000}"/>
    <cellStyle name="Финансовый 2 3 3 2 5 6 2" xfId="37742" xr:uid="{00000000-0005-0000-0000-0000644F0000}"/>
    <cellStyle name="Финансовый 2 3 3 2 5 7" xfId="25765" xr:uid="{00000000-0005-0000-0000-0000654F0000}"/>
    <cellStyle name="Финансовый 2 3 3 2 5 8" xfId="48898" xr:uid="{00000000-0005-0000-0000-0000664F0000}"/>
    <cellStyle name="Финансовый 2 3 3 2 6" xfId="2453" xr:uid="{00000000-0005-0000-0000-0000674F0000}"/>
    <cellStyle name="Финансовый 2 3 3 2 6 2" xfId="4098" xr:uid="{00000000-0005-0000-0000-0000684F0000}"/>
    <cellStyle name="Финансовый 2 3 3 2 6 2 2" xfId="11830" xr:uid="{00000000-0005-0000-0000-0000694F0000}"/>
    <cellStyle name="Финансовый 2 3 3 2 6 2 2 2" xfId="23808" xr:uid="{00000000-0005-0000-0000-00006A4F0000}"/>
    <cellStyle name="Финансовый 2 3 3 2 6 2 2 2 2" xfId="47763" xr:uid="{00000000-0005-0000-0000-00006B4F0000}"/>
    <cellStyle name="Финансовый 2 3 3 2 6 2 2 3" xfId="35785" xr:uid="{00000000-0005-0000-0000-00006C4F0000}"/>
    <cellStyle name="Финансовый 2 3 3 2 6 2 3" xfId="16077" xr:uid="{00000000-0005-0000-0000-00006D4F0000}"/>
    <cellStyle name="Финансовый 2 3 3 2 6 2 3 2" xfId="40032" xr:uid="{00000000-0005-0000-0000-00006E4F0000}"/>
    <cellStyle name="Финансовый 2 3 3 2 6 2 4" xfId="28055" xr:uid="{00000000-0005-0000-0000-00006F4F0000}"/>
    <cellStyle name="Финансовый 2 3 3 2 6 2 5" xfId="51324" xr:uid="{00000000-0005-0000-0000-0000704F0000}"/>
    <cellStyle name="Финансовый 2 3 3 2 6 3" xfId="5881" xr:uid="{00000000-0005-0000-0000-0000714F0000}"/>
    <cellStyle name="Финансовый 2 3 3 2 6 3 2" xfId="17859" xr:uid="{00000000-0005-0000-0000-0000724F0000}"/>
    <cellStyle name="Финансовый 2 3 3 2 6 3 2 2" xfId="41814" xr:uid="{00000000-0005-0000-0000-0000734F0000}"/>
    <cellStyle name="Финансовый 2 3 3 2 6 3 3" xfId="29836" xr:uid="{00000000-0005-0000-0000-0000744F0000}"/>
    <cellStyle name="Финансовый 2 3 3 2 6 4" xfId="8491" xr:uid="{00000000-0005-0000-0000-0000754F0000}"/>
    <cellStyle name="Финансовый 2 3 3 2 6 4 2" xfId="20469" xr:uid="{00000000-0005-0000-0000-0000764F0000}"/>
    <cellStyle name="Финансовый 2 3 3 2 6 4 2 2" xfId="44424" xr:uid="{00000000-0005-0000-0000-0000774F0000}"/>
    <cellStyle name="Финансовый 2 3 3 2 6 4 3" xfId="32446" xr:uid="{00000000-0005-0000-0000-0000784F0000}"/>
    <cellStyle name="Финансовый 2 3 3 2 6 5" xfId="10274" xr:uid="{00000000-0005-0000-0000-0000794F0000}"/>
    <cellStyle name="Финансовый 2 3 3 2 6 5 2" xfId="22252" xr:uid="{00000000-0005-0000-0000-00007A4F0000}"/>
    <cellStyle name="Финансовый 2 3 3 2 6 5 2 2" xfId="46207" xr:uid="{00000000-0005-0000-0000-00007B4F0000}"/>
    <cellStyle name="Финансовый 2 3 3 2 6 5 3" xfId="34229" xr:uid="{00000000-0005-0000-0000-00007C4F0000}"/>
    <cellStyle name="Финансовый 2 3 3 2 6 6" xfId="14432" xr:uid="{00000000-0005-0000-0000-00007D4F0000}"/>
    <cellStyle name="Финансовый 2 3 3 2 6 6 2" xfId="38387" xr:uid="{00000000-0005-0000-0000-00007E4F0000}"/>
    <cellStyle name="Финансовый 2 3 3 2 6 7" xfId="26410" xr:uid="{00000000-0005-0000-0000-00007F4F0000}"/>
    <cellStyle name="Финансовый 2 3 3 2 6 8" xfId="49543" xr:uid="{00000000-0005-0000-0000-0000804F0000}"/>
    <cellStyle name="Финансовый 2 3 3 2 7" xfId="1680" xr:uid="{00000000-0005-0000-0000-0000814F0000}"/>
    <cellStyle name="Финансовый 2 3 3 2 7 2" xfId="3325" xr:uid="{00000000-0005-0000-0000-0000824F0000}"/>
    <cellStyle name="Финансовый 2 3 3 2 7 2 2" xfId="11073" xr:uid="{00000000-0005-0000-0000-0000834F0000}"/>
    <cellStyle name="Финансовый 2 3 3 2 7 2 2 2" xfId="23051" xr:uid="{00000000-0005-0000-0000-0000844F0000}"/>
    <cellStyle name="Финансовый 2 3 3 2 7 2 2 2 2" xfId="47006" xr:uid="{00000000-0005-0000-0000-0000854F0000}"/>
    <cellStyle name="Финансовый 2 3 3 2 7 2 2 3" xfId="35028" xr:uid="{00000000-0005-0000-0000-0000864F0000}"/>
    <cellStyle name="Финансовый 2 3 3 2 7 2 3" xfId="15304" xr:uid="{00000000-0005-0000-0000-0000874F0000}"/>
    <cellStyle name="Финансовый 2 3 3 2 7 2 3 2" xfId="39259" xr:uid="{00000000-0005-0000-0000-0000884F0000}"/>
    <cellStyle name="Финансовый 2 3 3 2 7 2 4" xfId="27282" xr:uid="{00000000-0005-0000-0000-0000894F0000}"/>
    <cellStyle name="Финансовый 2 3 3 2 7 2 5" xfId="50551" xr:uid="{00000000-0005-0000-0000-00008A4F0000}"/>
    <cellStyle name="Финансовый 2 3 3 2 7 3" xfId="5108" xr:uid="{00000000-0005-0000-0000-00008B4F0000}"/>
    <cellStyle name="Финансовый 2 3 3 2 7 3 2" xfId="17086" xr:uid="{00000000-0005-0000-0000-00008C4F0000}"/>
    <cellStyle name="Финансовый 2 3 3 2 7 3 2 2" xfId="41041" xr:uid="{00000000-0005-0000-0000-00008D4F0000}"/>
    <cellStyle name="Финансовый 2 3 3 2 7 3 3" xfId="29063" xr:uid="{00000000-0005-0000-0000-00008E4F0000}"/>
    <cellStyle name="Финансовый 2 3 3 2 7 4" xfId="7718" xr:uid="{00000000-0005-0000-0000-00008F4F0000}"/>
    <cellStyle name="Финансовый 2 3 3 2 7 4 2" xfId="19696" xr:uid="{00000000-0005-0000-0000-0000904F0000}"/>
    <cellStyle name="Финансовый 2 3 3 2 7 4 2 2" xfId="43651" xr:uid="{00000000-0005-0000-0000-0000914F0000}"/>
    <cellStyle name="Финансовый 2 3 3 2 7 4 3" xfId="31673" xr:uid="{00000000-0005-0000-0000-0000924F0000}"/>
    <cellStyle name="Финансовый 2 3 3 2 7 5" xfId="9501" xr:uid="{00000000-0005-0000-0000-0000934F0000}"/>
    <cellStyle name="Финансовый 2 3 3 2 7 5 2" xfId="21479" xr:uid="{00000000-0005-0000-0000-0000944F0000}"/>
    <cellStyle name="Финансовый 2 3 3 2 7 5 2 2" xfId="45434" xr:uid="{00000000-0005-0000-0000-0000954F0000}"/>
    <cellStyle name="Финансовый 2 3 3 2 7 5 3" xfId="33456" xr:uid="{00000000-0005-0000-0000-0000964F0000}"/>
    <cellStyle name="Финансовый 2 3 3 2 7 6" xfId="13659" xr:uid="{00000000-0005-0000-0000-0000974F0000}"/>
    <cellStyle name="Финансовый 2 3 3 2 7 6 2" xfId="37614" xr:uid="{00000000-0005-0000-0000-0000984F0000}"/>
    <cellStyle name="Финансовый 2 3 3 2 7 7" xfId="25637" xr:uid="{00000000-0005-0000-0000-0000994F0000}"/>
    <cellStyle name="Финансовый 2 3 3 2 7 8" xfId="48770" xr:uid="{00000000-0005-0000-0000-00009A4F0000}"/>
    <cellStyle name="Финансовый 2 3 3 2 8" xfId="957" xr:uid="{00000000-0005-0000-0000-00009B4F0000}"/>
    <cellStyle name="Финансовый 2 3 3 2 8 2" xfId="6997" xr:uid="{00000000-0005-0000-0000-00009C4F0000}"/>
    <cellStyle name="Финансовый 2 3 3 2 8 2 2" xfId="18975" xr:uid="{00000000-0005-0000-0000-00009D4F0000}"/>
    <cellStyle name="Финансовый 2 3 3 2 8 2 2 2" xfId="42930" xr:uid="{00000000-0005-0000-0000-00009E4F0000}"/>
    <cellStyle name="Финансовый 2 3 3 2 8 2 3" xfId="30952" xr:uid="{00000000-0005-0000-0000-00009F4F0000}"/>
    <cellStyle name="Финансовый 2 3 3 2 8 3" xfId="10545" xr:uid="{00000000-0005-0000-0000-0000A04F0000}"/>
    <cellStyle name="Финансовый 2 3 3 2 8 3 2" xfId="22523" xr:uid="{00000000-0005-0000-0000-0000A14F0000}"/>
    <cellStyle name="Финансовый 2 3 3 2 8 3 2 2" xfId="46478" xr:uid="{00000000-0005-0000-0000-0000A24F0000}"/>
    <cellStyle name="Финансовый 2 3 3 2 8 3 3" xfId="34500" xr:uid="{00000000-0005-0000-0000-0000A34F0000}"/>
    <cellStyle name="Финансовый 2 3 3 2 8 4" xfId="12938" xr:uid="{00000000-0005-0000-0000-0000A44F0000}"/>
    <cellStyle name="Финансовый 2 3 3 2 8 4 2" xfId="36893" xr:uid="{00000000-0005-0000-0000-0000A54F0000}"/>
    <cellStyle name="Финансовый 2 3 3 2 8 5" xfId="24916" xr:uid="{00000000-0005-0000-0000-0000A64F0000}"/>
    <cellStyle name="Финансовый 2 3 3 2 8 6" xfId="49822" xr:uid="{00000000-0005-0000-0000-0000A74F0000}"/>
    <cellStyle name="Финансовый 2 3 3 2 9" xfId="545" xr:uid="{00000000-0005-0000-0000-0000A84F0000}"/>
    <cellStyle name="Финансовый 2 3 3 2 9 2" xfId="6585" xr:uid="{00000000-0005-0000-0000-0000A94F0000}"/>
    <cellStyle name="Финансовый 2 3 3 2 9 2 2" xfId="18563" xr:uid="{00000000-0005-0000-0000-0000AA4F0000}"/>
    <cellStyle name="Финансовый 2 3 3 2 9 2 2 2" xfId="42518" xr:uid="{00000000-0005-0000-0000-0000AB4F0000}"/>
    <cellStyle name="Финансовый 2 3 3 2 9 2 3" xfId="30540" xr:uid="{00000000-0005-0000-0000-0000AC4F0000}"/>
    <cellStyle name="Финансовый 2 3 3 2 9 3" xfId="12526" xr:uid="{00000000-0005-0000-0000-0000AD4F0000}"/>
    <cellStyle name="Финансовый 2 3 3 2 9 3 2" xfId="36481" xr:uid="{00000000-0005-0000-0000-0000AE4F0000}"/>
    <cellStyle name="Финансовый 2 3 3 2 9 4" xfId="24504" xr:uid="{00000000-0005-0000-0000-0000AF4F0000}"/>
    <cellStyle name="Финансовый 2 3 3 3" xfId="88" xr:uid="{00000000-0005-0000-0000-0000B04F0000}"/>
    <cellStyle name="Финансовый 2 3 3 3 10" xfId="2698" xr:uid="{00000000-0005-0000-0000-0000B14F0000}"/>
    <cellStyle name="Финансовый 2 3 3 3 10 2" xfId="14677" xr:uid="{00000000-0005-0000-0000-0000B24F0000}"/>
    <cellStyle name="Финансовый 2 3 3 3 10 2 2" xfId="38632" xr:uid="{00000000-0005-0000-0000-0000B34F0000}"/>
    <cellStyle name="Финансовый 2 3 3 3 10 3" xfId="26655" xr:uid="{00000000-0005-0000-0000-0000B44F0000}"/>
    <cellStyle name="Финансовый 2 3 3 3 11" xfId="4342" xr:uid="{00000000-0005-0000-0000-0000B54F0000}"/>
    <cellStyle name="Финансовый 2 3 3 3 11 2" xfId="16321" xr:uid="{00000000-0005-0000-0000-0000B64F0000}"/>
    <cellStyle name="Финансовый 2 3 3 3 11 2 2" xfId="40276" xr:uid="{00000000-0005-0000-0000-0000B74F0000}"/>
    <cellStyle name="Финансовый 2 3 3 3 11 3" xfId="28299" xr:uid="{00000000-0005-0000-0000-0000B84F0000}"/>
    <cellStyle name="Финансовый 2 3 3 3 12" xfId="6129" xr:uid="{00000000-0005-0000-0000-0000B94F0000}"/>
    <cellStyle name="Финансовый 2 3 3 3 12 2" xfId="18107" xr:uid="{00000000-0005-0000-0000-0000BA4F0000}"/>
    <cellStyle name="Финансовый 2 3 3 3 12 2 2" xfId="42062" xr:uid="{00000000-0005-0000-0000-0000BB4F0000}"/>
    <cellStyle name="Финансовый 2 3 3 3 12 3" xfId="30084" xr:uid="{00000000-0005-0000-0000-0000BC4F0000}"/>
    <cellStyle name="Финансовый 2 3 3 3 13" xfId="8736" xr:uid="{00000000-0005-0000-0000-0000BD4F0000}"/>
    <cellStyle name="Финансовый 2 3 3 3 13 2" xfId="20714" xr:uid="{00000000-0005-0000-0000-0000BE4F0000}"/>
    <cellStyle name="Финансовый 2 3 3 3 13 2 2" xfId="44669" xr:uid="{00000000-0005-0000-0000-0000BF4F0000}"/>
    <cellStyle name="Финансовый 2 3 3 3 13 3" xfId="32691" xr:uid="{00000000-0005-0000-0000-0000C04F0000}"/>
    <cellStyle name="Финансовый 2 3 3 3 14" xfId="12070" xr:uid="{00000000-0005-0000-0000-0000C14F0000}"/>
    <cellStyle name="Финансовый 2 3 3 3 14 2" xfId="36025" xr:uid="{00000000-0005-0000-0000-0000C24F0000}"/>
    <cellStyle name="Финансовый 2 3 3 3 15" xfId="24048" xr:uid="{00000000-0005-0000-0000-0000C34F0000}"/>
    <cellStyle name="Финансовый 2 3 3 3 16" xfId="48006" xr:uid="{00000000-0005-0000-0000-0000C44F0000}"/>
    <cellStyle name="Финансовый 2 3 3 3 2" xfId="224" xr:uid="{00000000-0005-0000-0000-0000C54F0000}"/>
    <cellStyle name="Финансовый 2 3 3 3 2 10" xfId="8872" xr:uid="{00000000-0005-0000-0000-0000C64F0000}"/>
    <cellStyle name="Финансовый 2 3 3 3 2 10 2" xfId="20850" xr:uid="{00000000-0005-0000-0000-0000C74F0000}"/>
    <cellStyle name="Финансовый 2 3 3 3 2 10 2 2" xfId="44805" xr:uid="{00000000-0005-0000-0000-0000C84F0000}"/>
    <cellStyle name="Финансовый 2 3 3 3 2 10 3" xfId="32827" xr:uid="{00000000-0005-0000-0000-0000C94F0000}"/>
    <cellStyle name="Финансовый 2 3 3 3 2 11" xfId="12206" xr:uid="{00000000-0005-0000-0000-0000CA4F0000}"/>
    <cellStyle name="Финансовый 2 3 3 3 2 11 2" xfId="36161" xr:uid="{00000000-0005-0000-0000-0000CB4F0000}"/>
    <cellStyle name="Финансовый 2 3 3 3 2 12" xfId="24184" xr:uid="{00000000-0005-0000-0000-0000CC4F0000}"/>
    <cellStyle name="Финансовый 2 3 3 3 2 13" xfId="48142" xr:uid="{00000000-0005-0000-0000-0000CD4F0000}"/>
    <cellStyle name="Финансовый 2 3 3 3 2 2" xfId="1322" xr:uid="{00000000-0005-0000-0000-0000CE4F0000}"/>
    <cellStyle name="Финансовый 2 3 3 3 2 2 2" xfId="2280" xr:uid="{00000000-0005-0000-0000-0000CF4F0000}"/>
    <cellStyle name="Финансовый 2 3 3 3 2 2 2 2" xfId="3925" xr:uid="{00000000-0005-0000-0000-0000D04F0000}"/>
    <cellStyle name="Финансовый 2 3 3 3 2 2 2 2 2" xfId="11665" xr:uid="{00000000-0005-0000-0000-0000D14F0000}"/>
    <cellStyle name="Финансовый 2 3 3 3 2 2 2 2 2 2" xfId="23643" xr:uid="{00000000-0005-0000-0000-0000D24F0000}"/>
    <cellStyle name="Финансовый 2 3 3 3 2 2 2 2 2 2 2" xfId="47598" xr:uid="{00000000-0005-0000-0000-0000D34F0000}"/>
    <cellStyle name="Финансовый 2 3 3 3 2 2 2 2 2 3" xfId="35620" xr:uid="{00000000-0005-0000-0000-0000D44F0000}"/>
    <cellStyle name="Финансовый 2 3 3 3 2 2 2 2 3" xfId="15904" xr:uid="{00000000-0005-0000-0000-0000D54F0000}"/>
    <cellStyle name="Финансовый 2 3 3 3 2 2 2 2 3 2" xfId="39859" xr:uid="{00000000-0005-0000-0000-0000D64F0000}"/>
    <cellStyle name="Финансовый 2 3 3 3 2 2 2 2 4" xfId="27882" xr:uid="{00000000-0005-0000-0000-0000D74F0000}"/>
    <cellStyle name="Финансовый 2 3 3 3 2 2 2 2 5" xfId="51151" xr:uid="{00000000-0005-0000-0000-0000D84F0000}"/>
    <cellStyle name="Финансовый 2 3 3 3 2 2 2 3" xfId="5708" xr:uid="{00000000-0005-0000-0000-0000D94F0000}"/>
    <cellStyle name="Финансовый 2 3 3 3 2 2 2 3 2" xfId="17686" xr:uid="{00000000-0005-0000-0000-0000DA4F0000}"/>
    <cellStyle name="Финансовый 2 3 3 3 2 2 2 3 2 2" xfId="41641" xr:uid="{00000000-0005-0000-0000-0000DB4F0000}"/>
    <cellStyle name="Финансовый 2 3 3 3 2 2 2 3 3" xfId="29663" xr:uid="{00000000-0005-0000-0000-0000DC4F0000}"/>
    <cellStyle name="Финансовый 2 3 3 3 2 2 2 4" xfId="8318" xr:uid="{00000000-0005-0000-0000-0000DD4F0000}"/>
    <cellStyle name="Финансовый 2 3 3 3 2 2 2 4 2" xfId="20296" xr:uid="{00000000-0005-0000-0000-0000DE4F0000}"/>
    <cellStyle name="Финансовый 2 3 3 3 2 2 2 4 2 2" xfId="44251" xr:uid="{00000000-0005-0000-0000-0000DF4F0000}"/>
    <cellStyle name="Финансовый 2 3 3 3 2 2 2 4 3" xfId="32273" xr:uid="{00000000-0005-0000-0000-0000E04F0000}"/>
    <cellStyle name="Финансовый 2 3 3 3 2 2 2 5" xfId="10101" xr:uid="{00000000-0005-0000-0000-0000E14F0000}"/>
    <cellStyle name="Финансовый 2 3 3 3 2 2 2 5 2" xfId="22079" xr:uid="{00000000-0005-0000-0000-0000E24F0000}"/>
    <cellStyle name="Финансовый 2 3 3 3 2 2 2 5 2 2" xfId="46034" xr:uid="{00000000-0005-0000-0000-0000E34F0000}"/>
    <cellStyle name="Финансовый 2 3 3 3 2 2 2 5 3" xfId="34056" xr:uid="{00000000-0005-0000-0000-0000E44F0000}"/>
    <cellStyle name="Финансовый 2 3 3 3 2 2 2 6" xfId="14259" xr:uid="{00000000-0005-0000-0000-0000E54F0000}"/>
    <cellStyle name="Финансовый 2 3 3 3 2 2 2 6 2" xfId="38214" xr:uid="{00000000-0005-0000-0000-0000E64F0000}"/>
    <cellStyle name="Финансовый 2 3 3 3 2 2 2 7" xfId="26237" xr:uid="{00000000-0005-0000-0000-0000E74F0000}"/>
    <cellStyle name="Финансовый 2 3 3 3 2 2 2 8" xfId="49370" xr:uid="{00000000-0005-0000-0000-0000E84F0000}"/>
    <cellStyle name="Финансовый 2 3 3 3 2 2 3" xfId="3106" xr:uid="{00000000-0005-0000-0000-0000E94F0000}"/>
    <cellStyle name="Финансовый 2 3 3 3 2 2 3 2" xfId="10893" xr:uid="{00000000-0005-0000-0000-0000EA4F0000}"/>
    <cellStyle name="Финансовый 2 3 3 3 2 2 3 2 2" xfId="22871" xr:uid="{00000000-0005-0000-0000-0000EB4F0000}"/>
    <cellStyle name="Финансовый 2 3 3 3 2 2 3 2 2 2" xfId="46826" xr:uid="{00000000-0005-0000-0000-0000EC4F0000}"/>
    <cellStyle name="Финансовый 2 3 3 3 2 2 3 2 3" xfId="34848" xr:uid="{00000000-0005-0000-0000-0000ED4F0000}"/>
    <cellStyle name="Финансовый 2 3 3 3 2 2 3 3" xfId="15085" xr:uid="{00000000-0005-0000-0000-0000EE4F0000}"/>
    <cellStyle name="Финансовый 2 3 3 3 2 2 3 3 2" xfId="39040" xr:uid="{00000000-0005-0000-0000-0000EF4F0000}"/>
    <cellStyle name="Финансовый 2 3 3 3 2 2 3 4" xfId="27063" xr:uid="{00000000-0005-0000-0000-0000F04F0000}"/>
    <cellStyle name="Финансовый 2 3 3 3 2 2 3 5" xfId="50194" xr:uid="{00000000-0005-0000-0000-0000F14F0000}"/>
    <cellStyle name="Финансовый 2 3 3 3 2 2 4" xfId="4750" xr:uid="{00000000-0005-0000-0000-0000F24F0000}"/>
    <cellStyle name="Финансовый 2 3 3 3 2 2 4 2" xfId="16729" xr:uid="{00000000-0005-0000-0000-0000F34F0000}"/>
    <cellStyle name="Финансовый 2 3 3 3 2 2 4 2 2" xfId="40684" xr:uid="{00000000-0005-0000-0000-0000F44F0000}"/>
    <cellStyle name="Финансовый 2 3 3 3 2 2 4 3" xfId="28707" xr:uid="{00000000-0005-0000-0000-0000F54F0000}"/>
    <cellStyle name="Финансовый 2 3 3 3 2 2 5" xfId="7362" xr:uid="{00000000-0005-0000-0000-0000F64F0000}"/>
    <cellStyle name="Финансовый 2 3 3 3 2 2 5 2" xfId="19340" xr:uid="{00000000-0005-0000-0000-0000F74F0000}"/>
    <cellStyle name="Финансовый 2 3 3 3 2 2 5 2 2" xfId="43295" xr:uid="{00000000-0005-0000-0000-0000F84F0000}"/>
    <cellStyle name="Финансовый 2 3 3 3 2 2 5 3" xfId="31317" xr:uid="{00000000-0005-0000-0000-0000F94F0000}"/>
    <cellStyle name="Финансовый 2 3 3 3 2 2 6" xfId="9144" xr:uid="{00000000-0005-0000-0000-0000FA4F0000}"/>
    <cellStyle name="Финансовый 2 3 3 3 2 2 6 2" xfId="21122" xr:uid="{00000000-0005-0000-0000-0000FB4F0000}"/>
    <cellStyle name="Финансовый 2 3 3 3 2 2 6 2 2" xfId="45077" xr:uid="{00000000-0005-0000-0000-0000FC4F0000}"/>
    <cellStyle name="Финансовый 2 3 3 3 2 2 6 3" xfId="33099" xr:uid="{00000000-0005-0000-0000-0000FD4F0000}"/>
    <cellStyle name="Финансовый 2 3 3 3 2 2 7" xfId="13303" xr:uid="{00000000-0005-0000-0000-0000FE4F0000}"/>
    <cellStyle name="Финансовый 2 3 3 3 2 2 7 2" xfId="37258" xr:uid="{00000000-0005-0000-0000-0000FF4F0000}"/>
    <cellStyle name="Финансовый 2 3 3 3 2 2 8" xfId="25281" xr:uid="{00000000-0005-0000-0000-000000500000}"/>
    <cellStyle name="Финансовый 2 3 3 3 2 2 9" xfId="48414" xr:uid="{00000000-0005-0000-0000-000001500000}"/>
    <cellStyle name="Финансовый 2 3 3 3 2 3" xfId="2024" xr:uid="{00000000-0005-0000-0000-000002500000}"/>
    <cellStyle name="Финансовый 2 3 3 3 2 3 2" xfId="3669" xr:uid="{00000000-0005-0000-0000-000003500000}"/>
    <cellStyle name="Финансовый 2 3 3 3 2 3 2 2" xfId="11409" xr:uid="{00000000-0005-0000-0000-000004500000}"/>
    <cellStyle name="Финансовый 2 3 3 3 2 3 2 2 2" xfId="23387" xr:uid="{00000000-0005-0000-0000-000005500000}"/>
    <cellStyle name="Финансовый 2 3 3 3 2 3 2 2 2 2" xfId="47342" xr:uid="{00000000-0005-0000-0000-000006500000}"/>
    <cellStyle name="Финансовый 2 3 3 3 2 3 2 2 3" xfId="35364" xr:uid="{00000000-0005-0000-0000-000007500000}"/>
    <cellStyle name="Финансовый 2 3 3 3 2 3 2 3" xfId="15648" xr:uid="{00000000-0005-0000-0000-000008500000}"/>
    <cellStyle name="Финансовый 2 3 3 3 2 3 2 3 2" xfId="39603" xr:uid="{00000000-0005-0000-0000-000009500000}"/>
    <cellStyle name="Финансовый 2 3 3 3 2 3 2 4" xfId="27626" xr:uid="{00000000-0005-0000-0000-00000A500000}"/>
    <cellStyle name="Финансовый 2 3 3 3 2 3 2 5" xfId="50895" xr:uid="{00000000-0005-0000-0000-00000B500000}"/>
    <cellStyle name="Финансовый 2 3 3 3 2 3 3" xfId="5452" xr:uid="{00000000-0005-0000-0000-00000C500000}"/>
    <cellStyle name="Финансовый 2 3 3 3 2 3 3 2" xfId="17430" xr:uid="{00000000-0005-0000-0000-00000D500000}"/>
    <cellStyle name="Финансовый 2 3 3 3 2 3 3 2 2" xfId="41385" xr:uid="{00000000-0005-0000-0000-00000E500000}"/>
    <cellStyle name="Финансовый 2 3 3 3 2 3 3 3" xfId="29407" xr:uid="{00000000-0005-0000-0000-00000F500000}"/>
    <cellStyle name="Финансовый 2 3 3 3 2 3 4" xfId="8062" xr:uid="{00000000-0005-0000-0000-000010500000}"/>
    <cellStyle name="Финансовый 2 3 3 3 2 3 4 2" xfId="20040" xr:uid="{00000000-0005-0000-0000-000011500000}"/>
    <cellStyle name="Финансовый 2 3 3 3 2 3 4 2 2" xfId="43995" xr:uid="{00000000-0005-0000-0000-000012500000}"/>
    <cellStyle name="Финансовый 2 3 3 3 2 3 4 3" xfId="32017" xr:uid="{00000000-0005-0000-0000-000013500000}"/>
    <cellStyle name="Финансовый 2 3 3 3 2 3 5" xfId="9845" xr:uid="{00000000-0005-0000-0000-000014500000}"/>
    <cellStyle name="Финансовый 2 3 3 3 2 3 5 2" xfId="21823" xr:uid="{00000000-0005-0000-0000-000015500000}"/>
    <cellStyle name="Финансовый 2 3 3 3 2 3 5 2 2" xfId="45778" xr:uid="{00000000-0005-0000-0000-000016500000}"/>
    <cellStyle name="Финансовый 2 3 3 3 2 3 5 3" xfId="33800" xr:uid="{00000000-0005-0000-0000-000017500000}"/>
    <cellStyle name="Финансовый 2 3 3 3 2 3 6" xfId="14003" xr:uid="{00000000-0005-0000-0000-000018500000}"/>
    <cellStyle name="Финансовый 2 3 3 3 2 3 6 2" xfId="37958" xr:uid="{00000000-0005-0000-0000-000019500000}"/>
    <cellStyle name="Финансовый 2 3 3 3 2 3 7" xfId="25981" xr:uid="{00000000-0005-0000-0000-00001A500000}"/>
    <cellStyle name="Финансовый 2 3 3 3 2 3 8" xfId="49114" xr:uid="{00000000-0005-0000-0000-00001B500000}"/>
    <cellStyle name="Финансовый 2 3 3 3 2 4" xfId="2553" xr:uid="{00000000-0005-0000-0000-00001C500000}"/>
    <cellStyle name="Финансовый 2 3 3 3 2 4 2" xfId="4198" xr:uid="{00000000-0005-0000-0000-00001D500000}"/>
    <cellStyle name="Финансовый 2 3 3 3 2 4 2 2" xfId="11922" xr:uid="{00000000-0005-0000-0000-00001E500000}"/>
    <cellStyle name="Финансовый 2 3 3 3 2 4 2 2 2" xfId="23900" xr:uid="{00000000-0005-0000-0000-00001F500000}"/>
    <cellStyle name="Финансовый 2 3 3 3 2 4 2 2 2 2" xfId="47855" xr:uid="{00000000-0005-0000-0000-000020500000}"/>
    <cellStyle name="Финансовый 2 3 3 3 2 4 2 2 3" xfId="35877" xr:uid="{00000000-0005-0000-0000-000021500000}"/>
    <cellStyle name="Финансовый 2 3 3 3 2 4 2 3" xfId="16177" xr:uid="{00000000-0005-0000-0000-000022500000}"/>
    <cellStyle name="Финансовый 2 3 3 3 2 4 2 3 2" xfId="40132" xr:uid="{00000000-0005-0000-0000-000023500000}"/>
    <cellStyle name="Финансовый 2 3 3 3 2 4 2 4" xfId="28155" xr:uid="{00000000-0005-0000-0000-000024500000}"/>
    <cellStyle name="Финансовый 2 3 3 3 2 4 2 5" xfId="51424" xr:uid="{00000000-0005-0000-0000-000025500000}"/>
    <cellStyle name="Финансовый 2 3 3 3 2 4 3" xfId="5981" xr:uid="{00000000-0005-0000-0000-000026500000}"/>
    <cellStyle name="Финансовый 2 3 3 3 2 4 3 2" xfId="17959" xr:uid="{00000000-0005-0000-0000-000027500000}"/>
    <cellStyle name="Финансовый 2 3 3 3 2 4 3 2 2" xfId="41914" xr:uid="{00000000-0005-0000-0000-000028500000}"/>
    <cellStyle name="Финансовый 2 3 3 3 2 4 3 3" xfId="29936" xr:uid="{00000000-0005-0000-0000-000029500000}"/>
    <cellStyle name="Финансовый 2 3 3 3 2 4 4" xfId="8591" xr:uid="{00000000-0005-0000-0000-00002A500000}"/>
    <cellStyle name="Финансовый 2 3 3 3 2 4 4 2" xfId="20569" xr:uid="{00000000-0005-0000-0000-00002B500000}"/>
    <cellStyle name="Финансовый 2 3 3 3 2 4 4 2 2" xfId="44524" xr:uid="{00000000-0005-0000-0000-00002C500000}"/>
    <cellStyle name="Финансовый 2 3 3 3 2 4 4 3" xfId="32546" xr:uid="{00000000-0005-0000-0000-00002D500000}"/>
    <cellStyle name="Финансовый 2 3 3 3 2 4 5" xfId="10374" xr:uid="{00000000-0005-0000-0000-00002E500000}"/>
    <cellStyle name="Финансовый 2 3 3 3 2 4 5 2" xfId="22352" xr:uid="{00000000-0005-0000-0000-00002F500000}"/>
    <cellStyle name="Финансовый 2 3 3 3 2 4 5 2 2" xfId="46307" xr:uid="{00000000-0005-0000-0000-000030500000}"/>
    <cellStyle name="Финансовый 2 3 3 3 2 4 5 3" xfId="34329" xr:uid="{00000000-0005-0000-0000-000031500000}"/>
    <cellStyle name="Финансовый 2 3 3 3 2 4 6" xfId="14532" xr:uid="{00000000-0005-0000-0000-000032500000}"/>
    <cellStyle name="Финансовый 2 3 3 3 2 4 6 2" xfId="38487" xr:uid="{00000000-0005-0000-0000-000033500000}"/>
    <cellStyle name="Финансовый 2 3 3 3 2 4 7" xfId="26510" xr:uid="{00000000-0005-0000-0000-000034500000}"/>
    <cellStyle name="Финансовый 2 3 3 3 2 4 8" xfId="49643" xr:uid="{00000000-0005-0000-0000-000035500000}"/>
    <cellStyle name="Финансовый 2 3 3 3 2 5" xfId="1057" xr:uid="{00000000-0005-0000-0000-000036500000}"/>
    <cellStyle name="Финансовый 2 3 3 3 2 5 2" xfId="7097" xr:uid="{00000000-0005-0000-0000-000037500000}"/>
    <cellStyle name="Финансовый 2 3 3 3 2 5 2 2" xfId="19075" xr:uid="{00000000-0005-0000-0000-000038500000}"/>
    <cellStyle name="Финансовый 2 3 3 3 2 5 2 2 2" xfId="43030" xr:uid="{00000000-0005-0000-0000-000039500000}"/>
    <cellStyle name="Финансовый 2 3 3 3 2 5 2 3" xfId="31052" xr:uid="{00000000-0005-0000-0000-00003A500000}"/>
    <cellStyle name="Финансовый 2 3 3 3 2 5 3" xfId="10637" xr:uid="{00000000-0005-0000-0000-00003B500000}"/>
    <cellStyle name="Финансовый 2 3 3 3 2 5 3 2" xfId="22615" xr:uid="{00000000-0005-0000-0000-00003C500000}"/>
    <cellStyle name="Финансовый 2 3 3 3 2 5 3 2 2" xfId="46570" xr:uid="{00000000-0005-0000-0000-00003D500000}"/>
    <cellStyle name="Финансовый 2 3 3 3 2 5 3 3" xfId="34592" xr:uid="{00000000-0005-0000-0000-00003E500000}"/>
    <cellStyle name="Финансовый 2 3 3 3 2 5 4" xfId="13038" xr:uid="{00000000-0005-0000-0000-00003F500000}"/>
    <cellStyle name="Финансовый 2 3 3 3 2 5 4 2" xfId="36993" xr:uid="{00000000-0005-0000-0000-000040500000}"/>
    <cellStyle name="Финансовый 2 3 3 3 2 5 5" xfId="25016" xr:uid="{00000000-0005-0000-0000-000041500000}"/>
    <cellStyle name="Финансовый 2 3 3 3 2 5 6" xfId="49922" xr:uid="{00000000-0005-0000-0000-000042500000}"/>
    <cellStyle name="Финансовый 2 3 3 3 2 6" xfId="645" xr:uid="{00000000-0005-0000-0000-000043500000}"/>
    <cellStyle name="Финансовый 2 3 3 3 2 6 2" xfId="6685" xr:uid="{00000000-0005-0000-0000-000044500000}"/>
    <cellStyle name="Финансовый 2 3 3 3 2 6 2 2" xfId="18663" xr:uid="{00000000-0005-0000-0000-000045500000}"/>
    <cellStyle name="Финансовый 2 3 3 3 2 6 2 2 2" xfId="42618" xr:uid="{00000000-0005-0000-0000-000046500000}"/>
    <cellStyle name="Финансовый 2 3 3 3 2 6 2 3" xfId="30640" xr:uid="{00000000-0005-0000-0000-000047500000}"/>
    <cellStyle name="Финансовый 2 3 3 3 2 6 3" xfId="12626" xr:uid="{00000000-0005-0000-0000-000048500000}"/>
    <cellStyle name="Финансовый 2 3 3 3 2 6 3 2" xfId="36581" xr:uid="{00000000-0005-0000-0000-000049500000}"/>
    <cellStyle name="Финансовый 2 3 3 3 2 6 4" xfId="24604" xr:uid="{00000000-0005-0000-0000-00004A500000}"/>
    <cellStyle name="Финансовый 2 3 3 3 2 7" xfId="2834" xr:uid="{00000000-0005-0000-0000-00004B500000}"/>
    <cellStyle name="Финансовый 2 3 3 3 2 7 2" xfId="14813" xr:uid="{00000000-0005-0000-0000-00004C500000}"/>
    <cellStyle name="Финансовый 2 3 3 3 2 7 2 2" xfId="38768" xr:uid="{00000000-0005-0000-0000-00004D500000}"/>
    <cellStyle name="Финансовый 2 3 3 3 2 7 3" xfId="26791" xr:uid="{00000000-0005-0000-0000-00004E500000}"/>
    <cellStyle name="Финансовый 2 3 3 3 2 8" xfId="4478" xr:uid="{00000000-0005-0000-0000-00004F500000}"/>
    <cellStyle name="Финансовый 2 3 3 3 2 8 2" xfId="16457" xr:uid="{00000000-0005-0000-0000-000050500000}"/>
    <cellStyle name="Финансовый 2 3 3 3 2 8 2 2" xfId="40412" xr:uid="{00000000-0005-0000-0000-000051500000}"/>
    <cellStyle name="Финансовый 2 3 3 3 2 8 3" xfId="28435" xr:uid="{00000000-0005-0000-0000-000052500000}"/>
    <cellStyle name="Финансовый 2 3 3 3 2 9" xfId="6265" xr:uid="{00000000-0005-0000-0000-000053500000}"/>
    <cellStyle name="Финансовый 2 3 3 3 2 9 2" xfId="18243" xr:uid="{00000000-0005-0000-0000-000054500000}"/>
    <cellStyle name="Финансовый 2 3 3 3 2 9 2 2" xfId="42198" xr:uid="{00000000-0005-0000-0000-000055500000}"/>
    <cellStyle name="Финансовый 2 3 3 3 2 9 3" xfId="30220" xr:uid="{00000000-0005-0000-0000-000056500000}"/>
    <cellStyle name="Финансовый 2 3 3 3 3" xfId="373" xr:uid="{00000000-0005-0000-0000-000057500000}"/>
    <cellStyle name="Финансовый 2 3 3 3 3 10" xfId="24332" xr:uid="{00000000-0005-0000-0000-000058500000}"/>
    <cellStyle name="Финансовый 2 3 3 3 3 11" xfId="48278" xr:uid="{00000000-0005-0000-0000-000059500000}"/>
    <cellStyle name="Финансовый 2 3 3 3 3 2" xfId="2152" xr:uid="{00000000-0005-0000-0000-00005A500000}"/>
    <cellStyle name="Финансовый 2 3 3 3 3 2 2" xfId="3797" xr:uid="{00000000-0005-0000-0000-00005B500000}"/>
    <cellStyle name="Финансовый 2 3 3 3 3 2 2 2" xfId="11537" xr:uid="{00000000-0005-0000-0000-00005C500000}"/>
    <cellStyle name="Финансовый 2 3 3 3 3 2 2 2 2" xfId="23515" xr:uid="{00000000-0005-0000-0000-00005D500000}"/>
    <cellStyle name="Финансовый 2 3 3 3 3 2 2 2 2 2" xfId="47470" xr:uid="{00000000-0005-0000-0000-00005E500000}"/>
    <cellStyle name="Финансовый 2 3 3 3 3 2 2 2 3" xfId="35492" xr:uid="{00000000-0005-0000-0000-00005F500000}"/>
    <cellStyle name="Финансовый 2 3 3 3 3 2 2 3" xfId="15776" xr:uid="{00000000-0005-0000-0000-000060500000}"/>
    <cellStyle name="Финансовый 2 3 3 3 3 2 2 3 2" xfId="39731" xr:uid="{00000000-0005-0000-0000-000061500000}"/>
    <cellStyle name="Финансовый 2 3 3 3 3 2 2 4" xfId="27754" xr:uid="{00000000-0005-0000-0000-000062500000}"/>
    <cellStyle name="Финансовый 2 3 3 3 3 2 2 5" xfId="51023" xr:uid="{00000000-0005-0000-0000-000063500000}"/>
    <cellStyle name="Финансовый 2 3 3 3 3 2 3" xfId="5580" xr:uid="{00000000-0005-0000-0000-000064500000}"/>
    <cellStyle name="Финансовый 2 3 3 3 3 2 3 2" xfId="17558" xr:uid="{00000000-0005-0000-0000-000065500000}"/>
    <cellStyle name="Финансовый 2 3 3 3 3 2 3 2 2" xfId="41513" xr:uid="{00000000-0005-0000-0000-000066500000}"/>
    <cellStyle name="Финансовый 2 3 3 3 3 2 3 3" xfId="29535" xr:uid="{00000000-0005-0000-0000-000067500000}"/>
    <cellStyle name="Финансовый 2 3 3 3 3 2 4" xfId="8190" xr:uid="{00000000-0005-0000-0000-000068500000}"/>
    <cellStyle name="Финансовый 2 3 3 3 3 2 4 2" xfId="20168" xr:uid="{00000000-0005-0000-0000-000069500000}"/>
    <cellStyle name="Финансовый 2 3 3 3 3 2 4 2 2" xfId="44123" xr:uid="{00000000-0005-0000-0000-00006A500000}"/>
    <cellStyle name="Финансовый 2 3 3 3 3 2 4 3" xfId="32145" xr:uid="{00000000-0005-0000-0000-00006B500000}"/>
    <cellStyle name="Финансовый 2 3 3 3 3 2 5" xfId="9973" xr:uid="{00000000-0005-0000-0000-00006C500000}"/>
    <cellStyle name="Финансовый 2 3 3 3 3 2 5 2" xfId="21951" xr:uid="{00000000-0005-0000-0000-00006D500000}"/>
    <cellStyle name="Финансовый 2 3 3 3 3 2 5 2 2" xfId="45906" xr:uid="{00000000-0005-0000-0000-00006E500000}"/>
    <cellStyle name="Финансовый 2 3 3 3 3 2 5 3" xfId="33928" xr:uid="{00000000-0005-0000-0000-00006F500000}"/>
    <cellStyle name="Финансовый 2 3 3 3 3 2 6" xfId="14131" xr:uid="{00000000-0005-0000-0000-000070500000}"/>
    <cellStyle name="Финансовый 2 3 3 3 3 2 6 2" xfId="38086" xr:uid="{00000000-0005-0000-0000-000071500000}"/>
    <cellStyle name="Финансовый 2 3 3 3 3 2 7" xfId="26109" xr:uid="{00000000-0005-0000-0000-000072500000}"/>
    <cellStyle name="Финансовый 2 3 3 3 3 2 8" xfId="49242" xr:uid="{00000000-0005-0000-0000-000073500000}"/>
    <cellStyle name="Финансовый 2 3 3 3 3 3" xfId="1186" xr:uid="{00000000-0005-0000-0000-000074500000}"/>
    <cellStyle name="Финансовый 2 3 3 3 3 3 2" xfId="7226" xr:uid="{00000000-0005-0000-0000-000075500000}"/>
    <cellStyle name="Финансовый 2 3 3 3 3 3 2 2" xfId="19204" xr:uid="{00000000-0005-0000-0000-000076500000}"/>
    <cellStyle name="Финансовый 2 3 3 3 3 3 2 2 2" xfId="43159" xr:uid="{00000000-0005-0000-0000-000077500000}"/>
    <cellStyle name="Финансовый 2 3 3 3 3 3 2 3" xfId="31181" xr:uid="{00000000-0005-0000-0000-000078500000}"/>
    <cellStyle name="Финансовый 2 3 3 3 3 3 3" xfId="10765" xr:uid="{00000000-0005-0000-0000-000079500000}"/>
    <cellStyle name="Финансовый 2 3 3 3 3 3 3 2" xfId="22743" xr:uid="{00000000-0005-0000-0000-00007A500000}"/>
    <cellStyle name="Финансовый 2 3 3 3 3 3 3 2 2" xfId="46698" xr:uid="{00000000-0005-0000-0000-00007B500000}"/>
    <cellStyle name="Финансовый 2 3 3 3 3 3 3 3" xfId="34720" xr:uid="{00000000-0005-0000-0000-00007C500000}"/>
    <cellStyle name="Финансовый 2 3 3 3 3 3 4" xfId="13167" xr:uid="{00000000-0005-0000-0000-00007D500000}"/>
    <cellStyle name="Финансовый 2 3 3 3 3 3 4 2" xfId="37122" xr:uid="{00000000-0005-0000-0000-00007E500000}"/>
    <cellStyle name="Финансовый 2 3 3 3 3 3 5" xfId="25145" xr:uid="{00000000-0005-0000-0000-00007F500000}"/>
    <cellStyle name="Финансовый 2 3 3 3 3 3 6" xfId="50058" xr:uid="{00000000-0005-0000-0000-000080500000}"/>
    <cellStyle name="Финансовый 2 3 3 3 3 4" xfId="793" xr:uid="{00000000-0005-0000-0000-000081500000}"/>
    <cellStyle name="Финансовый 2 3 3 3 3 4 2" xfId="6833" xr:uid="{00000000-0005-0000-0000-000082500000}"/>
    <cellStyle name="Финансовый 2 3 3 3 3 4 2 2" xfId="18811" xr:uid="{00000000-0005-0000-0000-000083500000}"/>
    <cellStyle name="Финансовый 2 3 3 3 3 4 2 2 2" xfId="42766" xr:uid="{00000000-0005-0000-0000-000084500000}"/>
    <cellStyle name="Финансовый 2 3 3 3 3 4 2 3" xfId="30788" xr:uid="{00000000-0005-0000-0000-000085500000}"/>
    <cellStyle name="Финансовый 2 3 3 3 3 4 3" xfId="12774" xr:uid="{00000000-0005-0000-0000-000086500000}"/>
    <cellStyle name="Финансовый 2 3 3 3 3 4 3 2" xfId="36729" xr:uid="{00000000-0005-0000-0000-000087500000}"/>
    <cellStyle name="Финансовый 2 3 3 3 3 4 4" xfId="24752" xr:uid="{00000000-0005-0000-0000-000088500000}"/>
    <cellStyle name="Финансовый 2 3 3 3 3 5" xfId="2970" xr:uid="{00000000-0005-0000-0000-000089500000}"/>
    <cellStyle name="Финансовый 2 3 3 3 3 5 2" xfId="14949" xr:uid="{00000000-0005-0000-0000-00008A500000}"/>
    <cellStyle name="Финансовый 2 3 3 3 3 5 2 2" xfId="38904" xr:uid="{00000000-0005-0000-0000-00008B500000}"/>
    <cellStyle name="Финансовый 2 3 3 3 3 5 3" xfId="26927" xr:uid="{00000000-0005-0000-0000-00008C500000}"/>
    <cellStyle name="Финансовый 2 3 3 3 3 6" xfId="4614" xr:uid="{00000000-0005-0000-0000-00008D500000}"/>
    <cellStyle name="Финансовый 2 3 3 3 3 6 2" xfId="16593" xr:uid="{00000000-0005-0000-0000-00008E500000}"/>
    <cellStyle name="Финансовый 2 3 3 3 3 6 2 2" xfId="40548" xr:uid="{00000000-0005-0000-0000-00008F500000}"/>
    <cellStyle name="Финансовый 2 3 3 3 3 6 3" xfId="28571" xr:uid="{00000000-0005-0000-0000-000090500000}"/>
    <cellStyle name="Финансовый 2 3 3 3 3 7" xfId="6413" xr:uid="{00000000-0005-0000-0000-000091500000}"/>
    <cellStyle name="Финансовый 2 3 3 3 3 7 2" xfId="18391" xr:uid="{00000000-0005-0000-0000-000092500000}"/>
    <cellStyle name="Финансовый 2 3 3 3 3 7 2 2" xfId="42346" xr:uid="{00000000-0005-0000-0000-000093500000}"/>
    <cellStyle name="Финансовый 2 3 3 3 3 7 3" xfId="30368" xr:uid="{00000000-0005-0000-0000-000094500000}"/>
    <cellStyle name="Финансовый 2 3 3 3 3 8" xfId="9008" xr:uid="{00000000-0005-0000-0000-000095500000}"/>
    <cellStyle name="Финансовый 2 3 3 3 3 8 2" xfId="20986" xr:uid="{00000000-0005-0000-0000-000096500000}"/>
    <cellStyle name="Финансовый 2 3 3 3 3 8 2 2" xfId="44941" xr:uid="{00000000-0005-0000-0000-000097500000}"/>
    <cellStyle name="Финансовый 2 3 3 3 3 8 3" xfId="32963" xr:uid="{00000000-0005-0000-0000-000098500000}"/>
    <cellStyle name="Финансовый 2 3 3 3 3 9" xfId="12354" xr:uid="{00000000-0005-0000-0000-000099500000}"/>
    <cellStyle name="Финансовый 2 3 3 3 3 9 2" xfId="36309" xr:uid="{00000000-0005-0000-0000-00009A500000}"/>
    <cellStyle name="Финансовый 2 3 3 3 4" xfId="1489" xr:uid="{00000000-0005-0000-0000-00009B500000}"/>
    <cellStyle name="Финансовый 2 3 3 3 4 2" xfId="1896" xr:uid="{00000000-0005-0000-0000-00009C500000}"/>
    <cellStyle name="Финансовый 2 3 3 3 4 2 2" xfId="3541" xr:uid="{00000000-0005-0000-0000-00009D500000}"/>
    <cellStyle name="Финансовый 2 3 3 3 4 2 2 2" xfId="11281" xr:uid="{00000000-0005-0000-0000-00009E500000}"/>
    <cellStyle name="Финансовый 2 3 3 3 4 2 2 2 2" xfId="23259" xr:uid="{00000000-0005-0000-0000-00009F500000}"/>
    <cellStyle name="Финансовый 2 3 3 3 4 2 2 2 2 2" xfId="47214" xr:uid="{00000000-0005-0000-0000-0000A0500000}"/>
    <cellStyle name="Финансовый 2 3 3 3 4 2 2 2 3" xfId="35236" xr:uid="{00000000-0005-0000-0000-0000A1500000}"/>
    <cellStyle name="Финансовый 2 3 3 3 4 2 2 3" xfId="15520" xr:uid="{00000000-0005-0000-0000-0000A2500000}"/>
    <cellStyle name="Финансовый 2 3 3 3 4 2 2 3 2" xfId="39475" xr:uid="{00000000-0005-0000-0000-0000A3500000}"/>
    <cellStyle name="Финансовый 2 3 3 3 4 2 2 4" xfId="27498" xr:uid="{00000000-0005-0000-0000-0000A4500000}"/>
    <cellStyle name="Финансовый 2 3 3 3 4 2 2 5" xfId="50767" xr:uid="{00000000-0005-0000-0000-0000A5500000}"/>
    <cellStyle name="Финансовый 2 3 3 3 4 2 3" xfId="5324" xr:uid="{00000000-0005-0000-0000-0000A6500000}"/>
    <cellStyle name="Финансовый 2 3 3 3 4 2 3 2" xfId="17302" xr:uid="{00000000-0005-0000-0000-0000A7500000}"/>
    <cellStyle name="Финансовый 2 3 3 3 4 2 3 2 2" xfId="41257" xr:uid="{00000000-0005-0000-0000-0000A8500000}"/>
    <cellStyle name="Финансовый 2 3 3 3 4 2 3 3" xfId="29279" xr:uid="{00000000-0005-0000-0000-0000A9500000}"/>
    <cellStyle name="Финансовый 2 3 3 3 4 2 4" xfId="7934" xr:uid="{00000000-0005-0000-0000-0000AA500000}"/>
    <cellStyle name="Финансовый 2 3 3 3 4 2 4 2" xfId="19912" xr:uid="{00000000-0005-0000-0000-0000AB500000}"/>
    <cellStyle name="Финансовый 2 3 3 3 4 2 4 2 2" xfId="43867" xr:uid="{00000000-0005-0000-0000-0000AC500000}"/>
    <cellStyle name="Финансовый 2 3 3 3 4 2 4 3" xfId="31889" xr:uid="{00000000-0005-0000-0000-0000AD500000}"/>
    <cellStyle name="Финансовый 2 3 3 3 4 2 5" xfId="9717" xr:uid="{00000000-0005-0000-0000-0000AE500000}"/>
    <cellStyle name="Финансовый 2 3 3 3 4 2 5 2" xfId="21695" xr:uid="{00000000-0005-0000-0000-0000AF500000}"/>
    <cellStyle name="Финансовый 2 3 3 3 4 2 5 2 2" xfId="45650" xr:uid="{00000000-0005-0000-0000-0000B0500000}"/>
    <cellStyle name="Финансовый 2 3 3 3 4 2 5 3" xfId="33672" xr:uid="{00000000-0005-0000-0000-0000B1500000}"/>
    <cellStyle name="Финансовый 2 3 3 3 4 2 6" xfId="13875" xr:uid="{00000000-0005-0000-0000-0000B2500000}"/>
    <cellStyle name="Финансовый 2 3 3 3 4 2 6 2" xfId="37830" xr:uid="{00000000-0005-0000-0000-0000B3500000}"/>
    <cellStyle name="Финансовый 2 3 3 3 4 2 7" xfId="25853" xr:uid="{00000000-0005-0000-0000-0000B4500000}"/>
    <cellStyle name="Финансовый 2 3 3 3 4 2 8" xfId="48986" xr:uid="{00000000-0005-0000-0000-0000B5500000}"/>
    <cellStyle name="Финансовый 2 3 3 3 4 3" xfId="4917" xr:uid="{00000000-0005-0000-0000-0000B6500000}"/>
    <cellStyle name="Финансовый 2 3 3 3 4 3 2" xfId="16895" xr:uid="{00000000-0005-0000-0000-0000B7500000}"/>
    <cellStyle name="Финансовый 2 3 3 3 4 3 2 2" xfId="40850" xr:uid="{00000000-0005-0000-0000-0000B8500000}"/>
    <cellStyle name="Финансовый 2 3 3 3 4 3 3" xfId="28872" xr:uid="{00000000-0005-0000-0000-0000B9500000}"/>
    <cellStyle name="Финансовый 2 3 3 3 4 3 4" xfId="50360" xr:uid="{00000000-0005-0000-0000-0000BA500000}"/>
    <cellStyle name="Финансовый 2 3 3 3 4 4" xfId="7527" xr:uid="{00000000-0005-0000-0000-0000BB500000}"/>
    <cellStyle name="Финансовый 2 3 3 3 4 4 2" xfId="19505" xr:uid="{00000000-0005-0000-0000-0000BC500000}"/>
    <cellStyle name="Финансовый 2 3 3 3 4 4 2 2" xfId="43460" xr:uid="{00000000-0005-0000-0000-0000BD500000}"/>
    <cellStyle name="Финансовый 2 3 3 3 4 4 3" xfId="31482" xr:uid="{00000000-0005-0000-0000-0000BE500000}"/>
    <cellStyle name="Финансовый 2 3 3 3 4 5" xfId="9310" xr:uid="{00000000-0005-0000-0000-0000BF500000}"/>
    <cellStyle name="Финансовый 2 3 3 3 4 5 2" xfId="21288" xr:uid="{00000000-0005-0000-0000-0000C0500000}"/>
    <cellStyle name="Финансовый 2 3 3 3 4 5 2 2" xfId="45243" xr:uid="{00000000-0005-0000-0000-0000C1500000}"/>
    <cellStyle name="Финансовый 2 3 3 3 4 5 3" xfId="33265" xr:uid="{00000000-0005-0000-0000-0000C2500000}"/>
    <cellStyle name="Финансовый 2 3 3 3 4 6" xfId="13468" xr:uid="{00000000-0005-0000-0000-0000C3500000}"/>
    <cellStyle name="Финансовый 2 3 3 3 4 6 2" xfId="37423" xr:uid="{00000000-0005-0000-0000-0000C4500000}"/>
    <cellStyle name="Финансовый 2 3 3 3 4 7" xfId="25446" xr:uid="{00000000-0005-0000-0000-0000C5500000}"/>
    <cellStyle name="Финансовый 2 3 3 3 4 8" xfId="48579" xr:uid="{00000000-0005-0000-0000-0000C6500000}"/>
    <cellStyle name="Финансовый 2 3 3 3 5" xfId="1772" xr:uid="{00000000-0005-0000-0000-0000C7500000}"/>
    <cellStyle name="Финансовый 2 3 3 3 5 2" xfId="3417" xr:uid="{00000000-0005-0000-0000-0000C8500000}"/>
    <cellStyle name="Финансовый 2 3 3 3 5 2 2" xfId="11165" xr:uid="{00000000-0005-0000-0000-0000C9500000}"/>
    <cellStyle name="Финансовый 2 3 3 3 5 2 2 2" xfId="23143" xr:uid="{00000000-0005-0000-0000-0000CA500000}"/>
    <cellStyle name="Финансовый 2 3 3 3 5 2 2 2 2" xfId="47098" xr:uid="{00000000-0005-0000-0000-0000CB500000}"/>
    <cellStyle name="Финансовый 2 3 3 3 5 2 2 3" xfId="35120" xr:uid="{00000000-0005-0000-0000-0000CC500000}"/>
    <cellStyle name="Финансовый 2 3 3 3 5 2 3" xfId="15396" xr:uid="{00000000-0005-0000-0000-0000CD500000}"/>
    <cellStyle name="Финансовый 2 3 3 3 5 2 3 2" xfId="39351" xr:uid="{00000000-0005-0000-0000-0000CE500000}"/>
    <cellStyle name="Финансовый 2 3 3 3 5 2 4" xfId="27374" xr:uid="{00000000-0005-0000-0000-0000CF500000}"/>
    <cellStyle name="Финансовый 2 3 3 3 5 2 5" xfId="50643" xr:uid="{00000000-0005-0000-0000-0000D0500000}"/>
    <cellStyle name="Финансовый 2 3 3 3 5 3" xfId="5200" xr:uid="{00000000-0005-0000-0000-0000D1500000}"/>
    <cellStyle name="Финансовый 2 3 3 3 5 3 2" xfId="17178" xr:uid="{00000000-0005-0000-0000-0000D2500000}"/>
    <cellStyle name="Финансовый 2 3 3 3 5 3 2 2" xfId="41133" xr:uid="{00000000-0005-0000-0000-0000D3500000}"/>
    <cellStyle name="Финансовый 2 3 3 3 5 3 3" xfId="29155" xr:uid="{00000000-0005-0000-0000-0000D4500000}"/>
    <cellStyle name="Финансовый 2 3 3 3 5 4" xfId="7810" xr:uid="{00000000-0005-0000-0000-0000D5500000}"/>
    <cellStyle name="Финансовый 2 3 3 3 5 4 2" xfId="19788" xr:uid="{00000000-0005-0000-0000-0000D6500000}"/>
    <cellStyle name="Финансовый 2 3 3 3 5 4 2 2" xfId="43743" xr:uid="{00000000-0005-0000-0000-0000D7500000}"/>
    <cellStyle name="Финансовый 2 3 3 3 5 4 3" xfId="31765" xr:uid="{00000000-0005-0000-0000-0000D8500000}"/>
    <cellStyle name="Финансовый 2 3 3 3 5 5" xfId="9593" xr:uid="{00000000-0005-0000-0000-0000D9500000}"/>
    <cellStyle name="Финансовый 2 3 3 3 5 5 2" xfId="21571" xr:uid="{00000000-0005-0000-0000-0000DA500000}"/>
    <cellStyle name="Финансовый 2 3 3 3 5 5 2 2" xfId="45526" xr:uid="{00000000-0005-0000-0000-0000DB500000}"/>
    <cellStyle name="Финансовый 2 3 3 3 5 5 3" xfId="33548" xr:uid="{00000000-0005-0000-0000-0000DC500000}"/>
    <cellStyle name="Финансовый 2 3 3 3 5 6" xfId="13751" xr:uid="{00000000-0005-0000-0000-0000DD500000}"/>
    <cellStyle name="Финансовый 2 3 3 3 5 6 2" xfId="37706" xr:uid="{00000000-0005-0000-0000-0000DE500000}"/>
    <cellStyle name="Финансовый 2 3 3 3 5 7" xfId="25729" xr:uid="{00000000-0005-0000-0000-0000DF500000}"/>
    <cellStyle name="Финансовый 2 3 3 3 5 8" xfId="48862" xr:uid="{00000000-0005-0000-0000-0000E0500000}"/>
    <cellStyle name="Финансовый 2 3 3 3 6" xfId="2417" xr:uid="{00000000-0005-0000-0000-0000E1500000}"/>
    <cellStyle name="Финансовый 2 3 3 3 6 2" xfId="4062" xr:uid="{00000000-0005-0000-0000-0000E2500000}"/>
    <cellStyle name="Финансовый 2 3 3 3 6 2 2" xfId="11794" xr:uid="{00000000-0005-0000-0000-0000E3500000}"/>
    <cellStyle name="Финансовый 2 3 3 3 6 2 2 2" xfId="23772" xr:uid="{00000000-0005-0000-0000-0000E4500000}"/>
    <cellStyle name="Финансовый 2 3 3 3 6 2 2 2 2" xfId="47727" xr:uid="{00000000-0005-0000-0000-0000E5500000}"/>
    <cellStyle name="Финансовый 2 3 3 3 6 2 2 3" xfId="35749" xr:uid="{00000000-0005-0000-0000-0000E6500000}"/>
    <cellStyle name="Финансовый 2 3 3 3 6 2 3" xfId="16041" xr:uid="{00000000-0005-0000-0000-0000E7500000}"/>
    <cellStyle name="Финансовый 2 3 3 3 6 2 3 2" xfId="39996" xr:uid="{00000000-0005-0000-0000-0000E8500000}"/>
    <cellStyle name="Финансовый 2 3 3 3 6 2 4" xfId="28019" xr:uid="{00000000-0005-0000-0000-0000E9500000}"/>
    <cellStyle name="Финансовый 2 3 3 3 6 2 5" xfId="51288" xr:uid="{00000000-0005-0000-0000-0000EA500000}"/>
    <cellStyle name="Финансовый 2 3 3 3 6 3" xfId="5845" xr:uid="{00000000-0005-0000-0000-0000EB500000}"/>
    <cellStyle name="Финансовый 2 3 3 3 6 3 2" xfId="17823" xr:uid="{00000000-0005-0000-0000-0000EC500000}"/>
    <cellStyle name="Финансовый 2 3 3 3 6 3 2 2" xfId="41778" xr:uid="{00000000-0005-0000-0000-0000ED500000}"/>
    <cellStyle name="Финансовый 2 3 3 3 6 3 3" xfId="29800" xr:uid="{00000000-0005-0000-0000-0000EE500000}"/>
    <cellStyle name="Финансовый 2 3 3 3 6 4" xfId="8455" xr:uid="{00000000-0005-0000-0000-0000EF500000}"/>
    <cellStyle name="Финансовый 2 3 3 3 6 4 2" xfId="20433" xr:uid="{00000000-0005-0000-0000-0000F0500000}"/>
    <cellStyle name="Финансовый 2 3 3 3 6 4 2 2" xfId="44388" xr:uid="{00000000-0005-0000-0000-0000F1500000}"/>
    <cellStyle name="Финансовый 2 3 3 3 6 4 3" xfId="32410" xr:uid="{00000000-0005-0000-0000-0000F2500000}"/>
    <cellStyle name="Финансовый 2 3 3 3 6 5" xfId="10238" xr:uid="{00000000-0005-0000-0000-0000F3500000}"/>
    <cellStyle name="Финансовый 2 3 3 3 6 5 2" xfId="22216" xr:uid="{00000000-0005-0000-0000-0000F4500000}"/>
    <cellStyle name="Финансовый 2 3 3 3 6 5 2 2" xfId="46171" xr:uid="{00000000-0005-0000-0000-0000F5500000}"/>
    <cellStyle name="Финансовый 2 3 3 3 6 5 3" xfId="34193" xr:uid="{00000000-0005-0000-0000-0000F6500000}"/>
    <cellStyle name="Финансовый 2 3 3 3 6 6" xfId="14396" xr:uid="{00000000-0005-0000-0000-0000F7500000}"/>
    <cellStyle name="Финансовый 2 3 3 3 6 6 2" xfId="38351" xr:uid="{00000000-0005-0000-0000-0000F8500000}"/>
    <cellStyle name="Финансовый 2 3 3 3 6 7" xfId="26374" xr:uid="{00000000-0005-0000-0000-0000F9500000}"/>
    <cellStyle name="Финансовый 2 3 3 3 6 8" xfId="49507" xr:uid="{00000000-0005-0000-0000-0000FA500000}"/>
    <cellStyle name="Финансовый 2 3 3 3 7" xfId="1644" xr:uid="{00000000-0005-0000-0000-0000FB500000}"/>
    <cellStyle name="Финансовый 2 3 3 3 7 2" xfId="3289" xr:uid="{00000000-0005-0000-0000-0000FC500000}"/>
    <cellStyle name="Финансовый 2 3 3 3 7 2 2" xfId="11037" xr:uid="{00000000-0005-0000-0000-0000FD500000}"/>
    <cellStyle name="Финансовый 2 3 3 3 7 2 2 2" xfId="23015" xr:uid="{00000000-0005-0000-0000-0000FE500000}"/>
    <cellStyle name="Финансовый 2 3 3 3 7 2 2 2 2" xfId="46970" xr:uid="{00000000-0005-0000-0000-0000FF500000}"/>
    <cellStyle name="Финансовый 2 3 3 3 7 2 2 3" xfId="34992" xr:uid="{00000000-0005-0000-0000-000000510000}"/>
    <cellStyle name="Финансовый 2 3 3 3 7 2 3" xfId="15268" xr:uid="{00000000-0005-0000-0000-000001510000}"/>
    <cellStyle name="Финансовый 2 3 3 3 7 2 3 2" xfId="39223" xr:uid="{00000000-0005-0000-0000-000002510000}"/>
    <cellStyle name="Финансовый 2 3 3 3 7 2 4" xfId="27246" xr:uid="{00000000-0005-0000-0000-000003510000}"/>
    <cellStyle name="Финансовый 2 3 3 3 7 2 5" xfId="50515" xr:uid="{00000000-0005-0000-0000-000004510000}"/>
    <cellStyle name="Финансовый 2 3 3 3 7 3" xfId="5072" xr:uid="{00000000-0005-0000-0000-000005510000}"/>
    <cellStyle name="Финансовый 2 3 3 3 7 3 2" xfId="17050" xr:uid="{00000000-0005-0000-0000-000006510000}"/>
    <cellStyle name="Финансовый 2 3 3 3 7 3 2 2" xfId="41005" xr:uid="{00000000-0005-0000-0000-000007510000}"/>
    <cellStyle name="Финансовый 2 3 3 3 7 3 3" xfId="29027" xr:uid="{00000000-0005-0000-0000-000008510000}"/>
    <cellStyle name="Финансовый 2 3 3 3 7 4" xfId="7682" xr:uid="{00000000-0005-0000-0000-000009510000}"/>
    <cellStyle name="Финансовый 2 3 3 3 7 4 2" xfId="19660" xr:uid="{00000000-0005-0000-0000-00000A510000}"/>
    <cellStyle name="Финансовый 2 3 3 3 7 4 2 2" xfId="43615" xr:uid="{00000000-0005-0000-0000-00000B510000}"/>
    <cellStyle name="Финансовый 2 3 3 3 7 4 3" xfId="31637" xr:uid="{00000000-0005-0000-0000-00000C510000}"/>
    <cellStyle name="Финансовый 2 3 3 3 7 5" xfId="9465" xr:uid="{00000000-0005-0000-0000-00000D510000}"/>
    <cellStyle name="Финансовый 2 3 3 3 7 5 2" xfId="21443" xr:uid="{00000000-0005-0000-0000-00000E510000}"/>
    <cellStyle name="Финансовый 2 3 3 3 7 5 2 2" xfId="45398" xr:uid="{00000000-0005-0000-0000-00000F510000}"/>
    <cellStyle name="Финансовый 2 3 3 3 7 5 3" xfId="33420" xr:uid="{00000000-0005-0000-0000-000010510000}"/>
    <cellStyle name="Финансовый 2 3 3 3 7 6" xfId="13623" xr:uid="{00000000-0005-0000-0000-000011510000}"/>
    <cellStyle name="Финансовый 2 3 3 3 7 6 2" xfId="37578" xr:uid="{00000000-0005-0000-0000-000012510000}"/>
    <cellStyle name="Финансовый 2 3 3 3 7 7" xfId="25601" xr:uid="{00000000-0005-0000-0000-000013510000}"/>
    <cellStyle name="Финансовый 2 3 3 3 7 8" xfId="48734" xr:uid="{00000000-0005-0000-0000-000014510000}"/>
    <cellStyle name="Финансовый 2 3 3 3 8" xfId="921" xr:uid="{00000000-0005-0000-0000-000015510000}"/>
    <cellStyle name="Финансовый 2 3 3 3 8 2" xfId="6961" xr:uid="{00000000-0005-0000-0000-000016510000}"/>
    <cellStyle name="Финансовый 2 3 3 3 8 2 2" xfId="18939" xr:uid="{00000000-0005-0000-0000-000017510000}"/>
    <cellStyle name="Финансовый 2 3 3 3 8 2 2 2" xfId="42894" xr:uid="{00000000-0005-0000-0000-000018510000}"/>
    <cellStyle name="Финансовый 2 3 3 3 8 2 3" xfId="30916" xr:uid="{00000000-0005-0000-0000-000019510000}"/>
    <cellStyle name="Финансовый 2 3 3 3 8 3" xfId="10509" xr:uid="{00000000-0005-0000-0000-00001A510000}"/>
    <cellStyle name="Финансовый 2 3 3 3 8 3 2" xfId="22487" xr:uid="{00000000-0005-0000-0000-00001B510000}"/>
    <cellStyle name="Финансовый 2 3 3 3 8 3 2 2" xfId="46442" xr:uid="{00000000-0005-0000-0000-00001C510000}"/>
    <cellStyle name="Финансовый 2 3 3 3 8 3 3" xfId="34464" xr:uid="{00000000-0005-0000-0000-00001D510000}"/>
    <cellStyle name="Финансовый 2 3 3 3 8 4" xfId="12902" xr:uid="{00000000-0005-0000-0000-00001E510000}"/>
    <cellStyle name="Финансовый 2 3 3 3 8 4 2" xfId="36857" xr:uid="{00000000-0005-0000-0000-00001F510000}"/>
    <cellStyle name="Финансовый 2 3 3 3 8 5" xfId="24880" xr:uid="{00000000-0005-0000-0000-000020510000}"/>
    <cellStyle name="Финансовый 2 3 3 3 8 6" xfId="49786" xr:uid="{00000000-0005-0000-0000-000021510000}"/>
    <cellStyle name="Финансовый 2 3 3 3 9" xfId="509" xr:uid="{00000000-0005-0000-0000-000022510000}"/>
    <cellStyle name="Финансовый 2 3 3 3 9 2" xfId="6549" xr:uid="{00000000-0005-0000-0000-000023510000}"/>
    <cellStyle name="Финансовый 2 3 3 3 9 2 2" xfId="18527" xr:uid="{00000000-0005-0000-0000-000024510000}"/>
    <cellStyle name="Финансовый 2 3 3 3 9 2 2 2" xfId="42482" xr:uid="{00000000-0005-0000-0000-000025510000}"/>
    <cellStyle name="Финансовый 2 3 3 3 9 2 3" xfId="30504" xr:uid="{00000000-0005-0000-0000-000026510000}"/>
    <cellStyle name="Финансовый 2 3 3 3 9 3" xfId="12490" xr:uid="{00000000-0005-0000-0000-000027510000}"/>
    <cellStyle name="Финансовый 2 3 3 3 9 3 2" xfId="36445" xr:uid="{00000000-0005-0000-0000-000028510000}"/>
    <cellStyle name="Финансовый 2 3 3 3 9 4" xfId="24468" xr:uid="{00000000-0005-0000-0000-000029510000}"/>
    <cellStyle name="Финансовый 2 3 3 4" xfId="180" xr:uid="{00000000-0005-0000-0000-00002A510000}"/>
    <cellStyle name="Финансовый 2 3 3 4 10" xfId="8828" xr:uid="{00000000-0005-0000-0000-00002B510000}"/>
    <cellStyle name="Финансовый 2 3 3 4 10 2" xfId="20806" xr:uid="{00000000-0005-0000-0000-00002C510000}"/>
    <cellStyle name="Финансовый 2 3 3 4 10 2 2" xfId="44761" xr:uid="{00000000-0005-0000-0000-00002D510000}"/>
    <cellStyle name="Финансовый 2 3 3 4 10 3" xfId="32783" xr:uid="{00000000-0005-0000-0000-00002E510000}"/>
    <cellStyle name="Финансовый 2 3 3 4 11" xfId="12162" xr:uid="{00000000-0005-0000-0000-00002F510000}"/>
    <cellStyle name="Финансовый 2 3 3 4 11 2" xfId="36117" xr:uid="{00000000-0005-0000-0000-000030510000}"/>
    <cellStyle name="Финансовый 2 3 3 4 12" xfId="24140" xr:uid="{00000000-0005-0000-0000-000031510000}"/>
    <cellStyle name="Финансовый 2 3 3 4 13" xfId="48098" xr:uid="{00000000-0005-0000-0000-000032510000}"/>
    <cellStyle name="Финансовый 2 3 3 4 2" xfId="1278" xr:uid="{00000000-0005-0000-0000-000033510000}"/>
    <cellStyle name="Финансовый 2 3 3 4 2 2" xfId="2244" xr:uid="{00000000-0005-0000-0000-000034510000}"/>
    <cellStyle name="Финансовый 2 3 3 4 2 2 2" xfId="3889" xr:uid="{00000000-0005-0000-0000-000035510000}"/>
    <cellStyle name="Финансовый 2 3 3 4 2 2 2 2" xfId="11629" xr:uid="{00000000-0005-0000-0000-000036510000}"/>
    <cellStyle name="Финансовый 2 3 3 4 2 2 2 2 2" xfId="23607" xr:uid="{00000000-0005-0000-0000-000037510000}"/>
    <cellStyle name="Финансовый 2 3 3 4 2 2 2 2 2 2" xfId="47562" xr:uid="{00000000-0005-0000-0000-000038510000}"/>
    <cellStyle name="Финансовый 2 3 3 4 2 2 2 2 3" xfId="35584" xr:uid="{00000000-0005-0000-0000-000039510000}"/>
    <cellStyle name="Финансовый 2 3 3 4 2 2 2 3" xfId="15868" xr:uid="{00000000-0005-0000-0000-00003A510000}"/>
    <cellStyle name="Финансовый 2 3 3 4 2 2 2 3 2" xfId="39823" xr:uid="{00000000-0005-0000-0000-00003B510000}"/>
    <cellStyle name="Финансовый 2 3 3 4 2 2 2 4" xfId="27846" xr:uid="{00000000-0005-0000-0000-00003C510000}"/>
    <cellStyle name="Финансовый 2 3 3 4 2 2 2 5" xfId="51115" xr:uid="{00000000-0005-0000-0000-00003D510000}"/>
    <cellStyle name="Финансовый 2 3 3 4 2 2 3" xfId="5672" xr:uid="{00000000-0005-0000-0000-00003E510000}"/>
    <cellStyle name="Финансовый 2 3 3 4 2 2 3 2" xfId="17650" xr:uid="{00000000-0005-0000-0000-00003F510000}"/>
    <cellStyle name="Финансовый 2 3 3 4 2 2 3 2 2" xfId="41605" xr:uid="{00000000-0005-0000-0000-000040510000}"/>
    <cellStyle name="Финансовый 2 3 3 4 2 2 3 3" xfId="29627" xr:uid="{00000000-0005-0000-0000-000041510000}"/>
    <cellStyle name="Финансовый 2 3 3 4 2 2 4" xfId="8282" xr:uid="{00000000-0005-0000-0000-000042510000}"/>
    <cellStyle name="Финансовый 2 3 3 4 2 2 4 2" xfId="20260" xr:uid="{00000000-0005-0000-0000-000043510000}"/>
    <cellStyle name="Финансовый 2 3 3 4 2 2 4 2 2" xfId="44215" xr:uid="{00000000-0005-0000-0000-000044510000}"/>
    <cellStyle name="Финансовый 2 3 3 4 2 2 4 3" xfId="32237" xr:uid="{00000000-0005-0000-0000-000045510000}"/>
    <cellStyle name="Финансовый 2 3 3 4 2 2 5" xfId="10065" xr:uid="{00000000-0005-0000-0000-000046510000}"/>
    <cellStyle name="Финансовый 2 3 3 4 2 2 5 2" xfId="22043" xr:uid="{00000000-0005-0000-0000-000047510000}"/>
    <cellStyle name="Финансовый 2 3 3 4 2 2 5 2 2" xfId="45998" xr:uid="{00000000-0005-0000-0000-000048510000}"/>
    <cellStyle name="Финансовый 2 3 3 4 2 2 5 3" xfId="34020" xr:uid="{00000000-0005-0000-0000-000049510000}"/>
    <cellStyle name="Финансовый 2 3 3 4 2 2 6" xfId="14223" xr:uid="{00000000-0005-0000-0000-00004A510000}"/>
    <cellStyle name="Финансовый 2 3 3 4 2 2 6 2" xfId="38178" xr:uid="{00000000-0005-0000-0000-00004B510000}"/>
    <cellStyle name="Финансовый 2 3 3 4 2 2 7" xfId="26201" xr:uid="{00000000-0005-0000-0000-00004C510000}"/>
    <cellStyle name="Финансовый 2 3 3 4 2 2 8" xfId="49334" xr:uid="{00000000-0005-0000-0000-00004D510000}"/>
    <cellStyle name="Финансовый 2 3 3 4 2 3" xfId="3062" xr:uid="{00000000-0005-0000-0000-00004E510000}"/>
    <cellStyle name="Финансовый 2 3 3 4 2 3 2" xfId="10857" xr:uid="{00000000-0005-0000-0000-00004F510000}"/>
    <cellStyle name="Финансовый 2 3 3 4 2 3 2 2" xfId="22835" xr:uid="{00000000-0005-0000-0000-000050510000}"/>
    <cellStyle name="Финансовый 2 3 3 4 2 3 2 2 2" xfId="46790" xr:uid="{00000000-0005-0000-0000-000051510000}"/>
    <cellStyle name="Финансовый 2 3 3 4 2 3 2 3" xfId="34812" xr:uid="{00000000-0005-0000-0000-000052510000}"/>
    <cellStyle name="Финансовый 2 3 3 4 2 3 3" xfId="15041" xr:uid="{00000000-0005-0000-0000-000053510000}"/>
    <cellStyle name="Финансовый 2 3 3 4 2 3 3 2" xfId="38996" xr:uid="{00000000-0005-0000-0000-000054510000}"/>
    <cellStyle name="Финансовый 2 3 3 4 2 3 4" xfId="27019" xr:uid="{00000000-0005-0000-0000-000055510000}"/>
    <cellStyle name="Финансовый 2 3 3 4 2 3 5" xfId="50150" xr:uid="{00000000-0005-0000-0000-000056510000}"/>
    <cellStyle name="Финансовый 2 3 3 4 2 4" xfId="4706" xr:uid="{00000000-0005-0000-0000-000057510000}"/>
    <cellStyle name="Финансовый 2 3 3 4 2 4 2" xfId="16685" xr:uid="{00000000-0005-0000-0000-000058510000}"/>
    <cellStyle name="Финансовый 2 3 3 4 2 4 2 2" xfId="40640" xr:uid="{00000000-0005-0000-0000-000059510000}"/>
    <cellStyle name="Финансовый 2 3 3 4 2 4 3" xfId="28663" xr:uid="{00000000-0005-0000-0000-00005A510000}"/>
    <cellStyle name="Финансовый 2 3 3 4 2 5" xfId="7318" xr:uid="{00000000-0005-0000-0000-00005B510000}"/>
    <cellStyle name="Финансовый 2 3 3 4 2 5 2" xfId="19296" xr:uid="{00000000-0005-0000-0000-00005C510000}"/>
    <cellStyle name="Финансовый 2 3 3 4 2 5 2 2" xfId="43251" xr:uid="{00000000-0005-0000-0000-00005D510000}"/>
    <cellStyle name="Финансовый 2 3 3 4 2 5 3" xfId="31273" xr:uid="{00000000-0005-0000-0000-00005E510000}"/>
    <cellStyle name="Финансовый 2 3 3 4 2 6" xfId="9100" xr:uid="{00000000-0005-0000-0000-00005F510000}"/>
    <cellStyle name="Финансовый 2 3 3 4 2 6 2" xfId="21078" xr:uid="{00000000-0005-0000-0000-000060510000}"/>
    <cellStyle name="Финансовый 2 3 3 4 2 6 2 2" xfId="45033" xr:uid="{00000000-0005-0000-0000-000061510000}"/>
    <cellStyle name="Финансовый 2 3 3 4 2 6 3" xfId="33055" xr:uid="{00000000-0005-0000-0000-000062510000}"/>
    <cellStyle name="Финансовый 2 3 3 4 2 7" xfId="13259" xr:uid="{00000000-0005-0000-0000-000063510000}"/>
    <cellStyle name="Финансовый 2 3 3 4 2 7 2" xfId="37214" xr:uid="{00000000-0005-0000-0000-000064510000}"/>
    <cellStyle name="Финансовый 2 3 3 4 2 8" xfId="25237" xr:uid="{00000000-0005-0000-0000-000065510000}"/>
    <cellStyle name="Финансовый 2 3 3 4 2 9" xfId="48370" xr:uid="{00000000-0005-0000-0000-000066510000}"/>
    <cellStyle name="Финансовый 2 3 3 4 3" xfId="1988" xr:uid="{00000000-0005-0000-0000-000067510000}"/>
    <cellStyle name="Финансовый 2 3 3 4 3 2" xfId="3633" xr:uid="{00000000-0005-0000-0000-000068510000}"/>
    <cellStyle name="Финансовый 2 3 3 4 3 2 2" xfId="11373" xr:uid="{00000000-0005-0000-0000-000069510000}"/>
    <cellStyle name="Финансовый 2 3 3 4 3 2 2 2" xfId="23351" xr:uid="{00000000-0005-0000-0000-00006A510000}"/>
    <cellStyle name="Финансовый 2 3 3 4 3 2 2 2 2" xfId="47306" xr:uid="{00000000-0005-0000-0000-00006B510000}"/>
    <cellStyle name="Финансовый 2 3 3 4 3 2 2 3" xfId="35328" xr:uid="{00000000-0005-0000-0000-00006C510000}"/>
    <cellStyle name="Финансовый 2 3 3 4 3 2 3" xfId="15612" xr:uid="{00000000-0005-0000-0000-00006D510000}"/>
    <cellStyle name="Финансовый 2 3 3 4 3 2 3 2" xfId="39567" xr:uid="{00000000-0005-0000-0000-00006E510000}"/>
    <cellStyle name="Финансовый 2 3 3 4 3 2 4" xfId="27590" xr:uid="{00000000-0005-0000-0000-00006F510000}"/>
    <cellStyle name="Финансовый 2 3 3 4 3 2 5" xfId="50859" xr:uid="{00000000-0005-0000-0000-000070510000}"/>
    <cellStyle name="Финансовый 2 3 3 4 3 3" xfId="5416" xr:uid="{00000000-0005-0000-0000-000071510000}"/>
    <cellStyle name="Финансовый 2 3 3 4 3 3 2" xfId="17394" xr:uid="{00000000-0005-0000-0000-000072510000}"/>
    <cellStyle name="Финансовый 2 3 3 4 3 3 2 2" xfId="41349" xr:uid="{00000000-0005-0000-0000-000073510000}"/>
    <cellStyle name="Финансовый 2 3 3 4 3 3 3" xfId="29371" xr:uid="{00000000-0005-0000-0000-000074510000}"/>
    <cellStyle name="Финансовый 2 3 3 4 3 4" xfId="8026" xr:uid="{00000000-0005-0000-0000-000075510000}"/>
    <cellStyle name="Финансовый 2 3 3 4 3 4 2" xfId="20004" xr:uid="{00000000-0005-0000-0000-000076510000}"/>
    <cellStyle name="Финансовый 2 3 3 4 3 4 2 2" xfId="43959" xr:uid="{00000000-0005-0000-0000-000077510000}"/>
    <cellStyle name="Финансовый 2 3 3 4 3 4 3" xfId="31981" xr:uid="{00000000-0005-0000-0000-000078510000}"/>
    <cellStyle name="Финансовый 2 3 3 4 3 5" xfId="9809" xr:uid="{00000000-0005-0000-0000-000079510000}"/>
    <cellStyle name="Финансовый 2 3 3 4 3 5 2" xfId="21787" xr:uid="{00000000-0005-0000-0000-00007A510000}"/>
    <cellStyle name="Финансовый 2 3 3 4 3 5 2 2" xfId="45742" xr:uid="{00000000-0005-0000-0000-00007B510000}"/>
    <cellStyle name="Финансовый 2 3 3 4 3 5 3" xfId="33764" xr:uid="{00000000-0005-0000-0000-00007C510000}"/>
    <cellStyle name="Финансовый 2 3 3 4 3 6" xfId="13967" xr:uid="{00000000-0005-0000-0000-00007D510000}"/>
    <cellStyle name="Финансовый 2 3 3 4 3 6 2" xfId="37922" xr:uid="{00000000-0005-0000-0000-00007E510000}"/>
    <cellStyle name="Финансовый 2 3 3 4 3 7" xfId="25945" xr:uid="{00000000-0005-0000-0000-00007F510000}"/>
    <cellStyle name="Финансовый 2 3 3 4 3 8" xfId="49078" xr:uid="{00000000-0005-0000-0000-000080510000}"/>
    <cellStyle name="Финансовый 2 3 3 4 4" xfId="2509" xr:uid="{00000000-0005-0000-0000-000081510000}"/>
    <cellStyle name="Финансовый 2 3 3 4 4 2" xfId="4154" xr:uid="{00000000-0005-0000-0000-000082510000}"/>
    <cellStyle name="Финансовый 2 3 3 4 4 2 2" xfId="11886" xr:uid="{00000000-0005-0000-0000-000083510000}"/>
    <cellStyle name="Финансовый 2 3 3 4 4 2 2 2" xfId="23864" xr:uid="{00000000-0005-0000-0000-000084510000}"/>
    <cellStyle name="Финансовый 2 3 3 4 4 2 2 2 2" xfId="47819" xr:uid="{00000000-0005-0000-0000-000085510000}"/>
    <cellStyle name="Финансовый 2 3 3 4 4 2 2 3" xfId="35841" xr:uid="{00000000-0005-0000-0000-000086510000}"/>
    <cellStyle name="Финансовый 2 3 3 4 4 2 3" xfId="16133" xr:uid="{00000000-0005-0000-0000-000087510000}"/>
    <cellStyle name="Финансовый 2 3 3 4 4 2 3 2" xfId="40088" xr:uid="{00000000-0005-0000-0000-000088510000}"/>
    <cellStyle name="Финансовый 2 3 3 4 4 2 4" xfId="28111" xr:uid="{00000000-0005-0000-0000-000089510000}"/>
    <cellStyle name="Финансовый 2 3 3 4 4 2 5" xfId="51380" xr:uid="{00000000-0005-0000-0000-00008A510000}"/>
    <cellStyle name="Финансовый 2 3 3 4 4 3" xfId="5937" xr:uid="{00000000-0005-0000-0000-00008B510000}"/>
    <cellStyle name="Финансовый 2 3 3 4 4 3 2" xfId="17915" xr:uid="{00000000-0005-0000-0000-00008C510000}"/>
    <cellStyle name="Финансовый 2 3 3 4 4 3 2 2" xfId="41870" xr:uid="{00000000-0005-0000-0000-00008D510000}"/>
    <cellStyle name="Финансовый 2 3 3 4 4 3 3" xfId="29892" xr:uid="{00000000-0005-0000-0000-00008E510000}"/>
    <cellStyle name="Финансовый 2 3 3 4 4 4" xfId="8547" xr:uid="{00000000-0005-0000-0000-00008F510000}"/>
    <cellStyle name="Финансовый 2 3 3 4 4 4 2" xfId="20525" xr:uid="{00000000-0005-0000-0000-000090510000}"/>
    <cellStyle name="Финансовый 2 3 3 4 4 4 2 2" xfId="44480" xr:uid="{00000000-0005-0000-0000-000091510000}"/>
    <cellStyle name="Финансовый 2 3 3 4 4 4 3" xfId="32502" xr:uid="{00000000-0005-0000-0000-000092510000}"/>
    <cellStyle name="Финансовый 2 3 3 4 4 5" xfId="10330" xr:uid="{00000000-0005-0000-0000-000093510000}"/>
    <cellStyle name="Финансовый 2 3 3 4 4 5 2" xfId="22308" xr:uid="{00000000-0005-0000-0000-000094510000}"/>
    <cellStyle name="Финансовый 2 3 3 4 4 5 2 2" xfId="46263" xr:uid="{00000000-0005-0000-0000-000095510000}"/>
    <cellStyle name="Финансовый 2 3 3 4 4 5 3" xfId="34285" xr:uid="{00000000-0005-0000-0000-000096510000}"/>
    <cellStyle name="Финансовый 2 3 3 4 4 6" xfId="14488" xr:uid="{00000000-0005-0000-0000-000097510000}"/>
    <cellStyle name="Финансовый 2 3 3 4 4 6 2" xfId="38443" xr:uid="{00000000-0005-0000-0000-000098510000}"/>
    <cellStyle name="Финансовый 2 3 3 4 4 7" xfId="26466" xr:uid="{00000000-0005-0000-0000-000099510000}"/>
    <cellStyle name="Финансовый 2 3 3 4 4 8" xfId="49599" xr:uid="{00000000-0005-0000-0000-00009A510000}"/>
    <cellStyle name="Финансовый 2 3 3 4 5" xfId="1013" xr:uid="{00000000-0005-0000-0000-00009B510000}"/>
    <cellStyle name="Финансовый 2 3 3 4 5 2" xfId="7053" xr:uid="{00000000-0005-0000-0000-00009C510000}"/>
    <cellStyle name="Финансовый 2 3 3 4 5 2 2" xfId="19031" xr:uid="{00000000-0005-0000-0000-00009D510000}"/>
    <cellStyle name="Финансовый 2 3 3 4 5 2 2 2" xfId="42986" xr:uid="{00000000-0005-0000-0000-00009E510000}"/>
    <cellStyle name="Финансовый 2 3 3 4 5 2 3" xfId="31008" xr:uid="{00000000-0005-0000-0000-00009F510000}"/>
    <cellStyle name="Финансовый 2 3 3 4 5 3" xfId="10601" xr:uid="{00000000-0005-0000-0000-0000A0510000}"/>
    <cellStyle name="Финансовый 2 3 3 4 5 3 2" xfId="22579" xr:uid="{00000000-0005-0000-0000-0000A1510000}"/>
    <cellStyle name="Финансовый 2 3 3 4 5 3 2 2" xfId="46534" xr:uid="{00000000-0005-0000-0000-0000A2510000}"/>
    <cellStyle name="Финансовый 2 3 3 4 5 3 3" xfId="34556" xr:uid="{00000000-0005-0000-0000-0000A3510000}"/>
    <cellStyle name="Финансовый 2 3 3 4 5 4" xfId="12994" xr:uid="{00000000-0005-0000-0000-0000A4510000}"/>
    <cellStyle name="Финансовый 2 3 3 4 5 4 2" xfId="36949" xr:uid="{00000000-0005-0000-0000-0000A5510000}"/>
    <cellStyle name="Финансовый 2 3 3 4 5 5" xfId="24972" xr:uid="{00000000-0005-0000-0000-0000A6510000}"/>
    <cellStyle name="Финансовый 2 3 3 4 5 6" xfId="49878" xr:uid="{00000000-0005-0000-0000-0000A7510000}"/>
    <cellStyle name="Финансовый 2 3 3 4 6" xfId="601" xr:uid="{00000000-0005-0000-0000-0000A8510000}"/>
    <cellStyle name="Финансовый 2 3 3 4 6 2" xfId="6641" xr:uid="{00000000-0005-0000-0000-0000A9510000}"/>
    <cellStyle name="Финансовый 2 3 3 4 6 2 2" xfId="18619" xr:uid="{00000000-0005-0000-0000-0000AA510000}"/>
    <cellStyle name="Финансовый 2 3 3 4 6 2 2 2" xfId="42574" xr:uid="{00000000-0005-0000-0000-0000AB510000}"/>
    <cellStyle name="Финансовый 2 3 3 4 6 2 3" xfId="30596" xr:uid="{00000000-0005-0000-0000-0000AC510000}"/>
    <cellStyle name="Финансовый 2 3 3 4 6 3" xfId="12582" xr:uid="{00000000-0005-0000-0000-0000AD510000}"/>
    <cellStyle name="Финансовый 2 3 3 4 6 3 2" xfId="36537" xr:uid="{00000000-0005-0000-0000-0000AE510000}"/>
    <cellStyle name="Финансовый 2 3 3 4 6 4" xfId="24560" xr:uid="{00000000-0005-0000-0000-0000AF510000}"/>
    <cellStyle name="Финансовый 2 3 3 4 7" xfId="2790" xr:uid="{00000000-0005-0000-0000-0000B0510000}"/>
    <cellStyle name="Финансовый 2 3 3 4 7 2" xfId="14769" xr:uid="{00000000-0005-0000-0000-0000B1510000}"/>
    <cellStyle name="Финансовый 2 3 3 4 7 2 2" xfId="38724" xr:uid="{00000000-0005-0000-0000-0000B2510000}"/>
    <cellStyle name="Финансовый 2 3 3 4 7 3" xfId="26747" xr:uid="{00000000-0005-0000-0000-0000B3510000}"/>
    <cellStyle name="Финансовый 2 3 3 4 8" xfId="4434" xr:uid="{00000000-0005-0000-0000-0000B4510000}"/>
    <cellStyle name="Финансовый 2 3 3 4 8 2" xfId="16413" xr:uid="{00000000-0005-0000-0000-0000B5510000}"/>
    <cellStyle name="Финансовый 2 3 3 4 8 2 2" xfId="40368" xr:uid="{00000000-0005-0000-0000-0000B6510000}"/>
    <cellStyle name="Финансовый 2 3 3 4 8 3" xfId="28391" xr:uid="{00000000-0005-0000-0000-0000B7510000}"/>
    <cellStyle name="Финансовый 2 3 3 4 9" xfId="6221" xr:uid="{00000000-0005-0000-0000-0000B8510000}"/>
    <cellStyle name="Финансовый 2 3 3 4 9 2" xfId="18199" xr:uid="{00000000-0005-0000-0000-0000B9510000}"/>
    <cellStyle name="Финансовый 2 3 3 4 9 2 2" xfId="42154" xr:uid="{00000000-0005-0000-0000-0000BA510000}"/>
    <cellStyle name="Финансовый 2 3 3 4 9 3" xfId="30176" xr:uid="{00000000-0005-0000-0000-0000BB510000}"/>
    <cellStyle name="Финансовый 2 3 3 5" xfId="329" xr:uid="{00000000-0005-0000-0000-0000BC510000}"/>
    <cellStyle name="Финансовый 2 3 3 5 10" xfId="24288" xr:uid="{00000000-0005-0000-0000-0000BD510000}"/>
    <cellStyle name="Финансовый 2 3 3 5 11" xfId="48234" xr:uid="{00000000-0005-0000-0000-0000BE510000}"/>
    <cellStyle name="Финансовый 2 3 3 5 2" xfId="2116" xr:uid="{00000000-0005-0000-0000-0000BF510000}"/>
    <cellStyle name="Финансовый 2 3 3 5 2 2" xfId="3761" xr:uid="{00000000-0005-0000-0000-0000C0510000}"/>
    <cellStyle name="Финансовый 2 3 3 5 2 2 2" xfId="11501" xr:uid="{00000000-0005-0000-0000-0000C1510000}"/>
    <cellStyle name="Финансовый 2 3 3 5 2 2 2 2" xfId="23479" xr:uid="{00000000-0005-0000-0000-0000C2510000}"/>
    <cellStyle name="Финансовый 2 3 3 5 2 2 2 2 2" xfId="47434" xr:uid="{00000000-0005-0000-0000-0000C3510000}"/>
    <cellStyle name="Финансовый 2 3 3 5 2 2 2 3" xfId="35456" xr:uid="{00000000-0005-0000-0000-0000C4510000}"/>
    <cellStyle name="Финансовый 2 3 3 5 2 2 3" xfId="15740" xr:uid="{00000000-0005-0000-0000-0000C5510000}"/>
    <cellStyle name="Финансовый 2 3 3 5 2 2 3 2" xfId="39695" xr:uid="{00000000-0005-0000-0000-0000C6510000}"/>
    <cellStyle name="Финансовый 2 3 3 5 2 2 4" xfId="27718" xr:uid="{00000000-0005-0000-0000-0000C7510000}"/>
    <cellStyle name="Финансовый 2 3 3 5 2 2 5" xfId="50987" xr:uid="{00000000-0005-0000-0000-0000C8510000}"/>
    <cellStyle name="Финансовый 2 3 3 5 2 3" xfId="5544" xr:uid="{00000000-0005-0000-0000-0000C9510000}"/>
    <cellStyle name="Финансовый 2 3 3 5 2 3 2" xfId="17522" xr:uid="{00000000-0005-0000-0000-0000CA510000}"/>
    <cellStyle name="Финансовый 2 3 3 5 2 3 2 2" xfId="41477" xr:uid="{00000000-0005-0000-0000-0000CB510000}"/>
    <cellStyle name="Финансовый 2 3 3 5 2 3 3" xfId="29499" xr:uid="{00000000-0005-0000-0000-0000CC510000}"/>
    <cellStyle name="Финансовый 2 3 3 5 2 4" xfId="8154" xr:uid="{00000000-0005-0000-0000-0000CD510000}"/>
    <cellStyle name="Финансовый 2 3 3 5 2 4 2" xfId="20132" xr:uid="{00000000-0005-0000-0000-0000CE510000}"/>
    <cellStyle name="Финансовый 2 3 3 5 2 4 2 2" xfId="44087" xr:uid="{00000000-0005-0000-0000-0000CF510000}"/>
    <cellStyle name="Финансовый 2 3 3 5 2 4 3" xfId="32109" xr:uid="{00000000-0005-0000-0000-0000D0510000}"/>
    <cellStyle name="Финансовый 2 3 3 5 2 5" xfId="9937" xr:uid="{00000000-0005-0000-0000-0000D1510000}"/>
    <cellStyle name="Финансовый 2 3 3 5 2 5 2" xfId="21915" xr:uid="{00000000-0005-0000-0000-0000D2510000}"/>
    <cellStyle name="Финансовый 2 3 3 5 2 5 2 2" xfId="45870" xr:uid="{00000000-0005-0000-0000-0000D3510000}"/>
    <cellStyle name="Финансовый 2 3 3 5 2 5 3" xfId="33892" xr:uid="{00000000-0005-0000-0000-0000D4510000}"/>
    <cellStyle name="Финансовый 2 3 3 5 2 6" xfId="14095" xr:uid="{00000000-0005-0000-0000-0000D5510000}"/>
    <cellStyle name="Финансовый 2 3 3 5 2 6 2" xfId="38050" xr:uid="{00000000-0005-0000-0000-0000D6510000}"/>
    <cellStyle name="Финансовый 2 3 3 5 2 7" xfId="26073" xr:uid="{00000000-0005-0000-0000-0000D7510000}"/>
    <cellStyle name="Финансовый 2 3 3 5 2 8" xfId="49206" xr:uid="{00000000-0005-0000-0000-0000D8510000}"/>
    <cellStyle name="Финансовый 2 3 3 5 3" xfId="1149" xr:uid="{00000000-0005-0000-0000-0000D9510000}"/>
    <cellStyle name="Финансовый 2 3 3 5 3 2" xfId="7189" xr:uid="{00000000-0005-0000-0000-0000DA510000}"/>
    <cellStyle name="Финансовый 2 3 3 5 3 2 2" xfId="19167" xr:uid="{00000000-0005-0000-0000-0000DB510000}"/>
    <cellStyle name="Финансовый 2 3 3 5 3 2 2 2" xfId="43122" xr:uid="{00000000-0005-0000-0000-0000DC510000}"/>
    <cellStyle name="Финансовый 2 3 3 5 3 2 3" xfId="31144" xr:uid="{00000000-0005-0000-0000-0000DD510000}"/>
    <cellStyle name="Финансовый 2 3 3 5 3 3" xfId="10729" xr:uid="{00000000-0005-0000-0000-0000DE510000}"/>
    <cellStyle name="Финансовый 2 3 3 5 3 3 2" xfId="22707" xr:uid="{00000000-0005-0000-0000-0000DF510000}"/>
    <cellStyle name="Финансовый 2 3 3 5 3 3 2 2" xfId="46662" xr:uid="{00000000-0005-0000-0000-0000E0510000}"/>
    <cellStyle name="Финансовый 2 3 3 5 3 3 3" xfId="34684" xr:uid="{00000000-0005-0000-0000-0000E1510000}"/>
    <cellStyle name="Финансовый 2 3 3 5 3 4" xfId="13130" xr:uid="{00000000-0005-0000-0000-0000E2510000}"/>
    <cellStyle name="Финансовый 2 3 3 5 3 4 2" xfId="37085" xr:uid="{00000000-0005-0000-0000-0000E3510000}"/>
    <cellStyle name="Финансовый 2 3 3 5 3 5" xfId="25108" xr:uid="{00000000-0005-0000-0000-0000E4510000}"/>
    <cellStyle name="Финансовый 2 3 3 5 3 6" xfId="50014" xr:uid="{00000000-0005-0000-0000-0000E5510000}"/>
    <cellStyle name="Финансовый 2 3 3 5 4" xfId="749" xr:uid="{00000000-0005-0000-0000-0000E6510000}"/>
    <cellStyle name="Финансовый 2 3 3 5 4 2" xfId="6789" xr:uid="{00000000-0005-0000-0000-0000E7510000}"/>
    <cellStyle name="Финансовый 2 3 3 5 4 2 2" xfId="18767" xr:uid="{00000000-0005-0000-0000-0000E8510000}"/>
    <cellStyle name="Финансовый 2 3 3 5 4 2 2 2" xfId="42722" xr:uid="{00000000-0005-0000-0000-0000E9510000}"/>
    <cellStyle name="Финансовый 2 3 3 5 4 2 3" xfId="30744" xr:uid="{00000000-0005-0000-0000-0000EA510000}"/>
    <cellStyle name="Финансовый 2 3 3 5 4 3" xfId="12730" xr:uid="{00000000-0005-0000-0000-0000EB510000}"/>
    <cellStyle name="Финансовый 2 3 3 5 4 3 2" xfId="36685" xr:uid="{00000000-0005-0000-0000-0000EC510000}"/>
    <cellStyle name="Финансовый 2 3 3 5 4 4" xfId="24708" xr:uid="{00000000-0005-0000-0000-0000ED510000}"/>
    <cellStyle name="Финансовый 2 3 3 5 5" xfId="2926" xr:uid="{00000000-0005-0000-0000-0000EE510000}"/>
    <cellStyle name="Финансовый 2 3 3 5 5 2" xfId="14905" xr:uid="{00000000-0005-0000-0000-0000EF510000}"/>
    <cellStyle name="Финансовый 2 3 3 5 5 2 2" xfId="38860" xr:uid="{00000000-0005-0000-0000-0000F0510000}"/>
    <cellStyle name="Финансовый 2 3 3 5 5 3" xfId="26883" xr:uid="{00000000-0005-0000-0000-0000F1510000}"/>
    <cellStyle name="Финансовый 2 3 3 5 6" xfId="4570" xr:uid="{00000000-0005-0000-0000-0000F2510000}"/>
    <cellStyle name="Финансовый 2 3 3 5 6 2" xfId="16549" xr:uid="{00000000-0005-0000-0000-0000F3510000}"/>
    <cellStyle name="Финансовый 2 3 3 5 6 2 2" xfId="40504" xr:uid="{00000000-0005-0000-0000-0000F4510000}"/>
    <cellStyle name="Финансовый 2 3 3 5 6 3" xfId="28527" xr:uid="{00000000-0005-0000-0000-0000F5510000}"/>
    <cellStyle name="Финансовый 2 3 3 5 7" xfId="6369" xr:uid="{00000000-0005-0000-0000-0000F6510000}"/>
    <cellStyle name="Финансовый 2 3 3 5 7 2" xfId="18347" xr:uid="{00000000-0005-0000-0000-0000F7510000}"/>
    <cellStyle name="Финансовый 2 3 3 5 7 2 2" xfId="42302" xr:uid="{00000000-0005-0000-0000-0000F8510000}"/>
    <cellStyle name="Финансовый 2 3 3 5 7 3" xfId="30324" xr:uid="{00000000-0005-0000-0000-0000F9510000}"/>
    <cellStyle name="Финансовый 2 3 3 5 8" xfId="8964" xr:uid="{00000000-0005-0000-0000-0000FA510000}"/>
    <cellStyle name="Финансовый 2 3 3 5 8 2" xfId="20942" xr:uid="{00000000-0005-0000-0000-0000FB510000}"/>
    <cellStyle name="Финансовый 2 3 3 5 8 2 2" xfId="44897" xr:uid="{00000000-0005-0000-0000-0000FC510000}"/>
    <cellStyle name="Финансовый 2 3 3 5 8 3" xfId="32919" xr:uid="{00000000-0005-0000-0000-0000FD510000}"/>
    <cellStyle name="Финансовый 2 3 3 5 9" xfId="12310" xr:uid="{00000000-0005-0000-0000-0000FE510000}"/>
    <cellStyle name="Финансовый 2 3 3 5 9 2" xfId="36265" xr:uid="{00000000-0005-0000-0000-0000FF510000}"/>
    <cellStyle name="Финансовый 2 3 3 6" xfId="1487" xr:uid="{00000000-0005-0000-0000-000000520000}"/>
    <cellStyle name="Финансовый 2 3 3 6 2" xfId="1852" xr:uid="{00000000-0005-0000-0000-000001520000}"/>
    <cellStyle name="Финансовый 2 3 3 6 2 2" xfId="3497" xr:uid="{00000000-0005-0000-0000-000002520000}"/>
    <cellStyle name="Финансовый 2 3 3 6 2 2 2" xfId="11245" xr:uid="{00000000-0005-0000-0000-000003520000}"/>
    <cellStyle name="Финансовый 2 3 3 6 2 2 2 2" xfId="23223" xr:uid="{00000000-0005-0000-0000-000004520000}"/>
    <cellStyle name="Финансовый 2 3 3 6 2 2 2 2 2" xfId="47178" xr:uid="{00000000-0005-0000-0000-000005520000}"/>
    <cellStyle name="Финансовый 2 3 3 6 2 2 2 3" xfId="35200" xr:uid="{00000000-0005-0000-0000-000006520000}"/>
    <cellStyle name="Финансовый 2 3 3 6 2 2 3" xfId="15476" xr:uid="{00000000-0005-0000-0000-000007520000}"/>
    <cellStyle name="Финансовый 2 3 3 6 2 2 3 2" xfId="39431" xr:uid="{00000000-0005-0000-0000-000008520000}"/>
    <cellStyle name="Финансовый 2 3 3 6 2 2 4" xfId="27454" xr:uid="{00000000-0005-0000-0000-000009520000}"/>
    <cellStyle name="Финансовый 2 3 3 6 2 2 5" xfId="50723" xr:uid="{00000000-0005-0000-0000-00000A520000}"/>
    <cellStyle name="Финансовый 2 3 3 6 2 3" xfId="5280" xr:uid="{00000000-0005-0000-0000-00000B520000}"/>
    <cellStyle name="Финансовый 2 3 3 6 2 3 2" xfId="17258" xr:uid="{00000000-0005-0000-0000-00000C520000}"/>
    <cellStyle name="Финансовый 2 3 3 6 2 3 2 2" xfId="41213" xr:uid="{00000000-0005-0000-0000-00000D520000}"/>
    <cellStyle name="Финансовый 2 3 3 6 2 3 3" xfId="29235" xr:uid="{00000000-0005-0000-0000-00000E520000}"/>
    <cellStyle name="Финансовый 2 3 3 6 2 4" xfId="7890" xr:uid="{00000000-0005-0000-0000-00000F520000}"/>
    <cellStyle name="Финансовый 2 3 3 6 2 4 2" xfId="19868" xr:uid="{00000000-0005-0000-0000-000010520000}"/>
    <cellStyle name="Финансовый 2 3 3 6 2 4 2 2" xfId="43823" xr:uid="{00000000-0005-0000-0000-000011520000}"/>
    <cellStyle name="Финансовый 2 3 3 6 2 4 3" xfId="31845" xr:uid="{00000000-0005-0000-0000-000012520000}"/>
    <cellStyle name="Финансовый 2 3 3 6 2 5" xfId="9673" xr:uid="{00000000-0005-0000-0000-000013520000}"/>
    <cellStyle name="Финансовый 2 3 3 6 2 5 2" xfId="21651" xr:uid="{00000000-0005-0000-0000-000014520000}"/>
    <cellStyle name="Финансовый 2 3 3 6 2 5 2 2" xfId="45606" xr:uid="{00000000-0005-0000-0000-000015520000}"/>
    <cellStyle name="Финансовый 2 3 3 6 2 5 3" xfId="33628" xr:uid="{00000000-0005-0000-0000-000016520000}"/>
    <cellStyle name="Финансовый 2 3 3 6 2 6" xfId="13831" xr:uid="{00000000-0005-0000-0000-000017520000}"/>
    <cellStyle name="Финансовый 2 3 3 6 2 6 2" xfId="37786" xr:uid="{00000000-0005-0000-0000-000018520000}"/>
    <cellStyle name="Финансовый 2 3 3 6 2 7" xfId="25809" xr:uid="{00000000-0005-0000-0000-000019520000}"/>
    <cellStyle name="Финансовый 2 3 3 6 2 8" xfId="48942" xr:uid="{00000000-0005-0000-0000-00001A520000}"/>
    <cellStyle name="Финансовый 2 3 3 6 3" xfId="4915" xr:uid="{00000000-0005-0000-0000-00001B520000}"/>
    <cellStyle name="Финансовый 2 3 3 6 3 2" xfId="16893" xr:uid="{00000000-0005-0000-0000-00001C520000}"/>
    <cellStyle name="Финансовый 2 3 3 6 3 2 2" xfId="40848" xr:uid="{00000000-0005-0000-0000-00001D520000}"/>
    <cellStyle name="Финансовый 2 3 3 6 3 3" xfId="28870" xr:uid="{00000000-0005-0000-0000-00001E520000}"/>
    <cellStyle name="Финансовый 2 3 3 6 3 4" xfId="50358" xr:uid="{00000000-0005-0000-0000-00001F520000}"/>
    <cellStyle name="Финансовый 2 3 3 6 4" xfId="7525" xr:uid="{00000000-0005-0000-0000-000020520000}"/>
    <cellStyle name="Финансовый 2 3 3 6 4 2" xfId="19503" xr:uid="{00000000-0005-0000-0000-000021520000}"/>
    <cellStyle name="Финансовый 2 3 3 6 4 2 2" xfId="43458" xr:uid="{00000000-0005-0000-0000-000022520000}"/>
    <cellStyle name="Финансовый 2 3 3 6 4 3" xfId="31480" xr:uid="{00000000-0005-0000-0000-000023520000}"/>
    <cellStyle name="Финансовый 2 3 3 6 5" xfId="9308" xr:uid="{00000000-0005-0000-0000-000024520000}"/>
    <cellStyle name="Финансовый 2 3 3 6 5 2" xfId="21286" xr:uid="{00000000-0005-0000-0000-000025520000}"/>
    <cellStyle name="Финансовый 2 3 3 6 5 2 2" xfId="45241" xr:uid="{00000000-0005-0000-0000-000026520000}"/>
    <cellStyle name="Финансовый 2 3 3 6 5 3" xfId="33263" xr:uid="{00000000-0005-0000-0000-000027520000}"/>
    <cellStyle name="Финансовый 2 3 3 6 6" xfId="13466" xr:uid="{00000000-0005-0000-0000-000028520000}"/>
    <cellStyle name="Финансовый 2 3 3 6 6 2" xfId="37421" xr:uid="{00000000-0005-0000-0000-000029520000}"/>
    <cellStyle name="Финансовый 2 3 3 6 7" xfId="25444" xr:uid="{00000000-0005-0000-0000-00002A520000}"/>
    <cellStyle name="Финансовый 2 3 3 6 8" xfId="48577" xr:uid="{00000000-0005-0000-0000-00002B520000}"/>
    <cellStyle name="Финансовый 2 3 3 7" xfId="1736" xr:uid="{00000000-0005-0000-0000-00002C520000}"/>
    <cellStyle name="Финансовый 2 3 3 7 2" xfId="3381" xr:uid="{00000000-0005-0000-0000-00002D520000}"/>
    <cellStyle name="Финансовый 2 3 3 7 2 2" xfId="11129" xr:uid="{00000000-0005-0000-0000-00002E520000}"/>
    <cellStyle name="Финансовый 2 3 3 7 2 2 2" xfId="23107" xr:uid="{00000000-0005-0000-0000-00002F520000}"/>
    <cellStyle name="Финансовый 2 3 3 7 2 2 2 2" xfId="47062" xr:uid="{00000000-0005-0000-0000-000030520000}"/>
    <cellStyle name="Финансовый 2 3 3 7 2 2 3" xfId="35084" xr:uid="{00000000-0005-0000-0000-000031520000}"/>
    <cellStyle name="Финансовый 2 3 3 7 2 3" xfId="15360" xr:uid="{00000000-0005-0000-0000-000032520000}"/>
    <cellStyle name="Финансовый 2 3 3 7 2 3 2" xfId="39315" xr:uid="{00000000-0005-0000-0000-000033520000}"/>
    <cellStyle name="Финансовый 2 3 3 7 2 4" xfId="27338" xr:uid="{00000000-0005-0000-0000-000034520000}"/>
    <cellStyle name="Финансовый 2 3 3 7 2 5" xfId="50607" xr:uid="{00000000-0005-0000-0000-000035520000}"/>
    <cellStyle name="Финансовый 2 3 3 7 3" xfId="5164" xr:uid="{00000000-0005-0000-0000-000036520000}"/>
    <cellStyle name="Финансовый 2 3 3 7 3 2" xfId="17142" xr:uid="{00000000-0005-0000-0000-000037520000}"/>
    <cellStyle name="Финансовый 2 3 3 7 3 2 2" xfId="41097" xr:uid="{00000000-0005-0000-0000-000038520000}"/>
    <cellStyle name="Финансовый 2 3 3 7 3 3" xfId="29119" xr:uid="{00000000-0005-0000-0000-000039520000}"/>
    <cellStyle name="Финансовый 2 3 3 7 4" xfId="7774" xr:uid="{00000000-0005-0000-0000-00003A520000}"/>
    <cellStyle name="Финансовый 2 3 3 7 4 2" xfId="19752" xr:uid="{00000000-0005-0000-0000-00003B520000}"/>
    <cellStyle name="Финансовый 2 3 3 7 4 2 2" xfId="43707" xr:uid="{00000000-0005-0000-0000-00003C520000}"/>
    <cellStyle name="Финансовый 2 3 3 7 4 3" xfId="31729" xr:uid="{00000000-0005-0000-0000-00003D520000}"/>
    <cellStyle name="Финансовый 2 3 3 7 5" xfId="9557" xr:uid="{00000000-0005-0000-0000-00003E520000}"/>
    <cellStyle name="Финансовый 2 3 3 7 5 2" xfId="21535" xr:uid="{00000000-0005-0000-0000-00003F520000}"/>
    <cellStyle name="Финансовый 2 3 3 7 5 2 2" xfId="45490" xr:uid="{00000000-0005-0000-0000-000040520000}"/>
    <cellStyle name="Финансовый 2 3 3 7 5 3" xfId="33512" xr:uid="{00000000-0005-0000-0000-000041520000}"/>
    <cellStyle name="Финансовый 2 3 3 7 6" xfId="13715" xr:uid="{00000000-0005-0000-0000-000042520000}"/>
    <cellStyle name="Финансовый 2 3 3 7 6 2" xfId="37670" xr:uid="{00000000-0005-0000-0000-000043520000}"/>
    <cellStyle name="Финансовый 2 3 3 7 7" xfId="25693" xr:uid="{00000000-0005-0000-0000-000044520000}"/>
    <cellStyle name="Финансовый 2 3 3 7 8" xfId="48826" xr:uid="{00000000-0005-0000-0000-000045520000}"/>
    <cellStyle name="Финансовый 2 3 3 8" xfId="2372" xr:uid="{00000000-0005-0000-0000-000046520000}"/>
    <cellStyle name="Финансовый 2 3 3 8 2" xfId="4017" xr:uid="{00000000-0005-0000-0000-000047520000}"/>
    <cellStyle name="Финансовый 2 3 3 8 2 2" xfId="11757" xr:uid="{00000000-0005-0000-0000-000048520000}"/>
    <cellStyle name="Финансовый 2 3 3 8 2 2 2" xfId="23735" xr:uid="{00000000-0005-0000-0000-000049520000}"/>
    <cellStyle name="Финансовый 2 3 3 8 2 2 2 2" xfId="47690" xr:uid="{00000000-0005-0000-0000-00004A520000}"/>
    <cellStyle name="Финансовый 2 3 3 8 2 2 3" xfId="35712" xr:uid="{00000000-0005-0000-0000-00004B520000}"/>
    <cellStyle name="Финансовый 2 3 3 8 2 3" xfId="15996" xr:uid="{00000000-0005-0000-0000-00004C520000}"/>
    <cellStyle name="Финансовый 2 3 3 8 2 3 2" xfId="39951" xr:uid="{00000000-0005-0000-0000-00004D520000}"/>
    <cellStyle name="Финансовый 2 3 3 8 2 4" xfId="27974" xr:uid="{00000000-0005-0000-0000-00004E520000}"/>
    <cellStyle name="Финансовый 2 3 3 8 2 5" xfId="51243" xr:uid="{00000000-0005-0000-0000-00004F520000}"/>
    <cellStyle name="Финансовый 2 3 3 8 3" xfId="5800" xr:uid="{00000000-0005-0000-0000-000050520000}"/>
    <cellStyle name="Финансовый 2 3 3 8 3 2" xfId="17778" xr:uid="{00000000-0005-0000-0000-000051520000}"/>
    <cellStyle name="Финансовый 2 3 3 8 3 2 2" xfId="41733" xr:uid="{00000000-0005-0000-0000-000052520000}"/>
    <cellStyle name="Финансовый 2 3 3 8 3 3" xfId="29755" xr:uid="{00000000-0005-0000-0000-000053520000}"/>
    <cellStyle name="Финансовый 2 3 3 8 4" xfId="8410" xr:uid="{00000000-0005-0000-0000-000054520000}"/>
    <cellStyle name="Финансовый 2 3 3 8 4 2" xfId="20388" xr:uid="{00000000-0005-0000-0000-000055520000}"/>
    <cellStyle name="Финансовый 2 3 3 8 4 2 2" xfId="44343" xr:uid="{00000000-0005-0000-0000-000056520000}"/>
    <cellStyle name="Финансовый 2 3 3 8 4 3" xfId="32365" xr:uid="{00000000-0005-0000-0000-000057520000}"/>
    <cellStyle name="Финансовый 2 3 3 8 5" xfId="10193" xr:uid="{00000000-0005-0000-0000-000058520000}"/>
    <cellStyle name="Финансовый 2 3 3 8 5 2" xfId="22171" xr:uid="{00000000-0005-0000-0000-000059520000}"/>
    <cellStyle name="Финансовый 2 3 3 8 5 2 2" xfId="46126" xr:uid="{00000000-0005-0000-0000-00005A520000}"/>
    <cellStyle name="Финансовый 2 3 3 8 5 3" xfId="34148" xr:uid="{00000000-0005-0000-0000-00005B520000}"/>
    <cellStyle name="Финансовый 2 3 3 8 6" xfId="14351" xr:uid="{00000000-0005-0000-0000-00005C520000}"/>
    <cellStyle name="Финансовый 2 3 3 8 6 2" xfId="38306" xr:uid="{00000000-0005-0000-0000-00005D520000}"/>
    <cellStyle name="Финансовый 2 3 3 8 7" xfId="26329" xr:uid="{00000000-0005-0000-0000-00005E520000}"/>
    <cellStyle name="Финансовый 2 3 3 8 8" xfId="49462" xr:uid="{00000000-0005-0000-0000-00005F520000}"/>
    <cellStyle name="Финансовый 2 3 3 9" xfId="1599" xr:uid="{00000000-0005-0000-0000-000060520000}"/>
    <cellStyle name="Финансовый 2 3 3 9 2" xfId="3244" xr:uid="{00000000-0005-0000-0000-000061520000}"/>
    <cellStyle name="Финансовый 2 3 3 9 2 2" xfId="11000" xr:uid="{00000000-0005-0000-0000-000062520000}"/>
    <cellStyle name="Финансовый 2 3 3 9 2 2 2" xfId="22978" xr:uid="{00000000-0005-0000-0000-000063520000}"/>
    <cellStyle name="Финансовый 2 3 3 9 2 2 2 2" xfId="46933" xr:uid="{00000000-0005-0000-0000-000064520000}"/>
    <cellStyle name="Финансовый 2 3 3 9 2 2 3" xfId="34955" xr:uid="{00000000-0005-0000-0000-000065520000}"/>
    <cellStyle name="Финансовый 2 3 3 9 2 3" xfId="15223" xr:uid="{00000000-0005-0000-0000-000066520000}"/>
    <cellStyle name="Финансовый 2 3 3 9 2 3 2" xfId="39178" xr:uid="{00000000-0005-0000-0000-000067520000}"/>
    <cellStyle name="Финансовый 2 3 3 9 2 4" xfId="27201" xr:uid="{00000000-0005-0000-0000-000068520000}"/>
    <cellStyle name="Финансовый 2 3 3 9 2 5" xfId="50470" xr:uid="{00000000-0005-0000-0000-000069520000}"/>
    <cellStyle name="Финансовый 2 3 3 9 3" xfId="5027" xr:uid="{00000000-0005-0000-0000-00006A520000}"/>
    <cellStyle name="Финансовый 2 3 3 9 3 2" xfId="17005" xr:uid="{00000000-0005-0000-0000-00006B520000}"/>
    <cellStyle name="Финансовый 2 3 3 9 3 2 2" xfId="40960" xr:uid="{00000000-0005-0000-0000-00006C520000}"/>
    <cellStyle name="Финансовый 2 3 3 9 3 3" xfId="28982" xr:uid="{00000000-0005-0000-0000-00006D520000}"/>
    <cellStyle name="Финансовый 2 3 3 9 4" xfId="7637" xr:uid="{00000000-0005-0000-0000-00006E520000}"/>
    <cellStyle name="Финансовый 2 3 3 9 4 2" xfId="19615" xr:uid="{00000000-0005-0000-0000-00006F520000}"/>
    <cellStyle name="Финансовый 2 3 3 9 4 2 2" xfId="43570" xr:uid="{00000000-0005-0000-0000-000070520000}"/>
    <cellStyle name="Финансовый 2 3 3 9 4 3" xfId="31592" xr:uid="{00000000-0005-0000-0000-000071520000}"/>
    <cellStyle name="Финансовый 2 3 3 9 5" xfId="9420" xr:uid="{00000000-0005-0000-0000-000072520000}"/>
    <cellStyle name="Финансовый 2 3 3 9 5 2" xfId="21398" xr:uid="{00000000-0005-0000-0000-000073520000}"/>
    <cellStyle name="Финансовый 2 3 3 9 5 2 2" xfId="45353" xr:uid="{00000000-0005-0000-0000-000074520000}"/>
    <cellStyle name="Финансовый 2 3 3 9 5 3" xfId="33375" xr:uid="{00000000-0005-0000-0000-000075520000}"/>
    <cellStyle name="Финансовый 2 3 3 9 6" xfId="13578" xr:uid="{00000000-0005-0000-0000-000076520000}"/>
    <cellStyle name="Финансовый 2 3 3 9 6 2" xfId="37533" xr:uid="{00000000-0005-0000-0000-000077520000}"/>
    <cellStyle name="Финансовый 2 3 3 9 7" xfId="25556" xr:uid="{00000000-0005-0000-0000-000078520000}"/>
    <cellStyle name="Финансовый 2 3 3 9 8" xfId="48689" xr:uid="{00000000-0005-0000-0000-000079520000}"/>
    <cellStyle name="Финансовый 2 3 4" xfId="94" xr:uid="{00000000-0005-0000-0000-00007A520000}"/>
    <cellStyle name="Финансовый 2 3 4 10" xfId="2704" xr:uid="{00000000-0005-0000-0000-00007B520000}"/>
    <cellStyle name="Финансовый 2 3 4 10 2" xfId="14683" xr:uid="{00000000-0005-0000-0000-00007C520000}"/>
    <cellStyle name="Финансовый 2 3 4 10 2 2" xfId="38638" xr:uid="{00000000-0005-0000-0000-00007D520000}"/>
    <cellStyle name="Финансовый 2 3 4 10 3" xfId="26661" xr:uid="{00000000-0005-0000-0000-00007E520000}"/>
    <cellStyle name="Финансовый 2 3 4 11" xfId="4348" xr:uid="{00000000-0005-0000-0000-00007F520000}"/>
    <cellStyle name="Финансовый 2 3 4 11 2" xfId="16327" xr:uid="{00000000-0005-0000-0000-000080520000}"/>
    <cellStyle name="Финансовый 2 3 4 11 2 2" xfId="40282" xr:uid="{00000000-0005-0000-0000-000081520000}"/>
    <cellStyle name="Финансовый 2 3 4 11 3" xfId="28305" xr:uid="{00000000-0005-0000-0000-000082520000}"/>
    <cellStyle name="Финансовый 2 3 4 12" xfId="6135" xr:uid="{00000000-0005-0000-0000-000083520000}"/>
    <cellStyle name="Финансовый 2 3 4 12 2" xfId="18113" xr:uid="{00000000-0005-0000-0000-000084520000}"/>
    <cellStyle name="Финансовый 2 3 4 12 2 2" xfId="42068" xr:uid="{00000000-0005-0000-0000-000085520000}"/>
    <cellStyle name="Финансовый 2 3 4 12 3" xfId="30090" xr:uid="{00000000-0005-0000-0000-000086520000}"/>
    <cellStyle name="Финансовый 2 3 4 13" xfId="8742" xr:uid="{00000000-0005-0000-0000-000087520000}"/>
    <cellStyle name="Финансовый 2 3 4 13 2" xfId="20720" xr:uid="{00000000-0005-0000-0000-000088520000}"/>
    <cellStyle name="Финансовый 2 3 4 13 2 2" xfId="44675" xr:uid="{00000000-0005-0000-0000-000089520000}"/>
    <cellStyle name="Финансовый 2 3 4 13 3" xfId="32697" xr:uid="{00000000-0005-0000-0000-00008A520000}"/>
    <cellStyle name="Финансовый 2 3 4 14" xfId="12076" xr:uid="{00000000-0005-0000-0000-00008B520000}"/>
    <cellStyle name="Финансовый 2 3 4 14 2" xfId="36031" xr:uid="{00000000-0005-0000-0000-00008C520000}"/>
    <cellStyle name="Финансовый 2 3 4 15" xfId="24054" xr:uid="{00000000-0005-0000-0000-00008D520000}"/>
    <cellStyle name="Финансовый 2 3 4 16" xfId="48012" xr:uid="{00000000-0005-0000-0000-00008E520000}"/>
    <cellStyle name="Финансовый 2 3 4 2" xfId="230" xr:uid="{00000000-0005-0000-0000-00008F520000}"/>
    <cellStyle name="Финансовый 2 3 4 2 10" xfId="8878" xr:uid="{00000000-0005-0000-0000-000090520000}"/>
    <cellStyle name="Финансовый 2 3 4 2 10 2" xfId="20856" xr:uid="{00000000-0005-0000-0000-000091520000}"/>
    <cellStyle name="Финансовый 2 3 4 2 10 2 2" xfId="44811" xr:uid="{00000000-0005-0000-0000-000092520000}"/>
    <cellStyle name="Финансовый 2 3 4 2 10 3" xfId="32833" xr:uid="{00000000-0005-0000-0000-000093520000}"/>
    <cellStyle name="Финансовый 2 3 4 2 11" xfId="12212" xr:uid="{00000000-0005-0000-0000-000094520000}"/>
    <cellStyle name="Финансовый 2 3 4 2 11 2" xfId="36167" xr:uid="{00000000-0005-0000-0000-000095520000}"/>
    <cellStyle name="Финансовый 2 3 4 2 12" xfId="24190" xr:uid="{00000000-0005-0000-0000-000096520000}"/>
    <cellStyle name="Финансовый 2 3 4 2 13" xfId="48148" xr:uid="{00000000-0005-0000-0000-000097520000}"/>
    <cellStyle name="Финансовый 2 3 4 2 2" xfId="1328" xr:uid="{00000000-0005-0000-0000-000098520000}"/>
    <cellStyle name="Финансовый 2 3 4 2 2 2" xfId="2286" xr:uid="{00000000-0005-0000-0000-000099520000}"/>
    <cellStyle name="Финансовый 2 3 4 2 2 2 2" xfId="3931" xr:uid="{00000000-0005-0000-0000-00009A520000}"/>
    <cellStyle name="Финансовый 2 3 4 2 2 2 2 2" xfId="11671" xr:uid="{00000000-0005-0000-0000-00009B520000}"/>
    <cellStyle name="Финансовый 2 3 4 2 2 2 2 2 2" xfId="23649" xr:uid="{00000000-0005-0000-0000-00009C520000}"/>
    <cellStyle name="Финансовый 2 3 4 2 2 2 2 2 2 2" xfId="47604" xr:uid="{00000000-0005-0000-0000-00009D520000}"/>
    <cellStyle name="Финансовый 2 3 4 2 2 2 2 2 3" xfId="35626" xr:uid="{00000000-0005-0000-0000-00009E520000}"/>
    <cellStyle name="Финансовый 2 3 4 2 2 2 2 3" xfId="15910" xr:uid="{00000000-0005-0000-0000-00009F520000}"/>
    <cellStyle name="Финансовый 2 3 4 2 2 2 2 3 2" xfId="39865" xr:uid="{00000000-0005-0000-0000-0000A0520000}"/>
    <cellStyle name="Финансовый 2 3 4 2 2 2 2 4" xfId="27888" xr:uid="{00000000-0005-0000-0000-0000A1520000}"/>
    <cellStyle name="Финансовый 2 3 4 2 2 2 2 5" xfId="51157" xr:uid="{00000000-0005-0000-0000-0000A2520000}"/>
    <cellStyle name="Финансовый 2 3 4 2 2 2 3" xfId="5714" xr:uid="{00000000-0005-0000-0000-0000A3520000}"/>
    <cellStyle name="Финансовый 2 3 4 2 2 2 3 2" xfId="17692" xr:uid="{00000000-0005-0000-0000-0000A4520000}"/>
    <cellStyle name="Финансовый 2 3 4 2 2 2 3 2 2" xfId="41647" xr:uid="{00000000-0005-0000-0000-0000A5520000}"/>
    <cellStyle name="Финансовый 2 3 4 2 2 2 3 3" xfId="29669" xr:uid="{00000000-0005-0000-0000-0000A6520000}"/>
    <cellStyle name="Финансовый 2 3 4 2 2 2 4" xfId="8324" xr:uid="{00000000-0005-0000-0000-0000A7520000}"/>
    <cellStyle name="Финансовый 2 3 4 2 2 2 4 2" xfId="20302" xr:uid="{00000000-0005-0000-0000-0000A8520000}"/>
    <cellStyle name="Финансовый 2 3 4 2 2 2 4 2 2" xfId="44257" xr:uid="{00000000-0005-0000-0000-0000A9520000}"/>
    <cellStyle name="Финансовый 2 3 4 2 2 2 4 3" xfId="32279" xr:uid="{00000000-0005-0000-0000-0000AA520000}"/>
    <cellStyle name="Финансовый 2 3 4 2 2 2 5" xfId="10107" xr:uid="{00000000-0005-0000-0000-0000AB520000}"/>
    <cellStyle name="Финансовый 2 3 4 2 2 2 5 2" xfId="22085" xr:uid="{00000000-0005-0000-0000-0000AC520000}"/>
    <cellStyle name="Финансовый 2 3 4 2 2 2 5 2 2" xfId="46040" xr:uid="{00000000-0005-0000-0000-0000AD520000}"/>
    <cellStyle name="Финансовый 2 3 4 2 2 2 5 3" xfId="34062" xr:uid="{00000000-0005-0000-0000-0000AE520000}"/>
    <cellStyle name="Финансовый 2 3 4 2 2 2 6" xfId="14265" xr:uid="{00000000-0005-0000-0000-0000AF520000}"/>
    <cellStyle name="Финансовый 2 3 4 2 2 2 6 2" xfId="38220" xr:uid="{00000000-0005-0000-0000-0000B0520000}"/>
    <cellStyle name="Финансовый 2 3 4 2 2 2 7" xfId="26243" xr:uid="{00000000-0005-0000-0000-0000B1520000}"/>
    <cellStyle name="Финансовый 2 3 4 2 2 2 8" xfId="49376" xr:uid="{00000000-0005-0000-0000-0000B2520000}"/>
    <cellStyle name="Финансовый 2 3 4 2 2 3" xfId="3112" xr:uid="{00000000-0005-0000-0000-0000B3520000}"/>
    <cellStyle name="Финансовый 2 3 4 2 2 3 2" xfId="10899" xr:uid="{00000000-0005-0000-0000-0000B4520000}"/>
    <cellStyle name="Финансовый 2 3 4 2 2 3 2 2" xfId="22877" xr:uid="{00000000-0005-0000-0000-0000B5520000}"/>
    <cellStyle name="Финансовый 2 3 4 2 2 3 2 2 2" xfId="46832" xr:uid="{00000000-0005-0000-0000-0000B6520000}"/>
    <cellStyle name="Финансовый 2 3 4 2 2 3 2 3" xfId="34854" xr:uid="{00000000-0005-0000-0000-0000B7520000}"/>
    <cellStyle name="Финансовый 2 3 4 2 2 3 3" xfId="15091" xr:uid="{00000000-0005-0000-0000-0000B8520000}"/>
    <cellStyle name="Финансовый 2 3 4 2 2 3 3 2" xfId="39046" xr:uid="{00000000-0005-0000-0000-0000B9520000}"/>
    <cellStyle name="Финансовый 2 3 4 2 2 3 4" xfId="27069" xr:uid="{00000000-0005-0000-0000-0000BA520000}"/>
    <cellStyle name="Финансовый 2 3 4 2 2 3 5" xfId="50200" xr:uid="{00000000-0005-0000-0000-0000BB520000}"/>
    <cellStyle name="Финансовый 2 3 4 2 2 4" xfId="4756" xr:uid="{00000000-0005-0000-0000-0000BC520000}"/>
    <cellStyle name="Финансовый 2 3 4 2 2 4 2" xfId="16735" xr:uid="{00000000-0005-0000-0000-0000BD520000}"/>
    <cellStyle name="Финансовый 2 3 4 2 2 4 2 2" xfId="40690" xr:uid="{00000000-0005-0000-0000-0000BE520000}"/>
    <cellStyle name="Финансовый 2 3 4 2 2 4 3" xfId="28713" xr:uid="{00000000-0005-0000-0000-0000BF520000}"/>
    <cellStyle name="Финансовый 2 3 4 2 2 5" xfId="7368" xr:uid="{00000000-0005-0000-0000-0000C0520000}"/>
    <cellStyle name="Финансовый 2 3 4 2 2 5 2" xfId="19346" xr:uid="{00000000-0005-0000-0000-0000C1520000}"/>
    <cellStyle name="Финансовый 2 3 4 2 2 5 2 2" xfId="43301" xr:uid="{00000000-0005-0000-0000-0000C2520000}"/>
    <cellStyle name="Финансовый 2 3 4 2 2 5 3" xfId="31323" xr:uid="{00000000-0005-0000-0000-0000C3520000}"/>
    <cellStyle name="Финансовый 2 3 4 2 2 6" xfId="9150" xr:uid="{00000000-0005-0000-0000-0000C4520000}"/>
    <cellStyle name="Финансовый 2 3 4 2 2 6 2" xfId="21128" xr:uid="{00000000-0005-0000-0000-0000C5520000}"/>
    <cellStyle name="Финансовый 2 3 4 2 2 6 2 2" xfId="45083" xr:uid="{00000000-0005-0000-0000-0000C6520000}"/>
    <cellStyle name="Финансовый 2 3 4 2 2 6 3" xfId="33105" xr:uid="{00000000-0005-0000-0000-0000C7520000}"/>
    <cellStyle name="Финансовый 2 3 4 2 2 7" xfId="13309" xr:uid="{00000000-0005-0000-0000-0000C8520000}"/>
    <cellStyle name="Финансовый 2 3 4 2 2 7 2" xfId="37264" xr:uid="{00000000-0005-0000-0000-0000C9520000}"/>
    <cellStyle name="Финансовый 2 3 4 2 2 8" xfId="25287" xr:uid="{00000000-0005-0000-0000-0000CA520000}"/>
    <cellStyle name="Финансовый 2 3 4 2 2 9" xfId="48420" xr:uid="{00000000-0005-0000-0000-0000CB520000}"/>
    <cellStyle name="Финансовый 2 3 4 2 3" xfId="2030" xr:uid="{00000000-0005-0000-0000-0000CC520000}"/>
    <cellStyle name="Финансовый 2 3 4 2 3 2" xfId="3675" xr:uid="{00000000-0005-0000-0000-0000CD520000}"/>
    <cellStyle name="Финансовый 2 3 4 2 3 2 2" xfId="11415" xr:uid="{00000000-0005-0000-0000-0000CE520000}"/>
    <cellStyle name="Финансовый 2 3 4 2 3 2 2 2" xfId="23393" xr:uid="{00000000-0005-0000-0000-0000CF520000}"/>
    <cellStyle name="Финансовый 2 3 4 2 3 2 2 2 2" xfId="47348" xr:uid="{00000000-0005-0000-0000-0000D0520000}"/>
    <cellStyle name="Финансовый 2 3 4 2 3 2 2 3" xfId="35370" xr:uid="{00000000-0005-0000-0000-0000D1520000}"/>
    <cellStyle name="Финансовый 2 3 4 2 3 2 3" xfId="15654" xr:uid="{00000000-0005-0000-0000-0000D2520000}"/>
    <cellStyle name="Финансовый 2 3 4 2 3 2 3 2" xfId="39609" xr:uid="{00000000-0005-0000-0000-0000D3520000}"/>
    <cellStyle name="Финансовый 2 3 4 2 3 2 4" xfId="27632" xr:uid="{00000000-0005-0000-0000-0000D4520000}"/>
    <cellStyle name="Финансовый 2 3 4 2 3 2 5" xfId="50901" xr:uid="{00000000-0005-0000-0000-0000D5520000}"/>
    <cellStyle name="Финансовый 2 3 4 2 3 3" xfId="5458" xr:uid="{00000000-0005-0000-0000-0000D6520000}"/>
    <cellStyle name="Финансовый 2 3 4 2 3 3 2" xfId="17436" xr:uid="{00000000-0005-0000-0000-0000D7520000}"/>
    <cellStyle name="Финансовый 2 3 4 2 3 3 2 2" xfId="41391" xr:uid="{00000000-0005-0000-0000-0000D8520000}"/>
    <cellStyle name="Финансовый 2 3 4 2 3 3 3" xfId="29413" xr:uid="{00000000-0005-0000-0000-0000D9520000}"/>
    <cellStyle name="Финансовый 2 3 4 2 3 4" xfId="8068" xr:uid="{00000000-0005-0000-0000-0000DA520000}"/>
    <cellStyle name="Финансовый 2 3 4 2 3 4 2" xfId="20046" xr:uid="{00000000-0005-0000-0000-0000DB520000}"/>
    <cellStyle name="Финансовый 2 3 4 2 3 4 2 2" xfId="44001" xr:uid="{00000000-0005-0000-0000-0000DC520000}"/>
    <cellStyle name="Финансовый 2 3 4 2 3 4 3" xfId="32023" xr:uid="{00000000-0005-0000-0000-0000DD520000}"/>
    <cellStyle name="Финансовый 2 3 4 2 3 5" xfId="9851" xr:uid="{00000000-0005-0000-0000-0000DE520000}"/>
    <cellStyle name="Финансовый 2 3 4 2 3 5 2" xfId="21829" xr:uid="{00000000-0005-0000-0000-0000DF520000}"/>
    <cellStyle name="Финансовый 2 3 4 2 3 5 2 2" xfId="45784" xr:uid="{00000000-0005-0000-0000-0000E0520000}"/>
    <cellStyle name="Финансовый 2 3 4 2 3 5 3" xfId="33806" xr:uid="{00000000-0005-0000-0000-0000E1520000}"/>
    <cellStyle name="Финансовый 2 3 4 2 3 6" xfId="14009" xr:uid="{00000000-0005-0000-0000-0000E2520000}"/>
    <cellStyle name="Финансовый 2 3 4 2 3 6 2" xfId="37964" xr:uid="{00000000-0005-0000-0000-0000E3520000}"/>
    <cellStyle name="Финансовый 2 3 4 2 3 7" xfId="25987" xr:uid="{00000000-0005-0000-0000-0000E4520000}"/>
    <cellStyle name="Финансовый 2 3 4 2 3 8" xfId="49120" xr:uid="{00000000-0005-0000-0000-0000E5520000}"/>
    <cellStyle name="Финансовый 2 3 4 2 4" xfId="2559" xr:uid="{00000000-0005-0000-0000-0000E6520000}"/>
    <cellStyle name="Финансовый 2 3 4 2 4 2" xfId="4204" xr:uid="{00000000-0005-0000-0000-0000E7520000}"/>
    <cellStyle name="Финансовый 2 3 4 2 4 2 2" xfId="11928" xr:uid="{00000000-0005-0000-0000-0000E8520000}"/>
    <cellStyle name="Финансовый 2 3 4 2 4 2 2 2" xfId="23906" xr:uid="{00000000-0005-0000-0000-0000E9520000}"/>
    <cellStyle name="Финансовый 2 3 4 2 4 2 2 2 2" xfId="47861" xr:uid="{00000000-0005-0000-0000-0000EA520000}"/>
    <cellStyle name="Финансовый 2 3 4 2 4 2 2 3" xfId="35883" xr:uid="{00000000-0005-0000-0000-0000EB520000}"/>
    <cellStyle name="Финансовый 2 3 4 2 4 2 3" xfId="16183" xr:uid="{00000000-0005-0000-0000-0000EC520000}"/>
    <cellStyle name="Финансовый 2 3 4 2 4 2 3 2" xfId="40138" xr:uid="{00000000-0005-0000-0000-0000ED520000}"/>
    <cellStyle name="Финансовый 2 3 4 2 4 2 4" xfId="28161" xr:uid="{00000000-0005-0000-0000-0000EE520000}"/>
    <cellStyle name="Финансовый 2 3 4 2 4 2 5" xfId="51430" xr:uid="{00000000-0005-0000-0000-0000EF520000}"/>
    <cellStyle name="Финансовый 2 3 4 2 4 3" xfId="5987" xr:uid="{00000000-0005-0000-0000-0000F0520000}"/>
    <cellStyle name="Финансовый 2 3 4 2 4 3 2" xfId="17965" xr:uid="{00000000-0005-0000-0000-0000F1520000}"/>
    <cellStyle name="Финансовый 2 3 4 2 4 3 2 2" xfId="41920" xr:uid="{00000000-0005-0000-0000-0000F2520000}"/>
    <cellStyle name="Финансовый 2 3 4 2 4 3 3" xfId="29942" xr:uid="{00000000-0005-0000-0000-0000F3520000}"/>
    <cellStyle name="Финансовый 2 3 4 2 4 4" xfId="8597" xr:uid="{00000000-0005-0000-0000-0000F4520000}"/>
    <cellStyle name="Финансовый 2 3 4 2 4 4 2" xfId="20575" xr:uid="{00000000-0005-0000-0000-0000F5520000}"/>
    <cellStyle name="Финансовый 2 3 4 2 4 4 2 2" xfId="44530" xr:uid="{00000000-0005-0000-0000-0000F6520000}"/>
    <cellStyle name="Финансовый 2 3 4 2 4 4 3" xfId="32552" xr:uid="{00000000-0005-0000-0000-0000F7520000}"/>
    <cellStyle name="Финансовый 2 3 4 2 4 5" xfId="10380" xr:uid="{00000000-0005-0000-0000-0000F8520000}"/>
    <cellStyle name="Финансовый 2 3 4 2 4 5 2" xfId="22358" xr:uid="{00000000-0005-0000-0000-0000F9520000}"/>
    <cellStyle name="Финансовый 2 3 4 2 4 5 2 2" xfId="46313" xr:uid="{00000000-0005-0000-0000-0000FA520000}"/>
    <cellStyle name="Финансовый 2 3 4 2 4 5 3" xfId="34335" xr:uid="{00000000-0005-0000-0000-0000FB520000}"/>
    <cellStyle name="Финансовый 2 3 4 2 4 6" xfId="14538" xr:uid="{00000000-0005-0000-0000-0000FC520000}"/>
    <cellStyle name="Финансовый 2 3 4 2 4 6 2" xfId="38493" xr:uid="{00000000-0005-0000-0000-0000FD520000}"/>
    <cellStyle name="Финансовый 2 3 4 2 4 7" xfId="26516" xr:uid="{00000000-0005-0000-0000-0000FE520000}"/>
    <cellStyle name="Финансовый 2 3 4 2 4 8" xfId="49649" xr:uid="{00000000-0005-0000-0000-0000FF520000}"/>
    <cellStyle name="Финансовый 2 3 4 2 5" xfId="1063" xr:uid="{00000000-0005-0000-0000-000000530000}"/>
    <cellStyle name="Финансовый 2 3 4 2 5 2" xfId="7103" xr:uid="{00000000-0005-0000-0000-000001530000}"/>
    <cellStyle name="Финансовый 2 3 4 2 5 2 2" xfId="19081" xr:uid="{00000000-0005-0000-0000-000002530000}"/>
    <cellStyle name="Финансовый 2 3 4 2 5 2 2 2" xfId="43036" xr:uid="{00000000-0005-0000-0000-000003530000}"/>
    <cellStyle name="Финансовый 2 3 4 2 5 2 3" xfId="31058" xr:uid="{00000000-0005-0000-0000-000004530000}"/>
    <cellStyle name="Финансовый 2 3 4 2 5 3" xfId="10643" xr:uid="{00000000-0005-0000-0000-000005530000}"/>
    <cellStyle name="Финансовый 2 3 4 2 5 3 2" xfId="22621" xr:uid="{00000000-0005-0000-0000-000006530000}"/>
    <cellStyle name="Финансовый 2 3 4 2 5 3 2 2" xfId="46576" xr:uid="{00000000-0005-0000-0000-000007530000}"/>
    <cellStyle name="Финансовый 2 3 4 2 5 3 3" xfId="34598" xr:uid="{00000000-0005-0000-0000-000008530000}"/>
    <cellStyle name="Финансовый 2 3 4 2 5 4" xfId="13044" xr:uid="{00000000-0005-0000-0000-000009530000}"/>
    <cellStyle name="Финансовый 2 3 4 2 5 4 2" xfId="36999" xr:uid="{00000000-0005-0000-0000-00000A530000}"/>
    <cellStyle name="Финансовый 2 3 4 2 5 5" xfId="25022" xr:uid="{00000000-0005-0000-0000-00000B530000}"/>
    <cellStyle name="Финансовый 2 3 4 2 5 6" xfId="49928" xr:uid="{00000000-0005-0000-0000-00000C530000}"/>
    <cellStyle name="Финансовый 2 3 4 2 6" xfId="651" xr:uid="{00000000-0005-0000-0000-00000D530000}"/>
    <cellStyle name="Финансовый 2 3 4 2 6 2" xfId="6691" xr:uid="{00000000-0005-0000-0000-00000E530000}"/>
    <cellStyle name="Финансовый 2 3 4 2 6 2 2" xfId="18669" xr:uid="{00000000-0005-0000-0000-00000F530000}"/>
    <cellStyle name="Финансовый 2 3 4 2 6 2 2 2" xfId="42624" xr:uid="{00000000-0005-0000-0000-000010530000}"/>
    <cellStyle name="Финансовый 2 3 4 2 6 2 3" xfId="30646" xr:uid="{00000000-0005-0000-0000-000011530000}"/>
    <cellStyle name="Финансовый 2 3 4 2 6 3" xfId="12632" xr:uid="{00000000-0005-0000-0000-000012530000}"/>
    <cellStyle name="Финансовый 2 3 4 2 6 3 2" xfId="36587" xr:uid="{00000000-0005-0000-0000-000013530000}"/>
    <cellStyle name="Финансовый 2 3 4 2 6 4" xfId="24610" xr:uid="{00000000-0005-0000-0000-000014530000}"/>
    <cellStyle name="Финансовый 2 3 4 2 7" xfId="2840" xr:uid="{00000000-0005-0000-0000-000015530000}"/>
    <cellStyle name="Финансовый 2 3 4 2 7 2" xfId="14819" xr:uid="{00000000-0005-0000-0000-000016530000}"/>
    <cellStyle name="Финансовый 2 3 4 2 7 2 2" xfId="38774" xr:uid="{00000000-0005-0000-0000-000017530000}"/>
    <cellStyle name="Финансовый 2 3 4 2 7 3" xfId="26797" xr:uid="{00000000-0005-0000-0000-000018530000}"/>
    <cellStyle name="Финансовый 2 3 4 2 8" xfId="4484" xr:uid="{00000000-0005-0000-0000-000019530000}"/>
    <cellStyle name="Финансовый 2 3 4 2 8 2" xfId="16463" xr:uid="{00000000-0005-0000-0000-00001A530000}"/>
    <cellStyle name="Финансовый 2 3 4 2 8 2 2" xfId="40418" xr:uid="{00000000-0005-0000-0000-00001B530000}"/>
    <cellStyle name="Финансовый 2 3 4 2 8 3" xfId="28441" xr:uid="{00000000-0005-0000-0000-00001C530000}"/>
    <cellStyle name="Финансовый 2 3 4 2 9" xfId="6271" xr:uid="{00000000-0005-0000-0000-00001D530000}"/>
    <cellStyle name="Финансовый 2 3 4 2 9 2" xfId="18249" xr:uid="{00000000-0005-0000-0000-00001E530000}"/>
    <cellStyle name="Финансовый 2 3 4 2 9 2 2" xfId="42204" xr:uid="{00000000-0005-0000-0000-00001F530000}"/>
    <cellStyle name="Финансовый 2 3 4 2 9 3" xfId="30226" xr:uid="{00000000-0005-0000-0000-000020530000}"/>
    <cellStyle name="Финансовый 2 3 4 3" xfId="379" xr:uid="{00000000-0005-0000-0000-000021530000}"/>
    <cellStyle name="Финансовый 2 3 4 3 10" xfId="24338" xr:uid="{00000000-0005-0000-0000-000022530000}"/>
    <cellStyle name="Финансовый 2 3 4 3 11" xfId="48284" xr:uid="{00000000-0005-0000-0000-000023530000}"/>
    <cellStyle name="Финансовый 2 3 4 3 2" xfId="2158" xr:uid="{00000000-0005-0000-0000-000024530000}"/>
    <cellStyle name="Финансовый 2 3 4 3 2 2" xfId="3803" xr:uid="{00000000-0005-0000-0000-000025530000}"/>
    <cellStyle name="Финансовый 2 3 4 3 2 2 2" xfId="11543" xr:uid="{00000000-0005-0000-0000-000026530000}"/>
    <cellStyle name="Финансовый 2 3 4 3 2 2 2 2" xfId="23521" xr:uid="{00000000-0005-0000-0000-000027530000}"/>
    <cellStyle name="Финансовый 2 3 4 3 2 2 2 2 2" xfId="47476" xr:uid="{00000000-0005-0000-0000-000028530000}"/>
    <cellStyle name="Финансовый 2 3 4 3 2 2 2 3" xfId="35498" xr:uid="{00000000-0005-0000-0000-000029530000}"/>
    <cellStyle name="Финансовый 2 3 4 3 2 2 3" xfId="15782" xr:uid="{00000000-0005-0000-0000-00002A530000}"/>
    <cellStyle name="Финансовый 2 3 4 3 2 2 3 2" xfId="39737" xr:uid="{00000000-0005-0000-0000-00002B530000}"/>
    <cellStyle name="Финансовый 2 3 4 3 2 2 4" xfId="27760" xr:uid="{00000000-0005-0000-0000-00002C530000}"/>
    <cellStyle name="Финансовый 2 3 4 3 2 2 5" xfId="51029" xr:uid="{00000000-0005-0000-0000-00002D530000}"/>
    <cellStyle name="Финансовый 2 3 4 3 2 3" xfId="5586" xr:uid="{00000000-0005-0000-0000-00002E530000}"/>
    <cellStyle name="Финансовый 2 3 4 3 2 3 2" xfId="17564" xr:uid="{00000000-0005-0000-0000-00002F530000}"/>
    <cellStyle name="Финансовый 2 3 4 3 2 3 2 2" xfId="41519" xr:uid="{00000000-0005-0000-0000-000030530000}"/>
    <cellStyle name="Финансовый 2 3 4 3 2 3 3" xfId="29541" xr:uid="{00000000-0005-0000-0000-000031530000}"/>
    <cellStyle name="Финансовый 2 3 4 3 2 4" xfId="8196" xr:uid="{00000000-0005-0000-0000-000032530000}"/>
    <cellStyle name="Финансовый 2 3 4 3 2 4 2" xfId="20174" xr:uid="{00000000-0005-0000-0000-000033530000}"/>
    <cellStyle name="Финансовый 2 3 4 3 2 4 2 2" xfId="44129" xr:uid="{00000000-0005-0000-0000-000034530000}"/>
    <cellStyle name="Финансовый 2 3 4 3 2 4 3" xfId="32151" xr:uid="{00000000-0005-0000-0000-000035530000}"/>
    <cellStyle name="Финансовый 2 3 4 3 2 5" xfId="9979" xr:uid="{00000000-0005-0000-0000-000036530000}"/>
    <cellStyle name="Финансовый 2 3 4 3 2 5 2" xfId="21957" xr:uid="{00000000-0005-0000-0000-000037530000}"/>
    <cellStyle name="Финансовый 2 3 4 3 2 5 2 2" xfId="45912" xr:uid="{00000000-0005-0000-0000-000038530000}"/>
    <cellStyle name="Финансовый 2 3 4 3 2 5 3" xfId="33934" xr:uid="{00000000-0005-0000-0000-000039530000}"/>
    <cellStyle name="Финансовый 2 3 4 3 2 6" xfId="14137" xr:uid="{00000000-0005-0000-0000-00003A530000}"/>
    <cellStyle name="Финансовый 2 3 4 3 2 6 2" xfId="38092" xr:uid="{00000000-0005-0000-0000-00003B530000}"/>
    <cellStyle name="Финансовый 2 3 4 3 2 7" xfId="26115" xr:uid="{00000000-0005-0000-0000-00003C530000}"/>
    <cellStyle name="Финансовый 2 3 4 3 2 8" xfId="49248" xr:uid="{00000000-0005-0000-0000-00003D530000}"/>
    <cellStyle name="Финансовый 2 3 4 3 3" xfId="1192" xr:uid="{00000000-0005-0000-0000-00003E530000}"/>
    <cellStyle name="Финансовый 2 3 4 3 3 2" xfId="7232" xr:uid="{00000000-0005-0000-0000-00003F530000}"/>
    <cellStyle name="Финансовый 2 3 4 3 3 2 2" xfId="19210" xr:uid="{00000000-0005-0000-0000-000040530000}"/>
    <cellStyle name="Финансовый 2 3 4 3 3 2 2 2" xfId="43165" xr:uid="{00000000-0005-0000-0000-000041530000}"/>
    <cellStyle name="Финансовый 2 3 4 3 3 2 3" xfId="31187" xr:uid="{00000000-0005-0000-0000-000042530000}"/>
    <cellStyle name="Финансовый 2 3 4 3 3 3" xfId="10771" xr:uid="{00000000-0005-0000-0000-000043530000}"/>
    <cellStyle name="Финансовый 2 3 4 3 3 3 2" xfId="22749" xr:uid="{00000000-0005-0000-0000-000044530000}"/>
    <cellStyle name="Финансовый 2 3 4 3 3 3 2 2" xfId="46704" xr:uid="{00000000-0005-0000-0000-000045530000}"/>
    <cellStyle name="Финансовый 2 3 4 3 3 3 3" xfId="34726" xr:uid="{00000000-0005-0000-0000-000046530000}"/>
    <cellStyle name="Финансовый 2 3 4 3 3 4" xfId="13173" xr:uid="{00000000-0005-0000-0000-000047530000}"/>
    <cellStyle name="Финансовый 2 3 4 3 3 4 2" xfId="37128" xr:uid="{00000000-0005-0000-0000-000048530000}"/>
    <cellStyle name="Финансовый 2 3 4 3 3 5" xfId="25151" xr:uid="{00000000-0005-0000-0000-000049530000}"/>
    <cellStyle name="Финансовый 2 3 4 3 3 6" xfId="50064" xr:uid="{00000000-0005-0000-0000-00004A530000}"/>
    <cellStyle name="Финансовый 2 3 4 3 4" xfId="799" xr:uid="{00000000-0005-0000-0000-00004B530000}"/>
    <cellStyle name="Финансовый 2 3 4 3 4 2" xfId="6839" xr:uid="{00000000-0005-0000-0000-00004C530000}"/>
    <cellStyle name="Финансовый 2 3 4 3 4 2 2" xfId="18817" xr:uid="{00000000-0005-0000-0000-00004D530000}"/>
    <cellStyle name="Финансовый 2 3 4 3 4 2 2 2" xfId="42772" xr:uid="{00000000-0005-0000-0000-00004E530000}"/>
    <cellStyle name="Финансовый 2 3 4 3 4 2 3" xfId="30794" xr:uid="{00000000-0005-0000-0000-00004F530000}"/>
    <cellStyle name="Финансовый 2 3 4 3 4 3" xfId="12780" xr:uid="{00000000-0005-0000-0000-000050530000}"/>
    <cellStyle name="Финансовый 2 3 4 3 4 3 2" xfId="36735" xr:uid="{00000000-0005-0000-0000-000051530000}"/>
    <cellStyle name="Финансовый 2 3 4 3 4 4" xfId="24758" xr:uid="{00000000-0005-0000-0000-000052530000}"/>
    <cellStyle name="Финансовый 2 3 4 3 5" xfId="2976" xr:uid="{00000000-0005-0000-0000-000053530000}"/>
    <cellStyle name="Финансовый 2 3 4 3 5 2" xfId="14955" xr:uid="{00000000-0005-0000-0000-000054530000}"/>
    <cellStyle name="Финансовый 2 3 4 3 5 2 2" xfId="38910" xr:uid="{00000000-0005-0000-0000-000055530000}"/>
    <cellStyle name="Финансовый 2 3 4 3 5 3" xfId="26933" xr:uid="{00000000-0005-0000-0000-000056530000}"/>
    <cellStyle name="Финансовый 2 3 4 3 6" xfId="4620" xr:uid="{00000000-0005-0000-0000-000057530000}"/>
    <cellStyle name="Финансовый 2 3 4 3 6 2" xfId="16599" xr:uid="{00000000-0005-0000-0000-000058530000}"/>
    <cellStyle name="Финансовый 2 3 4 3 6 2 2" xfId="40554" xr:uid="{00000000-0005-0000-0000-000059530000}"/>
    <cellStyle name="Финансовый 2 3 4 3 6 3" xfId="28577" xr:uid="{00000000-0005-0000-0000-00005A530000}"/>
    <cellStyle name="Финансовый 2 3 4 3 7" xfId="6419" xr:uid="{00000000-0005-0000-0000-00005B530000}"/>
    <cellStyle name="Финансовый 2 3 4 3 7 2" xfId="18397" xr:uid="{00000000-0005-0000-0000-00005C530000}"/>
    <cellStyle name="Финансовый 2 3 4 3 7 2 2" xfId="42352" xr:uid="{00000000-0005-0000-0000-00005D530000}"/>
    <cellStyle name="Финансовый 2 3 4 3 7 3" xfId="30374" xr:uid="{00000000-0005-0000-0000-00005E530000}"/>
    <cellStyle name="Финансовый 2 3 4 3 8" xfId="9014" xr:uid="{00000000-0005-0000-0000-00005F530000}"/>
    <cellStyle name="Финансовый 2 3 4 3 8 2" xfId="20992" xr:uid="{00000000-0005-0000-0000-000060530000}"/>
    <cellStyle name="Финансовый 2 3 4 3 8 2 2" xfId="44947" xr:uid="{00000000-0005-0000-0000-000061530000}"/>
    <cellStyle name="Финансовый 2 3 4 3 8 3" xfId="32969" xr:uid="{00000000-0005-0000-0000-000062530000}"/>
    <cellStyle name="Финансовый 2 3 4 3 9" xfId="12360" xr:uid="{00000000-0005-0000-0000-000063530000}"/>
    <cellStyle name="Финансовый 2 3 4 3 9 2" xfId="36315" xr:uid="{00000000-0005-0000-0000-000064530000}"/>
    <cellStyle name="Финансовый 2 3 4 4" xfId="1490" xr:uid="{00000000-0005-0000-0000-000065530000}"/>
    <cellStyle name="Финансовый 2 3 4 4 2" xfId="1902" xr:uid="{00000000-0005-0000-0000-000066530000}"/>
    <cellStyle name="Финансовый 2 3 4 4 2 2" xfId="3547" xr:uid="{00000000-0005-0000-0000-000067530000}"/>
    <cellStyle name="Финансовый 2 3 4 4 2 2 2" xfId="11287" xr:uid="{00000000-0005-0000-0000-000068530000}"/>
    <cellStyle name="Финансовый 2 3 4 4 2 2 2 2" xfId="23265" xr:uid="{00000000-0005-0000-0000-000069530000}"/>
    <cellStyle name="Финансовый 2 3 4 4 2 2 2 2 2" xfId="47220" xr:uid="{00000000-0005-0000-0000-00006A530000}"/>
    <cellStyle name="Финансовый 2 3 4 4 2 2 2 3" xfId="35242" xr:uid="{00000000-0005-0000-0000-00006B530000}"/>
    <cellStyle name="Финансовый 2 3 4 4 2 2 3" xfId="15526" xr:uid="{00000000-0005-0000-0000-00006C530000}"/>
    <cellStyle name="Финансовый 2 3 4 4 2 2 3 2" xfId="39481" xr:uid="{00000000-0005-0000-0000-00006D530000}"/>
    <cellStyle name="Финансовый 2 3 4 4 2 2 4" xfId="27504" xr:uid="{00000000-0005-0000-0000-00006E530000}"/>
    <cellStyle name="Финансовый 2 3 4 4 2 2 5" xfId="50773" xr:uid="{00000000-0005-0000-0000-00006F530000}"/>
    <cellStyle name="Финансовый 2 3 4 4 2 3" xfId="5330" xr:uid="{00000000-0005-0000-0000-000070530000}"/>
    <cellStyle name="Финансовый 2 3 4 4 2 3 2" xfId="17308" xr:uid="{00000000-0005-0000-0000-000071530000}"/>
    <cellStyle name="Финансовый 2 3 4 4 2 3 2 2" xfId="41263" xr:uid="{00000000-0005-0000-0000-000072530000}"/>
    <cellStyle name="Финансовый 2 3 4 4 2 3 3" xfId="29285" xr:uid="{00000000-0005-0000-0000-000073530000}"/>
    <cellStyle name="Финансовый 2 3 4 4 2 4" xfId="7940" xr:uid="{00000000-0005-0000-0000-000074530000}"/>
    <cellStyle name="Финансовый 2 3 4 4 2 4 2" xfId="19918" xr:uid="{00000000-0005-0000-0000-000075530000}"/>
    <cellStyle name="Финансовый 2 3 4 4 2 4 2 2" xfId="43873" xr:uid="{00000000-0005-0000-0000-000076530000}"/>
    <cellStyle name="Финансовый 2 3 4 4 2 4 3" xfId="31895" xr:uid="{00000000-0005-0000-0000-000077530000}"/>
    <cellStyle name="Финансовый 2 3 4 4 2 5" xfId="9723" xr:uid="{00000000-0005-0000-0000-000078530000}"/>
    <cellStyle name="Финансовый 2 3 4 4 2 5 2" xfId="21701" xr:uid="{00000000-0005-0000-0000-000079530000}"/>
    <cellStyle name="Финансовый 2 3 4 4 2 5 2 2" xfId="45656" xr:uid="{00000000-0005-0000-0000-00007A530000}"/>
    <cellStyle name="Финансовый 2 3 4 4 2 5 3" xfId="33678" xr:uid="{00000000-0005-0000-0000-00007B530000}"/>
    <cellStyle name="Финансовый 2 3 4 4 2 6" xfId="13881" xr:uid="{00000000-0005-0000-0000-00007C530000}"/>
    <cellStyle name="Финансовый 2 3 4 4 2 6 2" xfId="37836" xr:uid="{00000000-0005-0000-0000-00007D530000}"/>
    <cellStyle name="Финансовый 2 3 4 4 2 7" xfId="25859" xr:uid="{00000000-0005-0000-0000-00007E530000}"/>
    <cellStyle name="Финансовый 2 3 4 4 2 8" xfId="48992" xr:uid="{00000000-0005-0000-0000-00007F530000}"/>
    <cellStyle name="Финансовый 2 3 4 4 3" xfId="4918" xr:uid="{00000000-0005-0000-0000-000080530000}"/>
    <cellStyle name="Финансовый 2 3 4 4 3 2" xfId="16896" xr:uid="{00000000-0005-0000-0000-000081530000}"/>
    <cellStyle name="Финансовый 2 3 4 4 3 2 2" xfId="40851" xr:uid="{00000000-0005-0000-0000-000082530000}"/>
    <cellStyle name="Финансовый 2 3 4 4 3 3" xfId="28873" xr:uid="{00000000-0005-0000-0000-000083530000}"/>
    <cellStyle name="Финансовый 2 3 4 4 3 4" xfId="50361" xr:uid="{00000000-0005-0000-0000-000084530000}"/>
    <cellStyle name="Финансовый 2 3 4 4 4" xfId="7528" xr:uid="{00000000-0005-0000-0000-000085530000}"/>
    <cellStyle name="Финансовый 2 3 4 4 4 2" xfId="19506" xr:uid="{00000000-0005-0000-0000-000086530000}"/>
    <cellStyle name="Финансовый 2 3 4 4 4 2 2" xfId="43461" xr:uid="{00000000-0005-0000-0000-000087530000}"/>
    <cellStyle name="Финансовый 2 3 4 4 4 3" xfId="31483" xr:uid="{00000000-0005-0000-0000-000088530000}"/>
    <cellStyle name="Финансовый 2 3 4 4 5" xfId="9311" xr:uid="{00000000-0005-0000-0000-000089530000}"/>
    <cellStyle name="Финансовый 2 3 4 4 5 2" xfId="21289" xr:uid="{00000000-0005-0000-0000-00008A530000}"/>
    <cellStyle name="Финансовый 2 3 4 4 5 2 2" xfId="45244" xr:uid="{00000000-0005-0000-0000-00008B530000}"/>
    <cellStyle name="Финансовый 2 3 4 4 5 3" xfId="33266" xr:uid="{00000000-0005-0000-0000-00008C530000}"/>
    <cellStyle name="Финансовый 2 3 4 4 6" xfId="13469" xr:uid="{00000000-0005-0000-0000-00008D530000}"/>
    <cellStyle name="Финансовый 2 3 4 4 6 2" xfId="37424" xr:uid="{00000000-0005-0000-0000-00008E530000}"/>
    <cellStyle name="Финансовый 2 3 4 4 7" xfId="25447" xr:uid="{00000000-0005-0000-0000-00008F530000}"/>
    <cellStyle name="Финансовый 2 3 4 4 8" xfId="48580" xr:uid="{00000000-0005-0000-0000-000090530000}"/>
    <cellStyle name="Финансовый 2 3 4 5" xfId="1778" xr:uid="{00000000-0005-0000-0000-000091530000}"/>
    <cellStyle name="Финансовый 2 3 4 5 2" xfId="3423" xr:uid="{00000000-0005-0000-0000-000092530000}"/>
    <cellStyle name="Финансовый 2 3 4 5 2 2" xfId="11171" xr:uid="{00000000-0005-0000-0000-000093530000}"/>
    <cellStyle name="Финансовый 2 3 4 5 2 2 2" xfId="23149" xr:uid="{00000000-0005-0000-0000-000094530000}"/>
    <cellStyle name="Финансовый 2 3 4 5 2 2 2 2" xfId="47104" xr:uid="{00000000-0005-0000-0000-000095530000}"/>
    <cellStyle name="Финансовый 2 3 4 5 2 2 3" xfId="35126" xr:uid="{00000000-0005-0000-0000-000096530000}"/>
    <cellStyle name="Финансовый 2 3 4 5 2 3" xfId="15402" xr:uid="{00000000-0005-0000-0000-000097530000}"/>
    <cellStyle name="Финансовый 2 3 4 5 2 3 2" xfId="39357" xr:uid="{00000000-0005-0000-0000-000098530000}"/>
    <cellStyle name="Финансовый 2 3 4 5 2 4" xfId="27380" xr:uid="{00000000-0005-0000-0000-000099530000}"/>
    <cellStyle name="Финансовый 2 3 4 5 2 5" xfId="50649" xr:uid="{00000000-0005-0000-0000-00009A530000}"/>
    <cellStyle name="Финансовый 2 3 4 5 3" xfId="5206" xr:uid="{00000000-0005-0000-0000-00009B530000}"/>
    <cellStyle name="Финансовый 2 3 4 5 3 2" xfId="17184" xr:uid="{00000000-0005-0000-0000-00009C530000}"/>
    <cellStyle name="Финансовый 2 3 4 5 3 2 2" xfId="41139" xr:uid="{00000000-0005-0000-0000-00009D530000}"/>
    <cellStyle name="Финансовый 2 3 4 5 3 3" xfId="29161" xr:uid="{00000000-0005-0000-0000-00009E530000}"/>
    <cellStyle name="Финансовый 2 3 4 5 4" xfId="7816" xr:uid="{00000000-0005-0000-0000-00009F530000}"/>
    <cellStyle name="Финансовый 2 3 4 5 4 2" xfId="19794" xr:uid="{00000000-0005-0000-0000-0000A0530000}"/>
    <cellStyle name="Финансовый 2 3 4 5 4 2 2" xfId="43749" xr:uid="{00000000-0005-0000-0000-0000A1530000}"/>
    <cellStyle name="Финансовый 2 3 4 5 4 3" xfId="31771" xr:uid="{00000000-0005-0000-0000-0000A2530000}"/>
    <cellStyle name="Финансовый 2 3 4 5 5" xfId="9599" xr:uid="{00000000-0005-0000-0000-0000A3530000}"/>
    <cellStyle name="Финансовый 2 3 4 5 5 2" xfId="21577" xr:uid="{00000000-0005-0000-0000-0000A4530000}"/>
    <cellStyle name="Финансовый 2 3 4 5 5 2 2" xfId="45532" xr:uid="{00000000-0005-0000-0000-0000A5530000}"/>
    <cellStyle name="Финансовый 2 3 4 5 5 3" xfId="33554" xr:uid="{00000000-0005-0000-0000-0000A6530000}"/>
    <cellStyle name="Финансовый 2 3 4 5 6" xfId="13757" xr:uid="{00000000-0005-0000-0000-0000A7530000}"/>
    <cellStyle name="Финансовый 2 3 4 5 6 2" xfId="37712" xr:uid="{00000000-0005-0000-0000-0000A8530000}"/>
    <cellStyle name="Финансовый 2 3 4 5 7" xfId="25735" xr:uid="{00000000-0005-0000-0000-0000A9530000}"/>
    <cellStyle name="Финансовый 2 3 4 5 8" xfId="48868" xr:uid="{00000000-0005-0000-0000-0000AA530000}"/>
    <cellStyle name="Финансовый 2 3 4 6" xfId="2423" xr:uid="{00000000-0005-0000-0000-0000AB530000}"/>
    <cellStyle name="Финансовый 2 3 4 6 2" xfId="4068" xr:uid="{00000000-0005-0000-0000-0000AC530000}"/>
    <cellStyle name="Финансовый 2 3 4 6 2 2" xfId="11800" xr:uid="{00000000-0005-0000-0000-0000AD530000}"/>
    <cellStyle name="Финансовый 2 3 4 6 2 2 2" xfId="23778" xr:uid="{00000000-0005-0000-0000-0000AE530000}"/>
    <cellStyle name="Финансовый 2 3 4 6 2 2 2 2" xfId="47733" xr:uid="{00000000-0005-0000-0000-0000AF530000}"/>
    <cellStyle name="Финансовый 2 3 4 6 2 2 3" xfId="35755" xr:uid="{00000000-0005-0000-0000-0000B0530000}"/>
    <cellStyle name="Финансовый 2 3 4 6 2 3" xfId="16047" xr:uid="{00000000-0005-0000-0000-0000B1530000}"/>
    <cellStyle name="Финансовый 2 3 4 6 2 3 2" xfId="40002" xr:uid="{00000000-0005-0000-0000-0000B2530000}"/>
    <cellStyle name="Финансовый 2 3 4 6 2 4" xfId="28025" xr:uid="{00000000-0005-0000-0000-0000B3530000}"/>
    <cellStyle name="Финансовый 2 3 4 6 2 5" xfId="51294" xr:uid="{00000000-0005-0000-0000-0000B4530000}"/>
    <cellStyle name="Финансовый 2 3 4 6 3" xfId="5851" xr:uid="{00000000-0005-0000-0000-0000B5530000}"/>
    <cellStyle name="Финансовый 2 3 4 6 3 2" xfId="17829" xr:uid="{00000000-0005-0000-0000-0000B6530000}"/>
    <cellStyle name="Финансовый 2 3 4 6 3 2 2" xfId="41784" xr:uid="{00000000-0005-0000-0000-0000B7530000}"/>
    <cellStyle name="Финансовый 2 3 4 6 3 3" xfId="29806" xr:uid="{00000000-0005-0000-0000-0000B8530000}"/>
    <cellStyle name="Финансовый 2 3 4 6 4" xfId="8461" xr:uid="{00000000-0005-0000-0000-0000B9530000}"/>
    <cellStyle name="Финансовый 2 3 4 6 4 2" xfId="20439" xr:uid="{00000000-0005-0000-0000-0000BA530000}"/>
    <cellStyle name="Финансовый 2 3 4 6 4 2 2" xfId="44394" xr:uid="{00000000-0005-0000-0000-0000BB530000}"/>
    <cellStyle name="Финансовый 2 3 4 6 4 3" xfId="32416" xr:uid="{00000000-0005-0000-0000-0000BC530000}"/>
    <cellStyle name="Финансовый 2 3 4 6 5" xfId="10244" xr:uid="{00000000-0005-0000-0000-0000BD530000}"/>
    <cellStyle name="Финансовый 2 3 4 6 5 2" xfId="22222" xr:uid="{00000000-0005-0000-0000-0000BE530000}"/>
    <cellStyle name="Финансовый 2 3 4 6 5 2 2" xfId="46177" xr:uid="{00000000-0005-0000-0000-0000BF530000}"/>
    <cellStyle name="Финансовый 2 3 4 6 5 3" xfId="34199" xr:uid="{00000000-0005-0000-0000-0000C0530000}"/>
    <cellStyle name="Финансовый 2 3 4 6 6" xfId="14402" xr:uid="{00000000-0005-0000-0000-0000C1530000}"/>
    <cellStyle name="Финансовый 2 3 4 6 6 2" xfId="38357" xr:uid="{00000000-0005-0000-0000-0000C2530000}"/>
    <cellStyle name="Финансовый 2 3 4 6 7" xfId="26380" xr:uid="{00000000-0005-0000-0000-0000C3530000}"/>
    <cellStyle name="Финансовый 2 3 4 6 8" xfId="49513" xr:uid="{00000000-0005-0000-0000-0000C4530000}"/>
    <cellStyle name="Финансовый 2 3 4 7" xfId="1650" xr:uid="{00000000-0005-0000-0000-0000C5530000}"/>
    <cellStyle name="Финансовый 2 3 4 7 2" xfId="3295" xr:uid="{00000000-0005-0000-0000-0000C6530000}"/>
    <cellStyle name="Финансовый 2 3 4 7 2 2" xfId="11043" xr:uid="{00000000-0005-0000-0000-0000C7530000}"/>
    <cellStyle name="Финансовый 2 3 4 7 2 2 2" xfId="23021" xr:uid="{00000000-0005-0000-0000-0000C8530000}"/>
    <cellStyle name="Финансовый 2 3 4 7 2 2 2 2" xfId="46976" xr:uid="{00000000-0005-0000-0000-0000C9530000}"/>
    <cellStyle name="Финансовый 2 3 4 7 2 2 3" xfId="34998" xr:uid="{00000000-0005-0000-0000-0000CA530000}"/>
    <cellStyle name="Финансовый 2 3 4 7 2 3" xfId="15274" xr:uid="{00000000-0005-0000-0000-0000CB530000}"/>
    <cellStyle name="Финансовый 2 3 4 7 2 3 2" xfId="39229" xr:uid="{00000000-0005-0000-0000-0000CC530000}"/>
    <cellStyle name="Финансовый 2 3 4 7 2 4" xfId="27252" xr:uid="{00000000-0005-0000-0000-0000CD530000}"/>
    <cellStyle name="Финансовый 2 3 4 7 2 5" xfId="50521" xr:uid="{00000000-0005-0000-0000-0000CE530000}"/>
    <cellStyle name="Финансовый 2 3 4 7 3" xfId="5078" xr:uid="{00000000-0005-0000-0000-0000CF530000}"/>
    <cellStyle name="Финансовый 2 3 4 7 3 2" xfId="17056" xr:uid="{00000000-0005-0000-0000-0000D0530000}"/>
    <cellStyle name="Финансовый 2 3 4 7 3 2 2" xfId="41011" xr:uid="{00000000-0005-0000-0000-0000D1530000}"/>
    <cellStyle name="Финансовый 2 3 4 7 3 3" xfId="29033" xr:uid="{00000000-0005-0000-0000-0000D2530000}"/>
    <cellStyle name="Финансовый 2 3 4 7 4" xfId="7688" xr:uid="{00000000-0005-0000-0000-0000D3530000}"/>
    <cellStyle name="Финансовый 2 3 4 7 4 2" xfId="19666" xr:uid="{00000000-0005-0000-0000-0000D4530000}"/>
    <cellStyle name="Финансовый 2 3 4 7 4 2 2" xfId="43621" xr:uid="{00000000-0005-0000-0000-0000D5530000}"/>
    <cellStyle name="Финансовый 2 3 4 7 4 3" xfId="31643" xr:uid="{00000000-0005-0000-0000-0000D6530000}"/>
    <cellStyle name="Финансовый 2 3 4 7 5" xfId="9471" xr:uid="{00000000-0005-0000-0000-0000D7530000}"/>
    <cellStyle name="Финансовый 2 3 4 7 5 2" xfId="21449" xr:uid="{00000000-0005-0000-0000-0000D8530000}"/>
    <cellStyle name="Финансовый 2 3 4 7 5 2 2" xfId="45404" xr:uid="{00000000-0005-0000-0000-0000D9530000}"/>
    <cellStyle name="Финансовый 2 3 4 7 5 3" xfId="33426" xr:uid="{00000000-0005-0000-0000-0000DA530000}"/>
    <cellStyle name="Финансовый 2 3 4 7 6" xfId="13629" xr:uid="{00000000-0005-0000-0000-0000DB530000}"/>
    <cellStyle name="Финансовый 2 3 4 7 6 2" xfId="37584" xr:uid="{00000000-0005-0000-0000-0000DC530000}"/>
    <cellStyle name="Финансовый 2 3 4 7 7" xfId="25607" xr:uid="{00000000-0005-0000-0000-0000DD530000}"/>
    <cellStyle name="Финансовый 2 3 4 7 8" xfId="48740" xr:uid="{00000000-0005-0000-0000-0000DE530000}"/>
    <cellStyle name="Финансовый 2 3 4 8" xfId="927" xr:uid="{00000000-0005-0000-0000-0000DF530000}"/>
    <cellStyle name="Финансовый 2 3 4 8 2" xfId="6967" xr:uid="{00000000-0005-0000-0000-0000E0530000}"/>
    <cellStyle name="Финансовый 2 3 4 8 2 2" xfId="18945" xr:uid="{00000000-0005-0000-0000-0000E1530000}"/>
    <cellStyle name="Финансовый 2 3 4 8 2 2 2" xfId="42900" xr:uid="{00000000-0005-0000-0000-0000E2530000}"/>
    <cellStyle name="Финансовый 2 3 4 8 2 3" xfId="30922" xr:uid="{00000000-0005-0000-0000-0000E3530000}"/>
    <cellStyle name="Финансовый 2 3 4 8 3" xfId="10515" xr:uid="{00000000-0005-0000-0000-0000E4530000}"/>
    <cellStyle name="Финансовый 2 3 4 8 3 2" xfId="22493" xr:uid="{00000000-0005-0000-0000-0000E5530000}"/>
    <cellStyle name="Финансовый 2 3 4 8 3 2 2" xfId="46448" xr:uid="{00000000-0005-0000-0000-0000E6530000}"/>
    <cellStyle name="Финансовый 2 3 4 8 3 3" xfId="34470" xr:uid="{00000000-0005-0000-0000-0000E7530000}"/>
    <cellStyle name="Финансовый 2 3 4 8 4" xfId="12908" xr:uid="{00000000-0005-0000-0000-0000E8530000}"/>
    <cellStyle name="Финансовый 2 3 4 8 4 2" xfId="36863" xr:uid="{00000000-0005-0000-0000-0000E9530000}"/>
    <cellStyle name="Финансовый 2 3 4 8 5" xfId="24886" xr:uid="{00000000-0005-0000-0000-0000EA530000}"/>
    <cellStyle name="Финансовый 2 3 4 8 6" xfId="49792" xr:uid="{00000000-0005-0000-0000-0000EB530000}"/>
    <cellStyle name="Финансовый 2 3 4 9" xfId="515" xr:uid="{00000000-0005-0000-0000-0000EC530000}"/>
    <cellStyle name="Финансовый 2 3 4 9 2" xfId="6555" xr:uid="{00000000-0005-0000-0000-0000ED530000}"/>
    <cellStyle name="Финансовый 2 3 4 9 2 2" xfId="18533" xr:uid="{00000000-0005-0000-0000-0000EE530000}"/>
    <cellStyle name="Финансовый 2 3 4 9 2 2 2" xfId="42488" xr:uid="{00000000-0005-0000-0000-0000EF530000}"/>
    <cellStyle name="Финансовый 2 3 4 9 2 3" xfId="30510" xr:uid="{00000000-0005-0000-0000-0000F0530000}"/>
    <cellStyle name="Финансовый 2 3 4 9 3" xfId="12496" xr:uid="{00000000-0005-0000-0000-0000F1530000}"/>
    <cellStyle name="Финансовый 2 3 4 9 3 2" xfId="36451" xr:uid="{00000000-0005-0000-0000-0000F2530000}"/>
    <cellStyle name="Финансовый 2 3 4 9 4" xfId="24474" xr:uid="{00000000-0005-0000-0000-0000F3530000}"/>
    <cellStyle name="Финансовый 2 3 5" xfId="100" xr:uid="{00000000-0005-0000-0000-0000F4530000}"/>
    <cellStyle name="Финансовый 2 3 5 10" xfId="2710" xr:uid="{00000000-0005-0000-0000-0000F5530000}"/>
    <cellStyle name="Финансовый 2 3 5 10 2" xfId="14689" xr:uid="{00000000-0005-0000-0000-0000F6530000}"/>
    <cellStyle name="Финансовый 2 3 5 10 2 2" xfId="38644" xr:uid="{00000000-0005-0000-0000-0000F7530000}"/>
    <cellStyle name="Финансовый 2 3 5 10 3" xfId="26667" xr:uid="{00000000-0005-0000-0000-0000F8530000}"/>
    <cellStyle name="Финансовый 2 3 5 11" xfId="4354" xr:uid="{00000000-0005-0000-0000-0000F9530000}"/>
    <cellStyle name="Финансовый 2 3 5 11 2" xfId="16333" xr:uid="{00000000-0005-0000-0000-0000FA530000}"/>
    <cellStyle name="Финансовый 2 3 5 11 2 2" xfId="40288" xr:uid="{00000000-0005-0000-0000-0000FB530000}"/>
    <cellStyle name="Финансовый 2 3 5 11 3" xfId="28311" xr:uid="{00000000-0005-0000-0000-0000FC530000}"/>
    <cellStyle name="Финансовый 2 3 5 12" xfId="6141" xr:uid="{00000000-0005-0000-0000-0000FD530000}"/>
    <cellStyle name="Финансовый 2 3 5 12 2" xfId="18119" xr:uid="{00000000-0005-0000-0000-0000FE530000}"/>
    <cellStyle name="Финансовый 2 3 5 12 2 2" xfId="42074" xr:uid="{00000000-0005-0000-0000-0000FF530000}"/>
    <cellStyle name="Финансовый 2 3 5 12 3" xfId="30096" xr:uid="{00000000-0005-0000-0000-000000540000}"/>
    <cellStyle name="Финансовый 2 3 5 13" xfId="8748" xr:uid="{00000000-0005-0000-0000-000001540000}"/>
    <cellStyle name="Финансовый 2 3 5 13 2" xfId="20726" xr:uid="{00000000-0005-0000-0000-000002540000}"/>
    <cellStyle name="Финансовый 2 3 5 13 2 2" xfId="44681" xr:uid="{00000000-0005-0000-0000-000003540000}"/>
    <cellStyle name="Финансовый 2 3 5 13 3" xfId="32703" xr:uid="{00000000-0005-0000-0000-000004540000}"/>
    <cellStyle name="Финансовый 2 3 5 14" xfId="12082" xr:uid="{00000000-0005-0000-0000-000005540000}"/>
    <cellStyle name="Финансовый 2 3 5 14 2" xfId="36037" xr:uid="{00000000-0005-0000-0000-000006540000}"/>
    <cellStyle name="Финансовый 2 3 5 15" xfId="24060" xr:uid="{00000000-0005-0000-0000-000007540000}"/>
    <cellStyle name="Финансовый 2 3 5 16" xfId="48018" xr:uid="{00000000-0005-0000-0000-000008540000}"/>
    <cellStyle name="Финансовый 2 3 5 2" xfId="236" xr:uid="{00000000-0005-0000-0000-000009540000}"/>
    <cellStyle name="Финансовый 2 3 5 2 10" xfId="8884" xr:uid="{00000000-0005-0000-0000-00000A540000}"/>
    <cellStyle name="Финансовый 2 3 5 2 10 2" xfId="20862" xr:uid="{00000000-0005-0000-0000-00000B540000}"/>
    <cellStyle name="Финансовый 2 3 5 2 10 2 2" xfId="44817" xr:uid="{00000000-0005-0000-0000-00000C540000}"/>
    <cellStyle name="Финансовый 2 3 5 2 10 3" xfId="32839" xr:uid="{00000000-0005-0000-0000-00000D540000}"/>
    <cellStyle name="Финансовый 2 3 5 2 11" xfId="12218" xr:uid="{00000000-0005-0000-0000-00000E540000}"/>
    <cellStyle name="Финансовый 2 3 5 2 11 2" xfId="36173" xr:uid="{00000000-0005-0000-0000-00000F540000}"/>
    <cellStyle name="Финансовый 2 3 5 2 12" xfId="24196" xr:uid="{00000000-0005-0000-0000-000010540000}"/>
    <cellStyle name="Финансовый 2 3 5 2 13" xfId="48154" xr:uid="{00000000-0005-0000-0000-000011540000}"/>
    <cellStyle name="Финансовый 2 3 5 2 2" xfId="1334" xr:uid="{00000000-0005-0000-0000-000012540000}"/>
    <cellStyle name="Финансовый 2 3 5 2 2 2" xfId="2292" xr:uid="{00000000-0005-0000-0000-000013540000}"/>
    <cellStyle name="Финансовый 2 3 5 2 2 2 2" xfId="3937" xr:uid="{00000000-0005-0000-0000-000014540000}"/>
    <cellStyle name="Финансовый 2 3 5 2 2 2 2 2" xfId="11677" xr:uid="{00000000-0005-0000-0000-000015540000}"/>
    <cellStyle name="Финансовый 2 3 5 2 2 2 2 2 2" xfId="23655" xr:uid="{00000000-0005-0000-0000-000016540000}"/>
    <cellStyle name="Финансовый 2 3 5 2 2 2 2 2 2 2" xfId="47610" xr:uid="{00000000-0005-0000-0000-000017540000}"/>
    <cellStyle name="Финансовый 2 3 5 2 2 2 2 2 3" xfId="35632" xr:uid="{00000000-0005-0000-0000-000018540000}"/>
    <cellStyle name="Финансовый 2 3 5 2 2 2 2 3" xfId="15916" xr:uid="{00000000-0005-0000-0000-000019540000}"/>
    <cellStyle name="Финансовый 2 3 5 2 2 2 2 3 2" xfId="39871" xr:uid="{00000000-0005-0000-0000-00001A540000}"/>
    <cellStyle name="Финансовый 2 3 5 2 2 2 2 4" xfId="27894" xr:uid="{00000000-0005-0000-0000-00001B540000}"/>
    <cellStyle name="Финансовый 2 3 5 2 2 2 2 5" xfId="51163" xr:uid="{00000000-0005-0000-0000-00001C540000}"/>
    <cellStyle name="Финансовый 2 3 5 2 2 2 3" xfId="5720" xr:uid="{00000000-0005-0000-0000-00001D540000}"/>
    <cellStyle name="Финансовый 2 3 5 2 2 2 3 2" xfId="17698" xr:uid="{00000000-0005-0000-0000-00001E540000}"/>
    <cellStyle name="Финансовый 2 3 5 2 2 2 3 2 2" xfId="41653" xr:uid="{00000000-0005-0000-0000-00001F540000}"/>
    <cellStyle name="Финансовый 2 3 5 2 2 2 3 3" xfId="29675" xr:uid="{00000000-0005-0000-0000-000020540000}"/>
    <cellStyle name="Финансовый 2 3 5 2 2 2 4" xfId="8330" xr:uid="{00000000-0005-0000-0000-000021540000}"/>
    <cellStyle name="Финансовый 2 3 5 2 2 2 4 2" xfId="20308" xr:uid="{00000000-0005-0000-0000-000022540000}"/>
    <cellStyle name="Финансовый 2 3 5 2 2 2 4 2 2" xfId="44263" xr:uid="{00000000-0005-0000-0000-000023540000}"/>
    <cellStyle name="Финансовый 2 3 5 2 2 2 4 3" xfId="32285" xr:uid="{00000000-0005-0000-0000-000024540000}"/>
    <cellStyle name="Финансовый 2 3 5 2 2 2 5" xfId="10113" xr:uid="{00000000-0005-0000-0000-000025540000}"/>
    <cellStyle name="Финансовый 2 3 5 2 2 2 5 2" xfId="22091" xr:uid="{00000000-0005-0000-0000-000026540000}"/>
    <cellStyle name="Финансовый 2 3 5 2 2 2 5 2 2" xfId="46046" xr:uid="{00000000-0005-0000-0000-000027540000}"/>
    <cellStyle name="Финансовый 2 3 5 2 2 2 5 3" xfId="34068" xr:uid="{00000000-0005-0000-0000-000028540000}"/>
    <cellStyle name="Финансовый 2 3 5 2 2 2 6" xfId="14271" xr:uid="{00000000-0005-0000-0000-000029540000}"/>
    <cellStyle name="Финансовый 2 3 5 2 2 2 6 2" xfId="38226" xr:uid="{00000000-0005-0000-0000-00002A540000}"/>
    <cellStyle name="Финансовый 2 3 5 2 2 2 7" xfId="26249" xr:uid="{00000000-0005-0000-0000-00002B540000}"/>
    <cellStyle name="Финансовый 2 3 5 2 2 2 8" xfId="49382" xr:uid="{00000000-0005-0000-0000-00002C540000}"/>
    <cellStyle name="Финансовый 2 3 5 2 2 3" xfId="3118" xr:uid="{00000000-0005-0000-0000-00002D540000}"/>
    <cellStyle name="Финансовый 2 3 5 2 2 3 2" xfId="10905" xr:uid="{00000000-0005-0000-0000-00002E540000}"/>
    <cellStyle name="Финансовый 2 3 5 2 2 3 2 2" xfId="22883" xr:uid="{00000000-0005-0000-0000-00002F540000}"/>
    <cellStyle name="Финансовый 2 3 5 2 2 3 2 2 2" xfId="46838" xr:uid="{00000000-0005-0000-0000-000030540000}"/>
    <cellStyle name="Финансовый 2 3 5 2 2 3 2 3" xfId="34860" xr:uid="{00000000-0005-0000-0000-000031540000}"/>
    <cellStyle name="Финансовый 2 3 5 2 2 3 3" xfId="15097" xr:uid="{00000000-0005-0000-0000-000032540000}"/>
    <cellStyle name="Финансовый 2 3 5 2 2 3 3 2" xfId="39052" xr:uid="{00000000-0005-0000-0000-000033540000}"/>
    <cellStyle name="Финансовый 2 3 5 2 2 3 4" xfId="27075" xr:uid="{00000000-0005-0000-0000-000034540000}"/>
    <cellStyle name="Финансовый 2 3 5 2 2 3 5" xfId="50206" xr:uid="{00000000-0005-0000-0000-000035540000}"/>
    <cellStyle name="Финансовый 2 3 5 2 2 4" xfId="4762" xr:uid="{00000000-0005-0000-0000-000036540000}"/>
    <cellStyle name="Финансовый 2 3 5 2 2 4 2" xfId="16741" xr:uid="{00000000-0005-0000-0000-000037540000}"/>
    <cellStyle name="Финансовый 2 3 5 2 2 4 2 2" xfId="40696" xr:uid="{00000000-0005-0000-0000-000038540000}"/>
    <cellStyle name="Финансовый 2 3 5 2 2 4 3" xfId="28719" xr:uid="{00000000-0005-0000-0000-000039540000}"/>
    <cellStyle name="Финансовый 2 3 5 2 2 5" xfId="7374" xr:uid="{00000000-0005-0000-0000-00003A540000}"/>
    <cellStyle name="Финансовый 2 3 5 2 2 5 2" xfId="19352" xr:uid="{00000000-0005-0000-0000-00003B540000}"/>
    <cellStyle name="Финансовый 2 3 5 2 2 5 2 2" xfId="43307" xr:uid="{00000000-0005-0000-0000-00003C540000}"/>
    <cellStyle name="Финансовый 2 3 5 2 2 5 3" xfId="31329" xr:uid="{00000000-0005-0000-0000-00003D540000}"/>
    <cellStyle name="Финансовый 2 3 5 2 2 6" xfId="9156" xr:uid="{00000000-0005-0000-0000-00003E540000}"/>
    <cellStyle name="Финансовый 2 3 5 2 2 6 2" xfId="21134" xr:uid="{00000000-0005-0000-0000-00003F540000}"/>
    <cellStyle name="Финансовый 2 3 5 2 2 6 2 2" xfId="45089" xr:uid="{00000000-0005-0000-0000-000040540000}"/>
    <cellStyle name="Финансовый 2 3 5 2 2 6 3" xfId="33111" xr:uid="{00000000-0005-0000-0000-000041540000}"/>
    <cellStyle name="Финансовый 2 3 5 2 2 7" xfId="13315" xr:uid="{00000000-0005-0000-0000-000042540000}"/>
    <cellStyle name="Финансовый 2 3 5 2 2 7 2" xfId="37270" xr:uid="{00000000-0005-0000-0000-000043540000}"/>
    <cellStyle name="Финансовый 2 3 5 2 2 8" xfId="25293" xr:uid="{00000000-0005-0000-0000-000044540000}"/>
    <cellStyle name="Финансовый 2 3 5 2 2 9" xfId="48426" xr:uid="{00000000-0005-0000-0000-000045540000}"/>
    <cellStyle name="Финансовый 2 3 5 2 3" xfId="2036" xr:uid="{00000000-0005-0000-0000-000046540000}"/>
    <cellStyle name="Финансовый 2 3 5 2 3 2" xfId="3681" xr:uid="{00000000-0005-0000-0000-000047540000}"/>
    <cellStyle name="Финансовый 2 3 5 2 3 2 2" xfId="11421" xr:uid="{00000000-0005-0000-0000-000048540000}"/>
    <cellStyle name="Финансовый 2 3 5 2 3 2 2 2" xfId="23399" xr:uid="{00000000-0005-0000-0000-000049540000}"/>
    <cellStyle name="Финансовый 2 3 5 2 3 2 2 2 2" xfId="47354" xr:uid="{00000000-0005-0000-0000-00004A540000}"/>
    <cellStyle name="Финансовый 2 3 5 2 3 2 2 3" xfId="35376" xr:uid="{00000000-0005-0000-0000-00004B540000}"/>
    <cellStyle name="Финансовый 2 3 5 2 3 2 3" xfId="15660" xr:uid="{00000000-0005-0000-0000-00004C540000}"/>
    <cellStyle name="Финансовый 2 3 5 2 3 2 3 2" xfId="39615" xr:uid="{00000000-0005-0000-0000-00004D540000}"/>
    <cellStyle name="Финансовый 2 3 5 2 3 2 4" xfId="27638" xr:uid="{00000000-0005-0000-0000-00004E540000}"/>
    <cellStyle name="Финансовый 2 3 5 2 3 2 5" xfId="50907" xr:uid="{00000000-0005-0000-0000-00004F540000}"/>
    <cellStyle name="Финансовый 2 3 5 2 3 3" xfId="5464" xr:uid="{00000000-0005-0000-0000-000050540000}"/>
    <cellStyle name="Финансовый 2 3 5 2 3 3 2" xfId="17442" xr:uid="{00000000-0005-0000-0000-000051540000}"/>
    <cellStyle name="Финансовый 2 3 5 2 3 3 2 2" xfId="41397" xr:uid="{00000000-0005-0000-0000-000052540000}"/>
    <cellStyle name="Финансовый 2 3 5 2 3 3 3" xfId="29419" xr:uid="{00000000-0005-0000-0000-000053540000}"/>
    <cellStyle name="Финансовый 2 3 5 2 3 4" xfId="8074" xr:uid="{00000000-0005-0000-0000-000054540000}"/>
    <cellStyle name="Финансовый 2 3 5 2 3 4 2" xfId="20052" xr:uid="{00000000-0005-0000-0000-000055540000}"/>
    <cellStyle name="Финансовый 2 3 5 2 3 4 2 2" xfId="44007" xr:uid="{00000000-0005-0000-0000-000056540000}"/>
    <cellStyle name="Финансовый 2 3 5 2 3 4 3" xfId="32029" xr:uid="{00000000-0005-0000-0000-000057540000}"/>
    <cellStyle name="Финансовый 2 3 5 2 3 5" xfId="9857" xr:uid="{00000000-0005-0000-0000-000058540000}"/>
    <cellStyle name="Финансовый 2 3 5 2 3 5 2" xfId="21835" xr:uid="{00000000-0005-0000-0000-000059540000}"/>
    <cellStyle name="Финансовый 2 3 5 2 3 5 2 2" xfId="45790" xr:uid="{00000000-0005-0000-0000-00005A540000}"/>
    <cellStyle name="Финансовый 2 3 5 2 3 5 3" xfId="33812" xr:uid="{00000000-0005-0000-0000-00005B540000}"/>
    <cellStyle name="Финансовый 2 3 5 2 3 6" xfId="14015" xr:uid="{00000000-0005-0000-0000-00005C540000}"/>
    <cellStyle name="Финансовый 2 3 5 2 3 6 2" xfId="37970" xr:uid="{00000000-0005-0000-0000-00005D540000}"/>
    <cellStyle name="Финансовый 2 3 5 2 3 7" xfId="25993" xr:uid="{00000000-0005-0000-0000-00005E540000}"/>
    <cellStyle name="Финансовый 2 3 5 2 3 8" xfId="49126" xr:uid="{00000000-0005-0000-0000-00005F540000}"/>
    <cellStyle name="Финансовый 2 3 5 2 4" xfId="2565" xr:uid="{00000000-0005-0000-0000-000060540000}"/>
    <cellStyle name="Финансовый 2 3 5 2 4 2" xfId="4210" xr:uid="{00000000-0005-0000-0000-000061540000}"/>
    <cellStyle name="Финансовый 2 3 5 2 4 2 2" xfId="11934" xr:uid="{00000000-0005-0000-0000-000062540000}"/>
    <cellStyle name="Финансовый 2 3 5 2 4 2 2 2" xfId="23912" xr:uid="{00000000-0005-0000-0000-000063540000}"/>
    <cellStyle name="Финансовый 2 3 5 2 4 2 2 2 2" xfId="47867" xr:uid="{00000000-0005-0000-0000-000064540000}"/>
    <cellStyle name="Финансовый 2 3 5 2 4 2 2 3" xfId="35889" xr:uid="{00000000-0005-0000-0000-000065540000}"/>
    <cellStyle name="Финансовый 2 3 5 2 4 2 3" xfId="16189" xr:uid="{00000000-0005-0000-0000-000066540000}"/>
    <cellStyle name="Финансовый 2 3 5 2 4 2 3 2" xfId="40144" xr:uid="{00000000-0005-0000-0000-000067540000}"/>
    <cellStyle name="Финансовый 2 3 5 2 4 2 4" xfId="28167" xr:uid="{00000000-0005-0000-0000-000068540000}"/>
    <cellStyle name="Финансовый 2 3 5 2 4 2 5" xfId="51436" xr:uid="{00000000-0005-0000-0000-000069540000}"/>
    <cellStyle name="Финансовый 2 3 5 2 4 3" xfId="5993" xr:uid="{00000000-0005-0000-0000-00006A540000}"/>
    <cellStyle name="Финансовый 2 3 5 2 4 3 2" xfId="17971" xr:uid="{00000000-0005-0000-0000-00006B540000}"/>
    <cellStyle name="Финансовый 2 3 5 2 4 3 2 2" xfId="41926" xr:uid="{00000000-0005-0000-0000-00006C540000}"/>
    <cellStyle name="Финансовый 2 3 5 2 4 3 3" xfId="29948" xr:uid="{00000000-0005-0000-0000-00006D540000}"/>
    <cellStyle name="Финансовый 2 3 5 2 4 4" xfId="8603" xr:uid="{00000000-0005-0000-0000-00006E540000}"/>
    <cellStyle name="Финансовый 2 3 5 2 4 4 2" xfId="20581" xr:uid="{00000000-0005-0000-0000-00006F540000}"/>
    <cellStyle name="Финансовый 2 3 5 2 4 4 2 2" xfId="44536" xr:uid="{00000000-0005-0000-0000-000070540000}"/>
    <cellStyle name="Финансовый 2 3 5 2 4 4 3" xfId="32558" xr:uid="{00000000-0005-0000-0000-000071540000}"/>
    <cellStyle name="Финансовый 2 3 5 2 4 5" xfId="10386" xr:uid="{00000000-0005-0000-0000-000072540000}"/>
    <cellStyle name="Финансовый 2 3 5 2 4 5 2" xfId="22364" xr:uid="{00000000-0005-0000-0000-000073540000}"/>
    <cellStyle name="Финансовый 2 3 5 2 4 5 2 2" xfId="46319" xr:uid="{00000000-0005-0000-0000-000074540000}"/>
    <cellStyle name="Финансовый 2 3 5 2 4 5 3" xfId="34341" xr:uid="{00000000-0005-0000-0000-000075540000}"/>
    <cellStyle name="Финансовый 2 3 5 2 4 6" xfId="14544" xr:uid="{00000000-0005-0000-0000-000076540000}"/>
    <cellStyle name="Финансовый 2 3 5 2 4 6 2" xfId="38499" xr:uid="{00000000-0005-0000-0000-000077540000}"/>
    <cellStyle name="Финансовый 2 3 5 2 4 7" xfId="26522" xr:uid="{00000000-0005-0000-0000-000078540000}"/>
    <cellStyle name="Финансовый 2 3 5 2 4 8" xfId="49655" xr:uid="{00000000-0005-0000-0000-000079540000}"/>
    <cellStyle name="Финансовый 2 3 5 2 5" xfId="1069" xr:uid="{00000000-0005-0000-0000-00007A540000}"/>
    <cellStyle name="Финансовый 2 3 5 2 5 2" xfId="7109" xr:uid="{00000000-0005-0000-0000-00007B540000}"/>
    <cellStyle name="Финансовый 2 3 5 2 5 2 2" xfId="19087" xr:uid="{00000000-0005-0000-0000-00007C540000}"/>
    <cellStyle name="Финансовый 2 3 5 2 5 2 2 2" xfId="43042" xr:uid="{00000000-0005-0000-0000-00007D540000}"/>
    <cellStyle name="Финансовый 2 3 5 2 5 2 3" xfId="31064" xr:uid="{00000000-0005-0000-0000-00007E540000}"/>
    <cellStyle name="Финансовый 2 3 5 2 5 3" xfId="10649" xr:uid="{00000000-0005-0000-0000-00007F540000}"/>
    <cellStyle name="Финансовый 2 3 5 2 5 3 2" xfId="22627" xr:uid="{00000000-0005-0000-0000-000080540000}"/>
    <cellStyle name="Финансовый 2 3 5 2 5 3 2 2" xfId="46582" xr:uid="{00000000-0005-0000-0000-000081540000}"/>
    <cellStyle name="Финансовый 2 3 5 2 5 3 3" xfId="34604" xr:uid="{00000000-0005-0000-0000-000082540000}"/>
    <cellStyle name="Финансовый 2 3 5 2 5 4" xfId="13050" xr:uid="{00000000-0005-0000-0000-000083540000}"/>
    <cellStyle name="Финансовый 2 3 5 2 5 4 2" xfId="37005" xr:uid="{00000000-0005-0000-0000-000084540000}"/>
    <cellStyle name="Финансовый 2 3 5 2 5 5" xfId="25028" xr:uid="{00000000-0005-0000-0000-000085540000}"/>
    <cellStyle name="Финансовый 2 3 5 2 5 6" xfId="49934" xr:uid="{00000000-0005-0000-0000-000086540000}"/>
    <cellStyle name="Финансовый 2 3 5 2 6" xfId="657" xr:uid="{00000000-0005-0000-0000-000087540000}"/>
    <cellStyle name="Финансовый 2 3 5 2 6 2" xfId="6697" xr:uid="{00000000-0005-0000-0000-000088540000}"/>
    <cellStyle name="Финансовый 2 3 5 2 6 2 2" xfId="18675" xr:uid="{00000000-0005-0000-0000-000089540000}"/>
    <cellStyle name="Финансовый 2 3 5 2 6 2 2 2" xfId="42630" xr:uid="{00000000-0005-0000-0000-00008A540000}"/>
    <cellStyle name="Финансовый 2 3 5 2 6 2 3" xfId="30652" xr:uid="{00000000-0005-0000-0000-00008B540000}"/>
    <cellStyle name="Финансовый 2 3 5 2 6 3" xfId="12638" xr:uid="{00000000-0005-0000-0000-00008C540000}"/>
    <cellStyle name="Финансовый 2 3 5 2 6 3 2" xfId="36593" xr:uid="{00000000-0005-0000-0000-00008D540000}"/>
    <cellStyle name="Финансовый 2 3 5 2 6 4" xfId="24616" xr:uid="{00000000-0005-0000-0000-00008E540000}"/>
    <cellStyle name="Финансовый 2 3 5 2 7" xfId="2846" xr:uid="{00000000-0005-0000-0000-00008F540000}"/>
    <cellStyle name="Финансовый 2 3 5 2 7 2" xfId="14825" xr:uid="{00000000-0005-0000-0000-000090540000}"/>
    <cellStyle name="Финансовый 2 3 5 2 7 2 2" xfId="38780" xr:uid="{00000000-0005-0000-0000-000091540000}"/>
    <cellStyle name="Финансовый 2 3 5 2 7 3" xfId="26803" xr:uid="{00000000-0005-0000-0000-000092540000}"/>
    <cellStyle name="Финансовый 2 3 5 2 8" xfId="4490" xr:uid="{00000000-0005-0000-0000-000093540000}"/>
    <cellStyle name="Финансовый 2 3 5 2 8 2" xfId="16469" xr:uid="{00000000-0005-0000-0000-000094540000}"/>
    <cellStyle name="Финансовый 2 3 5 2 8 2 2" xfId="40424" xr:uid="{00000000-0005-0000-0000-000095540000}"/>
    <cellStyle name="Финансовый 2 3 5 2 8 3" xfId="28447" xr:uid="{00000000-0005-0000-0000-000096540000}"/>
    <cellStyle name="Финансовый 2 3 5 2 9" xfId="6277" xr:uid="{00000000-0005-0000-0000-000097540000}"/>
    <cellStyle name="Финансовый 2 3 5 2 9 2" xfId="18255" xr:uid="{00000000-0005-0000-0000-000098540000}"/>
    <cellStyle name="Финансовый 2 3 5 2 9 2 2" xfId="42210" xr:uid="{00000000-0005-0000-0000-000099540000}"/>
    <cellStyle name="Финансовый 2 3 5 2 9 3" xfId="30232" xr:uid="{00000000-0005-0000-0000-00009A540000}"/>
    <cellStyle name="Финансовый 2 3 5 3" xfId="385" xr:uid="{00000000-0005-0000-0000-00009B540000}"/>
    <cellStyle name="Финансовый 2 3 5 3 10" xfId="24344" xr:uid="{00000000-0005-0000-0000-00009C540000}"/>
    <cellStyle name="Финансовый 2 3 5 3 11" xfId="48290" xr:uid="{00000000-0005-0000-0000-00009D540000}"/>
    <cellStyle name="Финансовый 2 3 5 3 2" xfId="2164" xr:uid="{00000000-0005-0000-0000-00009E540000}"/>
    <cellStyle name="Финансовый 2 3 5 3 2 2" xfId="3809" xr:uid="{00000000-0005-0000-0000-00009F540000}"/>
    <cellStyle name="Финансовый 2 3 5 3 2 2 2" xfId="11549" xr:uid="{00000000-0005-0000-0000-0000A0540000}"/>
    <cellStyle name="Финансовый 2 3 5 3 2 2 2 2" xfId="23527" xr:uid="{00000000-0005-0000-0000-0000A1540000}"/>
    <cellStyle name="Финансовый 2 3 5 3 2 2 2 2 2" xfId="47482" xr:uid="{00000000-0005-0000-0000-0000A2540000}"/>
    <cellStyle name="Финансовый 2 3 5 3 2 2 2 3" xfId="35504" xr:uid="{00000000-0005-0000-0000-0000A3540000}"/>
    <cellStyle name="Финансовый 2 3 5 3 2 2 3" xfId="15788" xr:uid="{00000000-0005-0000-0000-0000A4540000}"/>
    <cellStyle name="Финансовый 2 3 5 3 2 2 3 2" xfId="39743" xr:uid="{00000000-0005-0000-0000-0000A5540000}"/>
    <cellStyle name="Финансовый 2 3 5 3 2 2 4" xfId="27766" xr:uid="{00000000-0005-0000-0000-0000A6540000}"/>
    <cellStyle name="Финансовый 2 3 5 3 2 2 5" xfId="51035" xr:uid="{00000000-0005-0000-0000-0000A7540000}"/>
    <cellStyle name="Финансовый 2 3 5 3 2 3" xfId="5592" xr:uid="{00000000-0005-0000-0000-0000A8540000}"/>
    <cellStyle name="Финансовый 2 3 5 3 2 3 2" xfId="17570" xr:uid="{00000000-0005-0000-0000-0000A9540000}"/>
    <cellStyle name="Финансовый 2 3 5 3 2 3 2 2" xfId="41525" xr:uid="{00000000-0005-0000-0000-0000AA540000}"/>
    <cellStyle name="Финансовый 2 3 5 3 2 3 3" xfId="29547" xr:uid="{00000000-0005-0000-0000-0000AB540000}"/>
    <cellStyle name="Финансовый 2 3 5 3 2 4" xfId="8202" xr:uid="{00000000-0005-0000-0000-0000AC540000}"/>
    <cellStyle name="Финансовый 2 3 5 3 2 4 2" xfId="20180" xr:uid="{00000000-0005-0000-0000-0000AD540000}"/>
    <cellStyle name="Финансовый 2 3 5 3 2 4 2 2" xfId="44135" xr:uid="{00000000-0005-0000-0000-0000AE540000}"/>
    <cellStyle name="Финансовый 2 3 5 3 2 4 3" xfId="32157" xr:uid="{00000000-0005-0000-0000-0000AF540000}"/>
    <cellStyle name="Финансовый 2 3 5 3 2 5" xfId="9985" xr:uid="{00000000-0005-0000-0000-0000B0540000}"/>
    <cellStyle name="Финансовый 2 3 5 3 2 5 2" xfId="21963" xr:uid="{00000000-0005-0000-0000-0000B1540000}"/>
    <cellStyle name="Финансовый 2 3 5 3 2 5 2 2" xfId="45918" xr:uid="{00000000-0005-0000-0000-0000B2540000}"/>
    <cellStyle name="Финансовый 2 3 5 3 2 5 3" xfId="33940" xr:uid="{00000000-0005-0000-0000-0000B3540000}"/>
    <cellStyle name="Финансовый 2 3 5 3 2 6" xfId="14143" xr:uid="{00000000-0005-0000-0000-0000B4540000}"/>
    <cellStyle name="Финансовый 2 3 5 3 2 6 2" xfId="38098" xr:uid="{00000000-0005-0000-0000-0000B5540000}"/>
    <cellStyle name="Финансовый 2 3 5 3 2 7" xfId="26121" xr:uid="{00000000-0005-0000-0000-0000B6540000}"/>
    <cellStyle name="Финансовый 2 3 5 3 2 8" xfId="49254" xr:uid="{00000000-0005-0000-0000-0000B7540000}"/>
    <cellStyle name="Финансовый 2 3 5 3 3" xfId="1198" xr:uid="{00000000-0005-0000-0000-0000B8540000}"/>
    <cellStyle name="Финансовый 2 3 5 3 3 2" xfId="7238" xr:uid="{00000000-0005-0000-0000-0000B9540000}"/>
    <cellStyle name="Финансовый 2 3 5 3 3 2 2" xfId="19216" xr:uid="{00000000-0005-0000-0000-0000BA540000}"/>
    <cellStyle name="Финансовый 2 3 5 3 3 2 2 2" xfId="43171" xr:uid="{00000000-0005-0000-0000-0000BB540000}"/>
    <cellStyle name="Финансовый 2 3 5 3 3 2 3" xfId="31193" xr:uid="{00000000-0005-0000-0000-0000BC540000}"/>
    <cellStyle name="Финансовый 2 3 5 3 3 3" xfId="10777" xr:uid="{00000000-0005-0000-0000-0000BD540000}"/>
    <cellStyle name="Финансовый 2 3 5 3 3 3 2" xfId="22755" xr:uid="{00000000-0005-0000-0000-0000BE540000}"/>
    <cellStyle name="Финансовый 2 3 5 3 3 3 2 2" xfId="46710" xr:uid="{00000000-0005-0000-0000-0000BF540000}"/>
    <cellStyle name="Финансовый 2 3 5 3 3 3 3" xfId="34732" xr:uid="{00000000-0005-0000-0000-0000C0540000}"/>
    <cellStyle name="Финансовый 2 3 5 3 3 4" xfId="13179" xr:uid="{00000000-0005-0000-0000-0000C1540000}"/>
    <cellStyle name="Финансовый 2 3 5 3 3 4 2" xfId="37134" xr:uid="{00000000-0005-0000-0000-0000C2540000}"/>
    <cellStyle name="Финансовый 2 3 5 3 3 5" xfId="25157" xr:uid="{00000000-0005-0000-0000-0000C3540000}"/>
    <cellStyle name="Финансовый 2 3 5 3 3 6" xfId="50070" xr:uid="{00000000-0005-0000-0000-0000C4540000}"/>
    <cellStyle name="Финансовый 2 3 5 3 4" xfId="805" xr:uid="{00000000-0005-0000-0000-0000C5540000}"/>
    <cellStyle name="Финансовый 2 3 5 3 4 2" xfId="6845" xr:uid="{00000000-0005-0000-0000-0000C6540000}"/>
    <cellStyle name="Финансовый 2 3 5 3 4 2 2" xfId="18823" xr:uid="{00000000-0005-0000-0000-0000C7540000}"/>
    <cellStyle name="Финансовый 2 3 5 3 4 2 2 2" xfId="42778" xr:uid="{00000000-0005-0000-0000-0000C8540000}"/>
    <cellStyle name="Финансовый 2 3 5 3 4 2 3" xfId="30800" xr:uid="{00000000-0005-0000-0000-0000C9540000}"/>
    <cellStyle name="Финансовый 2 3 5 3 4 3" xfId="12786" xr:uid="{00000000-0005-0000-0000-0000CA540000}"/>
    <cellStyle name="Финансовый 2 3 5 3 4 3 2" xfId="36741" xr:uid="{00000000-0005-0000-0000-0000CB540000}"/>
    <cellStyle name="Финансовый 2 3 5 3 4 4" xfId="24764" xr:uid="{00000000-0005-0000-0000-0000CC540000}"/>
    <cellStyle name="Финансовый 2 3 5 3 5" xfId="2982" xr:uid="{00000000-0005-0000-0000-0000CD540000}"/>
    <cellStyle name="Финансовый 2 3 5 3 5 2" xfId="14961" xr:uid="{00000000-0005-0000-0000-0000CE540000}"/>
    <cellStyle name="Финансовый 2 3 5 3 5 2 2" xfId="38916" xr:uid="{00000000-0005-0000-0000-0000CF540000}"/>
    <cellStyle name="Финансовый 2 3 5 3 5 3" xfId="26939" xr:uid="{00000000-0005-0000-0000-0000D0540000}"/>
    <cellStyle name="Финансовый 2 3 5 3 6" xfId="4626" xr:uid="{00000000-0005-0000-0000-0000D1540000}"/>
    <cellStyle name="Финансовый 2 3 5 3 6 2" xfId="16605" xr:uid="{00000000-0005-0000-0000-0000D2540000}"/>
    <cellStyle name="Финансовый 2 3 5 3 6 2 2" xfId="40560" xr:uid="{00000000-0005-0000-0000-0000D3540000}"/>
    <cellStyle name="Финансовый 2 3 5 3 6 3" xfId="28583" xr:uid="{00000000-0005-0000-0000-0000D4540000}"/>
    <cellStyle name="Финансовый 2 3 5 3 7" xfId="6425" xr:uid="{00000000-0005-0000-0000-0000D5540000}"/>
    <cellStyle name="Финансовый 2 3 5 3 7 2" xfId="18403" xr:uid="{00000000-0005-0000-0000-0000D6540000}"/>
    <cellStyle name="Финансовый 2 3 5 3 7 2 2" xfId="42358" xr:uid="{00000000-0005-0000-0000-0000D7540000}"/>
    <cellStyle name="Финансовый 2 3 5 3 7 3" xfId="30380" xr:uid="{00000000-0005-0000-0000-0000D8540000}"/>
    <cellStyle name="Финансовый 2 3 5 3 8" xfId="9020" xr:uid="{00000000-0005-0000-0000-0000D9540000}"/>
    <cellStyle name="Финансовый 2 3 5 3 8 2" xfId="20998" xr:uid="{00000000-0005-0000-0000-0000DA540000}"/>
    <cellStyle name="Финансовый 2 3 5 3 8 2 2" xfId="44953" xr:uid="{00000000-0005-0000-0000-0000DB540000}"/>
    <cellStyle name="Финансовый 2 3 5 3 8 3" xfId="32975" xr:uid="{00000000-0005-0000-0000-0000DC540000}"/>
    <cellStyle name="Финансовый 2 3 5 3 9" xfId="12366" xr:uid="{00000000-0005-0000-0000-0000DD540000}"/>
    <cellStyle name="Финансовый 2 3 5 3 9 2" xfId="36321" xr:uid="{00000000-0005-0000-0000-0000DE540000}"/>
    <cellStyle name="Финансовый 2 3 5 4" xfId="1491" xr:uid="{00000000-0005-0000-0000-0000DF540000}"/>
    <cellStyle name="Финансовый 2 3 5 4 2" xfId="1908" xr:uid="{00000000-0005-0000-0000-0000E0540000}"/>
    <cellStyle name="Финансовый 2 3 5 4 2 2" xfId="3553" xr:uid="{00000000-0005-0000-0000-0000E1540000}"/>
    <cellStyle name="Финансовый 2 3 5 4 2 2 2" xfId="11293" xr:uid="{00000000-0005-0000-0000-0000E2540000}"/>
    <cellStyle name="Финансовый 2 3 5 4 2 2 2 2" xfId="23271" xr:uid="{00000000-0005-0000-0000-0000E3540000}"/>
    <cellStyle name="Финансовый 2 3 5 4 2 2 2 2 2" xfId="47226" xr:uid="{00000000-0005-0000-0000-0000E4540000}"/>
    <cellStyle name="Финансовый 2 3 5 4 2 2 2 3" xfId="35248" xr:uid="{00000000-0005-0000-0000-0000E5540000}"/>
    <cellStyle name="Финансовый 2 3 5 4 2 2 3" xfId="15532" xr:uid="{00000000-0005-0000-0000-0000E6540000}"/>
    <cellStyle name="Финансовый 2 3 5 4 2 2 3 2" xfId="39487" xr:uid="{00000000-0005-0000-0000-0000E7540000}"/>
    <cellStyle name="Финансовый 2 3 5 4 2 2 4" xfId="27510" xr:uid="{00000000-0005-0000-0000-0000E8540000}"/>
    <cellStyle name="Финансовый 2 3 5 4 2 2 5" xfId="50779" xr:uid="{00000000-0005-0000-0000-0000E9540000}"/>
    <cellStyle name="Финансовый 2 3 5 4 2 3" xfId="5336" xr:uid="{00000000-0005-0000-0000-0000EA540000}"/>
    <cellStyle name="Финансовый 2 3 5 4 2 3 2" xfId="17314" xr:uid="{00000000-0005-0000-0000-0000EB540000}"/>
    <cellStyle name="Финансовый 2 3 5 4 2 3 2 2" xfId="41269" xr:uid="{00000000-0005-0000-0000-0000EC540000}"/>
    <cellStyle name="Финансовый 2 3 5 4 2 3 3" xfId="29291" xr:uid="{00000000-0005-0000-0000-0000ED540000}"/>
    <cellStyle name="Финансовый 2 3 5 4 2 4" xfId="7946" xr:uid="{00000000-0005-0000-0000-0000EE540000}"/>
    <cellStyle name="Финансовый 2 3 5 4 2 4 2" xfId="19924" xr:uid="{00000000-0005-0000-0000-0000EF540000}"/>
    <cellStyle name="Финансовый 2 3 5 4 2 4 2 2" xfId="43879" xr:uid="{00000000-0005-0000-0000-0000F0540000}"/>
    <cellStyle name="Финансовый 2 3 5 4 2 4 3" xfId="31901" xr:uid="{00000000-0005-0000-0000-0000F1540000}"/>
    <cellStyle name="Финансовый 2 3 5 4 2 5" xfId="9729" xr:uid="{00000000-0005-0000-0000-0000F2540000}"/>
    <cellStyle name="Финансовый 2 3 5 4 2 5 2" xfId="21707" xr:uid="{00000000-0005-0000-0000-0000F3540000}"/>
    <cellStyle name="Финансовый 2 3 5 4 2 5 2 2" xfId="45662" xr:uid="{00000000-0005-0000-0000-0000F4540000}"/>
    <cellStyle name="Финансовый 2 3 5 4 2 5 3" xfId="33684" xr:uid="{00000000-0005-0000-0000-0000F5540000}"/>
    <cellStyle name="Финансовый 2 3 5 4 2 6" xfId="13887" xr:uid="{00000000-0005-0000-0000-0000F6540000}"/>
    <cellStyle name="Финансовый 2 3 5 4 2 6 2" xfId="37842" xr:uid="{00000000-0005-0000-0000-0000F7540000}"/>
    <cellStyle name="Финансовый 2 3 5 4 2 7" xfId="25865" xr:uid="{00000000-0005-0000-0000-0000F8540000}"/>
    <cellStyle name="Финансовый 2 3 5 4 2 8" xfId="48998" xr:uid="{00000000-0005-0000-0000-0000F9540000}"/>
    <cellStyle name="Финансовый 2 3 5 4 3" xfId="4919" xr:uid="{00000000-0005-0000-0000-0000FA540000}"/>
    <cellStyle name="Финансовый 2 3 5 4 3 2" xfId="16897" xr:uid="{00000000-0005-0000-0000-0000FB540000}"/>
    <cellStyle name="Финансовый 2 3 5 4 3 2 2" xfId="40852" xr:uid="{00000000-0005-0000-0000-0000FC540000}"/>
    <cellStyle name="Финансовый 2 3 5 4 3 3" xfId="28874" xr:uid="{00000000-0005-0000-0000-0000FD540000}"/>
    <cellStyle name="Финансовый 2 3 5 4 3 4" xfId="50362" xr:uid="{00000000-0005-0000-0000-0000FE540000}"/>
    <cellStyle name="Финансовый 2 3 5 4 4" xfId="7529" xr:uid="{00000000-0005-0000-0000-0000FF540000}"/>
    <cellStyle name="Финансовый 2 3 5 4 4 2" xfId="19507" xr:uid="{00000000-0005-0000-0000-000000550000}"/>
    <cellStyle name="Финансовый 2 3 5 4 4 2 2" xfId="43462" xr:uid="{00000000-0005-0000-0000-000001550000}"/>
    <cellStyle name="Финансовый 2 3 5 4 4 3" xfId="31484" xr:uid="{00000000-0005-0000-0000-000002550000}"/>
    <cellStyle name="Финансовый 2 3 5 4 5" xfId="9312" xr:uid="{00000000-0005-0000-0000-000003550000}"/>
    <cellStyle name="Финансовый 2 3 5 4 5 2" xfId="21290" xr:uid="{00000000-0005-0000-0000-000004550000}"/>
    <cellStyle name="Финансовый 2 3 5 4 5 2 2" xfId="45245" xr:uid="{00000000-0005-0000-0000-000005550000}"/>
    <cellStyle name="Финансовый 2 3 5 4 5 3" xfId="33267" xr:uid="{00000000-0005-0000-0000-000006550000}"/>
    <cellStyle name="Финансовый 2 3 5 4 6" xfId="13470" xr:uid="{00000000-0005-0000-0000-000007550000}"/>
    <cellStyle name="Финансовый 2 3 5 4 6 2" xfId="37425" xr:uid="{00000000-0005-0000-0000-000008550000}"/>
    <cellStyle name="Финансовый 2 3 5 4 7" xfId="25448" xr:uid="{00000000-0005-0000-0000-000009550000}"/>
    <cellStyle name="Финансовый 2 3 5 4 8" xfId="48581" xr:uid="{00000000-0005-0000-0000-00000A550000}"/>
    <cellStyle name="Финансовый 2 3 5 5" xfId="1784" xr:uid="{00000000-0005-0000-0000-00000B550000}"/>
    <cellStyle name="Финансовый 2 3 5 5 2" xfId="3429" xr:uid="{00000000-0005-0000-0000-00000C550000}"/>
    <cellStyle name="Финансовый 2 3 5 5 2 2" xfId="11177" xr:uid="{00000000-0005-0000-0000-00000D550000}"/>
    <cellStyle name="Финансовый 2 3 5 5 2 2 2" xfId="23155" xr:uid="{00000000-0005-0000-0000-00000E550000}"/>
    <cellStyle name="Финансовый 2 3 5 5 2 2 2 2" xfId="47110" xr:uid="{00000000-0005-0000-0000-00000F550000}"/>
    <cellStyle name="Финансовый 2 3 5 5 2 2 3" xfId="35132" xr:uid="{00000000-0005-0000-0000-000010550000}"/>
    <cellStyle name="Финансовый 2 3 5 5 2 3" xfId="15408" xr:uid="{00000000-0005-0000-0000-000011550000}"/>
    <cellStyle name="Финансовый 2 3 5 5 2 3 2" xfId="39363" xr:uid="{00000000-0005-0000-0000-000012550000}"/>
    <cellStyle name="Финансовый 2 3 5 5 2 4" xfId="27386" xr:uid="{00000000-0005-0000-0000-000013550000}"/>
    <cellStyle name="Финансовый 2 3 5 5 2 5" xfId="50655" xr:uid="{00000000-0005-0000-0000-000014550000}"/>
    <cellStyle name="Финансовый 2 3 5 5 3" xfId="5212" xr:uid="{00000000-0005-0000-0000-000015550000}"/>
    <cellStyle name="Финансовый 2 3 5 5 3 2" xfId="17190" xr:uid="{00000000-0005-0000-0000-000016550000}"/>
    <cellStyle name="Финансовый 2 3 5 5 3 2 2" xfId="41145" xr:uid="{00000000-0005-0000-0000-000017550000}"/>
    <cellStyle name="Финансовый 2 3 5 5 3 3" xfId="29167" xr:uid="{00000000-0005-0000-0000-000018550000}"/>
    <cellStyle name="Финансовый 2 3 5 5 4" xfId="7822" xr:uid="{00000000-0005-0000-0000-000019550000}"/>
    <cellStyle name="Финансовый 2 3 5 5 4 2" xfId="19800" xr:uid="{00000000-0005-0000-0000-00001A550000}"/>
    <cellStyle name="Финансовый 2 3 5 5 4 2 2" xfId="43755" xr:uid="{00000000-0005-0000-0000-00001B550000}"/>
    <cellStyle name="Финансовый 2 3 5 5 4 3" xfId="31777" xr:uid="{00000000-0005-0000-0000-00001C550000}"/>
    <cellStyle name="Финансовый 2 3 5 5 5" xfId="9605" xr:uid="{00000000-0005-0000-0000-00001D550000}"/>
    <cellStyle name="Финансовый 2 3 5 5 5 2" xfId="21583" xr:uid="{00000000-0005-0000-0000-00001E550000}"/>
    <cellStyle name="Финансовый 2 3 5 5 5 2 2" xfId="45538" xr:uid="{00000000-0005-0000-0000-00001F550000}"/>
    <cellStyle name="Финансовый 2 3 5 5 5 3" xfId="33560" xr:uid="{00000000-0005-0000-0000-000020550000}"/>
    <cellStyle name="Финансовый 2 3 5 5 6" xfId="13763" xr:uid="{00000000-0005-0000-0000-000021550000}"/>
    <cellStyle name="Финансовый 2 3 5 5 6 2" xfId="37718" xr:uid="{00000000-0005-0000-0000-000022550000}"/>
    <cellStyle name="Финансовый 2 3 5 5 7" xfId="25741" xr:uid="{00000000-0005-0000-0000-000023550000}"/>
    <cellStyle name="Финансовый 2 3 5 5 8" xfId="48874" xr:uid="{00000000-0005-0000-0000-000024550000}"/>
    <cellStyle name="Финансовый 2 3 5 6" xfId="2429" xr:uid="{00000000-0005-0000-0000-000025550000}"/>
    <cellStyle name="Финансовый 2 3 5 6 2" xfId="4074" xr:uid="{00000000-0005-0000-0000-000026550000}"/>
    <cellStyle name="Финансовый 2 3 5 6 2 2" xfId="11806" xr:uid="{00000000-0005-0000-0000-000027550000}"/>
    <cellStyle name="Финансовый 2 3 5 6 2 2 2" xfId="23784" xr:uid="{00000000-0005-0000-0000-000028550000}"/>
    <cellStyle name="Финансовый 2 3 5 6 2 2 2 2" xfId="47739" xr:uid="{00000000-0005-0000-0000-000029550000}"/>
    <cellStyle name="Финансовый 2 3 5 6 2 2 3" xfId="35761" xr:uid="{00000000-0005-0000-0000-00002A550000}"/>
    <cellStyle name="Финансовый 2 3 5 6 2 3" xfId="16053" xr:uid="{00000000-0005-0000-0000-00002B550000}"/>
    <cellStyle name="Финансовый 2 3 5 6 2 3 2" xfId="40008" xr:uid="{00000000-0005-0000-0000-00002C550000}"/>
    <cellStyle name="Финансовый 2 3 5 6 2 4" xfId="28031" xr:uid="{00000000-0005-0000-0000-00002D550000}"/>
    <cellStyle name="Финансовый 2 3 5 6 2 5" xfId="51300" xr:uid="{00000000-0005-0000-0000-00002E550000}"/>
    <cellStyle name="Финансовый 2 3 5 6 3" xfId="5857" xr:uid="{00000000-0005-0000-0000-00002F550000}"/>
    <cellStyle name="Финансовый 2 3 5 6 3 2" xfId="17835" xr:uid="{00000000-0005-0000-0000-000030550000}"/>
    <cellStyle name="Финансовый 2 3 5 6 3 2 2" xfId="41790" xr:uid="{00000000-0005-0000-0000-000031550000}"/>
    <cellStyle name="Финансовый 2 3 5 6 3 3" xfId="29812" xr:uid="{00000000-0005-0000-0000-000032550000}"/>
    <cellStyle name="Финансовый 2 3 5 6 4" xfId="8467" xr:uid="{00000000-0005-0000-0000-000033550000}"/>
    <cellStyle name="Финансовый 2 3 5 6 4 2" xfId="20445" xr:uid="{00000000-0005-0000-0000-000034550000}"/>
    <cellStyle name="Финансовый 2 3 5 6 4 2 2" xfId="44400" xr:uid="{00000000-0005-0000-0000-000035550000}"/>
    <cellStyle name="Финансовый 2 3 5 6 4 3" xfId="32422" xr:uid="{00000000-0005-0000-0000-000036550000}"/>
    <cellStyle name="Финансовый 2 3 5 6 5" xfId="10250" xr:uid="{00000000-0005-0000-0000-000037550000}"/>
    <cellStyle name="Финансовый 2 3 5 6 5 2" xfId="22228" xr:uid="{00000000-0005-0000-0000-000038550000}"/>
    <cellStyle name="Финансовый 2 3 5 6 5 2 2" xfId="46183" xr:uid="{00000000-0005-0000-0000-000039550000}"/>
    <cellStyle name="Финансовый 2 3 5 6 5 3" xfId="34205" xr:uid="{00000000-0005-0000-0000-00003A550000}"/>
    <cellStyle name="Финансовый 2 3 5 6 6" xfId="14408" xr:uid="{00000000-0005-0000-0000-00003B550000}"/>
    <cellStyle name="Финансовый 2 3 5 6 6 2" xfId="38363" xr:uid="{00000000-0005-0000-0000-00003C550000}"/>
    <cellStyle name="Финансовый 2 3 5 6 7" xfId="26386" xr:uid="{00000000-0005-0000-0000-00003D550000}"/>
    <cellStyle name="Финансовый 2 3 5 6 8" xfId="49519" xr:uid="{00000000-0005-0000-0000-00003E550000}"/>
    <cellStyle name="Финансовый 2 3 5 7" xfId="1656" xr:uid="{00000000-0005-0000-0000-00003F550000}"/>
    <cellStyle name="Финансовый 2 3 5 7 2" xfId="3301" xr:uid="{00000000-0005-0000-0000-000040550000}"/>
    <cellStyle name="Финансовый 2 3 5 7 2 2" xfId="11049" xr:uid="{00000000-0005-0000-0000-000041550000}"/>
    <cellStyle name="Финансовый 2 3 5 7 2 2 2" xfId="23027" xr:uid="{00000000-0005-0000-0000-000042550000}"/>
    <cellStyle name="Финансовый 2 3 5 7 2 2 2 2" xfId="46982" xr:uid="{00000000-0005-0000-0000-000043550000}"/>
    <cellStyle name="Финансовый 2 3 5 7 2 2 3" xfId="35004" xr:uid="{00000000-0005-0000-0000-000044550000}"/>
    <cellStyle name="Финансовый 2 3 5 7 2 3" xfId="15280" xr:uid="{00000000-0005-0000-0000-000045550000}"/>
    <cellStyle name="Финансовый 2 3 5 7 2 3 2" xfId="39235" xr:uid="{00000000-0005-0000-0000-000046550000}"/>
    <cellStyle name="Финансовый 2 3 5 7 2 4" xfId="27258" xr:uid="{00000000-0005-0000-0000-000047550000}"/>
    <cellStyle name="Финансовый 2 3 5 7 2 5" xfId="50527" xr:uid="{00000000-0005-0000-0000-000048550000}"/>
    <cellStyle name="Финансовый 2 3 5 7 3" xfId="5084" xr:uid="{00000000-0005-0000-0000-000049550000}"/>
    <cellStyle name="Финансовый 2 3 5 7 3 2" xfId="17062" xr:uid="{00000000-0005-0000-0000-00004A550000}"/>
    <cellStyle name="Финансовый 2 3 5 7 3 2 2" xfId="41017" xr:uid="{00000000-0005-0000-0000-00004B550000}"/>
    <cellStyle name="Финансовый 2 3 5 7 3 3" xfId="29039" xr:uid="{00000000-0005-0000-0000-00004C550000}"/>
    <cellStyle name="Финансовый 2 3 5 7 4" xfId="7694" xr:uid="{00000000-0005-0000-0000-00004D550000}"/>
    <cellStyle name="Финансовый 2 3 5 7 4 2" xfId="19672" xr:uid="{00000000-0005-0000-0000-00004E550000}"/>
    <cellStyle name="Финансовый 2 3 5 7 4 2 2" xfId="43627" xr:uid="{00000000-0005-0000-0000-00004F550000}"/>
    <cellStyle name="Финансовый 2 3 5 7 4 3" xfId="31649" xr:uid="{00000000-0005-0000-0000-000050550000}"/>
    <cellStyle name="Финансовый 2 3 5 7 5" xfId="9477" xr:uid="{00000000-0005-0000-0000-000051550000}"/>
    <cellStyle name="Финансовый 2 3 5 7 5 2" xfId="21455" xr:uid="{00000000-0005-0000-0000-000052550000}"/>
    <cellStyle name="Финансовый 2 3 5 7 5 2 2" xfId="45410" xr:uid="{00000000-0005-0000-0000-000053550000}"/>
    <cellStyle name="Финансовый 2 3 5 7 5 3" xfId="33432" xr:uid="{00000000-0005-0000-0000-000054550000}"/>
    <cellStyle name="Финансовый 2 3 5 7 6" xfId="13635" xr:uid="{00000000-0005-0000-0000-000055550000}"/>
    <cellStyle name="Финансовый 2 3 5 7 6 2" xfId="37590" xr:uid="{00000000-0005-0000-0000-000056550000}"/>
    <cellStyle name="Финансовый 2 3 5 7 7" xfId="25613" xr:uid="{00000000-0005-0000-0000-000057550000}"/>
    <cellStyle name="Финансовый 2 3 5 7 8" xfId="48746" xr:uid="{00000000-0005-0000-0000-000058550000}"/>
    <cellStyle name="Финансовый 2 3 5 8" xfId="933" xr:uid="{00000000-0005-0000-0000-000059550000}"/>
    <cellStyle name="Финансовый 2 3 5 8 2" xfId="6973" xr:uid="{00000000-0005-0000-0000-00005A550000}"/>
    <cellStyle name="Финансовый 2 3 5 8 2 2" xfId="18951" xr:uid="{00000000-0005-0000-0000-00005B550000}"/>
    <cellStyle name="Финансовый 2 3 5 8 2 2 2" xfId="42906" xr:uid="{00000000-0005-0000-0000-00005C550000}"/>
    <cellStyle name="Финансовый 2 3 5 8 2 3" xfId="30928" xr:uid="{00000000-0005-0000-0000-00005D550000}"/>
    <cellStyle name="Финансовый 2 3 5 8 3" xfId="10521" xr:uid="{00000000-0005-0000-0000-00005E550000}"/>
    <cellStyle name="Финансовый 2 3 5 8 3 2" xfId="22499" xr:uid="{00000000-0005-0000-0000-00005F550000}"/>
    <cellStyle name="Финансовый 2 3 5 8 3 2 2" xfId="46454" xr:uid="{00000000-0005-0000-0000-000060550000}"/>
    <cellStyle name="Финансовый 2 3 5 8 3 3" xfId="34476" xr:uid="{00000000-0005-0000-0000-000061550000}"/>
    <cellStyle name="Финансовый 2 3 5 8 4" xfId="12914" xr:uid="{00000000-0005-0000-0000-000062550000}"/>
    <cellStyle name="Финансовый 2 3 5 8 4 2" xfId="36869" xr:uid="{00000000-0005-0000-0000-000063550000}"/>
    <cellStyle name="Финансовый 2 3 5 8 5" xfId="24892" xr:uid="{00000000-0005-0000-0000-000064550000}"/>
    <cellStyle name="Финансовый 2 3 5 8 6" xfId="49798" xr:uid="{00000000-0005-0000-0000-000065550000}"/>
    <cellStyle name="Финансовый 2 3 5 9" xfId="521" xr:uid="{00000000-0005-0000-0000-000066550000}"/>
    <cellStyle name="Финансовый 2 3 5 9 2" xfId="6561" xr:uid="{00000000-0005-0000-0000-000067550000}"/>
    <cellStyle name="Финансовый 2 3 5 9 2 2" xfId="18539" xr:uid="{00000000-0005-0000-0000-000068550000}"/>
    <cellStyle name="Финансовый 2 3 5 9 2 2 2" xfId="42494" xr:uid="{00000000-0005-0000-0000-000069550000}"/>
    <cellStyle name="Финансовый 2 3 5 9 2 3" xfId="30516" xr:uid="{00000000-0005-0000-0000-00006A550000}"/>
    <cellStyle name="Финансовый 2 3 5 9 3" xfId="12502" xr:uid="{00000000-0005-0000-0000-00006B550000}"/>
    <cellStyle name="Финансовый 2 3 5 9 3 2" xfId="36457" xr:uid="{00000000-0005-0000-0000-00006C550000}"/>
    <cellStyle name="Финансовый 2 3 5 9 4" xfId="24480" xr:uid="{00000000-0005-0000-0000-00006D550000}"/>
    <cellStyle name="Финансовый 2 3 6" xfId="112" xr:uid="{00000000-0005-0000-0000-00006E550000}"/>
    <cellStyle name="Финансовый 2 3 6 10" xfId="2722" xr:uid="{00000000-0005-0000-0000-00006F550000}"/>
    <cellStyle name="Финансовый 2 3 6 10 2" xfId="14701" xr:uid="{00000000-0005-0000-0000-000070550000}"/>
    <cellStyle name="Финансовый 2 3 6 10 2 2" xfId="38656" xr:uid="{00000000-0005-0000-0000-000071550000}"/>
    <cellStyle name="Финансовый 2 3 6 10 3" xfId="26679" xr:uid="{00000000-0005-0000-0000-000072550000}"/>
    <cellStyle name="Финансовый 2 3 6 11" xfId="4366" xr:uid="{00000000-0005-0000-0000-000073550000}"/>
    <cellStyle name="Финансовый 2 3 6 11 2" xfId="16345" xr:uid="{00000000-0005-0000-0000-000074550000}"/>
    <cellStyle name="Финансовый 2 3 6 11 2 2" xfId="40300" xr:uid="{00000000-0005-0000-0000-000075550000}"/>
    <cellStyle name="Финансовый 2 3 6 11 3" xfId="28323" xr:uid="{00000000-0005-0000-0000-000076550000}"/>
    <cellStyle name="Финансовый 2 3 6 12" xfId="6153" xr:uid="{00000000-0005-0000-0000-000077550000}"/>
    <cellStyle name="Финансовый 2 3 6 12 2" xfId="18131" xr:uid="{00000000-0005-0000-0000-000078550000}"/>
    <cellStyle name="Финансовый 2 3 6 12 2 2" xfId="42086" xr:uid="{00000000-0005-0000-0000-000079550000}"/>
    <cellStyle name="Финансовый 2 3 6 12 3" xfId="30108" xr:uid="{00000000-0005-0000-0000-00007A550000}"/>
    <cellStyle name="Финансовый 2 3 6 13" xfId="8760" xr:uid="{00000000-0005-0000-0000-00007B550000}"/>
    <cellStyle name="Финансовый 2 3 6 13 2" xfId="20738" xr:uid="{00000000-0005-0000-0000-00007C550000}"/>
    <cellStyle name="Финансовый 2 3 6 13 2 2" xfId="44693" xr:uid="{00000000-0005-0000-0000-00007D550000}"/>
    <cellStyle name="Финансовый 2 3 6 13 3" xfId="32715" xr:uid="{00000000-0005-0000-0000-00007E550000}"/>
    <cellStyle name="Финансовый 2 3 6 14" xfId="12094" xr:uid="{00000000-0005-0000-0000-00007F550000}"/>
    <cellStyle name="Финансовый 2 3 6 14 2" xfId="36049" xr:uid="{00000000-0005-0000-0000-000080550000}"/>
    <cellStyle name="Финансовый 2 3 6 15" xfId="24072" xr:uid="{00000000-0005-0000-0000-000081550000}"/>
    <cellStyle name="Финансовый 2 3 6 16" xfId="48030" xr:uid="{00000000-0005-0000-0000-000082550000}"/>
    <cellStyle name="Финансовый 2 3 6 2" xfId="248" xr:uid="{00000000-0005-0000-0000-000083550000}"/>
    <cellStyle name="Финансовый 2 3 6 2 10" xfId="8896" xr:uid="{00000000-0005-0000-0000-000084550000}"/>
    <cellStyle name="Финансовый 2 3 6 2 10 2" xfId="20874" xr:uid="{00000000-0005-0000-0000-000085550000}"/>
    <cellStyle name="Финансовый 2 3 6 2 10 2 2" xfId="44829" xr:uid="{00000000-0005-0000-0000-000086550000}"/>
    <cellStyle name="Финансовый 2 3 6 2 10 3" xfId="32851" xr:uid="{00000000-0005-0000-0000-000087550000}"/>
    <cellStyle name="Финансовый 2 3 6 2 11" xfId="12230" xr:uid="{00000000-0005-0000-0000-000088550000}"/>
    <cellStyle name="Финансовый 2 3 6 2 11 2" xfId="36185" xr:uid="{00000000-0005-0000-0000-000089550000}"/>
    <cellStyle name="Финансовый 2 3 6 2 12" xfId="24208" xr:uid="{00000000-0005-0000-0000-00008A550000}"/>
    <cellStyle name="Финансовый 2 3 6 2 13" xfId="48166" xr:uid="{00000000-0005-0000-0000-00008B550000}"/>
    <cellStyle name="Финансовый 2 3 6 2 2" xfId="1346" xr:uid="{00000000-0005-0000-0000-00008C550000}"/>
    <cellStyle name="Финансовый 2 3 6 2 2 2" xfId="2304" xr:uid="{00000000-0005-0000-0000-00008D550000}"/>
    <cellStyle name="Финансовый 2 3 6 2 2 2 2" xfId="3949" xr:uid="{00000000-0005-0000-0000-00008E550000}"/>
    <cellStyle name="Финансовый 2 3 6 2 2 2 2 2" xfId="11689" xr:uid="{00000000-0005-0000-0000-00008F550000}"/>
    <cellStyle name="Финансовый 2 3 6 2 2 2 2 2 2" xfId="23667" xr:uid="{00000000-0005-0000-0000-000090550000}"/>
    <cellStyle name="Финансовый 2 3 6 2 2 2 2 2 2 2" xfId="47622" xr:uid="{00000000-0005-0000-0000-000091550000}"/>
    <cellStyle name="Финансовый 2 3 6 2 2 2 2 2 3" xfId="35644" xr:uid="{00000000-0005-0000-0000-000092550000}"/>
    <cellStyle name="Финансовый 2 3 6 2 2 2 2 3" xfId="15928" xr:uid="{00000000-0005-0000-0000-000093550000}"/>
    <cellStyle name="Финансовый 2 3 6 2 2 2 2 3 2" xfId="39883" xr:uid="{00000000-0005-0000-0000-000094550000}"/>
    <cellStyle name="Финансовый 2 3 6 2 2 2 2 4" xfId="27906" xr:uid="{00000000-0005-0000-0000-000095550000}"/>
    <cellStyle name="Финансовый 2 3 6 2 2 2 2 5" xfId="51175" xr:uid="{00000000-0005-0000-0000-000096550000}"/>
    <cellStyle name="Финансовый 2 3 6 2 2 2 3" xfId="5732" xr:uid="{00000000-0005-0000-0000-000097550000}"/>
    <cellStyle name="Финансовый 2 3 6 2 2 2 3 2" xfId="17710" xr:uid="{00000000-0005-0000-0000-000098550000}"/>
    <cellStyle name="Финансовый 2 3 6 2 2 2 3 2 2" xfId="41665" xr:uid="{00000000-0005-0000-0000-000099550000}"/>
    <cellStyle name="Финансовый 2 3 6 2 2 2 3 3" xfId="29687" xr:uid="{00000000-0005-0000-0000-00009A550000}"/>
    <cellStyle name="Финансовый 2 3 6 2 2 2 4" xfId="8342" xr:uid="{00000000-0005-0000-0000-00009B550000}"/>
    <cellStyle name="Финансовый 2 3 6 2 2 2 4 2" xfId="20320" xr:uid="{00000000-0005-0000-0000-00009C550000}"/>
    <cellStyle name="Финансовый 2 3 6 2 2 2 4 2 2" xfId="44275" xr:uid="{00000000-0005-0000-0000-00009D550000}"/>
    <cellStyle name="Финансовый 2 3 6 2 2 2 4 3" xfId="32297" xr:uid="{00000000-0005-0000-0000-00009E550000}"/>
    <cellStyle name="Финансовый 2 3 6 2 2 2 5" xfId="10125" xr:uid="{00000000-0005-0000-0000-00009F550000}"/>
    <cellStyle name="Финансовый 2 3 6 2 2 2 5 2" xfId="22103" xr:uid="{00000000-0005-0000-0000-0000A0550000}"/>
    <cellStyle name="Финансовый 2 3 6 2 2 2 5 2 2" xfId="46058" xr:uid="{00000000-0005-0000-0000-0000A1550000}"/>
    <cellStyle name="Финансовый 2 3 6 2 2 2 5 3" xfId="34080" xr:uid="{00000000-0005-0000-0000-0000A2550000}"/>
    <cellStyle name="Финансовый 2 3 6 2 2 2 6" xfId="14283" xr:uid="{00000000-0005-0000-0000-0000A3550000}"/>
    <cellStyle name="Финансовый 2 3 6 2 2 2 6 2" xfId="38238" xr:uid="{00000000-0005-0000-0000-0000A4550000}"/>
    <cellStyle name="Финансовый 2 3 6 2 2 2 7" xfId="26261" xr:uid="{00000000-0005-0000-0000-0000A5550000}"/>
    <cellStyle name="Финансовый 2 3 6 2 2 2 8" xfId="49394" xr:uid="{00000000-0005-0000-0000-0000A6550000}"/>
    <cellStyle name="Финансовый 2 3 6 2 2 3" xfId="3130" xr:uid="{00000000-0005-0000-0000-0000A7550000}"/>
    <cellStyle name="Финансовый 2 3 6 2 2 3 2" xfId="10917" xr:uid="{00000000-0005-0000-0000-0000A8550000}"/>
    <cellStyle name="Финансовый 2 3 6 2 2 3 2 2" xfId="22895" xr:uid="{00000000-0005-0000-0000-0000A9550000}"/>
    <cellStyle name="Финансовый 2 3 6 2 2 3 2 2 2" xfId="46850" xr:uid="{00000000-0005-0000-0000-0000AA550000}"/>
    <cellStyle name="Финансовый 2 3 6 2 2 3 2 3" xfId="34872" xr:uid="{00000000-0005-0000-0000-0000AB550000}"/>
    <cellStyle name="Финансовый 2 3 6 2 2 3 3" xfId="15109" xr:uid="{00000000-0005-0000-0000-0000AC550000}"/>
    <cellStyle name="Финансовый 2 3 6 2 2 3 3 2" xfId="39064" xr:uid="{00000000-0005-0000-0000-0000AD550000}"/>
    <cellStyle name="Финансовый 2 3 6 2 2 3 4" xfId="27087" xr:uid="{00000000-0005-0000-0000-0000AE550000}"/>
    <cellStyle name="Финансовый 2 3 6 2 2 3 5" xfId="50218" xr:uid="{00000000-0005-0000-0000-0000AF550000}"/>
    <cellStyle name="Финансовый 2 3 6 2 2 4" xfId="4774" xr:uid="{00000000-0005-0000-0000-0000B0550000}"/>
    <cellStyle name="Финансовый 2 3 6 2 2 4 2" xfId="16753" xr:uid="{00000000-0005-0000-0000-0000B1550000}"/>
    <cellStyle name="Финансовый 2 3 6 2 2 4 2 2" xfId="40708" xr:uid="{00000000-0005-0000-0000-0000B2550000}"/>
    <cellStyle name="Финансовый 2 3 6 2 2 4 3" xfId="28731" xr:uid="{00000000-0005-0000-0000-0000B3550000}"/>
    <cellStyle name="Финансовый 2 3 6 2 2 5" xfId="7386" xr:uid="{00000000-0005-0000-0000-0000B4550000}"/>
    <cellStyle name="Финансовый 2 3 6 2 2 5 2" xfId="19364" xr:uid="{00000000-0005-0000-0000-0000B5550000}"/>
    <cellStyle name="Финансовый 2 3 6 2 2 5 2 2" xfId="43319" xr:uid="{00000000-0005-0000-0000-0000B6550000}"/>
    <cellStyle name="Финансовый 2 3 6 2 2 5 3" xfId="31341" xr:uid="{00000000-0005-0000-0000-0000B7550000}"/>
    <cellStyle name="Финансовый 2 3 6 2 2 6" xfId="9168" xr:uid="{00000000-0005-0000-0000-0000B8550000}"/>
    <cellStyle name="Финансовый 2 3 6 2 2 6 2" xfId="21146" xr:uid="{00000000-0005-0000-0000-0000B9550000}"/>
    <cellStyle name="Финансовый 2 3 6 2 2 6 2 2" xfId="45101" xr:uid="{00000000-0005-0000-0000-0000BA550000}"/>
    <cellStyle name="Финансовый 2 3 6 2 2 6 3" xfId="33123" xr:uid="{00000000-0005-0000-0000-0000BB550000}"/>
    <cellStyle name="Финансовый 2 3 6 2 2 7" xfId="13327" xr:uid="{00000000-0005-0000-0000-0000BC550000}"/>
    <cellStyle name="Финансовый 2 3 6 2 2 7 2" xfId="37282" xr:uid="{00000000-0005-0000-0000-0000BD550000}"/>
    <cellStyle name="Финансовый 2 3 6 2 2 8" xfId="25305" xr:uid="{00000000-0005-0000-0000-0000BE550000}"/>
    <cellStyle name="Финансовый 2 3 6 2 2 9" xfId="48438" xr:uid="{00000000-0005-0000-0000-0000BF550000}"/>
    <cellStyle name="Финансовый 2 3 6 2 3" xfId="2048" xr:uid="{00000000-0005-0000-0000-0000C0550000}"/>
    <cellStyle name="Финансовый 2 3 6 2 3 2" xfId="3693" xr:uid="{00000000-0005-0000-0000-0000C1550000}"/>
    <cellStyle name="Финансовый 2 3 6 2 3 2 2" xfId="11433" xr:uid="{00000000-0005-0000-0000-0000C2550000}"/>
    <cellStyle name="Финансовый 2 3 6 2 3 2 2 2" xfId="23411" xr:uid="{00000000-0005-0000-0000-0000C3550000}"/>
    <cellStyle name="Финансовый 2 3 6 2 3 2 2 2 2" xfId="47366" xr:uid="{00000000-0005-0000-0000-0000C4550000}"/>
    <cellStyle name="Финансовый 2 3 6 2 3 2 2 3" xfId="35388" xr:uid="{00000000-0005-0000-0000-0000C5550000}"/>
    <cellStyle name="Финансовый 2 3 6 2 3 2 3" xfId="15672" xr:uid="{00000000-0005-0000-0000-0000C6550000}"/>
    <cellStyle name="Финансовый 2 3 6 2 3 2 3 2" xfId="39627" xr:uid="{00000000-0005-0000-0000-0000C7550000}"/>
    <cellStyle name="Финансовый 2 3 6 2 3 2 4" xfId="27650" xr:uid="{00000000-0005-0000-0000-0000C8550000}"/>
    <cellStyle name="Финансовый 2 3 6 2 3 2 5" xfId="50919" xr:uid="{00000000-0005-0000-0000-0000C9550000}"/>
    <cellStyle name="Финансовый 2 3 6 2 3 3" xfId="5476" xr:uid="{00000000-0005-0000-0000-0000CA550000}"/>
    <cellStyle name="Финансовый 2 3 6 2 3 3 2" xfId="17454" xr:uid="{00000000-0005-0000-0000-0000CB550000}"/>
    <cellStyle name="Финансовый 2 3 6 2 3 3 2 2" xfId="41409" xr:uid="{00000000-0005-0000-0000-0000CC550000}"/>
    <cellStyle name="Финансовый 2 3 6 2 3 3 3" xfId="29431" xr:uid="{00000000-0005-0000-0000-0000CD550000}"/>
    <cellStyle name="Финансовый 2 3 6 2 3 4" xfId="8086" xr:uid="{00000000-0005-0000-0000-0000CE550000}"/>
    <cellStyle name="Финансовый 2 3 6 2 3 4 2" xfId="20064" xr:uid="{00000000-0005-0000-0000-0000CF550000}"/>
    <cellStyle name="Финансовый 2 3 6 2 3 4 2 2" xfId="44019" xr:uid="{00000000-0005-0000-0000-0000D0550000}"/>
    <cellStyle name="Финансовый 2 3 6 2 3 4 3" xfId="32041" xr:uid="{00000000-0005-0000-0000-0000D1550000}"/>
    <cellStyle name="Финансовый 2 3 6 2 3 5" xfId="9869" xr:uid="{00000000-0005-0000-0000-0000D2550000}"/>
    <cellStyle name="Финансовый 2 3 6 2 3 5 2" xfId="21847" xr:uid="{00000000-0005-0000-0000-0000D3550000}"/>
    <cellStyle name="Финансовый 2 3 6 2 3 5 2 2" xfId="45802" xr:uid="{00000000-0005-0000-0000-0000D4550000}"/>
    <cellStyle name="Финансовый 2 3 6 2 3 5 3" xfId="33824" xr:uid="{00000000-0005-0000-0000-0000D5550000}"/>
    <cellStyle name="Финансовый 2 3 6 2 3 6" xfId="14027" xr:uid="{00000000-0005-0000-0000-0000D6550000}"/>
    <cellStyle name="Финансовый 2 3 6 2 3 6 2" xfId="37982" xr:uid="{00000000-0005-0000-0000-0000D7550000}"/>
    <cellStyle name="Финансовый 2 3 6 2 3 7" xfId="26005" xr:uid="{00000000-0005-0000-0000-0000D8550000}"/>
    <cellStyle name="Финансовый 2 3 6 2 3 8" xfId="49138" xr:uid="{00000000-0005-0000-0000-0000D9550000}"/>
    <cellStyle name="Финансовый 2 3 6 2 4" xfId="2577" xr:uid="{00000000-0005-0000-0000-0000DA550000}"/>
    <cellStyle name="Финансовый 2 3 6 2 4 2" xfId="4222" xr:uid="{00000000-0005-0000-0000-0000DB550000}"/>
    <cellStyle name="Финансовый 2 3 6 2 4 2 2" xfId="11946" xr:uid="{00000000-0005-0000-0000-0000DC550000}"/>
    <cellStyle name="Финансовый 2 3 6 2 4 2 2 2" xfId="23924" xr:uid="{00000000-0005-0000-0000-0000DD550000}"/>
    <cellStyle name="Финансовый 2 3 6 2 4 2 2 2 2" xfId="47879" xr:uid="{00000000-0005-0000-0000-0000DE550000}"/>
    <cellStyle name="Финансовый 2 3 6 2 4 2 2 3" xfId="35901" xr:uid="{00000000-0005-0000-0000-0000DF550000}"/>
    <cellStyle name="Финансовый 2 3 6 2 4 2 3" xfId="16201" xr:uid="{00000000-0005-0000-0000-0000E0550000}"/>
    <cellStyle name="Финансовый 2 3 6 2 4 2 3 2" xfId="40156" xr:uid="{00000000-0005-0000-0000-0000E1550000}"/>
    <cellStyle name="Финансовый 2 3 6 2 4 2 4" xfId="28179" xr:uid="{00000000-0005-0000-0000-0000E2550000}"/>
    <cellStyle name="Финансовый 2 3 6 2 4 2 5" xfId="51448" xr:uid="{00000000-0005-0000-0000-0000E3550000}"/>
    <cellStyle name="Финансовый 2 3 6 2 4 3" xfId="6005" xr:uid="{00000000-0005-0000-0000-0000E4550000}"/>
    <cellStyle name="Финансовый 2 3 6 2 4 3 2" xfId="17983" xr:uid="{00000000-0005-0000-0000-0000E5550000}"/>
    <cellStyle name="Финансовый 2 3 6 2 4 3 2 2" xfId="41938" xr:uid="{00000000-0005-0000-0000-0000E6550000}"/>
    <cellStyle name="Финансовый 2 3 6 2 4 3 3" xfId="29960" xr:uid="{00000000-0005-0000-0000-0000E7550000}"/>
    <cellStyle name="Финансовый 2 3 6 2 4 4" xfId="8615" xr:uid="{00000000-0005-0000-0000-0000E8550000}"/>
    <cellStyle name="Финансовый 2 3 6 2 4 4 2" xfId="20593" xr:uid="{00000000-0005-0000-0000-0000E9550000}"/>
    <cellStyle name="Финансовый 2 3 6 2 4 4 2 2" xfId="44548" xr:uid="{00000000-0005-0000-0000-0000EA550000}"/>
    <cellStyle name="Финансовый 2 3 6 2 4 4 3" xfId="32570" xr:uid="{00000000-0005-0000-0000-0000EB550000}"/>
    <cellStyle name="Финансовый 2 3 6 2 4 5" xfId="10398" xr:uid="{00000000-0005-0000-0000-0000EC550000}"/>
    <cellStyle name="Финансовый 2 3 6 2 4 5 2" xfId="22376" xr:uid="{00000000-0005-0000-0000-0000ED550000}"/>
    <cellStyle name="Финансовый 2 3 6 2 4 5 2 2" xfId="46331" xr:uid="{00000000-0005-0000-0000-0000EE550000}"/>
    <cellStyle name="Финансовый 2 3 6 2 4 5 3" xfId="34353" xr:uid="{00000000-0005-0000-0000-0000EF550000}"/>
    <cellStyle name="Финансовый 2 3 6 2 4 6" xfId="14556" xr:uid="{00000000-0005-0000-0000-0000F0550000}"/>
    <cellStyle name="Финансовый 2 3 6 2 4 6 2" xfId="38511" xr:uid="{00000000-0005-0000-0000-0000F1550000}"/>
    <cellStyle name="Финансовый 2 3 6 2 4 7" xfId="26534" xr:uid="{00000000-0005-0000-0000-0000F2550000}"/>
    <cellStyle name="Финансовый 2 3 6 2 4 8" xfId="49667" xr:uid="{00000000-0005-0000-0000-0000F3550000}"/>
    <cellStyle name="Финансовый 2 3 6 2 5" xfId="1081" xr:uid="{00000000-0005-0000-0000-0000F4550000}"/>
    <cellStyle name="Финансовый 2 3 6 2 5 2" xfId="7121" xr:uid="{00000000-0005-0000-0000-0000F5550000}"/>
    <cellStyle name="Финансовый 2 3 6 2 5 2 2" xfId="19099" xr:uid="{00000000-0005-0000-0000-0000F6550000}"/>
    <cellStyle name="Финансовый 2 3 6 2 5 2 2 2" xfId="43054" xr:uid="{00000000-0005-0000-0000-0000F7550000}"/>
    <cellStyle name="Финансовый 2 3 6 2 5 2 3" xfId="31076" xr:uid="{00000000-0005-0000-0000-0000F8550000}"/>
    <cellStyle name="Финансовый 2 3 6 2 5 3" xfId="10661" xr:uid="{00000000-0005-0000-0000-0000F9550000}"/>
    <cellStyle name="Финансовый 2 3 6 2 5 3 2" xfId="22639" xr:uid="{00000000-0005-0000-0000-0000FA550000}"/>
    <cellStyle name="Финансовый 2 3 6 2 5 3 2 2" xfId="46594" xr:uid="{00000000-0005-0000-0000-0000FB550000}"/>
    <cellStyle name="Финансовый 2 3 6 2 5 3 3" xfId="34616" xr:uid="{00000000-0005-0000-0000-0000FC550000}"/>
    <cellStyle name="Финансовый 2 3 6 2 5 4" xfId="13062" xr:uid="{00000000-0005-0000-0000-0000FD550000}"/>
    <cellStyle name="Финансовый 2 3 6 2 5 4 2" xfId="37017" xr:uid="{00000000-0005-0000-0000-0000FE550000}"/>
    <cellStyle name="Финансовый 2 3 6 2 5 5" xfId="25040" xr:uid="{00000000-0005-0000-0000-0000FF550000}"/>
    <cellStyle name="Финансовый 2 3 6 2 5 6" xfId="49946" xr:uid="{00000000-0005-0000-0000-000000560000}"/>
    <cellStyle name="Финансовый 2 3 6 2 6" xfId="669" xr:uid="{00000000-0005-0000-0000-000001560000}"/>
    <cellStyle name="Финансовый 2 3 6 2 6 2" xfId="6709" xr:uid="{00000000-0005-0000-0000-000002560000}"/>
    <cellStyle name="Финансовый 2 3 6 2 6 2 2" xfId="18687" xr:uid="{00000000-0005-0000-0000-000003560000}"/>
    <cellStyle name="Финансовый 2 3 6 2 6 2 2 2" xfId="42642" xr:uid="{00000000-0005-0000-0000-000004560000}"/>
    <cellStyle name="Финансовый 2 3 6 2 6 2 3" xfId="30664" xr:uid="{00000000-0005-0000-0000-000005560000}"/>
    <cellStyle name="Финансовый 2 3 6 2 6 3" xfId="12650" xr:uid="{00000000-0005-0000-0000-000006560000}"/>
    <cellStyle name="Финансовый 2 3 6 2 6 3 2" xfId="36605" xr:uid="{00000000-0005-0000-0000-000007560000}"/>
    <cellStyle name="Финансовый 2 3 6 2 6 4" xfId="24628" xr:uid="{00000000-0005-0000-0000-000008560000}"/>
    <cellStyle name="Финансовый 2 3 6 2 7" xfId="2858" xr:uid="{00000000-0005-0000-0000-000009560000}"/>
    <cellStyle name="Финансовый 2 3 6 2 7 2" xfId="14837" xr:uid="{00000000-0005-0000-0000-00000A560000}"/>
    <cellStyle name="Финансовый 2 3 6 2 7 2 2" xfId="38792" xr:uid="{00000000-0005-0000-0000-00000B560000}"/>
    <cellStyle name="Финансовый 2 3 6 2 7 3" xfId="26815" xr:uid="{00000000-0005-0000-0000-00000C560000}"/>
    <cellStyle name="Финансовый 2 3 6 2 8" xfId="4502" xr:uid="{00000000-0005-0000-0000-00000D560000}"/>
    <cellStyle name="Финансовый 2 3 6 2 8 2" xfId="16481" xr:uid="{00000000-0005-0000-0000-00000E560000}"/>
    <cellStyle name="Финансовый 2 3 6 2 8 2 2" xfId="40436" xr:uid="{00000000-0005-0000-0000-00000F560000}"/>
    <cellStyle name="Финансовый 2 3 6 2 8 3" xfId="28459" xr:uid="{00000000-0005-0000-0000-000010560000}"/>
    <cellStyle name="Финансовый 2 3 6 2 9" xfId="6289" xr:uid="{00000000-0005-0000-0000-000011560000}"/>
    <cellStyle name="Финансовый 2 3 6 2 9 2" xfId="18267" xr:uid="{00000000-0005-0000-0000-000012560000}"/>
    <cellStyle name="Финансовый 2 3 6 2 9 2 2" xfId="42222" xr:uid="{00000000-0005-0000-0000-000013560000}"/>
    <cellStyle name="Финансовый 2 3 6 2 9 3" xfId="30244" xr:uid="{00000000-0005-0000-0000-000014560000}"/>
    <cellStyle name="Финансовый 2 3 6 3" xfId="397" xr:uid="{00000000-0005-0000-0000-000015560000}"/>
    <cellStyle name="Финансовый 2 3 6 3 10" xfId="24356" xr:uid="{00000000-0005-0000-0000-000016560000}"/>
    <cellStyle name="Финансовый 2 3 6 3 11" xfId="48302" xr:uid="{00000000-0005-0000-0000-000017560000}"/>
    <cellStyle name="Финансовый 2 3 6 3 2" xfId="2176" xr:uid="{00000000-0005-0000-0000-000018560000}"/>
    <cellStyle name="Финансовый 2 3 6 3 2 2" xfId="3821" xr:uid="{00000000-0005-0000-0000-000019560000}"/>
    <cellStyle name="Финансовый 2 3 6 3 2 2 2" xfId="11561" xr:uid="{00000000-0005-0000-0000-00001A560000}"/>
    <cellStyle name="Финансовый 2 3 6 3 2 2 2 2" xfId="23539" xr:uid="{00000000-0005-0000-0000-00001B560000}"/>
    <cellStyle name="Финансовый 2 3 6 3 2 2 2 2 2" xfId="47494" xr:uid="{00000000-0005-0000-0000-00001C560000}"/>
    <cellStyle name="Финансовый 2 3 6 3 2 2 2 3" xfId="35516" xr:uid="{00000000-0005-0000-0000-00001D560000}"/>
    <cellStyle name="Финансовый 2 3 6 3 2 2 3" xfId="15800" xr:uid="{00000000-0005-0000-0000-00001E560000}"/>
    <cellStyle name="Финансовый 2 3 6 3 2 2 3 2" xfId="39755" xr:uid="{00000000-0005-0000-0000-00001F560000}"/>
    <cellStyle name="Финансовый 2 3 6 3 2 2 4" xfId="27778" xr:uid="{00000000-0005-0000-0000-000020560000}"/>
    <cellStyle name="Финансовый 2 3 6 3 2 2 5" xfId="51047" xr:uid="{00000000-0005-0000-0000-000021560000}"/>
    <cellStyle name="Финансовый 2 3 6 3 2 3" xfId="5604" xr:uid="{00000000-0005-0000-0000-000022560000}"/>
    <cellStyle name="Финансовый 2 3 6 3 2 3 2" xfId="17582" xr:uid="{00000000-0005-0000-0000-000023560000}"/>
    <cellStyle name="Финансовый 2 3 6 3 2 3 2 2" xfId="41537" xr:uid="{00000000-0005-0000-0000-000024560000}"/>
    <cellStyle name="Финансовый 2 3 6 3 2 3 3" xfId="29559" xr:uid="{00000000-0005-0000-0000-000025560000}"/>
    <cellStyle name="Финансовый 2 3 6 3 2 4" xfId="8214" xr:uid="{00000000-0005-0000-0000-000026560000}"/>
    <cellStyle name="Финансовый 2 3 6 3 2 4 2" xfId="20192" xr:uid="{00000000-0005-0000-0000-000027560000}"/>
    <cellStyle name="Финансовый 2 3 6 3 2 4 2 2" xfId="44147" xr:uid="{00000000-0005-0000-0000-000028560000}"/>
    <cellStyle name="Финансовый 2 3 6 3 2 4 3" xfId="32169" xr:uid="{00000000-0005-0000-0000-000029560000}"/>
    <cellStyle name="Финансовый 2 3 6 3 2 5" xfId="9997" xr:uid="{00000000-0005-0000-0000-00002A560000}"/>
    <cellStyle name="Финансовый 2 3 6 3 2 5 2" xfId="21975" xr:uid="{00000000-0005-0000-0000-00002B560000}"/>
    <cellStyle name="Финансовый 2 3 6 3 2 5 2 2" xfId="45930" xr:uid="{00000000-0005-0000-0000-00002C560000}"/>
    <cellStyle name="Финансовый 2 3 6 3 2 5 3" xfId="33952" xr:uid="{00000000-0005-0000-0000-00002D560000}"/>
    <cellStyle name="Финансовый 2 3 6 3 2 6" xfId="14155" xr:uid="{00000000-0005-0000-0000-00002E560000}"/>
    <cellStyle name="Финансовый 2 3 6 3 2 6 2" xfId="38110" xr:uid="{00000000-0005-0000-0000-00002F560000}"/>
    <cellStyle name="Финансовый 2 3 6 3 2 7" xfId="26133" xr:uid="{00000000-0005-0000-0000-000030560000}"/>
    <cellStyle name="Финансовый 2 3 6 3 2 8" xfId="49266" xr:uid="{00000000-0005-0000-0000-000031560000}"/>
    <cellStyle name="Финансовый 2 3 6 3 3" xfId="1210" xr:uid="{00000000-0005-0000-0000-000032560000}"/>
    <cellStyle name="Финансовый 2 3 6 3 3 2" xfId="7250" xr:uid="{00000000-0005-0000-0000-000033560000}"/>
    <cellStyle name="Финансовый 2 3 6 3 3 2 2" xfId="19228" xr:uid="{00000000-0005-0000-0000-000034560000}"/>
    <cellStyle name="Финансовый 2 3 6 3 3 2 2 2" xfId="43183" xr:uid="{00000000-0005-0000-0000-000035560000}"/>
    <cellStyle name="Финансовый 2 3 6 3 3 2 3" xfId="31205" xr:uid="{00000000-0005-0000-0000-000036560000}"/>
    <cellStyle name="Финансовый 2 3 6 3 3 3" xfId="10789" xr:uid="{00000000-0005-0000-0000-000037560000}"/>
    <cellStyle name="Финансовый 2 3 6 3 3 3 2" xfId="22767" xr:uid="{00000000-0005-0000-0000-000038560000}"/>
    <cellStyle name="Финансовый 2 3 6 3 3 3 2 2" xfId="46722" xr:uid="{00000000-0005-0000-0000-000039560000}"/>
    <cellStyle name="Финансовый 2 3 6 3 3 3 3" xfId="34744" xr:uid="{00000000-0005-0000-0000-00003A560000}"/>
    <cellStyle name="Финансовый 2 3 6 3 3 4" xfId="13191" xr:uid="{00000000-0005-0000-0000-00003B560000}"/>
    <cellStyle name="Финансовый 2 3 6 3 3 4 2" xfId="37146" xr:uid="{00000000-0005-0000-0000-00003C560000}"/>
    <cellStyle name="Финансовый 2 3 6 3 3 5" xfId="25169" xr:uid="{00000000-0005-0000-0000-00003D560000}"/>
    <cellStyle name="Финансовый 2 3 6 3 3 6" xfId="50082" xr:uid="{00000000-0005-0000-0000-00003E560000}"/>
    <cellStyle name="Финансовый 2 3 6 3 4" xfId="817" xr:uid="{00000000-0005-0000-0000-00003F560000}"/>
    <cellStyle name="Финансовый 2 3 6 3 4 2" xfId="6857" xr:uid="{00000000-0005-0000-0000-000040560000}"/>
    <cellStyle name="Финансовый 2 3 6 3 4 2 2" xfId="18835" xr:uid="{00000000-0005-0000-0000-000041560000}"/>
    <cellStyle name="Финансовый 2 3 6 3 4 2 2 2" xfId="42790" xr:uid="{00000000-0005-0000-0000-000042560000}"/>
    <cellStyle name="Финансовый 2 3 6 3 4 2 3" xfId="30812" xr:uid="{00000000-0005-0000-0000-000043560000}"/>
    <cellStyle name="Финансовый 2 3 6 3 4 3" xfId="12798" xr:uid="{00000000-0005-0000-0000-000044560000}"/>
    <cellStyle name="Финансовый 2 3 6 3 4 3 2" xfId="36753" xr:uid="{00000000-0005-0000-0000-000045560000}"/>
    <cellStyle name="Финансовый 2 3 6 3 4 4" xfId="24776" xr:uid="{00000000-0005-0000-0000-000046560000}"/>
    <cellStyle name="Финансовый 2 3 6 3 5" xfId="2994" xr:uid="{00000000-0005-0000-0000-000047560000}"/>
    <cellStyle name="Финансовый 2 3 6 3 5 2" xfId="14973" xr:uid="{00000000-0005-0000-0000-000048560000}"/>
    <cellStyle name="Финансовый 2 3 6 3 5 2 2" xfId="38928" xr:uid="{00000000-0005-0000-0000-000049560000}"/>
    <cellStyle name="Финансовый 2 3 6 3 5 3" xfId="26951" xr:uid="{00000000-0005-0000-0000-00004A560000}"/>
    <cellStyle name="Финансовый 2 3 6 3 6" xfId="4638" xr:uid="{00000000-0005-0000-0000-00004B560000}"/>
    <cellStyle name="Финансовый 2 3 6 3 6 2" xfId="16617" xr:uid="{00000000-0005-0000-0000-00004C560000}"/>
    <cellStyle name="Финансовый 2 3 6 3 6 2 2" xfId="40572" xr:uid="{00000000-0005-0000-0000-00004D560000}"/>
    <cellStyle name="Финансовый 2 3 6 3 6 3" xfId="28595" xr:uid="{00000000-0005-0000-0000-00004E560000}"/>
    <cellStyle name="Финансовый 2 3 6 3 7" xfId="6437" xr:uid="{00000000-0005-0000-0000-00004F560000}"/>
    <cellStyle name="Финансовый 2 3 6 3 7 2" xfId="18415" xr:uid="{00000000-0005-0000-0000-000050560000}"/>
    <cellStyle name="Финансовый 2 3 6 3 7 2 2" xfId="42370" xr:uid="{00000000-0005-0000-0000-000051560000}"/>
    <cellStyle name="Финансовый 2 3 6 3 7 3" xfId="30392" xr:uid="{00000000-0005-0000-0000-000052560000}"/>
    <cellStyle name="Финансовый 2 3 6 3 8" xfId="9032" xr:uid="{00000000-0005-0000-0000-000053560000}"/>
    <cellStyle name="Финансовый 2 3 6 3 8 2" xfId="21010" xr:uid="{00000000-0005-0000-0000-000054560000}"/>
    <cellStyle name="Финансовый 2 3 6 3 8 2 2" xfId="44965" xr:uid="{00000000-0005-0000-0000-000055560000}"/>
    <cellStyle name="Финансовый 2 3 6 3 8 3" xfId="32987" xr:uid="{00000000-0005-0000-0000-000056560000}"/>
    <cellStyle name="Финансовый 2 3 6 3 9" xfId="12378" xr:uid="{00000000-0005-0000-0000-000057560000}"/>
    <cellStyle name="Финансовый 2 3 6 3 9 2" xfId="36333" xr:uid="{00000000-0005-0000-0000-000058560000}"/>
    <cellStyle name="Финансовый 2 3 6 4" xfId="1492" xr:uid="{00000000-0005-0000-0000-000059560000}"/>
    <cellStyle name="Финансовый 2 3 6 4 2" xfId="1920" xr:uid="{00000000-0005-0000-0000-00005A560000}"/>
    <cellStyle name="Финансовый 2 3 6 4 2 2" xfId="3565" xr:uid="{00000000-0005-0000-0000-00005B560000}"/>
    <cellStyle name="Финансовый 2 3 6 4 2 2 2" xfId="11305" xr:uid="{00000000-0005-0000-0000-00005C560000}"/>
    <cellStyle name="Финансовый 2 3 6 4 2 2 2 2" xfId="23283" xr:uid="{00000000-0005-0000-0000-00005D560000}"/>
    <cellStyle name="Финансовый 2 3 6 4 2 2 2 2 2" xfId="47238" xr:uid="{00000000-0005-0000-0000-00005E560000}"/>
    <cellStyle name="Финансовый 2 3 6 4 2 2 2 3" xfId="35260" xr:uid="{00000000-0005-0000-0000-00005F560000}"/>
    <cellStyle name="Финансовый 2 3 6 4 2 2 3" xfId="15544" xr:uid="{00000000-0005-0000-0000-000060560000}"/>
    <cellStyle name="Финансовый 2 3 6 4 2 2 3 2" xfId="39499" xr:uid="{00000000-0005-0000-0000-000061560000}"/>
    <cellStyle name="Финансовый 2 3 6 4 2 2 4" xfId="27522" xr:uid="{00000000-0005-0000-0000-000062560000}"/>
    <cellStyle name="Финансовый 2 3 6 4 2 2 5" xfId="50791" xr:uid="{00000000-0005-0000-0000-000063560000}"/>
    <cellStyle name="Финансовый 2 3 6 4 2 3" xfId="5348" xr:uid="{00000000-0005-0000-0000-000064560000}"/>
    <cellStyle name="Финансовый 2 3 6 4 2 3 2" xfId="17326" xr:uid="{00000000-0005-0000-0000-000065560000}"/>
    <cellStyle name="Финансовый 2 3 6 4 2 3 2 2" xfId="41281" xr:uid="{00000000-0005-0000-0000-000066560000}"/>
    <cellStyle name="Финансовый 2 3 6 4 2 3 3" xfId="29303" xr:uid="{00000000-0005-0000-0000-000067560000}"/>
    <cellStyle name="Финансовый 2 3 6 4 2 4" xfId="7958" xr:uid="{00000000-0005-0000-0000-000068560000}"/>
    <cellStyle name="Финансовый 2 3 6 4 2 4 2" xfId="19936" xr:uid="{00000000-0005-0000-0000-000069560000}"/>
    <cellStyle name="Финансовый 2 3 6 4 2 4 2 2" xfId="43891" xr:uid="{00000000-0005-0000-0000-00006A560000}"/>
    <cellStyle name="Финансовый 2 3 6 4 2 4 3" xfId="31913" xr:uid="{00000000-0005-0000-0000-00006B560000}"/>
    <cellStyle name="Финансовый 2 3 6 4 2 5" xfId="9741" xr:uid="{00000000-0005-0000-0000-00006C560000}"/>
    <cellStyle name="Финансовый 2 3 6 4 2 5 2" xfId="21719" xr:uid="{00000000-0005-0000-0000-00006D560000}"/>
    <cellStyle name="Финансовый 2 3 6 4 2 5 2 2" xfId="45674" xr:uid="{00000000-0005-0000-0000-00006E560000}"/>
    <cellStyle name="Финансовый 2 3 6 4 2 5 3" xfId="33696" xr:uid="{00000000-0005-0000-0000-00006F560000}"/>
    <cellStyle name="Финансовый 2 3 6 4 2 6" xfId="13899" xr:uid="{00000000-0005-0000-0000-000070560000}"/>
    <cellStyle name="Финансовый 2 3 6 4 2 6 2" xfId="37854" xr:uid="{00000000-0005-0000-0000-000071560000}"/>
    <cellStyle name="Финансовый 2 3 6 4 2 7" xfId="25877" xr:uid="{00000000-0005-0000-0000-000072560000}"/>
    <cellStyle name="Финансовый 2 3 6 4 2 8" xfId="49010" xr:uid="{00000000-0005-0000-0000-000073560000}"/>
    <cellStyle name="Финансовый 2 3 6 4 3" xfId="4920" xr:uid="{00000000-0005-0000-0000-000074560000}"/>
    <cellStyle name="Финансовый 2 3 6 4 3 2" xfId="16898" xr:uid="{00000000-0005-0000-0000-000075560000}"/>
    <cellStyle name="Финансовый 2 3 6 4 3 2 2" xfId="40853" xr:uid="{00000000-0005-0000-0000-000076560000}"/>
    <cellStyle name="Финансовый 2 3 6 4 3 3" xfId="28875" xr:uid="{00000000-0005-0000-0000-000077560000}"/>
    <cellStyle name="Финансовый 2 3 6 4 3 4" xfId="50363" xr:uid="{00000000-0005-0000-0000-000078560000}"/>
    <cellStyle name="Финансовый 2 3 6 4 4" xfId="7530" xr:uid="{00000000-0005-0000-0000-000079560000}"/>
    <cellStyle name="Финансовый 2 3 6 4 4 2" xfId="19508" xr:uid="{00000000-0005-0000-0000-00007A560000}"/>
    <cellStyle name="Финансовый 2 3 6 4 4 2 2" xfId="43463" xr:uid="{00000000-0005-0000-0000-00007B560000}"/>
    <cellStyle name="Финансовый 2 3 6 4 4 3" xfId="31485" xr:uid="{00000000-0005-0000-0000-00007C560000}"/>
    <cellStyle name="Финансовый 2 3 6 4 5" xfId="9313" xr:uid="{00000000-0005-0000-0000-00007D560000}"/>
    <cellStyle name="Финансовый 2 3 6 4 5 2" xfId="21291" xr:uid="{00000000-0005-0000-0000-00007E560000}"/>
    <cellStyle name="Финансовый 2 3 6 4 5 2 2" xfId="45246" xr:uid="{00000000-0005-0000-0000-00007F560000}"/>
    <cellStyle name="Финансовый 2 3 6 4 5 3" xfId="33268" xr:uid="{00000000-0005-0000-0000-000080560000}"/>
    <cellStyle name="Финансовый 2 3 6 4 6" xfId="13471" xr:uid="{00000000-0005-0000-0000-000081560000}"/>
    <cellStyle name="Финансовый 2 3 6 4 6 2" xfId="37426" xr:uid="{00000000-0005-0000-0000-000082560000}"/>
    <cellStyle name="Финансовый 2 3 6 4 7" xfId="25449" xr:uid="{00000000-0005-0000-0000-000083560000}"/>
    <cellStyle name="Финансовый 2 3 6 4 8" xfId="48582" xr:uid="{00000000-0005-0000-0000-000084560000}"/>
    <cellStyle name="Финансовый 2 3 6 5" xfId="1796" xr:uid="{00000000-0005-0000-0000-000085560000}"/>
    <cellStyle name="Финансовый 2 3 6 5 2" xfId="3441" xr:uid="{00000000-0005-0000-0000-000086560000}"/>
    <cellStyle name="Финансовый 2 3 6 5 2 2" xfId="11189" xr:uid="{00000000-0005-0000-0000-000087560000}"/>
    <cellStyle name="Финансовый 2 3 6 5 2 2 2" xfId="23167" xr:uid="{00000000-0005-0000-0000-000088560000}"/>
    <cellStyle name="Финансовый 2 3 6 5 2 2 2 2" xfId="47122" xr:uid="{00000000-0005-0000-0000-000089560000}"/>
    <cellStyle name="Финансовый 2 3 6 5 2 2 3" xfId="35144" xr:uid="{00000000-0005-0000-0000-00008A560000}"/>
    <cellStyle name="Финансовый 2 3 6 5 2 3" xfId="15420" xr:uid="{00000000-0005-0000-0000-00008B560000}"/>
    <cellStyle name="Финансовый 2 3 6 5 2 3 2" xfId="39375" xr:uid="{00000000-0005-0000-0000-00008C560000}"/>
    <cellStyle name="Финансовый 2 3 6 5 2 4" xfId="27398" xr:uid="{00000000-0005-0000-0000-00008D560000}"/>
    <cellStyle name="Финансовый 2 3 6 5 2 5" xfId="50667" xr:uid="{00000000-0005-0000-0000-00008E560000}"/>
    <cellStyle name="Финансовый 2 3 6 5 3" xfId="5224" xr:uid="{00000000-0005-0000-0000-00008F560000}"/>
    <cellStyle name="Финансовый 2 3 6 5 3 2" xfId="17202" xr:uid="{00000000-0005-0000-0000-000090560000}"/>
    <cellStyle name="Финансовый 2 3 6 5 3 2 2" xfId="41157" xr:uid="{00000000-0005-0000-0000-000091560000}"/>
    <cellStyle name="Финансовый 2 3 6 5 3 3" xfId="29179" xr:uid="{00000000-0005-0000-0000-000092560000}"/>
    <cellStyle name="Финансовый 2 3 6 5 4" xfId="7834" xr:uid="{00000000-0005-0000-0000-000093560000}"/>
    <cellStyle name="Финансовый 2 3 6 5 4 2" xfId="19812" xr:uid="{00000000-0005-0000-0000-000094560000}"/>
    <cellStyle name="Финансовый 2 3 6 5 4 2 2" xfId="43767" xr:uid="{00000000-0005-0000-0000-000095560000}"/>
    <cellStyle name="Финансовый 2 3 6 5 4 3" xfId="31789" xr:uid="{00000000-0005-0000-0000-000096560000}"/>
    <cellStyle name="Финансовый 2 3 6 5 5" xfId="9617" xr:uid="{00000000-0005-0000-0000-000097560000}"/>
    <cellStyle name="Финансовый 2 3 6 5 5 2" xfId="21595" xr:uid="{00000000-0005-0000-0000-000098560000}"/>
    <cellStyle name="Финансовый 2 3 6 5 5 2 2" xfId="45550" xr:uid="{00000000-0005-0000-0000-000099560000}"/>
    <cellStyle name="Финансовый 2 3 6 5 5 3" xfId="33572" xr:uid="{00000000-0005-0000-0000-00009A560000}"/>
    <cellStyle name="Финансовый 2 3 6 5 6" xfId="13775" xr:uid="{00000000-0005-0000-0000-00009B560000}"/>
    <cellStyle name="Финансовый 2 3 6 5 6 2" xfId="37730" xr:uid="{00000000-0005-0000-0000-00009C560000}"/>
    <cellStyle name="Финансовый 2 3 6 5 7" xfId="25753" xr:uid="{00000000-0005-0000-0000-00009D560000}"/>
    <cellStyle name="Финансовый 2 3 6 5 8" xfId="48886" xr:uid="{00000000-0005-0000-0000-00009E560000}"/>
    <cellStyle name="Финансовый 2 3 6 6" xfId="2441" xr:uid="{00000000-0005-0000-0000-00009F560000}"/>
    <cellStyle name="Финансовый 2 3 6 6 2" xfId="4086" xr:uid="{00000000-0005-0000-0000-0000A0560000}"/>
    <cellStyle name="Финансовый 2 3 6 6 2 2" xfId="11818" xr:uid="{00000000-0005-0000-0000-0000A1560000}"/>
    <cellStyle name="Финансовый 2 3 6 6 2 2 2" xfId="23796" xr:uid="{00000000-0005-0000-0000-0000A2560000}"/>
    <cellStyle name="Финансовый 2 3 6 6 2 2 2 2" xfId="47751" xr:uid="{00000000-0005-0000-0000-0000A3560000}"/>
    <cellStyle name="Финансовый 2 3 6 6 2 2 3" xfId="35773" xr:uid="{00000000-0005-0000-0000-0000A4560000}"/>
    <cellStyle name="Финансовый 2 3 6 6 2 3" xfId="16065" xr:uid="{00000000-0005-0000-0000-0000A5560000}"/>
    <cellStyle name="Финансовый 2 3 6 6 2 3 2" xfId="40020" xr:uid="{00000000-0005-0000-0000-0000A6560000}"/>
    <cellStyle name="Финансовый 2 3 6 6 2 4" xfId="28043" xr:uid="{00000000-0005-0000-0000-0000A7560000}"/>
    <cellStyle name="Финансовый 2 3 6 6 2 5" xfId="51312" xr:uid="{00000000-0005-0000-0000-0000A8560000}"/>
    <cellStyle name="Финансовый 2 3 6 6 3" xfId="5869" xr:uid="{00000000-0005-0000-0000-0000A9560000}"/>
    <cellStyle name="Финансовый 2 3 6 6 3 2" xfId="17847" xr:uid="{00000000-0005-0000-0000-0000AA560000}"/>
    <cellStyle name="Финансовый 2 3 6 6 3 2 2" xfId="41802" xr:uid="{00000000-0005-0000-0000-0000AB560000}"/>
    <cellStyle name="Финансовый 2 3 6 6 3 3" xfId="29824" xr:uid="{00000000-0005-0000-0000-0000AC560000}"/>
    <cellStyle name="Финансовый 2 3 6 6 4" xfId="8479" xr:uid="{00000000-0005-0000-0000-0000AD560000}"/>
    <cellStyle name="Финансовый 2 3 6 6 4 2" xfId="20457" xr:uid="{00000000-0005-0000-0000-0000AE560000}"/>
    <cellStyle name="Финансовый 2 3 6 6 4 2 2" xfId="44412" xr:uid="{00000000-0005-0000-0000-0000AF560000}"/>
    <cellStyle name="Финансовый 2 3 6 6 4 3" xfId="32434" xr:uid="{00000000-0005-0000-0000-0000B0560000}"/>
    <cellStyle name="Финансовый 2 3 6 6 5" xfId="10262" xr:uid="{00000000-0005-0000-0000-0000B1560000}"/>
    <cellStyle name="Финансовый 2 3 6 6 5 2" xfId="22240" xr:uid="{00000000-0005-0000-0000-0000B2560000}"/>
    <cellStyle name="Финансовый 2 3 6 6 5 2 2" xfId="46195" xr:uid="{00000000-0005-0000-0000-0000B3560000}"/>
    <cellStyle name="Финансовый 2 3 6 6 5 3" xfId="34217" xr:uid="{00000000-0005-0000-0000-0000B4560000}"/>
    <cellStyle name="Финансовый 2 3 6 6 6" xfId="14420" xr:uid="{00000000-0005-0000-0000-0000B5560000}"/>
    <cellStyle name="Финансовый 2 3 6 6 6 2" xfId="38375" xr:uid="{00000000-0005-0000-0000-0000B6560000}"/>
    <cellStyle name="Финансовый 2 3 6 6 7" xfId="26398" xr:uid="{00000000-0005-0000-0000-0000B7560000}"/>
    <cellStyle name="Финансовый 2 3 6 6 8" xfId="49531" xr:uid="{00000000-0005-0000-0000-0000B8560000}"/>
    <cellStyle name="Финансовый 2 3 6 7" xfId="1668" xr:uid="{00000000-0005-0000-0000-0000B9560000}"/>
    <cellStyle name="Финансовый 2 3 6 7 2" xfId="3313" xr:uid="{00000000-0005-0000-0000-0000BA560000}"/>
    <cellStyle name="Финансовый 2 3 6 7 2 2" xfId="11061" xr:uid="{00000000-0005-0000-0000-0000BB560000}"/>
    <cellStyle name="Финансовый 2 3 6 7 2 2 2" xfId="23039" xr:uid="{00000000-0005-0000-0000-0000BC560000}"/>
    <cellStyle name="Финансовый 2 3 6 7 2 2 2 2" xfId="46994" xr:uid="{00000000-0005-0000-0000-0000BD560000}"/>
    <cellStyle name="Финансовый 2 3 6 7 2 2 3" xfId="35016" xr:uid="{00000000-0005-0000-0000-0000BE560000}"/>
    <cellStyle name="Финансовый 2 3 6 7 2 3" xfId="15292" xr:uid="{00000000-0005-0000-0000-0000BF560000}"/>
    <cellStyle name="Финансовый 2 3 6 7 2 3 2" xfId="39247" xr:uid="{00000000-0005-0000-0000-0000C0560000}"/>
    <cellStyle name="Финансовый 2 3 6 7 2 4" xfId="27270" xr:uid="{00000000-0005-0000-0000-0000C1560000}"/>
    <cellStyle name="Финансовый 2 3 6 7 2 5" xfId="50539" xr:uid="{00000000-0005-0000-0000-0000C2560000}"/>
    <cellStyle name="Финансовый 2 3 6 7 3" xfId="5096" xr:uid="{00000000-0005-0000-0000-0000C3560000}"/>
    <cellStyle name="Финансовый 2 3 6 7 3 2" xfId="17074" xr:uid="{00000000-0005-0000-0000-0000C4560000}"/>
    <cellStyle name="Финансовый 2 3 6 7 3 2 2" xfId="41029" xr:uid="{00000000-0005-0000-0000-0000C5560000}"/>
    <cellStyle name="Финансовый 2 3 6 7 3 3" xfId="29051" xr:uid="{00000000-0005-0000-0000-0000C6560000}"/>
    <cellStyle name="Финансовый 2 3 6 7 4" xfId="7706" xr:uid="{00000000-0005-0000-0000-0000C7560000}"/>
    <cellStyle name="Финансовый 2 3 6 7 4 2" xfId="19684" xr:uid="{00000000-0005-0000-0000-0000C8560000}"/>
    <cellStyle name="Финансовый 2 3 6 7 4 2 2" xfId="43639" xr:uid="{00000000-0005-0000-0000-0000C9560000}"/>
    <cellStyle name="Финансовый 2 3 6 7 4 3" xfId="31661" xr:uid="{00000000-0005-0000-0000-0000CA560000}"/>
    <cellStyle name="Финансовый 2 3 6 7 5" xfId="9489" xr:uid="{00000000-0005-0000-0000-0000CB560000}"/>
    <cellStyle name="Финансовый 2 3 6 7 5 2" xfId="21467" xr:uid="{00000000-0005-0000-0000-0000CC560000}"/>
    <cellStyle name="Финансовый 2 3 6 7 5 2 2" xfId="45422" xr:uid="{00000000-0005-0000-0000-0000CD560000}"/>
    <cellStyle name="Финансовый 2 3 6 7 5 3" xfId="33444" xr:uid="{00000000-0005-0000-0000-0000CE560000}"/>
    <cellStyle name="Финансовый 2 3 6 7 6" xfId="13647" xr:uid="{00000000-0005-0000-0000-0000CF560000}"/>
    <cellStyle name="Финансовый 2 3 6 7 6 2" xfId="37602" xr:uid="{00000000-0005-0000-0000-0000D0560000}"/>
    <cellStyle name="Финансовый 2 3 6 7 7" xfId="25625" xr:uid="{00000000-0005-0000-0000-0000D1560000}"/>
    <cellStyle name="Финансовый 2 3 6 7 8" xfId="48758" xr:uid="{00000000-0005-0000-0000-0000D2560000}"/>
    <cellStyle name="Финансовый 2 3 6 8" xfId="945" xr:uid="{00000000-0005-0000-0000-0000D3560000}"/>
    <cellStyle name="Финансовый 2 3 6 8 2" xfId="6985" xr:uid="{00000000-0005-0000-0000-0000D4560000}"/>
    <cellStyle name="Финансовый 2 3 6 8 2 2" xfId="18963" xr:uid="{00000000-0005-0000-0000-0000D5560000}"/>
    <cellStyle name="Финансовый 2 3 6 8 2 2 2" xfId="42918" xr:uid="{00000000-0005-0000-0000-0000D6560000}"/>
    <cellStyle name="Финансовый 2 3 6 8 2 3" xfId="30940" xr:uid="{00000000-0005-0000-0000-0000D7560000}"/>
    <cellStyle name="Финансовый 2 3 6 8 3" xfId="10533" xr:uid="{00000000-0005-0000-0000-0000D8560000}"/>
    <cellStyle name="Финансовый 2 3 6 8 3 2" xfId="22511" xr:uid="{00000000-0005-0000-0000-0000D9560000}"/>
    <cellStyle name="Финансовый 2 3 6 8 3 2 2" xfId="46466" xr:uid="{00000000-0005-0000-0000-0000DA560000}"/>
    <cellStyle name="Финансовый 2 3 6 8 3 3" xfId="34488" xr:uid="{00000000-0005-0000-0000-0000DB560000}"/>
    <cellStyle name="Финансовый 2 3 6 8 4" xfId="12926" xr:uid="{00000000-0005-0000-0000-0000DC560000}"/>
    <cellStyle name="Финансовый 2 3 6 8 4 2" xfId="36881" xr:uid="{00000000-0005-0000-0000-0000DD560000}"/>
    <cellStyle name="Финансовый 2 3 6 8 5" xfId="24904" xr:uid="{00000000-0005-0000-0000-0000DE560000}"/>
    <cellStyle name="Финансовый 2 3 6 8 6" xfId="49810" xr:uid="{00000000-0005-0000-0000-0000DF560000}"/>
    <cellStyle name="Финансовый 2 3 6 9" xfId="533" xr:uid="{00000000-0005-0000-0000-0000E0560000}"/>
    <cellStyle name="Финансовый 2 3 6 9 2" xfId="6573" xr:uid="{00000000-0005-0000-0000-0000E1560000}"/>
    <cellStyle name="Финансовый 2 3 6 9 2 2" xfId="18551" xr:uid="{00000000-0005-0000-0000-0000E2560000}"/>
    <cellStyle name="Финансовый 2 3 6 9 2 2 2" xfId="42506" xr:uid="{00000000-0005-0000-0000-0000E3560000}"/>
    <cellStyle name="Финансовый 2 3 6 9 2 3" xfId="30528" xr:uid="{00000000-0005-0000-0000-0000E4560000}"/>
    <cellStyle name="Финансовый 2 3 6 9 3" xfId="12514" xr:uid="{00000000-0005-0000-0000-0000E5560000}"/>
    <cellStyle name="Финансовый 2 3 6 9 3 2" xfId="36469" xr:uid="{00000000-0005-0000-0000-0000E6560000}"/>
    <cellStyle name="Финансовый 2 3 6 9 4" xfId="24492" xr:uid="{00000000-0005-0000-0000-0000E7560000}"/>
    <cellStyle name="Финансовый 2 3 7" xfId="76" xr:uid="{00000000-0005-0000-0000-0000E8560000}"/>
    <cellStyle name="Финансовый 2 3 7 10" xfId="2686" xr:uid="{00000000-0005-0000-0000-0000E9560000}"/>
    <cellStyle name="Финансовый 2 3 7 10 2" xfId="14665" xr:uid="{00000000-0005-0000-0000-0000EA560000}"/>
    <cellStyle name="Финансовый 2 3 7 10 2 2" xfId="38620" xr:uid="{00000000-0005-0000-0000-0000EB560000}"/>
    <cellStyle name="Финансовый 2 3 7 10 3" xfId="26643" xr:uid="{00000000-0005-0000-0000-0000EC560000}"/>
    <cellStyle name="Финансовый 2 3 7 11" xfId="4330" xr:uid="{00000000-0005-0000-0000-0000ED560000}"/>
    <cellStyle name="Финансовый 2 3 7 11 2" xfId="16309" xr:uid="{00000000-0005-0000-0000-0000EE560000}"/>
    <cellStyle name="Финансовый 2 3 7 11 2 2" xfId="40264" xr:uid="{00000000-0005-0000-0000-0000EF560000}"/>
    <cellStyle name="Финансовый 2 3 7 11 3" xfId="28287" xr:uid="{00000000-0005-0000-0000-0000F0560000}"/>
    <cellStyle name="Финансовый 2 3 7 12" xfId="6117" xr:uid="{00000000-0005-0000-0000-0000F1560000}"/>
    <cellStyle name="Финансовый 2 3 7 12 2" xfId="18095" xr:uid="{00000000-0005-0000-0000-0000F2560000}"/>
    <cellStyle name="Финансовый 2 3 7 12 2 2" xfId="42050" xr:uid="{00000000-0005-0000-0000-0000F3560000}"/>
    <cellStyle name="Финансовый 2 3 7 12 3" xfId="30072" xr:uid="{00000000-0005-0000-0000-0000F4560000}"/>
    <cellStyle name="Финансовый 2 3 7 13" xfId="8724" xr:uid="{00000000-0005-0000-0000-0000F5560000}"/>
    <cellStyle name="Финансовый 2 3 7 13 2" xfId="20702" xr:uid="{00000000-0005-0000-0000-0000F6560000}"/>
    <cellStyle name="Финансовый 2 3 7 13 2 2" xfId="44657" xr:uid="{00000000-0005-0000-0000-0000F7560000}"/>
    <cellStyle name="Финансовый 2 3 7 13 3" xfId="32679" xr:uid="{00000000-0005-0000-0000-0000F8560000}"/>
    <cellStyle name="Финансовый 2 3 7 14" xfId="12058" xr:uid="{00000000-0005-0000-0000-0000F9560000}"/>
    <cellStyle name="Финансовый 2 3 7 14 2" xfId="36013" xr:uid="{00000000-0005-0000-0000-0000FA560000}"/>
    <cellStyle name="Финансовый 2 3 7 15" xfId="24036" xr:uid="{00000000-0005-0000-0000-0000FB560000}"/>
    <cellStyle name="Финансовый 2 3 7 16" xfId="47994" xr:uid="{00000000-0005-0000-0000-0000FC560000}"/>
    <cellStyle name="Финансовый 2 3 7 2" xfId="212" xr:uid="{00000000-0005-0000-0000-0000FD560000}"/>
    <cellStyle name="Финансовый 2 3 7 2 10" xfId="8860" xr:uid="{00000000-0005-0000-0000-0000FE560000}"/>
    <cellStyle name="Финансовый 2 3 7 2 10 2" xfId="20838" xr:uid="{00000000-0005-0000-0000-0000FF560000}"/>
    <cellStyle name="Финансовый 2 3 7 2 10 2 2" xfId="44793" xr:uid="{00000000-0005-0000-0000-000000570000}"/>
    <cellStyle name="Финансовый 2 3 7 2 10 3" xfId="32815" xr:uid="{00000000-0005-0000-0000-000001570000}"/>
    <cellStyle name="Финансовый 2 3 7 2 11" xfId="12194" xr:uid="{00000000-0005-0000-0000-000002570000}"/>
    <cellStyle name="Финансовый 2 3 7 2 11 2" xfId="36149" xr:uid="{00000000-0005-0000-0000-000003570000}"/>
    <cellStyle name="Финансовый 2 3 7 2 12" xfId="24172" xr:uid="{00000000-0005-0000-0000-000004570000}"/>
    <cellStyle name="Финансовый 2 3 7 2 13" xfId="48130" xr:uid="{00000000-0005-0000-0000-000005570000}"/>
    <cellStyle name="Финансовый 2 3 7 2 2" xfId="1310" xr:uid="{00000000-0005-0000-0000-000006570000}"/>
    <cellStyle name="Финансовый 2 3 7 2 2 2" xfId="2268" xr:uid="{00000000-0005-0000-0000-000007570000}"/>
    <cellStyle name="Финансовый 2 3 7 2 2 2 2" xfId="3913" xr:uid="{00000000-0005-0000-0000-000008570000}"/>
    <cellStyle name="Финансовый 2 3 7 2 2 2 2 2" xfId="11653" xr:uid="{00000000-0005-0000-0000-000009570000}"/>
    <cellStyle name="Финансовый 2 3 7 2 2 2 2 2 2" xfId="23631" xr:uid="{00000000-0005-0000-0000-00000A570000}"/>
    <cellStyle name="Финансовый 2 3 7 2 2 2 2 2 2 2" xfId="47586" xr:uid="{00000000-0005-0000-0000-00000B570000}"/>
    <cellStyle name="Финансовый 2 3 7 2 2 2 2 2 3" xfId="35608" xr:uid="{00000000-0005-0000-0000-00000C570000}"/>
    <cellStyle name="Финансовый 2 3 7 2 2 2 2 3" xfId="15892" xr:uid="{00000000-0005-0000-0000-00000D570000}"/>
    <cellStyle name="Финансовый 2 3 7 2 2 2 2 3 2" xfId="39847" xr:uid="{00000000-0005-0000-0000-00000E570000}"/>
    <cellStyle name="Финансовый 2 3 7 2 2 2 2 4" xfId="27870" xr:uid="{00000000-0005-0000-0000-00000F570000}"/>
    <cellStyle name="Финансовый 2 3 7 2 2 2 2 5" xfId="51139" xr:uid="{00000000-0005-0000-0000-000010570000}"/>
    <cellStyle name="Финансовый 2 3 7 2 2 2 3" xfId="5696" xr:uid="{00000000-0005-0000-0000-000011570000}"/>
    <cellStyle name="Финансовый 2 3 7 2 2 2 3 2" xfId="17674" xr:uid="{00000000-0005-0000-0000-000012570000}"/>
    <cellStyle name="Финансовый 2 3 7 2 2 2 3 2 2" xfId="41629" xr:uid="{00000000-0005-0000-0000-000013570000}"/>
    <cellStyle name="Финансовый 2 3 7 2 2 2 3 3" xfId="29651" xr:uid="{00000000-0005-0000-0000-000014570000}"/>
    <cellStyle name="Финансовый 2 3 7 2 2 2 4" xfId="8306" xr:uid="{00000000-0005-0000-0000-000015570000}"/>
    <cellStyle name="Финансовый 2 3 7 2 2 2 4 2" xfId="20284" xr:uid="{00000000-0005-0000-0000-000016570000}"/>
    <cellStyle name="Финансовый 2 3 7 2 2 2 4 2 2" xfId="44239" xr:uid="{00000000-0005-0000-0000-000017570000}"/>
    <cellStyle name="Финансовый 2 3 7 2 2 2 4 3" xfId="32261" xr:uid="{00000000-0005-0000-0000-000018570000}"/>
    <cellStyle name="Финансовый 2 3 7 2 2 2 5" xfId="10089" xr:uid="{00000000-0005-0000-0000-000019570000}"/>
    <cellStyle name="Финансовый 2 3 7 2 2 2 5 2" xfId="22067" xr:uid="{00000000-0005-0000-0000-00001A570000}"/>
    <cellStyle name="Финансовый 2 3 7 2 2 2 5 2 2" xfId="46022" xr:uid="{00000000-0005-0000-0000-00001B570000}"/>
    <cellStyle name="Финансовый 2 3 7 2 2 2 5 3" xfId="34044" xr:uid="{00000000-0005-0000-0000-00001C570000}"/>
    <cellStyle name="Финансовый 2 3 7 2 2 2 6" xfId="14247" xr:uid="{00000000-0005-0000-0000-00001D570000}"/>
    <cellStyle name="Финансовый 2 3 7 2 2 2 6 2" xfId="38202" xr:uid="{00000000-0005-0000-0000-00001E570000}"/>
    <cellStyle name="Финансовый 2 3 7 2 2 2 7" xfId="26225" xr:uid="{00000000-0005-0000-0000-00001F570000}"/>
    <cellStyle name="Финансовый 2 3 7 2 2 2 8" xfId="49358" xr:uid="{00000000-0005-0000-0000-000020570000}"/>
    <cellStyle name="Финансовый 2 3 7 2 2 3" xfId="3094" xr:uid="{00000000-0005-0000-0000-000021570000}"/>
    <cellStyle name="Финансовый 2 3 7 2 2 3 2" xfId="10881" xr:uid="{00000000-0005-0000-0000-000022570000}"/>
    <cellStyle name="Финансовый 2 3 7 2 2 3 2 2" xfId="22859" xr:uid="{00000000-0005-0000-0000-000023570000}"/>
    <cellStyle name="Финансовый 2 3 7 2 2 3 2 2 2" xfId="46814" xr:uid="{00000000-0005-0000-0000-000024570000}"/>
    <cellStyle name="Финансовый 2 3 7 2 2 3 2 3" xfId="34836" xr:uid="{00000000-0005-0000-0000-000025570000}"/>
    <cellStyle name="Финансовый 2 3 7 2 2 3 3" xfId="15073" xr:uid="{00000000-0005-0000-0000-000026570000}"/>
    <cellStyle name="Финансовый 2 3 7 2 2 3 3 2" xfId="39028" xr:uid="{00000000-0005-0000-0000-000027570000}"/>
    <cellStyle name="Финансовый 2 3 7 2 2 3 4" xfId="27051" xr:uid="{00000000-0005-0000-0000-000028570000}"/>
    <cellStyle name="Финансовый 2 3 7 2 2 3 5" xfId="50182" xr:uid="{00000000-0005-0000-0000-000029570000}"/>
    <cellStyle name="Финансовый 2 3 7 2 2 4" xfId="4738" xr:uid="{00000000-0005-0000-0000-00002A570000}"/>
    <cellStyle name="Финансовый 2 3 7 2 2 4 2" xfId="16717" xr:uid="{00000000-0005-0000-0000-00002B570000}"/>
    <cellStyle name="Финансовый 2 3 7 2 2 4 2 2" xfId="40672" xr:uid="{00000000-0005-0000-0000-00002C570000}"/>
    <cellStyle name="Финансовый 2 3 7 2 2 4 3" xfId="28695" xr:uid="{00000000-0005-0000-0000-00002D570000}"/>
    <cellStyle name="Финансовый 2 3 7 2 2 5" xfId="7350" xr:uid="{00000000-0005-0000-0000-00002E570000}"/>
    <cellStyle name="Финансовый 2 3 7 2 2 5 2" xfId="19328" xr:uid="{00000000-0005-0000-0000-00002F570000}"/>
    <cellStyle name="Финансовый 2 3 7 2 2 5 2 2" xfId="43283" xr:uid="{00000000-0005-0000-0000-000030570000}"/>
    <cellStyle name="Финансовый 2 3 7 2 2 5 3" xfId="31305" xr:uid="{00000000-0005-0000-0000-000031570000}"/>
    <cellStyle name="Финансовый 2 3 7 2 2 6" xfId="9132" xr:uid="{00000000-0005-0000-0000-000032570000}"/>
    <cellStyle name="Финансовый 2 3 7 2 2 6 2" xfId="21110" xr:uid="{00000000-0005-0000-0000-000033570000}"/>
    <cellStyle name="Финансовый 2 3 7 2 2 6 2 2" xfId="45065" xr:uid="{00000000-0005-0000-0000-000034570000}"/>
    <cellStyle name="Финансовый 2 3 7 2 2 6 3" xfId="33087" xr:uid="{00000000-0005-0000-0000-000035570000}"/>
    <cellStyle name="Финансовый 2 3 7 2 2 7" xfId="13291" xr:uid="{00000000-0005-0000-0000-000036570000}"/>
    <cellStyle name="Финансовый 2 3 7 2 2 7 2" xfId="37246" xr:uid="{00000000-0005-0000-0000-000037570000}"/>
    <cellStyle name="Финансовый 2 3 7 2 2 8" xfId="25269" xr:uid="{00000000-0005-0000-0000-000038570000}"/>
    <cellStyle name="Финансовый 2 3 7 2 2 9" xfId="48402" xr:uid="{00000000-0005-0000-0000-000039570000}"/>
    <cellStyle name="Финансовый 2 3 7 2 3" xfId="2012" xr:uid="{00000000-0005-0000-0000-00003A570000}"/>
    <cellStyle name="Финансовый 2 3 7 2 3 2" xfId="3657" xr:uid="{00000000-0005-0000-0000-00003B570000}"/>
    <cellStyle name="Финансовый 2 3 7 2 3 2 2" xfId="11397" xr:uid="{00000000-0005-0000-0000-00003C570000}"/>
    <cellStyle name="Финансовый 2 3 7 2 3 2 2 2" xfId="23375" xr:uid="{00000000-0005-0000-0000-00003D570000}"/>
    <cellStyle name="Финансовый 2 3 7 2 3 2 2 2 2" xfId="47330" xr:uid="{00000000-0005-0000-0000-00003E570000}"/>
    <cellStyle name="Финансовый 2 3 7 2 3 2 2 3" xfId="35352" xr:uid="{00000000-0005-0000-0000-00003F570000}"/>
    <cellStyle name="Финансовый 2 3 7 2 3 2 3" xfId="15636" xr:uid="{00000000-0005-0000-0000-000040570000}"/>
    <cellStyle name="Финансовый 2 3 7 2 3 2 3 2" xfId="39591" xr:uid="{00000000-0005-0000-0000-000041570000}"/>
    <cellStyle name="Финансовый 2 3 7 2 3 2 4" xfId="27614" xr:uid="{00000000-0005-0000-0000-000042570000}"/>
    <cellStyle name="Финансовый 2 3 7 2 3 2 5" xfId="50883" xr:uid="{00000000-0005-0000-0000-000043570000}"/>
    <cellStyle name="Финансовый 2 3 7 2 3 3" xfId="5440" xr:uid="{00000000-0005-0000-0000-000044570000}"/>
    <cellStyle name="Финансовый 2 3 7 2 3 3 2" xfId="17418" xr:uid="{00000000-0005-0000-0000-000045570000}"/>
    <cellStyle name="Финансовый 2 3 7 2 3 3 2 2" xfId="41373" xr:uid="{00000000-0005-0000-0000-000046570000}"/>
    <cellStyle name="Финансовый 2 3 7 2 3 3 3" xfId="29395" xr:uid="{00000000-0005-0000-0000-000047570000}"/>
    <cellStyle name="Финансовый 2 3 7 2 3 4" xfId="8050" xr:uid="{00000000-0005-0000-0000-000048570000}"/>
    <cellStyle name="Финансовый 2 3 7 2 3 4 2" xfId="20028" xr:uid="{00000000-0005-0000-0000-000049570000}"/>
    <cellStyle name="Финансовый 2 3 7 2 3 4 2 2" xfId="43983" xr:uid="{00000000-0005-0000-0000-00004A570000}"/>
    <cellStyle name="Финансовый 2 3 7 2 3 4 3" xfId="32005" xr:uid="{00000000-0005-0000-0000-00004B570000}"/>
    <cellStyle name="Финансовый 2 3 7 2 3 5" xfId="9833" xr:uid="{00000000-0005-0000-0000-00004C570000}"/>
    <cellStyle name="Финансовый 2 3 7 2 3 5 2" xfId="21811" xr:uid="{00000000-0005-0000-0000-00004D570000}"/>
    <cellStyle name="Финансовый 2 3 7 2 3 5 2 2" xfId="45766" xr:uid="{00000000-0005-0000-0000-00004E570000}"/>
    <cellStyle name="Финансовый 2 3 7 2 3 5 3" xfId="33788" xr:uid="{00000000-0005-0000-0000-00004F570000}"/>
    <cellStyle name="Финансовый 2 3 7 2 3 6" xfId="13991" xr:uid="{00000000-0005-0000-0000-000050570000}"/>
    <cellStyle name="Финансовый 2 3 7 2 3 6 2" xfId="37946" xr:uid="{00000000-0005-0000-0000-000051570000}"/>
    <cellStyle name="Финансовый 2 3 7 2 3 7" xfId="25969" xr:uid="{00000000-0005-0000-0000-000052570000}"/>
    <cellStyle name="Финансовый 2 3 7 2 3 8" xfId="49102" xr:uid="{00000000-0005-0000-0000-000053570000}"/>
    <cellStyle name="Финансовый 2 3 7 2 4" xfId="2541" xr:uid="{00000000-0005-0000-0000-000054570000}"/>
    <cellStyle name="Финансовый 2 3 7 2 4 2" xfId="4186" xr:uid="{00000000-0005-0000-0000-000055570000}"/>
    <cellStyle name="Финансовый 2 3 7 2 4 2 2" xfId="11910" xr:uid="{00000000-0005-0000-0000-000056570000}"/>
    <cellStyle name="Финансовый 2 3 7 2 4 2 2 2" xfId="23888" xr:uid="{00000000-0005-0000-0000-000057570000}"/>
    <cellStyle name="Финансовый 2 3 7 2 4 2 2 2 2" xfId="47843" xr:uid="{00000000-0005-0000-0000-000058570000}"/>
    <cellStyle name="Финансовый 2 3 7 2 4 2 2 3" xfId="35865" xr:uid="{00000000-0005-0000-0000-000059570000}"/>
    <cellStyle name="Финансовый 2 3 7 2 4 2 3" xfId="16165" xr:uid="{00000000-0005-0000-0000-00005A570000}"/>
    <cellStyle name="Финансовый 2 3 7 2 4 2 3 2" xfId="40120" xr:uid="{00000000-0005-0000-0000-00005B570000}"/>
    <cellStyle name="Финансовый 2 3 7 2 4 2 4" xfId="28143" xr:uid="{00000000-0005-0000-0000-00005C570000}"/>
    <cellStyle name="Финансовый 2 3 7 2 4 2 5" xfId="51412" xr:uid="{00000000-0005-0000-0000-00005D570000}"/>
    <cellStyle name="Финансовый 2 3 7 2 4 3" xfId="5969" xr:uid="{00000000-0005-0000-0000-00005E570000}"/>
    <cellStyle name="Финансовый 2 3 7 2 4 3 2" xfId="17947" xr:uid="{00000000-0005-0000-0000-00005F570000}"/>
    <cellStyle name="Финансовый 2 3 7 2 4 3 2 2" xfId="41902" xr:uid="{00000000-0005-0000-0000-000060570000}"/>
    <cellStyle name="Финансовый 2 3 7 2 4 3 3" xfId="29924" xr:uid="{00000000-0005-0000-0000-000061570000}"/>
    <cellStyle name="Финансовый 2 3 7 2 4 4" xfId="8579" xr:uid="{00000000-0005-0000-0000-000062570000}"/>
    <cellStyle name="Финансовый 2 3 7 2 4 4 2" xfId="20557" xr:uid="{00000000-0005-0000-0000-000063570000}"/>
    <cellStyle name="Финансовый 2 3 7 2 4 4 2 2" xfId="44512" xr:uid="{00000000-0005-0000-0000-000064570000}"/>
    <cellStyle name="Финансовый 2 3 7 2 4 4 3" xfId="32534" xr:uid="{00000000-0005-0000-0000-000065570000}"/>
    <cellStyle name="Финансовый 2 3 7 2 4 5" xfId="10362" xr:uid="{00000000-0005-0000-0000-000066570000}"/>
    <cellStyle name="Финансовый 2 3 7 2 4 5 2" xfId="22340" xr:uid="{00000000-0005-0000-0000-000067570000}"/>
    <cellStyle name="Финансовый 2 3 7 2 4 5 2 2" xfId="46295" xr:uid="{00000000-0005-0000-0000-000068570000}"/>
    <cellStyle name="Финансовый 2 3 7 2 4 5 3" xfId="34317" xr:uid="{00000000-0005-0000-0000-000069570000}"/>
    <cellStyle name="Финансовый 2 3 7 2 4 6" xfId="14520" xr:uid="{00000000-0005-0000-0000-00006A570000}"/>
    <cellStyle name="Финансовый 2 3 7 2 4 6 2" xfId="38475" xr:uid="{00000000-0005-0000-0000-00006B570000}"/>
    <cellStyle name="Финансовый 2 3 7 2 4 7" xfId="26498" xr:uid="{00000000-0005-0000-0000-00006C570000}"/>
    <cellStyle name="Финансовый 2 3 7 2 4 8" xfId="49631" xr:uid="{00000000-0005-0000-0000-00006D570000}"/>
    <cellStyle name="Финансовый 2 3 7 2 5" xfId="1045" xr:uid="{00000000-0005-0000-0000-00006E570000}"/>
    <cellStyle name="Финансовый 2 3 7 2 5 2" xfId="7085" xr:uid="{00000000-0005-0000-0000-00006F570000}"/>
    <cellStyle name="Финансовый 2 3 7 2 5 2 2" xfId="19063" xr:uid="{00000000-0005-0000-0000-000070570000}"/>
    <cellStyle name="Финансовый 2 3 7 2 5 2 2 2" xfId="43018" xr:uid="{00000000-0005-0000-0000-000071570000}"/>
    <cellStyle name="Финансовый 2 3 7 2 5 2 3" xfId="31040" xr:uid="{00000000-0005-0000-0000-000072570000}"/>
    <cellStyle name="Финансовый 2 3 7 2 5 3" xfId="10625" xr:uid="{00000000-0005-0000-0000-000073570000}"/>
    <cellStyle name="Финансовый 2 3 7 2 5 3 2" xfId="22603" xr:uid="{00000000-0005-0000-0000-000074570000}"/>
    <cellStyle name="Финансовый 2 3 7 2 5 3 2 2" xfId="46558" xr:uid="{00000000-0005-0000-0000-000075570000}"/>
    <cellStyle name="Финансовый 2 3 7 2 5 3 3" xfId="34580" xr:uid="{00000000-0005-0000-0000-000076570000}"/>
    <cellStyle name="Финансовый 2 3 7 2 5 4" xfId="13026" xr:uid="{00000000-0005-0000-0000-000077570000}"/>
    <cellStyle name="Финансовый 2 3 7 2 5 4 2" xfId="36981" xr:uid="{00000000-0005-0000-0000-000078570000}"/>
    <cellStyle name="Финансовый 2 3 7 2 5 5" xfId="25004" xr:uid="{00000000-0005-0000-0000-000079570000}"/>
    <cellStyle name="Финансовый 2 3 7 2 5 6" xfId="49910" xr:uid="{00000000-0005-0000-0000-00007A570000}"/>
    <cellStyle name="Финансовый 2 3 7 2 6" xfId="633" xr:uid="{00000000-0005-0000-0000-00007B570000}"/>
    <cellStyle name="Финансовый 2 3 7 2 6 2" xfId="6673" xr:uid="{00000000-0005-0000-0000-00007C570000}"/>
    <cellStyle name="Финансовый 2 3 7 2 6 2 2" xfId="18651" xr:uid="{00000000-0005-0000-0000-00007D570000}"/>
    <cellStyle name="Финансовый 2 3 7 2 6 2 2 2" xfId="42606" xr:uid="{00000000-0005-0000-0000-00007E570000}"/>
    <cellStyle name="Финансовый 2 3 7 2 6 2 3" xfId="30628" xr:uid="{00000000-0005-0000-0000-00007F570000}"/>
    <cellStyle name="Финансовый 2 3 7 2 6 3" xfId="12614" xr:uid="{00000000-0005-0000-0000-000080570000}"/>
    <cellStyle name="Финансовый 2 3 7 2 6 3 2" xfId="36569" xr:uid="{00000000-0005-0000-0000-000081570000}"/>
    <cellStyle name="Финансовый 2 3 7 2 6 4" xfId="24592" xr:uid="{00000000-0005-0000-0000-000082570000}"/>
    <cellStyle name="Финансовый 2 3 7 2 7" xfId="2822" xr:uid="{00000000-0005-0000-0000-000083570000}"/>
    <cellStyle name="Финансовый 2 3 7 2 7 2" xfId="14801" xr:uid="{00000000-0005-0000-0000-000084570000}"/>
    <cellStyle name="Финансовый 2 3 7 2 7 2 2" xfId="38756" xr:uid="{00000000-0005-0000-0000-000085570000}"/>
    <cellStyle name="Финансовый 2 3 7 2 7 3" xfId="26779" xr:uid="{00000000-0005-0000-0000-000086570000}"/>
    <cellStyle name="Финансовый 2 3 7 2 8" xfId="4466" xr:uid="{00000000-0005-0000-0000-000087570000}"/>
    <cellStyle name="Финансовый 2 3 7 2 8 2" xfId="16445" xr:uid="{00000000-0005-0000-0000-000088570000}"/>
    <cellStyle name="Финансовый 2 3 7 2 8 2 2" xfId="40400" xr:uid="{00000000-0005-0000-0000-000089570000}"/>
    <cellStyle name="Финансовый 2 3 7 2 8 3" xfId="28423" xr:uid="{00000000-0005-0000-0000-00008A570000}"/>
    <cellStyle name="Финансовый 2 3 7 2 9" xfId="6253" xr:uid="{00000000-0005-0000-0000-00008B570000}"/>
    <cellStyle name="Финансовый 2 3 7 2 9 2" xfId="18231" xr:uid="{00000000-0005-0000-0000-00008C570000}"/>
    <cellStyle name="Финансовый 2 3 7 2 9 2 2" xfId="42186" xr:uid="{00000000-0005-0000-0000-00008D570000}"/>
    <cellStyle name="Финансовый 2 3 7 2 9 3" xfId="30208" xr:uid="{00000000-0005-0000-0000-00008E570000}"/>
    <cellStyle name="Финансовый 2 3 7 3" xfId="361" xr:uid="{00000000-0005-0000-0000-00008F570000}"/>
    <cellStyle name="Финансовый 2 3 7 3 10" xfId="24320" xr:uid="{00000000-0005-0000-0000-000090570000}"/>
    <cellStyle name="Финансовый 2 3 7 3 11" xfId="48266" xr:uid="{00000000-0005-0000-0000-000091570000}"/>
    <cellStyle name="Финансовый 2 3 7 3 2" xfId="2140" xr:uid="{00000000-0005-0000-0000-000092570000}"/>
    <cellStyle name="Финансовый 2 3 7 3 2 2" xfId="3785" xr:uid="{00000000-0005-0000-0000-000093570000}"/>
    <cellStyle name="Финансовый 2 3 7 3 2 2 2" xfId="11525" xr:uid="{00000000-0005-0000-0000-000094570000}"/>
    <cellStyle name="Финансовый 2 3 7 3 2 2 2 2" xfId="23503" xr:uid="{00000000-0005-0000-0000-000095570000}"/>
    <cellStyle name="Финансовый 2 3 7 3 2 2 2 2 2" xfId="47458" xr:uid="{00000000-0005-0000-0000-000096570000}"/>
    <cellStyle name="Финансовый 2 3 7 3 2 2 2 3" xfId="35480" xr:uid="{00000000-0005-0000-0000-000097570000}"/>
    <cellStyle name="Финансовый 2 3 7 3 2 2 3" xfId="15764" xr:uid="{00000000-0005-0000-0000-000098570000}"/>
    <cellStyle name="Финансовый 2 3 7 3 2 2 3 2" xfId="39719" xr:uid="{00000000-0005-0000-0000-000099570000}"/>
    <cellStyle name="Финансовый 2 3 7 3 2 2 4" xfId="27742" xr:uid="{00000000-0005-0000-0000-00009A570000}"/>
    <cellStyle name="Финансовый 2 3 7 3 2 2 5" xfId="51011" xr:uid="{00000000-0005-0000-0000-00009B570000}"/>
    <cellStyle name="Финансовый 2 3 7 3 2 3" xfId="5568" xr:uid="{00000000-0005-0000-0000-00009C570000}"/>
    <cellStyle name="Финансовый 2 3 7 3 2 3 2" xfId="17546" xr:uid="{00000000-0005-0000-0000-00009D570000}"/>
    <cellStyle name="Финансовый 2 3 7 3 2 3 2 2" xfId="41501" xr:uid="{00000000-0005-0000-0000-00009E570000}"/>
    <cellStyle name="Финансовый 2 3 7 3 2 3 3" xfId="29523" xr:uid="{00000000-0005-0000-0000-00009F570000}"/>
    <cellStyle name="Финансовый 2 3 7 3 2 4" xfId="8178" xr:uid="{00000000-0005-0000-0000-0000A0570000}"/>
    <cellStyle name="Финансовый 2 3 7 3 2 4 2" xfId="20156" xr:uid="{00000000-0005-0000-0000-0000A1570000}"/>
    <cellStyle name="Финансовый 2 3 7 3 2 4 2 2" xfId="44111" xr:uid="{00000000-0005-0000-0000-0000A2570000}"/>
    <cellStyle name="Финансовый 2 3 7 3 2 4 3" xfId="32133" xr:uid="{00000000-0005-0000-0000-0000A3570000}"/>
    <cellStyle name="Финансовый 2 3 7 3 2 5" xfId="9961" xr:uid="{00000000-0005-0000-0000-0000A4570000}"/>
    <cellStyle name="Финансовый 2 3 7 3 2 5 2" xfId="21939" xr:uid="{00000000-0005-0000-0000-0000A5570000}"/>
    <cellStyle name="Финансовый 2 3 7 3 2 5 2 2" xfId="45894" xr:uid="{00000000-0005-0000-0000-0000A6570000}"/>
    <cellStyle name="Финансовый 2 3 7 3 2 5 3" xfId="33916" xr:uid="{00000000-0005-0000-0000-0000A7570000}"/>
    <cellStyle name="Финансовый 2 3 7 3 2 6" xfId="14119" xr:uid="{00000000-0005-0000-0000-0000A8570000}"/>
    <cellStyle name="Финансовый 2 3 7 3 2 6 2" xfId="38074" xr:uid="{00000000-0005-0000-0000-0000A9570000}"/>
    <cellStyle name="Финансовый 2 3 7 3 2 7" xfId="26097" xr:uid="{00000000-0005-0000-0000-0000AA570000}"/>
    <cellStyle name="Финансовый 2 3 7 3 2 8" xfId="49230" xr:uid="{00000000-0005-0000-0000-0000AB570000}"/>
    <cellStyle name="Финансовый 2 3 7 3 3" xfId="1174" xr:uid="{00000000-0005-0000-0000-0000AC570000}"/>
    <cellStyle name="Финансовый 2 3 7 3 3 2" xfId="7214" xr:uid="{00000000-0005-0000-0000-0000AD570000}"/>
    <cellStyle name="Финансовый 2 3 7 3 3 2 2" xfId="19192" xr:uid="{00000000-0005-0000-0000-0000AE570000}"/>
    <cellStyle name="Финансовый 2 3 7 3 3 2 2 2" xfId="43147" xr:uid="{00000000-0005-0000-0000-0000AF570000}"/>
    <cellStyle name="Финансовый 2 3 7 3 3 2 3" xfId="31169" xr:uid="{00000000-0005-0000-0000-0000B0570000}"/>
    <cellStyle name="Финансовый 2 3 7 3 3 3" xfId="10753" xr:uid="{00000000-0005-0000-0000-0000B1570000}"/>
    <cellStyle name="Финансовый 2 3 7 3 3 3 2" xfId="22731" xr:uid="{00000000-0005-0000-0000-0000B2570000}"/>
    <cellStyle name="Финансовый 2 3 7 3 3 3 2 2" xfId="46686" xr:uid="{00000000-0005-0000-0000-0000B3570000}"/>
    <cellStyle name="Финансовый 2 3 7 3 3 3 3" xfId="34708" xr:uid="{00000000-0005-0000-0000-0000B4570000}"/>
    <cellStyle name="Финансовый 2 3 7 3 3 4" xfId="13155" xr:uid="{00000000-0005-0000-0000-0000B5570000}"/>
    <cellStyle name="Финансовый 2 3 7 3 3 4 2" xfId="37110" xr:uid="{00000000-0005-0000-0000-0000B6570000}"/>
    <cellStyle name="Финансовый 2 3 7 3 3 5" xfId="25133" xr:uid="{00000000-0005-0000-0000-0000B7570000}"/>
    <cellStyle name="Финансовый 2 3 7 3 3 6" xfId="50046" xr:uid="{00000000-0005-0000-0000-0000B8570000}"/>
    <cellStyle name="Финансовый 2 3 7 3 4" xfId="781" xr:uid="{00000000-0005-0000-0000-0000B9570000}"/>
    <cellStyle name="Финансовый 2 3 7 3 4 2" xfId="6821" xr:uid="{00000000-0005-0000-0000-0000BA570000}"/>
    <cellStyle name="Финансовый 2 3 7 3 4 2 2" xfId="18799" xr:uid="{00000000-0005-0000-0000-0000BB570000}"/>
    <cellStyle name="Финансовый 2 3 7 3 4 2 2 2" xfId="42754" xr:uid="{00000000-0005-0000-0000-0000BC570000}"/>
    <cellStyle name="Финансовый 2 3 7 3 4 2 3" xfId="30776" xr:uid="{00000000-0005-0000-0000-0000BD570000}"/>
    <cellStyle name="Финансовый 2 3 7 3 4 3" xfId="12762" xr:uid="{00000000-0005-0000-0000-0000BE570000}"/>
    <cellStyle name="Финансовый 2 3 7 3 4 3 2" xfId="36717" xr:uid="{00000000-0005-0000-0000-0000BF570000}"/>
    <cellStyle name="Финансовый 2 3 7 3 4 4" xfId="24740" xr:uid="{00000000-0005-0000-0000-0000C0570000}"/>
    <cellStyle name="Финансовый 2 3 7 3 5" xfId="2958" xr:uid="{00000000-0005-0000-0000-0000C1570000}"/>
    <cellStyle name="Финансовый 2 3 7 3 5 2" xfId="14937" xr:uid="{00000000-0005-0000-0000-0000C2570000}"/>
    <cellStyle name="Финансовый 2 3 7 3 5 2 2" xfId="38892" xr:uid="{00000000-0005-0000-0000-0000C3570000}"/>
    <cellStyle name="Финансовый 2 3 7 3 5 3" xfId="26915" xr:uid="{00000000-0005-0000-0000-0000C4570000}"/>
    <cellStyle name="Финансовый 2 3 7 3 6" xfId="4602" xr:uid="{00000000-0005-0000-0000-0000C5570000}"/>
    <cellStyle name="Финансовый 2 3 7 3 6 2" xfId="16581" xr:uid="{00000000-0005-0000-0000-0000C6570000}"/>
    <cellStyle name="Финансовый 2 3 7 3 6 2 2" xfId="40536" xr:uid="{00000000-0005-0000-0000-0000C7570000}"/>
    <cellStyle name="Финансовый 2 3 7 3 6 3" xfId="28559" xr:uid="{00000000-0005-0000-0000-0000C8570000}"/>
    <cellStyle name="Финансовый 2 3 7 3 7" xfId="6401" xr:uid="{00000000-0005-0000-0000-0000C9570000}"/>
    <cellStyle name="Финансовый 2 3 7 3 7 2" xfId="18379" xr:uid="{00000000-0005-0000-0000-0000CA570000}"/>
    <cellStyle name="Финансовый 2 3 7 3 7 2 2" xfId="42334" xr:uid="{00000000-0005-0000-0000-0000CB570000}"/>
    <cellStyle name="Финансовый 2 3 7 3 7 3" xfId="30356" xr:uid="{00000000-0005-0000-0000-0000CC570000}"/>
    <cellStyle name="Финансовый 2 3 7 3 8" xfId="8996" xr:uid="{00000000-0005-0000-0000-0000CD570000}"/>
    <cellStyle name="Финансовый 2 3 7 3 8 2" xfId="20974" xr:uid="{00000000-0005-0000-0000-0000CE570000}"/>
    <cellStyle name="Финансовый 2 3 7 3 8 2 2" xfId="44929" xr:uid="{00000000-0005-0000-0000-0000CF570000}"/>
    <cellStyle name="Финансовый 2 3 7 3 8 3" xfId="32951" xr:uid="{00000000-0005-0000-0000-0000D0570000}"/>
    <cellStyle name="Финансовый 2 3 7 3 9" xfId="12342" xr:uid="{00000000-0005-0000-0000-0000D1570000}"/>
    <cellStyle name="Финансовый 2 3 7 3 9 2" xfId="36297" xr:uid="{00000000-0005-0000-0000-0000D2570000}"/>
    <cellStyle name="Финансовый 2 3 7 4" xfId="1493" xr:uid="{00000000-0005-0000-0000-0000D3570000}"/>
    <cellStyle name="Финансовый 2 3 7 4 2" xfId="1884" xr:uid="{00000000-0005-0000-0000-0000D4570000}"/>
    <cellStyle name="Финансовый 2 3 7 4 2 2" xfId="3529" xr:uid="{00000000-0005-0000-0000-0000D5570000}"/>
    <cellStyle name="Финансовый 2 3 7 4 2 2 2" xfId="11269" xr:uid="{00000000-0005-0000-0000-0000D6570000}"/>
    <cellStyle name="Финансовый 2 3 7 4 2 2 2 2" xfId="23247" xr:uid="{00000000-0005-0000-0000-0000D7570000}"/>
    <cellStyle name="Финансовый 2 3 7 4 2 2 2 2 2" xfId="47202" xr:uid="{00000000-0005-0000-0000-0000D8570000}"/>
    <cellStyle name="Финансовый 2 3 7 4 2 2 2 3" xfId="35224" xr:uid="{00000000-0005-0000-0000-0000D9570000}"/>
    <cellStyle name="Финансовый 2 3 7 4 2 2 3" xfId="15508" xr:uid="{00000000-0005-0000-0000-0000DA570000}"/>
    <cellStyle name="Финансовый 2 3 7 4 2 2 3 2" xfId="39463" xr:uid="{00000000-0005-0000-0000-0000DB570000}"/>
    <cellStyle name="Финансовый 2 3 7 4 2 2 4" xfId="27486" xr:uid="{00000000-0005-0000-0000-0000DC570000}"/>
    <cellStyle name="Финансовый 2 3 7 4 2 2 5" xfId="50755" xr:uid="{00000000-0005-0000-0000-0000DD570000}"/>
    <cellStyle name="Финансовый 2 3 7 4 2 3" xfId="5312" xr:uid="{00000000-0005-0000-0000-0000DE570000}"/>
    <cellStyle name="Финансовый 2 3 7 4 2 3 2" xfId="17290" xr:uid="{00000000-0005-0000-0000-0000DF570000}"/>
    <cellStyle name="Финансовый 2 3 7 4 2 3 2 2" xfId="41245" xr:uid="{00000000-0005-0000-0000-0000E0570000}"/>
    <cellStyle name="Финансовый 2 3 7 4 2 3 3" xfId="29267" xr:uid="{00000000-0005-0000-0000-0000E1570000}"/>
    <cellStyle name="Финансовый 2 3 7 4 2 4" xfId="7922" xr:uid="{00000000-0005-0000-0000-0000E2570000}"/>
    <cellStyle name="Финансовый 2 3 7 4 2 4 2" xfId="19900" xr:uid="{00000000-0005-0000-0000-0000E3570000}"/>
    <cellStyle name="Финансовый 2 3 7 4 2 4 2 2" xfId="43855" xr:uid="{00000000-0005-0000-0000-0000E4570000}"/>
    <cellStyle name="Финансовый 2 3 7 4 2 4 3" xfId="31877" xr:uid="{00000000-0005-0000-0000-0000E5570000}"/>
    <cellStyle name="Финансовый 2 3 7 4 2 5" xfId="9705" xr:uid="{00000000-0005-0000-0000-0000E6570000}"/>
    <cellStyle name="Финансовый 2 3 7 4 2 5 2" xfId="21683" xr:uid="{00000000-0005-0000-0000-0000E7570000}"/>
    <cellStyle name="Финансовый 2 3 7 4 2 5 2 2" xfId="45638" xr:uid="{00000000-0005-0000-0000-0000E8570000}"/>
    <cellStyle name="Финансовый 2 3 7 4 2 5 3" xfId="33660" xr:uid="{00000000-0005-0000-0000-0000E9570000}"/>
    <cellStyle name="Финансовый 2 3 7 4 2 6" xfId="13863" xr:uid="{00000000-0005-0000-0000-0000EA570000}"/>
    <cellStyle name="Финансовый 2 3 7 4 2 6 2" xfId="37818" xr:uid="{00000000-0005-0000-0000-0000EB570000}"/>
    <cellStyle name="Финансовый 2 3 7 4 2 7" xfId="25841" xr:uid="{00000000-0005-0000-0000-0000EC570000}"/>
    <cellStyle name="Финансовый 2 3 7 4 2 8" xfId="48974" xr:uid="{00000000-0005-0000-0000-0000ED570000}"/>
    <cellStyle name="Финансовый 2 3 7 4 3" xfId="4921" xr:uid="{00000000-0005-0000-0000-0000EE570000}"/>
    <cellStyle name="Финансовый 2 3 7 4 3 2" xfId="16899" xr:uid="{00000000-0005-0000-0000-0000EF570000}"/>
    <cellStyle name="Финансовый 2 3 7 4 3 2 2" xfId="40854" xr:uid="{00000000-0005-0000-0000-0000F0570000}"/>
    <cellStyle name="Финансовый 2 3 7 4 3 3" xfId="28876" xr:uid="{00000000-0005-0000-0000-0000F1570000}"/>
    <cellStyle name="Финансовый 2 3 7 4 3 4" xfId="50364" xr:uid="{00000000-0005-0000-0000-0000F2570000}"/>
    <cellStyle name="Финансовый 2 3 7 4 4" xfId="7531" xr:uid="{00000000-0005-0000-0000-0000F3570000}"/>
    <cellStyle name="Финансовый 2 3 7 4 4 2" xfId="19509" xr:uid="{00000000-0005-0000-0000-0000F4570000}"/>
    <cellStyle name="Финансовый 2 3 7 4 4 2 2" xfId="43464" xr:uid="{00000000-0005-0000-0000-0000F5570000}"/>
    <cellStyle name="Финансовый 2 3 7 4 4 3" xfId="31486" xr:uid="{00000000-0005-0000-0000-0000F6570000}"/>
    <cellStyle name="Финансовый 2 3 7 4 5" xfId="9314" xr:uid="{00000000-0005-0000-0000-0000F7570000}"/>
    <cellStyle name="Финансовый 2 3 7 4 5 2" xfId="21292" xr:uid="{00000000-0005-0000-0000-0000F8570000}"/>
    <cellStyle name="Финансовый 2 3 7 4 5 2 2" xfId="45247" xr:uid="{00000000-0005-0000-0000-0000F9570000}"/>
    <cellStyle name="Финансовый 2 3 7 4 5 3" xfId="33269" xr:uid="{00000000-0005-0000-0000-0000FA570000}"/>
    <cellStyle name="Финансовый 2 3 7 4 6" xfId="13472" xr:uid="{00000000-0005-0000-0000-0000FB570000}"/>
    <cellStyle name="Финансовый 2 3 7 4 6 2" xfId="37427" xr:uid="{00000000-0005-0000-0000-0000FC570000}"/>
    <cellStyle name="Финансовый 2 3 7 4 7" xfId="25450" xr:uid="{00000000-0005-0000-0000-0000FD570000}"/>
    <cellStyle name="Финансовый 2 3 7 4 8" xfId="48583" xr:uid="{00000000-0005-0000-0000-0000FE570000}"/>
    <cellStyle name="Финансовый 2 3 7 5" xfId="1760" xr:uid="{00000000-0005-0000-0000-0000FF570000}"/>
    <cellStyle name="Финансовый 2 3 7 5 2" xfId="3405" xr:uid="{00000000-0005-0000-0000-000000580000}"/>
    <cellStyle name="Финансовый 2 3 7 5 2 2" xfId="11153" xr:uid="{00000000-0005-0000-0000-000001580000}"/>
    <cellStyle name="Финансовый 2 3 7 5 2 2 2" xfId="23131" xr:uid="{00000000-0005-0000-0000-000002580000}"/>
    <cellStyle name="Финансовый 2 3 7 5 2 2 2 2" xfId="47086" xr:uid="{00000000-0005-0000-0000-000003580000}"/>
    <cellStyle name="Финансовый 2 3 7 5 2 2 3" xfId="35108" xr:uid="{00000000-0005-0000-0000-000004580000}"/>
    <cellStyle name="Финансовый 2 3 7 5 2 3" xfId="15384" xr:uid="{00000000-0005-0000-0000-000005580000}"/>
    <cellStyle name="Финансовый 2 3 7 5 2 3 2" xfId="39339" xr:uid="{00000000-0005-0000-0000-000006580000}"/>
    <cellStyle name="Финансовый 2 3 7 5 2 4" xfId="27362" xr:uid="{00000000-0005-0000-0000-000007580000}"/>
    <cellStyle name="Финансовый 2 3 7 5 2 5" xfId="50631" xr:uid="{00000000-0005-0000-0000-000008580000}"/>
    <cellStyle name="Финансовый 2 3 7 5 3" xfId="5188" xr:uid="{00000000-0005-0000-0000-000009580000}"/>
    <cellStyle name="Финансовый 2 3 7 5 3 2" xfId="17166" xr:uid="{00000000-0005-0000-0000-00000A580000}"/>
    <cellStyle name="Финансовый 2 3 7 5 3 2 2" xfId="41121" xr:uid="{00000000-0005-0000-0000-00000B580000}"/>
    <cellStyle name="Финансовый 2 3 7 5 3 3" xfId="29143" xr:uid="{00000000-0005-0000-0000-00000C580000}"/>
    <cellStyle name="Финансовый 2 3 7 5 4" xfId="7798" xr:uid="{00000000-0005-0000-0000-00000D580000}"/>
    <cellStyle name="Финансовый 2 3 7 5 4 2" xfId="19776" xr:uid="{00000000-0005-0000-0000-00000E580000}"/>
    <cellStyle name="Финансовый 2 3 7 5 4 2 2" xfId="43731" xr:uid="{00000000-0005-0000-0000-00000F580000}"/>
    <cellStyle name="Финансовый 2 3 7 5 4 3" xfId="31753" xr:uid="{00000000-0005-0000-0000-000010580000}"/>
    <cellStyle name="Финансовый 2 3 7 5 5" xfId="9581" xr:uid="{00000000-0005-0000-0000-000011580000}"/>
    <cellStyle name="Финансовый 2 3 7 5 5 2" xfId="21559" xr:uid="{00000000-0005-0000-0000-000012580000}"/>
    <cellStyle name="Финансовый 2 3 7 5 5 2 2" xfId="45514" xr:uid="{00000000-0005-0000-0000-000013580000}"/>
    <cellStyle name="Финансовый 2 3 7 5 5 3" xfId="33536" xr:uid="{00000000-0005-0000-0000-000014580000}"/>
    <cellStyle name="Финансовый 2 3 7 5 6" xfId="13739" xr:uid="{00000000-0005-0000-0000-000015580000}"/>
    <cellStyle name="Финансовый 2 3 7 5 6 2" xfId="37694" xr:uid="{00000000-0005-0000-0000-000016580000}"/>
    <cellStyle name="Финансовый 2 3 7 5 7" xfId="25717" xr:uid="{00000000-0005-0000-0000-000017580000}"/>
    <cellStyle name="Финансовый 2 3 7 5 8" xfId="48850" xr:uid="{00000000-0005-0000-0000-000018580000}"/>
    <cellStyle name="Финансовый 2 3 7 6" xfId="2405" xr:uid="{00000000-0005-0000-0000-000019580000}"/>
    <cellStyle name="Финансовый 2 3 7 6 2" xfId="4050" xr:uid="{00000000-0005-0000-0000-00001A580000}"/>
    <cellStyle name="Финансовый 2 3 7 6 2 2" xfId="11782" xr:uid="{00000000-0005-0000-0000-00001B580000}"/>
    <cellStyle name="Финансовый 2 3 7 6 2 2 2" xfId="23760" xr:uid="{00000000-0005-0000-0000-00001C580000}"/>
    <cellStyle name="Финансовый 2 3 7 6 2 2 2 2" xfId="47715" xr:uid="{00000000-0005-0000-0000-00001D580000}"/>
    <cellStyle name="Финансовый 2 3 7 6 2 2 3" xfId="35737" xr:uid="{00000000-0005-0000-0000-00001E580000}"/>
    <cellStyle name="Финансовый 2 3 7 6 2 3" xfId="16029" xr:uid="{00000000-0005-0000-0000-00001F580000}"/>
    <cellStyle name="Финансовый 2 3 7 6 2 3 2" xfId="39984" xr:uid="{00000000-0005-0000-0000-000020580000}"/>
    <cellStyle name="Финансовый 2 3 7 6 2 4" xfId="28007" xr:uid="{00000000-0005-0000-0000-000021580000}"/>
    <cellStyle name="Финансовый 2 3 7 6 2 5" xfId="51276" xr:uid="{00000000-0005-0000-0000-000022580000}"/>
    <cellStyle name="Финансовый 2 3 7 6 3" xfId="5833" xr:uid="{00000000-0005-0000-0000-000023580000}"/>
    <cellStyle name="Финансовый 2 3 7 6 3 2" xfId="17811" xr:uid="{00000000-0005-0000-0000-000024580000}"/>
    <cellStyle name="Финансовый 2 3 7 6 3 2 2" xfId="41766" xr:uid="{00000000-0005-0000-0000-000025580000}"/>
    <cellStyle name="Финансовый 2 3 7 6 3 3" xfId="29788" xr:uid="{00000000-0005-0000-0000-000026580000}"/>
    <cellStyle name="Финансовый 2 3 7 6 4" xfId="8443" xr:uid="{00000000-0005-0000-0000-000027580000}"/>
    <cellStyle name="Финансовый 2 3 7 6 4 2" xfId="20421" xr:uid="{00000000-0005-0000-0000-000028580000}"/>
    <cellStyle name="Финансовый 2 3 7 6 4 2 2" xfId="44376" xr:uid="{00000000-0005-0000-0000-000029580000}"/>
    <cellStyle name="Финансовый 2 3 7 6 4 3" xfId="32398" xr:uid="{00000000-0005-0000-0000-00002A580000}"/>
    <cellStyle name="Финансовый 2 3 7 6 5" xfId="10226" xr:uid="{00000000-0005-0000-0000-00002B580000}"/>
    <cellStyle name="Финансовый 2 3 7 6 5 2" xfId="22204" xr:uid="{00000000-0005-0000-0000-00002C580000}"/>
    <cellStyle name="Финансовый 2 3 7 6 5 2 2" xfId="46159" xr:uid="{00000000-0005-0000-0000-00002D580000}"/>
    <cellStyle name="Финансовый 2 3 7 6 5 3" xfId="34181" xr:uid="{00000000-0005-0000-0000-00002E580000}"/>
    <cellStyle name="Финансовый 2 3 7 6 6" xfId="14384" xr:uid="{00000000-0005-0000-0000-00002F580000}"/>
    <cellStyle name="Финансовый 2 3 7 6 6 2" xfId="38339" xr:uid="{00000000-0005-0000-0000-000030580000}"/>
    <cellStyle name="Финансовый 2 3 7 6 7" xfId="26362" xr:uid="{00000000-0005-0000-0000-000031580000}"/>
    <cellStyle name="Финансовый 2 3 7 6 8" xfId="49495" xr:uid="{00000000-0005-0000-0000-000032580000}"/>
    <cellStyle name="Финансовый 2 3 7 7" xfId="1632" xr:uid="{00000000-0005-0000-0000-000033580000}"/>
    <cellStyle name="Финансовый 2 3 7 7 2" xfId="3277" xr:uid="{00000000-0005-0000-0000-000034580000}"/>
    <cellStyle name="Финансовый 2 3 7 7 2 2" xfId="11025" xr:uid="{00000000-0005-0000-0000-000035580000}"/>
    <cellStyle name="Финансовый 2 3 7 7 2 2 2" xfId="23003" xr:uid="{00000000-0005-0000-0000-000036580000}"/>
    <cellStyle name="Финансовый 2 3 7 7 2 2 2 2" xfId="46958" xr:uid="{00000000-0005-0000-0000-000037580000}"/>
    <cellStyle name="Финансовый 2 3 7 7 2 2 3" xfId="34980" xr:uid="{00000000-0005-0000-0000-000038580000}"/>
    <cellStyle name="Финансовый 2 3 7 7 2 3" xfId="15256" xr:uid="{00000000-0005-0000-0000-000039580000}"/>
    <cellStyle name="Финансовый 2 3 7 7 2 3 2" xfId="39211" xr:uid="{00000000-0005-0000-0000-00003A580000}"/>
    <cellStyle name="Финансовый 2 3 7 7 2 4" xfId="27234" xr:uid="{00000000-0005-0000-0000-00003B580000}"/>
    <cellStyle name="Финансовый 2 3 7 7 2 5" xfId="50503" xr:uid="{00000000-0005-0000-0000-00003C580000}"/>
    <cellStyle name="Финансовый 2 3 7 7 3" xfId="5060" xr:uid="{00000000-0005-0000-0000-00003D580000}"/>
    <cellStyle name="Финансовый 2 3 7 7 3 2" xfId="17038" xr:uid="{00000000-0005-0000-0000-00003E580000}"/>
    <cellStyle name="Финансовый 2 3 7 7 3 2 2" xfId="40993" xr:uid="{00000000-0005-0000-0000-00003F580000}"/>
    <cellStyle name="Финансовый 2 3 7 7 3 3" xfId="29015" xr:uid="{00000000-0005-0000-0000-000040580000}"/>
    <cellStyle name="Финансовый 2 3 7 7 4" xfId="7670" xr:uid="{00000000-0005-0000-0000-000041580000}"/>
    <cellStyle name="Финансовый 2 3 7 7 4 2" xfId="19648" xr:uid="{00000000-0005-0000-0000-000042580000}"/>
    <cellStyle name="Финансовый 2 3 7 7 4 2 2" xfId="43603" xr:uid="{00000000-0005-0000-0000-000043580000}"/>
    <cellStyle name="Финансовый 2 3 7 7 4 3" xfId="31625" xr:uid="{00000000-0005-0000-0000-000044580000}"/>
    <cellStyle name="Финансовый 2 3 7 7 5" xfId="9453" xr:uid="{00000000-0005-0000-0000-000045580000}"/>
    <cellStyle name="Финансовый 2 3 7 7 5 2" xfId="21431" xr:uid="{00000000-0005-0000-0000-000046580000}"/>
    <cellStyle name="Финансовый 2 3 7 7 5 2 2" xfId="45386" xr:uid="{00000000-0005-0000-0000-000047580000}"/>
    <cellStyle name="Финансовый 2 3 7 7 5 3" xfId="33408" xr:uid="{00000000-0005-0000-0000-000048580000}"/>
    <cellStyle name="Финансовый 2 3 7 7 6" xfId="13611" xr:uid="{00000000-0005-0000-0000-000049580000}"/>
    <cellStyle name="Финансовый 2 3 7 7 6 2" xfId="37566" xr:uid="{00000000-0005-0000-0000-00004A580000}"/>
    <cellStyle name="Финансовый 2 3 7 7 7" xfId="25589" xr:uid="{00000000-0005-0000-0000-00004B580000}"/>
    <cellStyle name="Финансовый 2 3 7 7 8" xfId="48722" xr:uid="{00000000-0005-0000-0000-00004C580000}"/>
    <cellStyle name="Финансовый 2 3 7 8" xfId="909" xr:uid="{00000000-0005-0000-0000-00004D580000}"/>
    <cellStyle name="Финансовый 2 3 7 8 2" xfId="6949" xr:uid="{00000000-0005-0000-0000-00004E580000}"/>
    <cellStyle name="Финансовый 2 3 7 8 2 2" xfId="18927" xr:uid="{00000000-0005-0000-0000-00004F580000}"/>
    <cellStyle name="Финансовый 2 3 7 8 2 2 2" xfId="42882" xr:uid="{00000000-0005-0000-0000-000050580000}"/>
    <cellStyle name="Финансовый 2 3 7 8 2 3" xfId="30904" xr:uid="{00000000-0005-0000-0000-000051580000}"/>
    <cellStyle name="Финансовый 2 3 7 8 3" xfId="10497" xr:uid="{00000000-0005-0000-0000-000052580000}"/>
    <cellStyle name="Финансовый 2 3 7 8 3 2" xfId="22475" xr:uid="{00000000-0005-0000-0000-000053580000}"/>
    <cellStyle name="Финансовый 2 3 7 8 3 2 2" xfId="46430" xr:uid="{00000000-0005-0000-0000-000054580000}"/>
    <cellStyle name="Финансовый 2 3 7 8 3 3" xfId="34452" xr:uid="{00000000-0005-0000-0000-000055580000}"/>
    <cellStyle name="Финансовый 2 3 7 8 4" xfId="12890" xr:uid="{00000000-0005-0000-0000-000056580000}"/>
    <cellStyle name="Финансовый 2 3 7 8 4 2" xfId="36845" xr:uid="{00000000-0005-0000-0000-000057580000}"/>
    <cellStyle name="Финансовый 2 3 7 8 5" xfId="24868" xr:uid="{00000000-0005-0000-0000-000058580000}"/>
    <cellStyle name="Финансовый 2 3 7 8 6" xfId="49774" xr:uid="{00000000-0005-0000-0000-000059580000}"/>
    <cellStyle name="Финансовый 2 3 7 9" xfId="497" xr:uid="{00000000-0005-0000-0000-00005A580000}"/>
    <cellStyle name="Финансовый 2 3 7 9 2" xfId="6537" xr:uid="{00000000-0005-0000-0000-00005B580000}"/>
    <cellStyle name="Финансовый 2 3 7 9 2 2" xfId="18515" xr:uid="{00000000-0005-0000-0000-00005C580000}"/>
    <cellStyle name="Финансовый 2 3 7 9 2 2 2" xfId="42470" xr:uid="{00000000-0005-0000-0000-00005D580000}"/>
    <cellStyle name="Финансовый 2 3 7 9 2 3" xfId="30492" xr:uid="{00000000-0005-0000-0000-00005E580000}"/>
    <cellStyle name="Финансовый 2 3 7 9 3" xfId="12478" xr:uid="{00000000-0005-0000-0000-00005F580000}"/>
    <cellStyle name="Финансовый 2 3 7 9 3 2" xfId="36433" xr:uid="{00000000-0005-0000-0000-000060580000}"/>
    <cellStyle name="Финансовый 2 3 7 9 4" xfId="24456" xr:uid="{00000000-0005-0000-0000-000061580000}"/>
    <cellStyle name="Финансовый 2 3 8" xfId="54" xr:uid="{00000000-0005-0000-0000-000062580000}"/>
    <cellStyle name="Финансовый 2 3 8 10" xfId="2666" xr:uid="{00000000-0005-0000-0000-000063580000}"/>
    <cellStyle name="Финансовый 2 3 8 10 2" xfId="14645" xr:uid="{00000000-0005-0000-0000-000064580000}"/>
    <cellStyle name="Финансовый 2 3 8 10 2 2" xfId="38600" xr:uid="{00000000-0005-0000-0000-000065580000}"/>
    <cellStyle name="Финансовый 2 3 8 10 3" xfId="26623" xr:uid="{00000000-0005-0000-0000-000066580000}"/>
    <cellStyle name="Финансовый 2 3 8 11" xfId="4309" xr:uid="{00000000-0005-0000-0000-000067580000}"/>
    <cellStyle name="Финансовый 2 3 8 11 2" xfId="16288" xr:uid="{00000000-0005-0000-0000-000068580000}"/>
    <cellStyle name="Финансовый 2 3 8 11 2 2" xfId="40243" xr:uid="{00000000-0005-0000-0000-000069580000}"/>
    <cellStyle name="Финансовый 2 3 8 11 3" xfId="28266" xr:uid="{00000000-0005-0000-0000-00006A580000}"/>
    <cellStyle name="Финансовый 2 3 8 12" xfId="6097" xr:uid="{00000000-0005-0000-0000-00006B580000}"/>
    <cellStyle name="Финансовый 2 3 8 12 2" xfId="18075" xr:uid="{00000000-0005-0000-0000-00006C580000}"/>
    <cellStyle name="Финансовый 2 3 8 12 2 2" xfId="42030" xr:uid="{00000000-0005-0000-0000-00006D580000}"/>
    <cellStyle name="Финансовый 2 3 8 12 3" xfId="30052" xr:uid="{00000000-0005-0000-0000-00006E580000}"/>
    <cellStyle name="Финансовый 2 3 8 13" xfId="8704" xr:uid="{00000000-0005-0000-0000-00006F580000}"/>
    <cellStyle name="Финансовый 2 3 8 13 2" xfId="20682" xr:uid="{00000000-0005-0000-0000-000070580000}"/>
    <cellStyle name="Финансовый 2 3 8 13 2 2" xfId="44637" xr:uid="{00000000-0005-0000-0000-000071580000}"/>
    <cellStyle name="Финансовый 2 3 8 13 3" xfId="32659" xr:uid="{00000000-0005-0000-0000-000072580000}"/>
    <cellStyle name="Финансовый 2 3 8 14" xfId="12038" xr:uid="{00000000-0005-0000-0000-000073580000}"/>
    <cellStyle name="Финансовый 2 3 8 14 2" xfId="35993" xr:uid="{00000000-0005-0000-0000-000074580000}"/>
    <cellStyle name="Финансовый 2 3 8 15" xfId="24016" xr:uid="{00000000-0005-0000-0000-000075580000}"/>
    <cellStyle name="Финансовый 2 3 8 16" xfId="47974" xr:uid="{00000000-0005-0000-0000-000076580000}"/>
    <cellStyle name="Финансовый 2 3 8 2" xfId="192" xr:uid="{00000000-0005-0000-0000-000077580000}"/>
    <cellStyle name="Финансовый 2 3 8 2 10" xfId="8840" xr:uid="{00000000-0005-0000-0000-000078580000}"/>
    <cellStyle name="Финансовый 2 3 8 2 10 2" xfId="20818" xr:uid="{00000000-0005-0000-0000-000079580000}"/>
    <cellStyle name="Финансовый 2 3 8 2 10 2 2" xfId="44773" xr:uid="{00000000-0005-0000-0000-00007A580000}"/>
    <cellStyle name="Финансовый 2 3 8 2 10 3" xfId="32795" xr:uid="{00000000-0005-0000-0000-00007B580000}"/>
    <cellStyle name="Финансовый 2 3 8 2 11" xfId="12174" xr:uid="{00000000-0005-0000-0000-00007C580000}"/>
    <cellStyle name="Финансовый 2 3 8 2 11 2" xfId="36129" xr:uid="{00000000-0005-0000-0000-00007D580000}"/>
    <cellStyle name="Финансовый 2 3 8 2 12" xfId="24152" xr:uid="{00000000-0005-0000-0000-00007E580000}"/>
    <cellStyle name="Финансовый 2 3 8 2 13" xfId="48110" xr:uid="{00000000-0005-0000-0000-00007F580000}"/>
    <cellStyle name="Финансовый 2 3 8 2 2" xfId="1290" xr:uid="{00000000-0005-0000-0000-000080580000}"/>
    <cellStyle name="Финансовый 2 3 8 2 2 2" xfId="2256" xr:uid="{00000000-0005-0000-0000-000081580000}"/>
    <cellStyle name="Финансовый 2 3 8 2 2 2 2" xfId="3901" xr:uid="{00000000-0005-0000-0000-000082580000}"/>
    <cellStyle name="Финансовый 2 3 8 2 2 2 2 2" xfId="11641" xr:uid="{00000000-0005-0000-0000-000083580000}"/>
    <cellStyle name="Финансовый 2 3 8 2 2 2 2 2 2" xfId="23619" xr:uid="{00000000-0005-0000-0000-000084580000}"/>
    <cellStyle name="Финансовый 2 3 8 2 2 2 2 2 2 2" xfId="47574" xr:uid="{00000000-0005-0000-0000-000085580000}"/>
    <cellStyle name="Финансовый 2 3 8 2 2 2 2 2 3" xfId="35596" xr:uid="{00000000-0005-0000-0000-000086580000}"/>
    <cellStyle name="Финансовый 2 3 8 2 2 2 2 3" xfId="15880" xr:uid="{00000000-0005-0000-0000-000087580000}"/>
    <cellStyle name="Финансовый 2 3 8 2 2 2 2 3 2" xfId="39835" xr:uid="{00000000-0005-0000-0000-000088580000}"/>
    <cellStyle name="Финансовый 2 3 8 2 2 2 2 4" xfId="27858" xr:uid="{00000000-0005-0000-0000-000089580000}"/>
    <cellStyle name="Финансовый 2 3 8 2 2 2 2 5" xfId="51127" xr:uid="{00000000-0005-0000-0000-00008A580000}"/>
    <cellStyle name="Финансовый 2 3 8 2 2 2 3" xfId="5684" xr:uid="{00000000-0005-0000-0000-00008B580000}"/>
    <cellStyle name="Финансовый 2 3 8 2 2 2 3 2" xfId="17662" xr:uid="{00000000-0005-0000-0000-00008C580000}"/>
    <cellStyle name="Финансовый 2 3 8 2 2 2 3 2 2" xfId="41617" xr:uid="{00000000-0005-0000-0000-00008D580000}"/>
    <cellStyle name="Финансовый 2 3 8 2 2 2 3 3" xfId="29639" xr:uid="{00000000-0005-0000-0000-00008E580000}"/>
    <cellStyle name="Финансовый 2 3 8 2 2 2 4" xfId="8294" xr:uid="{00000000-0005-0000-0000-00008F580000}"/>
    <cellStyle name="Финансовый 2 3 8 2 2 2 4 2" xfId="20272" xr:uid="{00000000-0005-0000-0000-000090580000}"/>
    <cellStyle name="Финансовый 2 3 8 2 2 2 4 2 2" xfId="44227" xr:uid="{00000000-0005-0000-0000-000091580000}"/>
    <cellStyle name="Финансовый 2 3 8 2 2 2 4 3" xfId="32249" xr:uid="{00000000-0005-0000-0000-000092580000}"/>
    <cellStyle name="Финансовый 2 3 8 2 2 2 5" xfId="10077" xr:uid="{00000000-0005-0000-0000-000093580000}"/>
    <cellStyle name="Финансовый 2 3 8 2 2 2 5 2" xfId="22055" xr:uid="{00000000-0005-0000-0000-000094580000}"/>
    <cellStyle name="Финансовый 2 3 8 2 2 2 5 2 2" xfId="46010" xr:uid="{00000000-0005-0000-0000-000095580000}"/>
    <cellStyle name="Финансовый 2 3 8 2 2 2 5 3" xfId="34032" xr:uid="{00000000-0005-0000-0000-000096580000}"/>
    <cellStyle name="Финансовый 2 3 8 2 2 2 6" xfId="14235" xr:uid="{00000000-0005-0000-0000-000097580000}"/>
    <cellStyle name="Финансовый 2 3 8 2 2 2 6 2" xfId="38190" xr:uid="{00000000-0005-0000-0000-000098580000}"/>
    <cellStyle name="Финансовый 2 3 8 2 2 2 7" xfId="26213" xr:uid="{00000000-0005-0000-0000-000099580000}"/>
    <cellStyle name="Финансовый 2 3 8 2 2 2 8" xfId="49346" xr:uid="{00000000-0005-0000-0000-00009A580000}"/>
    <cellStyle name="Финансовый 2 3 8 2 2 3" xfId="3074" xr:uid="{00000000-0005-0000-0000-00009B580000}"/>
    <cellStyle name="Финансовый 2 3 8 2 2 3 2" xfId="10869" xr:uid="{00000000-0005-0000-0000-00009C580000}"/>
    <cellStyle name="Финансовый 2 3 8 2 2 3 2 2" xfId="22847" xr:uid="{00000000-0005-0000-0000-00009D580000}"/>
    <cellStyle name="Финансовый 2 3 8 2 2 3 2 2 2" xfId="46802" xr:uid="{00000000-0005-0000-0000-00009E580000}"/>
    <cellStyle name="Финансовый 2 3 8 2 2 3 2 3" xfId="34824" xr:uid="{00000000-0005-0000-0000-00009F580000}"/>
    <cellStyle name="Финансовый 2 3 8 2 2 3 3" xfId="15053" xr:uid="{00000000-0005-0000-0000-0000A0580000}"/>
    <cellStyle name="Финансовый 2 3 8 2 2 3 3 2" xfId="39008" xr:uid="{00000000-0005-0000-0000-0000A1580000}"/>
    <cellStyle name="Финансовый 2 3 8 2 2 3 4" xfId="27031" xr:uid="{00000000-0005-0000-0000-0000A2580000}"/>
    <cellStyle name="Финансовый 2 3 8 2 2 3 5" xfId="50162" xr:uid="{00000000-0005-0000-0000-0000A3580000}"/>
    <cellStyle name="Финансовый 2 3 8 2 2 4" xfId="4718" xr:uid="{00000000-0005-0000-0000-0000A4580000}"/>
    <cellStyle name="Финансовый 2 3 8 2 2 4 2" xfId="16697" xr:uid="{00000000-0005-0000-0000-0000A5580000}"/>
    <cellStyle name="Финансовый 2 3 8 2 2 4 2 2" xfId="40652" xr:uid="{00000000-0005-0000-0000-0000A6580000}"/>
    <cellStyle name="Финансовый 2 3 8 2 2 4 3" xfId="28675" xr:uid="{00000000-0005-0000-0000-0000A7580000}"/>
    <cellStyle name="Финансовый 2 3 8 2 2 5" xfId="7330" xr:uid="{00000000-0005-0000-0000-0000A8580000}"/>
    <cellStyle name="Финансовый 2 3 8 2 2 5 2" xfId="19308" xr:uid="{00000000-0005-0000-0000-0000A9580000}"/>
    <cellStyle name="Финансовый 2 3 8 2 2 5 2 2" xfId="43263" xr:uid="{00000000-0005-0000-0000-0000AA580000}"/>
    <cellStyle name="Финансовый 2 3 8 2 2 5 3" xfId="31285" xr:uid="{00000000-0005-0000-0000-0000AB580000}"/>
    <cellStyle name="Финансовый 2 3 8 2 2 6" xfId="9112" xr:uid="{00000000-0005-0000-0000-0000AC580000}"/>
    <cellStyle name="Финансовый 2 3 8 2 2 6 2" xfId="21090" xr:uid="{00000000-0005-0000-0000-0000AD580000}"/>
    <cellStyle name="Финансовый 2 3 8 2 2 6 2 2" xfId="45045" xr:uid="{00000000-0005-0000-0000-0000AE580000}"/>
    <cellStyle name="Финансовый 2 3 8 2 2 6 3" xfId="33067" xr:uid="{00000000-0005-0000-0000-0000AF580000}"/>
    <cellStyle name="Финансовый 2 3 8 2 2 7" xfId="13271" xr:uid="{00000000-0005-0000-0000-0000B0580000}"/>
    <cellStyle name="Финансовый 2 3 8 2 2 7 2" xfId="37226" xr:uid="{00000000-0005-0000-0000-0000B1580000}"/>
    <cellStyle name="Финансовый 2 3 8 2 2 8" xfId="25249" xr:uid="{00000000-0005-0000-0000-0000B2580000}"/>
    <cellStyle name="Финансовый 2 3 8 2 2 9" xfId="48382" xr:uid="{00000000-0005-0000-0000-0000B3580000}"/>
    <cellStyle name="Финансовый 2 3 8 2 3" xfId="2000" xr:uid="{00000000-0005-0000-0000-0000B4580000}"/>
    <cellStyle name="Финансовый 2 3 8 2 3 2" xfId="3645" xr:uid="{00000000-0005-0000-0000-0000B5580000}"/>
    <cellStyle name="Финансовый 2 3 8 2 3 2 2" xfId="11385" xr:uid="{00000000-0005-0000-0000-0000B6580000}"/>
    <cellStyle name="Финансовый 2 3 8 2 3 2 2 2" xfId="23363" xr:uid="{00000000-0005-0000-0000-0000B7580000}"/>
    <cellStyle name="Финансовый 2 3 8 2 3 2 2 2 2" xfId="47318" xr:uid="{00000000-0005-0000-0000-0000B8580000}"/>
    <cellStyle name="Финансовый 2 3 8 2 3 2 2 3" xfId="35340" xr:uid="{00000000-0005-0000-0000-0000B9580000}"/>
    <cellStyle name="Финансовый 2 3 8 2 3 2 3" xfId="15624" xr:uid="{00000000-0005-0000-0000-0000BA580000}"/>
    <cellStyle name="Финансовый 2 3 8 2 3 2 3 2" xfId="39579" xr:uid="{00000000-0005-0000-0000-0000BB580000}"/>
    <cellStyle name="Финансовый 2 3 8 2 3 2 4" xfId="27602" xr:uid="{00000000-0005-0000-0000-0000BC580000}"/>
    <cellStyle name="Финансовый 2 3 8 2 3 2 5" xfId="50871" xr:uid="{00000000-0005-0000-0000-0000BD580000}"/>
    <cellStyle name="Финансовый 2 3 8 2 3 3" xfId="5428" xr:uid="{00000000-0005-0000-0000-0000BE580000}"/>
    <cellStyle name="Финансовый 2 3 8 2 3 3 2" xfId="17406" xr:uid="{00000000-0005-0000-0000-0000BF580000}"/>
    <cellStyle name="Финансовый 2 3 8 2 3 3 2 2" xfId="41361" xr:uid="{00000000-0005-0000-0000-0000C0580000}"/>
    <cellStyle name="Финансовый 2 3 8 2 3 3 3" xfId="29383" xr:uid="{00000000-0005-0000-0000-0000C1580000}"/>
    <cellStyle name="Финансовый 2 3 8 2 3 4" xfId="8038" xr:uid="{00000000-0005-0000-0000-0000C2580000}"/>
    <cellStyle name="Финансовый 2 3 8 2 3 4 2" xfId="20016" xr:uid="{00000000-0005-0000-0000-0000C3580000}"/>
    <cellStyle name="Финансовый 2 3 8 2 3 4 2 2" xfId="43971" xr:uid="{00000000-0005-0000-0000-0000C4580000}"/>
    <cellStyle name="Финансовый 2 3 8 2 3 4 3" xfId="31993" xr:uid="{00000000-0005-0000-0000-0000C5580000}"/>
    <cellStyle name="Финансовый 2 3 8 2 3 5" xfId="9821" xr:uid="{00000000-0005-0000-0000-0000C6580000}"/>
    <cellStyle name="Финансовый 2 3 8 2 3 5 2" xfId="21799" xr:uid="{00000000-0005-0000-0000-0000C7580000}"/>
    <cellStyle name="Финансовый 2 3 8 2 3 5 2 2" xfId="45754" xr:uid="{00000000-0005-0000-0000-0000C8580000}"/>
    <cellStyle name="Финансовый 2 3 8 2 3 5 3" xfId="33776" xr:uid="{00000000-0005-0000-0000-0000C9580000}"/>
    <cellStyle name="Финансовый 2 3 8 2 3 6" xfId="13979" xr:uid="{00000000-0005-0000-0000-0000CA580000}"/>
    <cellStyle name="Финансовый 2 3 8 2 3 6 2" xfId="37934" xr:uid="{00000000-0005-0000-0000-0000CB580000}"/>
    <cellStyle name="Финансовый 2 3 8 2 3 7" xfId="25957" xr:uid="{00000000-0005-0000-0000-0000CC580000}"/>
    <cellStyle name="Финансовый 2 3 8 2 3 8" xfId="49090" xr:uid="{00000000-0005-0000-0000-0000CD580000}"/>
    <cellStyle name="Финансовый 2 3 8 2 4" xfId="2521" xr:uid="{00000000-0005-0000-0000-0000CE580000}"/>
    <cellStyle name="Финансовый 2 3 8 2 4 2" xfId="4166" xr:uid="{00000000-0005-0000-0000-0000CF580000}"/>
    <cellStyle name="Финансовый 2 3 8 2 4 2 2" xfId="11898" xr:uid="{00000000-0005-0000-0000-0000D0580000}"/>
    <cellStyle name="Финансовый 2 3 8 2 4 2 2 2" xfId="23876" xr:uid="{00000000-0005-0000-0000-0000D1580000}"/>
    <cellStyle name="Финансовый 2 3 8 2 4 2 2 2 2" xfId="47831" xr:uid="{00000000-0005-0000-0000-0000D2580000}"/>
    <cellStyle name="Финансовый 2 3 8 2 4 2 2 3" xfId="35853" xr:uid="{00000000-0005-0000-0000-0000D3580000}"/>
    <cellStyle name="Финансовый 2 3 8 2 4 2 3" xfId="16145" xr:uid="{00000000-0005-0000-0000-0000D4580000}"/>
    <cellStyle name="Финансовый 2 3 8 2 4 2 3 2" xfId="40100" xr:uid="{00000000-0005-0000-0000-0000D5580000}"/>
    <cellStyle name="Финансовый 2 3 8 2 4 2 4" xfId="28123" xr:uid="{00000000-0005-0000-0000-0000D6580000}"/>
    <cellStyle name="Финансовый 2 3 8 2 4 2 5" xfId="51392" xr:uid="{00000000-0005-0000-0000-0000D7580000}"/>
    <cellStyle name="Финансовый 2 3 8 2 4 3" xfId="5949" xr:uid="{00000000-0005-0000-0000-0000D8580000}"/>
    <cellStyle name="Финансовый 2 3 8 2 4 3 2" xfId="17927" xr:uid="{00000000-0005-0000-0000-0000D9580000}"/>
    <cellStyle name="Финансовый 2 3 8 2 4 3 2 2" xfId="41882" xr:uid="{00000000-0005-0000-0000-0000DA580000}"/>
    <cellStyle name="Финансовый 2 3 8 2 4 3 3" xfId="29904" xr:uid="{00000000-0005-0000-0000-0000DB580000}"/>
    <cellStyle name="Финансовый 2 3 8 2 4 4" xfId="8559" xr:uid="{00000000-0005-0000-0000-0000DC580000}"/>
    <cellStyle name="Финансовый 2 3 8 2 4 4 2" xfId="20537" xr:uid="{00000000-0005-0000-0000-0000DD580000}"/>
    <cellStyle name="Финансовый 2 3 8 2 4 4 2 2" xfId="44492" xr:uid="{00000000-0005-0000-0000-0000DE580000}"/>
    <cellStyle name="Финансовый 2 3 8 2 4 4 3" xfId="32514" xr:uid="{00000000-0005-0000-0000-0000DF580000}"/>
    <cellStyle name="Финансовый 2 3 8 2 4 5" xfId="10342" xr:uid="{00000000-0005-0000-0000-0000E0580000}"/>
    <cellStyle name="Финансовый 2 3 8 2 4 5 2" xfId="22320" xr:uid="{00000000-0005-0000-0000-0000E1580000}"/>
    <cellStyle name="Финансовый 2 3 8 2 4 5 2 2" xfId="46275" xr:uid="{00000000-0005-0000-0000-0000E2580000}"/>
    <cellStyle name="Финансовый 2 3 8 2 4 5 3" xfId="34297" xr:uid="{00000000-0005-0000-0000-0000E3580000}"/>
    <cellStyle name="Финансовый 2 3 8 2 4 6" xfId="14500" xr:uid="{00000000-0005-0000-0000-0000E4580000}"/>
    <cellStyle name="Финансовый 2 3 8 2 4 6 2" xfId="38455" xr:uid="{00000000-0005-0000-0000-0000E5580000}"/>
    <cellStyle name="Финансовый 2 3 8 2 4 7" xfId="26478" xr:uid="{00000000-0005-0000-0000-0000E6580000}"/>
    <cellStyle name="Финансовый 2 3 8 2 4 8" xfId="49611" xr:uid="{00000000-0005-0000-0000-0000E7580000}"/>
    <cellStyle name="Финансовый 2 3 8 2 5" xfId="1025" xr:uid="{00000000-0005-0000-0000-0000E8580000}"/>
    <cellStyle name="Финансовый 2 3 8 2 5 2" xfId="7065" xr:uid="{00000000-0005-0000-0000-0000E9580000}"/>
    <cellStyle name="Финансовый 2 3 8 2 5 2 2" xfId="19043" xr:uid="{00000000-0005-0000-0000-0000EA580000}"/>
    <cellStyle name="Финансовый 2 3 8 2 5 2 2 2" xfId="42998" xr:uid="{00000000-0005-0000-0000-0000EB580000}"/>
    <cellStyle name="Финансовый 2 3 8 2 5 2 3" xfId="31020" xr:uid="{00000000-0005-0000-0000-0000EC580000}"/>
    <cellStyle name="Финансовый 2 3 8 2 5 3" xfId="10613" xr:uid="{00000000-0005-0000-0000-0000ED580000}"/>
    <cellStyle name="Финансовый 2 3 8 2 5 3 2" xfId="22591" xr:uid="{00000000-0005-0000-0000-0000EE580000}"/>
    <cellStyle name="Финансовый 2 3 8 2 5 3 2 2" xfId="46546" xr:uid="{00000000-0005-0000-0000-0000EF580000}"/>
    <cellStyle name="Финансовый 2 3 8 2 5 3 3" xfId="34568" xr:uid="{00000000-0005-0000-0000-0000F0580000}"/>
    <cellStyle name="Финансовый 2 3 8 2 5 4" xfId="13006" xr:uid="{00000000-0005-0000-0000-0000F1580000}"/>
    <cellStyle name="Финансовый 2 3 8 2 5 4 2" xfId="36961" xr:uid="{00000000-0005-0000-0000-0000F2580000}"/>
    <cellStyle name="Финансовый 2 3 8 2 5 5" xfId="24984" xr:uid="{00000000-0005-0000-0000-0000F3580000}"/>
    <cellStyle name="Финансовый 2 3 8 2 5 6" xfId="49890" xr:uid="{00000000-0005-0000-0000-0000F4580000}"/>
    <cellStyle name="Финансовый 2 3 8 2 6" xfId="613" xr:uid="{00000000-0005-0000-0000-0000F5580000}"/>
    <cellStyle name="Финансовый 2 3 8 2 6 2" xfId="6653" xr:uid="{00000000-0005-0000-0000-0000F6580000}"/>
    <cellStyle name="Финансовый 2 3 8 2 6 2 2" xfId="18631" xr:uid="{00000000-0005-0000-0000-0000F7580000}"/>
    <cellStyle name="Финансовый 2 3 8 2 6 2 2 2" xfId="42586" xr:uid="{00000000-0005-0000-0000-0000F8580000}"/>
    <cellStyle name="Финансовый 2 3 8 2 6 2 3" xfId="30608" xr:uid="{00000000-0005-0000-0000-0000F9580000}"/>
    <cellStyle name="Финансовый 2 3 8 2 6 3" xfId="12594" xr:uid="{00000000-0005-0000-0000-0000FA580000}"/>
    <cellStyle name="Финансовый 2 3 8 2 6 3 2" xfId="36549" xr:uid="{00000000-0005-0000-0000-0000FB580000}"/>
    <cellStyle name="Финансовый 2 3 8 2 6 4" xfId="24572" xr:uid="{00000000-0005-0000-0000-0000FC580000}"/>
    <cellStyle name="Финансовый 2 3 8 2 7" xfId="2802" xr:uid="{00000000-0005-0000-0000-0000FD580000}"/>
    <cellStyle name="Финансовый 2 3 8 2 7 2" xfId="14781" xr:uid="{00000000-0005-0000-0000-0000FE580000}"/>
    <cellStyle name="Финансовый 2 3 8 2 7 2 2" xfId="38736" xr:uid="{00000000-0005-0000-0000-0000FF580000}"/>
    <cellStyle name="Финансовый 2 3 8 2 7 3" xfId="26759" xr:uid="{00000000-0005-0000-0000-000000590000}"/>
    <cellStyle name="Финансовый 2 3 8 2 8" xfId="4446" xr:uid="{00000000-0005-0000-0000-000001590000}"/>
    <cellStyle name="Финансовый 2 3 8 2 8 2" xfId="16425" xr:uid="{00000000-0005-0000-0000-000002590000}"/>
    <cellStyle name="Финансовый 2 3 8 2 8 2 2" xfId="40380" xr:uid="{00000000-0005-0000-0000-000003590000}"/>
    <cellStyle name="Финансовый 2 3 8 2 8 3" xfId="28403" xr:uid="{00000000-0005-0000-0000-000004590000}"/>
    <cellStyle name="Финансовый 2 3 8 2 9" xfId="6233" xr:uid="{00000000-0005-0000-0000-000005590000}"/>
    <cellStyle name="Финансовый 2 3 8 2 9 2" xfId="18211" xr:uid="{00000000-0005-0000-0000-000006590000}"/>
    <cellStyle name="Финансовый 2 3 8 2 9 2 2" xfId="42166" xr:uid="{00000000-0005-0000-0000-000007590000}"/>
    <cellStyle name="Финансовый 2 3 8 2 9 3" xfId="30188" xr:uid="{00000000-0005-0000-0000-000008590000}"/>
    <cellStyle name="Финансовый 2 3 8 3" xfId="341" xr:uid="{00000000-0005-0000-0000-000009590000}"/>
    <cellStyle name="Финансовый 2 3 8 3 10" xfId="24300" xr:uid="{00000000-0005-0000-0000-00000A590000}"/>
    <cellStyle name="Финансовый 2 3 8 3 11" xfId="48246" xr:uid="{00000000-0005-0000-0000-00000B590000}"/>
    <cellStyle name="Финансовый 2 3 8 3 2" xfId="2128" xr:uid="{00000000-0005-0000-0000-00000C590000}"/>
    <cellStyle name="Финансовый 2 3 8 3 2 2" xfId="3773" xr:uid="{00000000-0005-0000-0000-00000D590000}"/>
    <cellStyle name="Финансовый 2 3 8 3 2 2 2" xfId="11513" xr:uid="{00000000-0005-0000-0000-00000E590000}"/>
    <cellStyle name="Финансовый 2 3 8 3 2 2 2 2" xfId="23491" xr:uid="{00000000-0005-0000-0000-00000F590000}"/>
    <cellStyle name="Финансовый 2 3 8 3 2 2 2 2 2" xfId="47446" xr:uid="{00000000-0005-0000-0000-000010590000}"/>
    <cellStyle name="Финансовый 2 3 8 3 2 2 2 3" xfId="35468" xr:uid="{00000000-0005-0000-0000-000011590000}"/>
    <cellStyle name="Финансовый 2 3 8 3 2 2 3" xfId="15752" xr:uid="{00000000-0005-0000-0000-000012590000}"/>
    <cellStyle name="Финансовый 2 3 8 3 2 2 3 2" xfId="39707" xr:uid="{00000000-0005-0000-0000-000013590000}"/>
    <cellStyle name="Финансовый 2 3 8 3 2 2 4" xfId="27730" xr:uid="{00000000-0005-0000-0000-000014590000}"/>
    <cellStyle name="Финансовый 2 3 8 3 2 2 5" xfId="50999" xr:uid="{00000000-0005-0000-0000-000015590000}"/>
    <cellStyle name="Финансовый 2 3 8 3 2 3" xfId="5556" xr:uid="{00000000-0005-0000-0000-000016590000}"/>
    <cellStyle name="Финансовый 2 3 8 3 2 3 2" xfId="17534" xr:uid="{00000000-0005-0000-0000-000017590000}"/>
    <cellStyle name="Финансовый 2 3 8 3 2 3 2 2" xfId="41489" xr:uid="{00000000-0005-0000-0000-000018590000}"/>
    <cellStyle name="Финансовый 2 3 8 3 2 3 3" xfId="29511" xr:uid="{00000000-0005-0000-0000-000019590000}"/>
    <cellStyle name="Финансовый 2 3 8 3 2 4" xfId="8166" xr:uid="{00000000-0005-0000-0000-00001A590000}"/>
    <cellStyle name="Финансовый 2 3 8 3 2 4 2" xfId="20144" xr:uid="{00000000-0005-0000-0000-00001B590000}"/>
    <cellStyle name="Финансовый 2 3 8 3 2 4 2 2" xfId="44099" xr:uid="{00000000-0005-0000-0000-00001C590000}"/>
    <cellStyle name="Финансовый 2 3 8 3 2 4 3" xfId="32121" xr:uid="{00000000-0005-0000-0000-00001D590000}"/>
    <cellStyle name="Финансовый 2 3 8 3 2 5" xfId="9949" xr:uid="{00000000-0005-0000-0000-00001E590000}"/>
    <cellStyle name="Финансовый 2 3 8 3 2 5 2" xfId="21927" xr:uid="{00000000-0005-0000-0000-00001F590000}"/>
    <cellStyle name="Финансовый 2 3 8 3 2 5 2 2" xfId="45882" xr:uid="{00000000-0005-0000-0000-000020590000}"/>
    <cellStyle name="Финансовый 2 3 8 3 2 5 3" xfId="33904" xr:uid="{00000000-0005-0000-0000-000021590000}"/>
    <cellStyle name="Финансовый 2 3 8 3 2 6" xfId="14107" xr:uid="{00000000-0005-0000-0000-000022590000}"/>
    <cellStyle name="Финансовый 2 3 8 3 2 6 2" xfId="38062" xr:uid="{00000000-0005-0000-0000-000023590000}"/>
    <cellStyle name="Финансовый 2 3 8 3 2 7" xfId="26085" xr:uid="{00000000-0005-0000-0000-000024590000}"/>
    <cellStyle name="Финансовый 2 3 8 3 2 8" xfId="49218" xr:uid="{00000000-0005-0000-0000-000025590000}"/>
    <cellStyle name="Финансовый 2 3 8 3 3" xfId="1161" xr:uid="{00000000-0005-0000-0000-000026590000}"/>
    <cellStyle name="Финансовый 2 3 8 3 3 2" xfId="7201" xr:uid="{00000000-0005-0000-0000-000027590000}"/>
    <cellStyle name="Финансовый 2 3 8 3 3 2 2" xfId="19179" xr:uid="{00000000-0005-0000-0000-000028590000}"/>
    <cellStyle name="Финансовый 2 3 8 3 3 2 2 2" xfId="43134" xr:uid="{00000000-0005-0000-0000-000029590000}"/>
    <cellStyle name="Финансовый 2 3 8 3 3 2 3" xfId="31156" xr:uid="{00000000-0005-0000-0000-00002A590000}"/>
    <cellStyle name="Финансовый 2 3 8 3 3 3" xfId="10741" xr:uid="{00000000-0005-0000-0000-00002B590000}"/>
    <cellStyle name="Финансовый 2 3 8 3 3 3 2" xfId="22719" xr:uid="{00000000-0005-0000-0000-00002C590000}"/>
    <cellStyle name="Финансовый 2 3 8 3 3 3 2 2" xfId="46674" xr:uid="{00000000-0005-0000-0000-00002D590000}"/>
    <cellStyle name="Финансовый 2 3 8 3 3 3 3" xfId="34696" xr:uid="{00000000-0005-0000-0000-00002E590000}"/>
    <cellStyle name="Финансовый 2 3 8 3 3 4" xfId="13142" xr:uid="{00000000-0005-0000-0000-00002F590000}"/>
    <cellStyle name="Финансовый 2 3 8 3 3 4 2" xfId="37097" xr:uid="{00000000-0005-0000-0000-000030590000}"/>
    <cellStyle name="Финансовый 2 3 8 3 3 5" xfId="25120" xr:uid="{00000000-0005-0000-0000-000031590000}"/>
    <cellStyle name="Финансовый 2 3 8 3 3 6" xfId="50026" xr:uid="{00000000-0005-0000-0000-000032590000}"/>
    <cellStyle name="Финансовый 2 3 8 3 4" xfId="761" xr:uid="{00000000-0005-0000-0000-000033590000}"/>
    <cellStyle name="Финансовый 2 3 8 3 4 2" xfId="6801" xr:uid="{00000000-0005-0000-0000-000034590000}"/>
    <cellStyle name="Финансовый 2 3 8 3 4 2 2" xfId="18779" xr:uid="{00000000-0005-0000-0000-000035590000}"/>
    <cellStyle name="Финансовый 2 3 8 3 4 2 2 2" xfId="42734" xr:uid="{00000000-0005-0000-0000-000036590000}"/>
    <cellStyle name="Финансовый 2 3 8 3 4 2 3" xfId="30756" xr:uid="{00000000-0005-0000-0000-000037590000}"/>
    <cellStyle name="Финансовый 2 3 8 3 4 3" xfId="12742" xr:uid="{00000000-0005-0000-0000-000038590000}"/>
    <cellStyle name="Финансовый 2 3 8 3 4 3 2" xfId="36697" xr:uid="{00000000-0005-0000-0000-000039590000}"/>
    <cellStyle name="Финансовый 2 3 8 3 4 4" xfId="24720" xr:uid="{00000000-0005-0000-0000-00003A590000}"/>
    <cellStyle name="Финансовый 2 3 8 3 5" xfId="2938" xr:uid="{00000000-0005-0000-0000-00003B590000}"/>
    <cellStyle name="Финансовый 2 3 8 3 5 2" xfId="14917" xr:uid="{00000000-0005-0000-0000-00003C590000}"/>
    <cellStyle name="Финансовый 2 3 8 3 5 2 2" xfId="38872" xr:uid="{00000000-0005-0000-0000-00003D590000}"/>
    <cellStyle name="Финансовый 2 3 8 3 5 3" xfId="26895" xr:uid="{00000000-0005-0000-0000-00003E590000}"/>
    <cellStyle name="Финансовый 2 3 8 3 6" xfId="4582" xr:uid="{00000000-0005-0000-0000-00003F590000}"/>
    <cellStyle name="Финансовый 2 3 8 3 6 2" xfId="16561" xr:uid="{00000000-0005-0000-0000-000040590000}"/>
    <cellStyle name="Финансовый 2 3 8 3 6 2 2" xfId="40516" xr:uid="{00000000-0005-0000-0000-000041590000}"/>
    <cellStyle name="Финансовый 2 3 8 3 6 3" xfId="28539" xr:uid="{00000000-0005-0000-0000-000042590000}"/>
    <cellStyle name="Финансовый 2 3 8 3 7" xfId="6381" xr:uid="{00000000-0005-0000-0000-000043590000}"/>
    <cellStyle name="Финансовый 2 3 8 3 7 2" xfId="18359" xr:uid="{00000000-0005-0000-0000-000044590000}"/>
    <cellStyle name="Финансовый 2 3 8 3 7 2 2" xfId="42314" xr:uid="{00000000-0005-0000-0000-000045590000}"/>
    <cellStyle name="Финансовый 2 3 8 3 7 3" xfId="30336" xr:uid="{00000000-0005-0000-0000-000046590000}"/>
    <cellStyle name="Финансовый 2 3 8 3 8" xfId="8976" xr:uid="{00000000-0005-0000-0000-000047590000}"/>
    <cellStyle name="Финансовый 2 3 8 3 8 2" xfId="20954" xr:uid="{00000000-0005-0000-0000-000048590000}"/>
    <cellStyle name="Финансовый 2 3 8 3 8 2 2" xfId="44909" xr:uid="{00000000-0005-0000-0000-000049590000}"/>
    <cellStyle name="Финансовый 2 3 8 3 8 3" xfId="32931" xr:uid="{00000000-0005-0000-0000-00004A590000}"/>
    <cellStyle name="Финансовый 2 3 8 3 9" xfId="12322" xr:uid="{00000000-0005-0000-0000-00004B590000}"/>
    <cellStyle name="Финансовый 2 3 8 3 9 2" xfId="36277" xr:uid="{00000000-0005-0000-0000-00004C590000}"/>
    <cellStyle name="Финансовый 2 3 8 4" xfId="1494" xr:uid="{00000000-0005-0000-0000-00004D590000}"/>
    <cellStyle name="Финансовый 2 3 8 4 2" xfId="1864" xr:uid="{00000000-0005-0000-0000-00004E590000}"/>
    <cellStyle name="Финансовый 2 3 8 4 2 2" xfId="3509" xr:uid="{00000000-0005-0000-0000-00004F590000}"/>
    <cellStyle name="Финансовый 2 3 8 4 2 2 2" xfId="11257" xr:uid="{00000000-0005-0000-0000-000050590000}"/>
    <cellStyle name="Финансовый 2 3 8 4 2 2 2 2" xfId="23235" xr:uid="{00000000-0005-0000-0000-000051590000}"/>
    <cellStyle name="Финансовый 2 3 8 4 2 2 2 2 2" xfId="47190" xr:uid="{00000000-0005-0000-0000-000052590000}"/>
    <cellStyle name="Финансовый 2 3 8 4 2 2 2 3" xfId="35212" xr:uid="{00000000-0005-0000-0000-000053590000}"/>
    <cellStyle name="Финансовый 2 3 8 4 2 2 3" xfId="15488" xr:uid="{00000000-0005-0000-0000-000054590000}"/>
    <cellStyle name="Финансовый 2 3 8 4 2 2 3 2" xfId="39443" xr:uid="{00000000-0005-0000-0000-000055590000}"/>
    <cellStyle name="Финансовый 2 3 8 4 2 2 4" xfId="27466" xr:uid="{00000000-0005-0000-0000-000056590000}"/>
    <cellStyle name="Финансовый 2 3 8 4 2 2 5" xfId="50735" xr:uid="{00000000-0005-0000-0000-000057590000}"/>
    <cellStyle name="Финансовый 2 3 8 4 2 3" xfId="5292" xr:uid="{00000000-0005-0000-0000-000058590000}"/>
    <cellStyle name="Финансовый 2 3 8 4 2 3 2" xfId="17270" xr:uid="{00000000-0005-0000-0000-000059590000}"/>
    <cellStyle name="Финансовый 2 3 8 4 2 3 2 2" xfId="41225" xr:uid="{00000000-0005-0000-0000-00005A590000}"/>
    <cellStyle name="Финансовый 2 3 8 4 2 3 3" xfId="29247" xr:uid="{00000000-0005-0000-0000-00005B590000}"/>
    <cellStyle name="Финансовый 2 3 8 4 2 4" xfId="7902" xr:uid="{00000000-0005-0000-0000-00005C590000}"/>
    <cellStyle name="Финансовый 2 3 8 4 2 4 2" xfId="19880" xr:uid="{00000000-0005-0000-0000-00005D590000}"/>
    <cellStyle name="Финансовый 2 3 8 4 2 4 2 2" xfId="43835" xr:uid="{00000000-0005-0000-0000-00005E590000}"/>
    <cellStyle name="Финансовый 2 3 8 4 2 4 3" xfId="31857" xr:uid="{00000000-0005-0000-0000-00005F590000}"/>
    <cellStyle name="Финансовый 2 3 8 4 2 5" xfId="9685" xr:uid="{00000000-0005-0000-0000-000060590000}"/>
    <cellStyle name="Финансовый 2 3 8 4 2 5 2" xfId="21663" xr:uid="{00000000-0005-0000-0000-000061590000}"/>
    <cellStyle name="Финансовый 2 3 8 4 2 5 2 2" xfId="45618" xr:uid="{00000000-0005-0000-0000-000062590000}"/>
    <cellStyle name="Финансовый 2 3 8 4 2 5 3" xfId="33640" xr:uid="{00000000-0005-0000-0000-000063590000}"/>
    <cellStyle name="Финансовый 2 3 8 4 2 6" xfId="13843" xr:uid="{00000000-0005-0000-0000-000064590000}"/>
    <cellStyle name="Финансовый 2 3 8 4 2 6 2" xfId="37798" xr:uid="{00000000-0005-0000-0000-000065590000}"/>
    <cellStyle name="Финансовый 2 3 8 4 2 7" xfId="25821" xr:uid="{00000000-0005-0000-0000-000066590000}"/>
    <cellStyle name="Финансовый 2 3 8 4 2 8" xfId="48954" xr:uid="{00000000-0005-0000-0000-000067590000}"/>
    <cellStyle name="Финансовый 2 3 8 4 3" xfId="4922" xr:uid="{00000000-0005-0000-0000-000068590000}"/>
    <cellStyle name="Финансовый 2 3 8 4 3 2" xfId="16900" xr:uid="{00000000-0005-0000-0000-000069590000}"/>
    <cellStyle name="Финансовый 2 3 8 4 3 2 2" xfId="40855" xr:uid="{00000000-0005-0000-0000-00006A590000}"/>
    <cellStyle name="Финансовый 2 3 8 4 3 3" xfId="28877" xr:uid="{00000000-0005-0000-0000-00006B590000}"/>
    <cellStyle name="Финансовый 2 3 8 4 3 4" xfId="50365" xr:uid="{00000000-0005-0000-0000-00006C590000}"/>
    <cellStyle name="Финансовый 2 3 8 4 4" xfId="7532" xr:uid="{00000000-0005-0000-0000-00006D590000}"/>
    <cellStyle name="Финансовый 2 3 8 4 4 2" xfId="19510" xr:uid="{00000000-0005-0000-0000-00006E590000}"/>
    <cellStyle name="Финансовый 2 3 8 4 4 2 2" xfId="43465" xr:uid="{00000000-0005-0000-0000-00006F590000}"/>
    <cellStyle name="Финансовый 2 3 8 4 4 3" xfId="31487" xr:uid="{00000000-0005-0000-0000-000070590000}"/>
    <cellStyle name="Финансовый 2 3 8 4 5" xfId="9315" xr:uid="{00000000-0005-0000-0000-000071590000}"/>
    <cellStyle name="Финансовый 2 3 8 4 5 2" xfId="21293" xr:uid="{00000000-0005-0000-0000-000072590000}"/>
    <cellStyle name="Финансовый 2 3 8 4 5 2 2" xfId="45248" xr:uid="{00000000-0005-0000-0000-000073590000}"/>
    <cellStyle name="Финансовый 2 3 8 4 5 3" xfId="33270" xr:uid="{00000000-0005-0000-0000-000074590000}"/>
    <cellStyle name="Финансовый 2 3 8 4 6" xfId="13473" xr:uid="{00000000-0005-0000-0000-000075590000}"/>
    <cellStyle name="Финансовый 2 3 8 4 6 2" xfId="37428" xr:uid="{00000000-0005-0000-0000-000076590000}"/>
    <cellStyle name="Финансовый 2 3 8 4 7" xfId="25451" xr:uid="{00000000-0005-0000-0000-000077590000}"/>
    <cellStyle name="Финансовый 2 3 8 4 8" xfId="48584" xr:uid="{00000000-0005-0000-0000-000078590000}"/>
    <cellStyle name="Финансовый 2 3 8 5" xfId="1748" xr:uid="{00000000-0005-0000-0000-000079590000}"/>
    <cellStyle name="Финансовый 2 3 8 5 2" xfId="3393" xr:uid="{00000000-0005-0000-0000-00007A590000}"/>
    <cellStyle name="Финансовый 2 3 8 5 2 2" xfId="11141" xr:uid="{00000000-0005-0000-0000-00007B590000}"/>
    <cellStyle name="Финансовый 2 3 8 5 2 2 2" xfId="23119" xr:uid="{00000000-0005-0000-0000-00007C590000}"/>
    <cellStyle name="Финансовый 2 3 8 5 2 2 2 2" xfId="47074" xr:uid="{00000000-0005-0000-0000-00007D590000}"/>
    <cellStyle name="Финансовый 2 3 8 5 2 2 3" xfId="35096" xr:uid="{00000000-0005-0000-0000-00007E590000}"/>
    <cellStyle name="Финансовый 2 3 8 5 2 3" xfId="15372" xr:uid="{00000000-0005-0000-0000-00007F590000}"/>
    <cellStyle name="Финансовый 2 3 8 5 2 3 2" xfId="39327" xr:uid="{00000000-0005-0000-0000-000080590000}"/>
    <cellStyle name="Финансовый 2 3 8 5 2 4" xfId="27350" xr:uid="{00000000-0005-0000-0000-000081590000}"/>
    <cellStyle name="Финансовый 2 3 8 5 2 5" xfId="50619" xr:uid="{00000000-0005-0000-0000-000082590000}"/>
    <cellStyle name="Финансовый 2 3 8 5 3" xfId="5176" xr:uid="{00000000-0005-0000-0000-000083590000}"/>
    <cellStyle name="Финансовый 2 3 8 5 3 2" xfId="17154" xr:uid="{00000000-0005-0000-0000-000084590000}"/>
    <cellStyle name="Финансовый 2 3 8 5 3 2 2" xfId="41109" xr:uid="{00000000-0005-0000-0000-000085590000}"/>
    <cellStyle name="Финансовый 2 3 8 5 3 3" xfId="29131" xr:uid="{00000000-0005-0000-0000-000086590000}"/>
    <cellStyle name="Финансовый 2 3 8 5 4" xfId="7786" xr:uid="{00000000-0005-0000-0000-000087590000}"/>
    <cellStyle name="Финансовый 2 3 8 5 4 2" xfId="19764" xr:uid="{00000000-0005-0000-0000-000088590000}"/>
    <cellStyle name="Финансовый 2 3 8 5 4 2 2" xfId="43719" xr:uid="{00000000-0005-0000-0000-000089590000}"/>
    <cellStyle name="Финансовый 2 3 8 5 4 3" xfId="31741" xr:uid="{00000000-0005-0000-0000-00008A590000}"/>
    <cellStyle name="Финансовый 2 3 8 5 5" xfId="9569" xr:uid="{00000000-0005-0000-0000-00008B590000}"/>
    <cellStyle name="Финансовый 2 3 8 5 5 2" xfId="21547" xr:uid="{00000000-0005-0000-0000-00008C590000}"/>
    <cellStyle name="Финансовый 2 3 8 5 5 2 2" xfId="45502" xr:uid="{00000000-0005-0000-0000-00008D590000}"/>
    <cellStyle name="Финансовый 2 3 8 5 5 3" xfId="33524" xr:uid="{00000000-0005-0000-0000-00008E590000}"/>
    <cellStyle name="Финансовый 2 3 8 5 6" xfId="13727" xr:uid="{00000000-0005-0000-0000-00008F590000}"/>
    <cellStyle name="Финансовый 2 3 8 5 6 2" xfId="37682" xr:uid="{00000000-0005-0000-0000-000090590000}"/>
    <cellStyle name="Финансовый 2 3 8 5 7" xfId="25705" xr:uid="{00000000-0005-0000-0000-000091590000}"/>
    <cellStyle name="Финансовый 2 3 8 5 8" xfId="48838" xr:uid="{00000000-0005-0000-0000-000092590000}"/>
    <cellStyle name="Финансовый 2 3 8 6" xfId="2384" xr:uid="{00000000-0005-0000-0000-000093590000}"/>
    <cellStyle name="Финансовый 2 3 8 6 2" xfId="4029" xr:uid="{00000000-0005-0000-0000-000094590000}"/>
    <cellStyle name="Финансовый 2 3 8 6 2 2" xfId="11769" xr:uid="{00000000-0005-0000-0000-000095590000}"/>
    <cellStyle name="Финансовый 2 3 8 6 2 2 2" xfId="23747" xr:uid="{00000000-0005-0000-0000-000096590000}"/>
    <cellStyle name="Финансовый 2 3 8 6 2 2 2 2" xfId="47702" xr:uid="{00000000-0005-0000-0000-000097590000}"/>
    <cellStyle name="Финансовый 2 3 8 6 2 2 3" xfId="35724" xr:uid="{00000000-0005-0000-0000-000098590000}"/>
    <cellStyle name="Финансовый 2 3 8 6 2 3" xfId="16008" xr:uid="{00000000-0005-0000-0000-000099590000}"/>
    <cellStyle name="Финансовый 2 3 8 6 2 3 2" xfId="39963" xr:uid="{00000000-0005-0000-0000-00009A590000}"/>
    <cellStyle name="Финансовый 2 3 8 6 2 4" xfId="27986" xr:uid="{00000000-0005-0000-0000-00009B590000}"/>
    <cellStyle name="Финансовый 2 3 8 6 2 5" xfId="51255" xr:uid="{00000000-0005-0000-0000-00009C590000}"/>
    <cellStyle name="Финансовый 2 3 8 6 3" xfId="5812" xr:uid="{00000000-0005-0000-0000-00009D590000}"/>
    <cellStyle name="Финансовый 2 3 8 6 3 2" xfId="17790" xr:uid="{00000000-0005-0000-0000-00009E590000}"/>
    <cellStyle name="Финансовый 2 3 8 6 3 2 2" xfId="41745" xr:uid="{00000000-0005-0000-0000-00009F590000}"/>
    <cellStyle name="Финансовый 2 3 8 6 3 3" xfId="29767" xr:uid="{00000000-0005-0000-0000-0000A0590000}"/>
    <cellStyle name="Финансовый 2 3 8 6 4" xfId="8422" xr:uid="{00000000-0005-0000-0000-0000A1590000}"/>
    <cellStyle name="Финансовый 2 3 8 6 4 2" xfId="20400" xr:uid="{00000000-0005-0000-0000-0000A2590000}"/>
    <cellStyle name="Финансовый 2 3 8 6 4 2 2" xfId="44355" xr:uid="{00000000-0005-0000-0000-0000A3590000}"/>
    <cellStyle name="Финансовый 2 3 8 6 4 3" xfId="32377" xr:uid="{00000000-0005-0000-0000-0000A4590000}"/>
    <cellStyle name="Финансовый 2 3 8 6 5" xfId="10205" xr:uid="{00000000-0005-0000-0000-0000A5590000}"/>
    <cellStyle name="Финансовый 2 3 8 6 5 2" xfId="22183" xr:uid="{00000000-0005-0000-0000-0000A6590000}"/>
    <cellStyle name="Финансовый 2 3 8 6 5 2 2" xfId="46138" xr:uid="{00000000-0005-0000-0000-0000A7590000}"/>
    <cellStyle name="Финансовый 2 3 8 6 5 3" xfId="34160" xr:uid="{00000000-0005-0000-0000-0000A8590000}"/>
    <cellStyle name="Финансовый 2 3 8 6 6" xfId="14363" xr:uid="{00000000-0005-0000-0000-0000A9590000}"/>
    <cellStyle name="Финансовый 2 3 8 6 6 2" xfId="38318" xr:uid="{00000000-0005-0000-0000-0000AA590000}"/>
    <cellStyle name="Финансовый 2 3 8 6 7" xfId="26341" xr:uid="{00000000-0005-0000-0000-0000AB590000}"/>
    <cellStyle name="Финансовый 2 3 8 6 8" xfId="49474" xr:uid="{00000000-0005-0000-0000-0000AC590000}"/>
    <cellStyle name="Финансовый 2 3 8 7" xfId="1611" xr:uid="{00000000-0005-0000-0000-0000AD590000}"/>
    <cellStyle name="Финансовый 2 3 8 7 2" xfId="3256" xr:uid="{00000000-0005-0000-0000-0000AE590000}"/>
    <cellStyle name="Финансовый 2 3 8 7 2 2" xfId="11012" xr:uid="{00000000-0005-0000-0000-0000AF590000}"/>
    <cellStyle name="Финансовый 2 3 8 7 2 2 2" xfId="22990" xr:uid="{00000000-0005-0000-0000-0000B0590000}"/>
    <cellStyle name="Финансовый 2 3 8 7 2 2 2 2" xfId="46945" xr:uid="{00000000-0005-0000-0000-0000B1590000}"/>
    <cellStyle name="Финансовый 2 3 8 7 2 2 3" xfId="34967" xr:uid="{00000000-0005-0000-0000-0000B2590000}"/>
    <cellStyle name="Финансовый 2 3 8 7 2 3" xfId="15235" xr:uid="{00000000-0005-0000-0000-0000B3590000}"/>
    <cellStyle name="Финансовый 2 3 8 7 2 3 2" xfId="39190" xr:uid="{00000000-0005-0000-0000-0000B4590000}"/>
    <cellStyle name="Финансовый 2 3 8 7 2 4" xfId="27213" xr:uid="{00000000-0005-0000-0000-0000B5590000}"/>
    <cellStyle name="Финансовый 2 3 8 7 2 5" xfId="50482" xr:uid="{00000000-0005-0000-0000-0000B6590000}"/>
    <cellStyle name="Финансовый 2 3 8 7 3" xfId="5039" xr:uid="{00000000-0005-0000-0000-0000B7590000}"/>
    <cellStyle name="Финансовый 2 3 8 7 3 2" xfId="17017" xr:uid="{00000000-0005-0000-0000-0000B8590000}"/>
    <cellStyle name="Финансовый 2 3 8 7 3 2 2" xfId="40972" xr:uid="{00000000-0005-0000-0000-0000B9590000}"/>
    <cellStyle name="Финансовый 2 3 8 7 3 3" xfId="28994" xr:uid="{00000000-0005-0000-0000-0000BA590000}"/>
    <cellStyle name="Финансовый 2 3 8 7 4" xfId="7649" xr:uid="{00000000-0005-0000-0000-0000BB590000}"/>
    <cellStyle name="Финансовый 2 3 8 7 4 2" xfId="19627" xr:uid="{00000000-0005-0000-0000-0000BC590000}"/>
    <cellStyle name="Финансовый 2 3 8 7 4 2 2" xfId="43582" xr:uid="{00000000-0005-0000-0000-0000BD590000}"/>
    <cellStyle name="Финансовый 2 3 8 7 4 3" xfId="31604" xr:uid="{00000000-0005-0000-0000-0000BE590000}"/>
    <cellStyle name="Финансовый 2 3 8 7 5" xfId="9432" xr:uid="{00000000-0005-0000-0000-0000BF590000}"/>
    <cellStyle name="Финансовый 2 3 8 7 5 2" xfId="21410" xr:uid="{00000000-0005-0000-0000-0000C0590000}"/>
    <cellStyle name="Финансовый 2 3 8 7 5 2 2" xfId="45365" xr:uid="{00000000-0005-0000-0000-0000C1590000}"/>
    <cellStyle name="Финансовый 2 3 8 7 5 3" xfId="33387" xr:uid="{00000000-0005-0000-0000-0000C2590000}"/>
    <cellStyle name="Финансовый 2 3 8 7 6" xfId="13590" xr:uid="{00000000-0005-0000-0000-0000C3590000}"/>
    <cellStyle name="Финансовый 2 3 8 7 6 2" xfId="37545" xr:uid="{00000000-0005-0000-0000-0000C4590000}"/>
    <cellStyle name="Финансовый 2 3 8 7 7" xfId="25568" xr:uid="{00000000-0005-0000-0000-0000C5590000}"/>
    <cellStyle name="Финансовый 2 3 8 7 8" xfId="48701" xr:uid="{00000000-0005-0000-0000-0000C6590000}"/>
    <cellStyle name="Финансовый 2 3 8 8" xfId="897" xr:uid="{00000000-0005-0000-0000-0000C7590000}"/>
    <cellStyle name="Финансовый 2 3 8 8 2" xfId="6937" xr:uid="{00000000-0005-0000-0000-0000C8590000}"/>
    <cellStyle name="Финансовый 2 3 8 8 2 2" xfId="18915" xr:uid="{00000000-0005-0000-0000-0000C9590000}"/>
    <cellStyle name="Финансовый 2 3 8 8 2 2 2" xfId="42870" xr:uid="{00000000-0005-0000-0000-0000CA590000}"/>
    <cellStyle name="Финансовый 2 3 8 8 2 3" xfId="30892" xr:uid="{00000000-0005-0000-0000-0000CB590000}"/>
    <cellStyle name="Финансовый 2 3 8 8 3" xfId="10485" xr:uid="{00000000-0005-0000-0000-0000CC590000}"/>
    <cellStyle name="Финансовый 2 3 8 8 3 2" xfId="22463" xr:uid="{00000000-0005-0000-0000-0000CD590000}"/>
    <cellStyle name="Финансовый 2 3 8 8 3 2 2" xfId="46418" xr:uid="{00000000-0005-0000-0000-0000CE590000}"/>
    <cellStyle name="Финансовый 2 3 8 8 3 3" xfId="34440" xr:uid="{00000000-0005-0000-0000-0000CF590000}"/>
    <cellStyle name="Финансовый 2 3 8 8 4" xfId="12878" xr:uid="{00000000-0005-0000-0000-0000D0590000}"/>
    <cellStyle name="Финансовый 2 3 8 8 4 2" xfId="36833" xr:uid="{00000000-0005-0000-0000-0000D1590000}"/>
    <cellStyle name="Финансовый 2 3 8 8 5" xfId="24856" xr:uid="{00000000-0005-0000-0000-0000D2590000}"/>
    <cellStyle name="Финансовый 2 3 8 8 6" xfId="49754" xr:uid="{00000000-0005-0000-0000-0000D3590000}"/>
    <cellStyle name="Финансовый 2 3 8 9" xfId="477" xr:uid="{00000000-0005-0000-0000-0000D4590000}"/>
    <cellStyle name="Финансовый 2 3 8 9 2" xfId="6517" xr:uid="{00000000-0005-0000-0000-0000D5590000}"/>
    <cellStyle name="Финансовый 2 3 8 9 2 2" xfId="18495" xr:uid="{00000000-0005-0000-0000-0000D6590000}"/>
    <cellStyle name="Финансовый 2 3 8 9 2 2 2" xfId="42450" xr:uid="{00000000-0005-0000-0000-0000D7590000}"/>
    <cellStyle name="Финансовый 2 3 8 9 2 3" xfId="30472" xr:uid="{00000000-0005-0000-0000-0000D8590000}"/>
    <cellStyle name="Финансовый 2 3 8 9 3" xfId="12458" xr:uid="{00000000-0005-0000-0000-0000D9590000}"/>
    <cellStyle name="Финансовый 2 3 8 9 3 2" xfId="36413" xr:uid="{00000000-0005-0000-0000-0000DA590000}"/>
    <cellStyle name="Финансовый 2 3 8 9 4" xfId="24436" xr:uid="{00000000-0005-0000-0000-0000DB590000}"/>
    <cellStyle name="Финансовый 2 3 9" xfId="132" xr:uid="{00000000-0005-0000-0000-0000DC590000}"/>
    <cellStyle name="Финансовый 2 3 9 10" xfId="2742" xr:uid="{00000000-0005-0000-0000-0000DD590000}"/>
    <cellStyle name="Финансовый 2 3 9 10 2" xfId="14721" xr:uid="{00000000-0005-0000-0000-0000DE590000}"/>
    <cellStyle name="Финансовый 2 3 9 10 2 2" xfId="38676" xr:uid="{00000000-0005-0000-0000-0000DF590000}"/>
    <cellStyle name="Финансовый 2 3 9 10 3" xfId="26699" xr:uid="{00000000-0005-0000-0000-0000E0590000}"/>
    <cellStyle name="Финансовый 2 3 9 11" xfId="4386" xr:uid="{00000000-0005-0000-0000-0000E1590000}"/>
    <cellStyle name="Финансовый 2 3 9 11 2" xfId="16365" xr:uid="{00000000-0005-0000-0000-0000E2590000}"/>
    <cellStyle name="Финансовый 2 3 9 11 2 2" xfId="40320" xr:uid="{00000000-0005-0000-0000-0000E3590000}"/>
    <cellStyle name="Финансовый 2 3 9 11 3" xfId="28343" xr:uid="{00000000-0005-0000-0000-0000E4590000}"/>
    <cellStyle name="Финансовый 2 3 9 12" xfId="6173" xr:uid="{00000000-0005-0000-0000-0000E5590000}"/>
    <cellStyle name="Финансовый 2 3 9 12 2" xfId="18151" xr:uid="{00000000-0005-0000-0000-0000E6590000}"/>
    <cellStyle name="Финансовый 2 3 9 12 2 2" xfId="42106" xr:uid="{00000000-0005-0000-0000-0000E7590000}"/>
    <cellStyle name="Финансовый 2 3 9 12 3" xfId="30128" xr:uid="{00000000-0005-0000-0000-0000E8590000}"/>
    <cellStyle name="Финансовый 2 3 9 13" xfId="8780" xr:uid="{00000000-0005-0000-0000-0000E9590000}"/>
    <cellStyle name="Финансовый 2 3 9 13 2" xfId="20758" xr:uid="{00000000-0005-0000-0000-0000EA590000}"/>
    <cellStyle name="Финансовый 2 3 9 13 2 2" xfId="44713" xr:uid="{00000000-0005-0000-0000-0000EB590000}"/>
    <cellStyle name="Финансовый 2 3 9 13 3" xfId="32735" xr:uid="{00000000-0005-0000-0000-0000EC590000}"/>
    <cellStyle name="Финансовый 2 3 9 14" xfId="12114" xr:uid="{00000000-0005-0000-0000-0000ED590000}"/>
    <cellStyle name="Финансовый 2 3 9 14 2" xfId="36069" xr:uid="{00000000-0005-0000-0000-0000EE590000}"/>
    <cellStyle name="Финансовый 2 3 9 15" xfId="24092" xr:uid="{00000000-0005-0000-0000-0000EF590000}"/>
    <cellStyle name="Финансовый 2 3 9 16" xfId="48050" xr:uid="{00000000-0005-0000-0000-0000F0590000}"/>
    <cellStyle name="Финансовый 2 3 9 2" xfId="268" xr:uid="{00000000-0005-0000-0000-0000F1590000}"/>
    <cellStyle name="Финансовый 2 3 9 2 10" xfId="8916" xr:uid="{00000000-0005-0000-0000-0000F2590000}"/>
    <cellStyle name="Финансовый 2 3 9 2 10 2" xfId="20894" xr:uid="{00000000-0005-0000-0000-0000F3590000}"/>
    <cellStyle name="Финансовый 2 3 9 2 10 2 2" xfId="44849" xr:uid="{00000000-0005-0000-0000-0000F4590000}"/>
    <cellStyle name="Финансовый 2 3 9 2 10 3" xfId="32871" xr:uid="{00000000-0005-0000-0000-0000F5590000}"/>
    <cellStyle name="Финансовый 2 3 9 2 11" xfId="12250" xr:uid="{00000000-0005-0000-0000-0000F6590000}"/>
    <cellStyle name="Финансовый 2 3 9 2 11 2" xfId="36205" xr:uid="{00000000-0005-0000-0000-0000F7590000}"/>
    <cellStyle name="Финансовый 2 3 9 2 12" xfId="24228" xr:uid="{00000000-0005-0000-0000-0000F8590000}"/>
    <cellStyle name="Финансовый 2 3 9 2 13" xfId="48186" xr:uid="{00000000-0005-0000-0000-0000F9590000}"/>
    <cellStyle name="Финансовый 2 3 9 2 2" xfId="1366" xr:uid="{00000000-0005-0000-0000-0000FA590000}"/>
    <cellStyle name="Финансовый 2 3 9 2 2 2" xfId="2324" xr:uid="{00000000-0005-0000-0000-0000FB590000}"/>
    <cellStyle name="Финансовый 2 3 9 2 2 2 2" xfId="3969" xr:uid="{00000000-0005-0000-0000-0000FC590000}"/>
    <cellStyle name="Финансовый 2 3 9 2 2 2 2 2" xfId="11709" xr:uid="{00000000-0005-0000-0000-0000FD590000}"/>
    <cellStyle name="Финансовый 2 3 9 2 2 2 2 2 2" xfId="23687" xr:uid="{00000000-0005-0000-0000-0000FE590000}"/>
    <cellStyle name="Финансовый 2 3 9 2 2 2 2 2 2 2" xfId="47642" xr:uid="{00000000-0005-0000-0000-0000FF590000}"/>
    <cellStyle name="Финансовый 2 3 9 2 2 2 2 2 3" xfId="35664" xr:uid="{00000000-0005-0000-0000-0000005A0000}"/>
    <cellStyle name="Финансовый 2 3 9 2 2 2 2 3" xfId="15948" xr:uid="{00000000-0005-0000-0000-0000015A0000}"/>
    <cellStyle name="Финансовый 2 3 9 2 2 2 2 3 2" xfId="39903" xr:uid="{00000000-0005-0000-0000-0000025A0000}"/>
    <cellStyle name="Финансовый 2 3 9 2 2 2 2 4" xfId="27926" xr:uid="{00000000-0005-0000-0000-0000035A0000}"/>
    <cellStyle name="Финансовый 2 3 9 2 2 2 2 5" xfId="51195" xr:uid="{00000000-0005-0000-0000-0000045A0000}"/>
    <cellStyle name="Финансовый 2 3 9 2 2 2 3" xfId="5752" xr:uid="{00000000-0005-0000-0000-0000055A0000}"/>
    <cellStyle name="Финансовый 2 3 9 2 2 2 3 2" xfId="17730" xr:uid="{00000000-0005-0000-0000-0000065A0000}"/>
    <cellStyle name="Финансовый 2 3 9 2 2 2 3 2 2" xfId="41685" xr:uid="{00000000-0005-0000-0000-0000075A0000}"/>
    <cellStyle name="Финансовый 2 3 9 2 2 2 3 3" xfId="29707" xr:uid="{00000000-0005-0000-0000-0000085A0000}"/>
    <cellStyle name="Финансовый 2 3 9 2 2 2 4" xfId="8362" xr:uid="{00000000-0005-0000-0000-0000095A0000}"/>
    <cellStyle name="Финансовый 2 3 9 2 2 2 4 2" xfId="20340" xr:uid="{00000000-0005-0000-0000-00000A5A0000}"/>
    <cellStyle name="Финансовый 2 3 9 2 2 2 4 2 2" xfId="44295" xr:uid="{00000000-0005-0000-0000-00000B5A0000}"/>
    <cellStyle name="Финансовый 2 3 9 2 2 2 4 3" xfId="32317" xr:uid="{00000000-0005-0000-0000-00000C5A0000}"/>
    <cellStyle name="Финансовый 2 3 9 2 2 2 5" xfId="10145" xr:uid="{00000000-0005-0000-0000-00000D5A0000}"/>
    <cellStyle name="Финансовый 2 3 9 2 2 2 5 2" xfId="22123" xr:uid="{00000000-0005-0000-0000-00000E5A0000}"/>
    <cellStyle name="Финансовый 2 3 9 2 2 2 5 2 2" xfId="46078" xr:uid="{00000000-0005-0000-0000-00000F5A0000}"/>
    <cellStyle name="Финансовый 2 3 9 2 2 2 5 3" xfId="34100" xr:uid="{00000000-0005-0000-0000-0000105A0000}"/>
    <cellStyle name="Финансовый 2 3 9 2 2 2 6" xfId="14303" xr:uid="{00000000-0005-0000-0000-0000115A0000}"/>
    <cellStyle name="Финансовый 2 3 9 2 2 2 6 2" xfId="38258" xr:uid="{00000000-0005-0000-0000-0000125A0000}"/>
    <cellStyle name="Финансовый 2 3 9 2 2 2 7" xfId="26281" xr:uid="{00000000-0005-0000-0000-0000135A0000}"/>
    <cellStyle name="Финансовый 2 3 9 2 2 2 8" xfId="49414" xr:uid="{00000000-0005-0000-0000-0000145A0000}"/>
    <cellStyle name="Финансовый 2 3 9 2 2 3" xfId="3150" xr:uid="{00000000-0005-0000-0000-0000155A0000}"/>
    <cellStyle name="Финансовый 2 3 9 2 2 3 2" xfId="10937" xr:uid="{00000000-0005-0000-0000-0000165A0000}"/>
    <cellStyle name="Финансовый 2 3 9 2 2 3 2 2" xfId="22915" xr:uid="{00000000-0005-0000-0000-0000175A0000}"/>
    <cellStyle name="Финансовый 2 3 9 2 2 3 2 2 2" xfId="46870" xr:uid="{00000000-0005-0000-0000-0000185A0000}"/>
    <cellStyle name="Финансовый 2 3 9 2 2 3 2 3" xfId="34892" xr:uid="{00000000-0005-0000-0000-0000195A0000}"/>
    <cellStyle name="Финансовый 2 3 9 2 2 3 3" xfId="15129" xr:uid="{00000000-0005-0000-0000-00001A5A0000}"/>
    <cellStyle name="Финансовый 2 3 9 2 2 3 3 2" xfId="39084" xr:uid="{00000000-0005-0000-0000-00001B5A0000}"/>
    <cellStyle name="Финансовый 2 3 9 2 2 3 4" xfId="27107" xr:uid="{00000000-0005-0000-0000-00001C5A0000}"/>
    <cellStyle name="Финансовый 2 3 9 2 2 3 5" xfId="50238" xr:uid="{00000000-0005-0000-0000-00001D5A0000}"/>
    <cellStyle name="Финансовый 2 3 9 2 2 4" xfId="4794" xr:uid="{00000000-0005-0000-0000-00001E5A0000}"/>
    <cellStyle name="Финансовый 2 3 9 2 2 4 2" xfId="16773" xr:uid="{00000000-0005-0000-0000-00001F5A0000}"/>
    <cellStyle name="Финансовый 2 3 9 2 2 4 2 2" xfId="40728" xr:uid="{00000000-0005-0000-0000-0000205A0000}"/>
    <cellStyle name="Финансовый 2 3 9 2 2 4 3" xfId="28751" xr:uid="{00000000-0005-0000-0000-0000215A0000}"/>
    <cellStyle name="Финансовый 2 3 9 2 2 5" xfId="7406" xr:uid="{00000000-0005-0000-0000-0000225A0000}"/>
    <cellStyle name="Финансовый 2 3 9 2 2 5 2" xfId="19384" xr:uid="{00000000-0005-0000-0000-0000235A0000}"/>
    <cellStyle name="Финансовый 2 3 9 2 2 5 2 2" xfId="43339" xr:uid="{00000000-0005-0000-0000-0000245A0000}"/>
    <cellStyle name="Финансовый 2 3 9 2 2 5 3" xfId="31361" xr:uid="{00000000-0005-0000-0000-0000255A0000}"/>
    <cellStyle name="Финансовый 2 3 9 2 2 6" xfId="9188" xr:uid="{00000000-0005-0000-0000-0000265A0000}"/>
    <cellStyle name="Финансовый 2 3 9 2 2 6 2" xfId="21166" xr:uid="{00000000-0005-0000-0000-0000275A0000}"/>
    <cellStyle name="Финансовый 2 3 9 2 2 6 2 2" xfId="45121" xr:uid="{00000000-0005-0000-0000-0000285A0000}"/>
    <cellStyle name="Финансовый 2 3 9 2 2 6 3" xfId="33143" xr:uid="{00000000-0005-0000-0000-0000295A0000}"/>
    <cellStyle name="Финансовый 2 3 9 2 2 7" xfId="13347" xr:uid="{00000000-0005-0000-0000-00002A5A0000}"/>
    <cellStyle name="Финансовый 2 3 9 2 2 7 2" xfId="37302" xr:uid="{00000000-0005-0000-0000-00002B5A0000}"/>
    <cellStyle name="Финансовый 2 3 9 2 2 8" xfId="25325" xr:uid="{00000000-0005-0000-0000-00002C5A0000}"/>
    <cellStyle name="Финансовый 2 3 9 2 2 9" xfId="48458" xr:uid="{00000000-0005-0000-0000-00002D5A0000}"/>
    <cellStyle name="Финансовый 2 3 9 2 3" xfId="2068" xr:uid="{00000000-0005-0000-0000-00002E5A0000}"/>
    <cellStyle name="Финансовый 2 3 9 2 3 2" xfId="3713" xr:uid="{00000000-0005-0000-0000-00002F5A0000}"/>
    <cellStyle name="Финансовый 2 3 9 2 3 2 2" xfId="11453" xr:uid="{00000000-0005-0000-0000-0000305A0000}"/>
    <cellStyle name="Финансовый 2 3 9 2 3 2 2 2" xfId="23431" xr:uid="{00000000-0005-0000-0000-0000315A0000}"/>
    <cellStyle name="Финансовый 2 3 9 2 3 2 2 2 2" xfId="47386" xr:uid="{00000000-0005-0000-0000-0000325A0000}"/>
    <cellStyle name="Финансовый 2 3 9 2 3 2 2 3" xfId="35408" xr:uid="{00000000-0005-0000-0000-0000335A0000}"/>
    <cellStyle name="Финансовый 2 3 9 2 3 2 3" xfId="15692" xr:uid="{00000000-0005-0000-0000-0000345A0000}"/>
    <cellStyle name="Финансовый 2 3 9 2 3 2 3 2" xfId="39647" xr:uid="{00000000-0005-0000-0000-0000355A0000}"/>
    <cellStyle name="Финансовый 2 3 9 2 3 2 4" xfId="27670" xr:uid="{00000000-0005-0000-0000-0000365A0000}"/>
    <cellStyle name="Финансовый 2 3 9 2 3 2 5" xfId="50939" xr:uid="{00000000-0005-0000-0000-0000375A0000}"/>
    <cellStyle name="Финансовый 2 3 9 2 3 3" xfId="5496" xr:uid="{00000000-0005-0000-0000-0000385A0000}"/>
    <cellStyle name="Финансовый 2 3 9 2 3 3 2" xfId="17474" xr:uid="{00000000-0005-0000-0000-0000395A0000}"/>
    <cellStyle name="Финансовый 2 3 9 2 3 3 2 2" xfId="41429" xr:uid="{00000000-0005-0000-0000-00003A5A0000}"/>
    <cellStyle name="Финансовый 2 3 9 2 3 3 3" xfId="29451" xr:uid="{00000000-0005-0000-0000-00003B5A0000}"/>
    <cellStyle name="Финансовый 2 3 9 2 3 4" xfId="8106" xr:uid="{00000000-0005-0000-0000-00003C5A0000}"/>
    <cellStyle name="Финансовый 2 3 9 2 3 4 2" xfId="20084" xr:uid="{00000000-0005-0000-0000-00003D5A0000}"/>
    <cellStyle name="Финансовый 2 3 9 2 3 4 2 2" xfId="44039" xr:uid="{00000000-0005-0000-0000-00003E5A0000}"/>
    <cellStyle name="Финансовый 2 3 9 2 3 4 3" xfId="32061" xr:uid="{00000000-0005-0000-0000-00003F5A0000}"/>
    <cellStyle name="Финансовый 2 3 9 2 3 5" xfId="9889" xr:uid="{00000000-0005-0000-0000-0000405A0000}"/>
    <cellStyle name="Финансовый 2 3 9 2 3 5 2" xfId="21867" xr:uid="{00000000-0005-0000-0000-0000415A0000}"/>
    <cellStyle name="Финансовый 2 3 9 2 3 5 2 2" xfId="45822" xr:uid="{00000000-0005-0000-0000-0000425A0000}"/>
    <cellStyle name="Финансовый 2 3 9 2 3 5 3" xfId="33844" xr:uid="{00000000-0005-0000-0000-0000435A0000}"/>
    <cellStyle name="Финансовый 2 3 9 2 3 6" xfId="14047" xr:uid="{00000000-0005-0000-0000-0000445A0000}"/>
    <cellStyle name="Финансовый 2 3 9 2 3 6 2" xfId="38002" xr:uid="{00000000-0005-0000-0000-0000455A0000}"/>
    <cellStyle name="Финансовый 2 3 9 2 3 7" xfId="26025" xr:uid="{00000000-0005-0000-0000-0000465A0000}"/>
    <cellStyle name="Финансовый 2 3 9 2 3 8" xfId="49158" xr:uid="{00000000-0005-0000-0000-0000475A0000}"/>
    <cellStyle name="Финансовый 2 3 9 2 4" xfId="2597" xr:uid="{00000000-0005-0000-0000-0000485A0000}"/>
    <cellStyle name="Финансовый 2 3 9 2 4 2" xfId="4242" xr:uid="{00000000-0005-0000-0000-0000495A0000}"/>
    <cellStyle name="Финансовый 2 3 9 2 4 2 2" xfId="11966" xr:uid="{00000000-0005-0000-0000-00004A5A0000}"/>
    <cellStyle name="Финансовый 2 3 9 2 4 2 2 2" xfId="23944" xr:uid="{00000000-0005-0000-0000-00004B5A0000}"/>
    <cellStyle name="Финансовый 2 3 9 2 4 2 2 2 2" xfId="47899" xr:uid="{00000000-0005-0000-0000-00004C5A0000}"/>
    <cellStyle name="Финансовый 2 3 9 2 4 2 2 3" xfId="35921" xr:uid="{00000000-0005-0000-0000-00004D5A0000}"/>
    <cellStyle name="Финансовый 2 3 9 2 4 2 3" xfId="16221" xr:uid="{00000000-0005-0000-0000-00004E5A0000}"/>
    <cellStyle name="Финансовый 2 3 9 2 4 2 3 2" xfId="40176" xr:uid="{00000000-0005-0000-0000-00004F5A0000}"/>
    <cellStyle name="Финансовый 2 3 9 2 4 2 4" xfId="28199" xr:uid="{00000000-0005-0000-0000-0000505A0000}"/>
    <cellStyle name="Финансовый 2 3 9 2 4 2 5" xfId="51468" xr:uid="{00000000-0005-0000-0000-0000515A0000}"/>
    <cellStyle name="Финансовый 2 3 9 2 4 3" xfId="6025" xr:uid="{00000000-0005-0000-0000-0000525A0000}"/>
    <cellStyle name="Финансовый 2 3 9 2 4 3 2" xfId="18003" xr:uid="{00000000-0005-0000-0000-0000535A0000}"/>
    <cellStyle name="Финансовый 2 3 9 2 4 3 2 2" xfId="41958" xr:uid="{00000000-0005-0000-0000-0000545A0000}"/>
    <cellStyle name="Финансовый 2 3 9 2 4 3 3" xfId="29980" xr:uid="{00000000-0005-0000-0000-0000555A0000}"/>
    <cellStyle name="Финансовый 2 3 9 2 4 4" xfId="8635" xr:uid="{00000000-0005-0000-0000-0000565A0000}"/>
    <cellStyle name="Финансовый 2 3 9 2 4 4 2" xfId="20613" xr:uid="{00000000-0005-0000-0000-0000575A0000}"/>
    <cellStyle name="Финансовый 2 3 9 2 4 4 2 2" xfId="44568" xr:uid="{00000000-0005-0000-0000-0000585A0000}"/>
    <cellStyle name="Финансовый 2 3 9 2 4 4 3" xfId="32590" xr:uid="{00000000-0005-0000-0000-0000595A0000}"/>
    <cellStyle name="Финансовый 2 3 9 2 4 5" xfId="10418" xr:uid="{00000000-0005-0000-0000-00005A5A0000}"/>
    <cellStyle name="Финансовый 2 3 9 2 4 5 2" xfId="22396" xr:uid="{00000000-0005-0000-0000-00005B5A0000}"/>
    <cellStyle name="Финансовый 2 3 9 2 4 5 2 2" xfId="46351" xr:uid="{00000000-0005-0000-0000-00005C5A0000}"/>
    <cellStyle name="Финансовый 2 3 9 2 4 5 3" xfId="34373" xr:uid="{00000000-0005-0000-0000-00005D5A0000}"/>
    <cellStyle name="Финансовый 2 3 9 2 4 6" xfId="14576" xr:uid="{00000000-0005-0000-0000-00005E5A0000}"/>
    <cellStyle name="Финансовый 2 3 9 2 4 6 2" xfId="38531" xr:uid="{00000000-0005-0000-0000-00005F5A0000}"/>
    <cellStyle name="Финансовый 2 3 9 2 4 7" xfId="26554" xr:uid="{00000000-0005-0000-0000-0000605A0000}"/>
    <cellStyle name="Финансовый 2 3 9 2 4 8" xfId="49687" xr:uid="{00000000-0005-0000-0000-0000615A0000}"/>
    <cellStyle name="Финансовый 2 3 9 2 5" xfId="1101" xr:uid="{00000000-0005-0000-0000-0000625A0000}"/>
    <cellStyle name="Финансовый 2 3 9 2 5 2" xfId="7141" xr:uid="{00000000-0005-0000-0000-0000635A0000}"/>
    <cellStyle name="Финансовый 2 3 9 2 5 2 2" xfId="19119" xr:uid="{00000000-0005-0000-0000-0000645A0000}"/>
    <cellStyle name="Финансовый 2 3 9 2 5 2 2 2" xfId="43074" xr:uid="{00000000-0005-0000-0000-0000655A0000}"/>
    <cellStyle name="Финансовый 2 3 9 2 5 2 3" xfId="31096" xr:uid="{00000000-0005-0000-0000-0000665A0000}"/>
    <cellStyle name="Финансовый 2 3 9 2 5 3" xfId="10681" xr:uid="{00000000-0005-0000-0000-0000675A0000}"/>
    <cellStyle name="Финансовый 2 3 9 2 5 3 2" xfId="22659" xr:uid="{00000000-0005-0000-0000-0000685A0000}"/>
    <cellStyle name="Финансовый 2 3 9 2 5 3 2 2" xfId="46614" xr:uid="{00000000-0005-0000-0000-0000695A0000}"/>
    <cellStyle name="Финансовый 2 3 9 2 5 3 3" xfId="34636" xr:uid="{00000000-0005-0000-0000-00006A5A0000}"/>
    <cellStyle name="Финансовый 2 3 9 2 5 4" xfId="13082" xr:uid="{00000000-0005-0000-0000-00006B5A0000}"/>
    <cellStyle name="Финансовый 2 3 9 2 5 4 2" xfId="37037" xr:uid="{00000000-0005-0000-0000-00006C5A0000}"/>
    <cellStyle name="Финансовый 2 3 9 2 5 5" xfId="25060" xr:uid="{00000000-0005-0000-0000-00006D5A0000}"/>
    <cellStyle name="Финансовый 2 3 9 2 5 6" xfId="49966" xr:uid="{00000000-0005-0000-0000-00006E5A0000}"/>
    <cellStyle name="Финансовый 2 3 9 2 6" xfId="689" xr:uid="{00000000-0005-0000-0000-00006F5A0000}"/>
    <cellStyle name="Финансовый 2 3 9 2 6 2" xfId="6729" xr:uid="{00000000-0005-0000-0000-0000705A0000}"/>
    <cellStyle name="Финансовый 2 3 9 2 6 2 2" xfId="18707" xr:uid="{00000000-0005-0000-0000-0000715A0000}"/>
    <cellStyle name="Финансовый 2 3 9 2 6 2 2 2" xfId="42662" xr:uid="{00000000-0005-0000-0000-0000725A0000}"/>
    <cellStyle name="Финансовый 2 3 9 2 6 2 3" xfId="30684" xr:uid="{00000000-0005-0000-0000-0000735A0000}"/>
    <cellStyle name="Финансовый 2 3 9 2 6 3" xfId="12670" xr:uid="{00000000-0005-0000-0000-0000745A0000}"/>
    <cellStyle name="Финансовый 2 3 9 2 6 3 2" xfId="36625" xr:uid="{00000000-0005-0000-0000-0000755A0000}"/>
    <cellStyle name="Финансовый 2 3 9 2 6 4" xfId="24648" xr:uid="{00000000-0005-0000-0000-0000765A0000}"/>
    <cellStyle name="Финансовый 2 3 9 2 7" xfId="2878" xr:uid="{00000000-0005-0000-0000-0000775A0000}"/>
    <cellStyle name="Финансовый 2 3 9 2 7 2" xfId="14857" xr:uid="{00000000-0005-0000-0000-0000785A0000}"/>
    <cellStyle name="Финансовый 2 3 9 2 7 2 2" xfId="38812" xr:uid="{00000000-0005-0000-0000-0000795A0000}"/>
    <cellStyle name="Финансовый 2 3 9 2 7 3" xfId="26835" xr:uid="{00000000-0005-0000-0000-00007A5A0000}"/>
    <cellStyle name="Финансовый 2 3 9 2 8" xfId="4522" xr:uid="{00000000-0005-0000-0000-00007B5A0000}"/>
    <cellStyle name="Финансовый 2 3 9 2 8 2" xfId="16501" xr:uid="{00000000-0005-0000-0000-00007C5A0000}"/>
    <cellStyle name="Финансовый 2 3 9 2 8 2 2" xfId="40456" xr:uid="{00000000-0005-0000-0000-00007D5A0000}"/>
    <cellStyle name="Финансовый 2 3 9 2 8 3" xfId="28479" xr:uid="{00000000-0005-0000-0000-00007E5A0000}"/>
    <cellStyle name="Финансовый 2 3 9 2 9" xfId="6309" xr:uid="{00000000-0005-0000-0000-00007F5A0000}"/>
    <cellStyle name="Финансовый 2 3 9 2 9 2" xfId="18287" xr:uid="{00000000-0005-0000-0000-0000805A0000}"/>
    <cellStyle name="Финансовый 2 3 9 2 9 2 2" xfId="42242" xr:uid="{00000000-0005-0000-0000-0000815A0000}"/>
    <cellStyle name="Финансовый 2 3 9 2 9 3" xfId="30264" xr:uid="{00000000-0005-0000-0000-0000825A0000}"/>
    <cellStyle name="Финансовый 2 3 9 3" xfId="417" xr:uid="{00000000-0005-0000-0000-0000835A0000}"/>
    <cellStyle name="Финансовый 2 3 9 3 10" xfId="24376" xr:uid="{00000000-0005-0000-0000-0000845A0000}"/>
    <cellStyle name="Финансовый 2 3 9 3 11" xfId="48322" xr:uid="{00000000-0005-0000-0000-0000855A0000}"/>
    <cellStyle name="Финансовый 2 3 9 3 2" xfId="2196" xr:uid="{00000000-0005-0000-0000-0000865A0000}"/>
    <cellStyle name="Финансовый 2 3 9 3 2 2" xfId="3841" xr:uid="{00000000-0005-0000-0000-0000875A0000}"/>
    <cellStyle name="Финансовый 2 3 9 3 2 2 2" xfId="11581" xr:uid="{00000000-0005-0000-0000-0000885A0000}"/>
    <cellStyle name="Финансовый 2 3 9 3 2 2 2 2" xfId="23559" xr:uid="{00000000-0005-0000-0000-0000895A0000}"/>
    <cellStyle name="Финансовый 2 3 9 3 2 2 2 2 2" xfId="47514" xr:uid="{00000000-0005-0000-0000-00008A5A0000}"/>
    <cellStyle name="Финансовый 2 3 9 3 2 2 2 3" xfId="35536" xr:uid="{00000000-0005-0000-0000-00008B5A0000}"/>
    <cellStyle name="Финансовый 2 3 9 3 2 2 3" xfId="15820" xr:uid="{00000000-0005-0000-0000-00008C5A0000}"/>
    <cellStyle name="Финансовый 2 3 9 3 2 2 3 2" xfId="39775" xr:uid="{00000000-0005-0000-0000-00008D5A0000}"/>
    <cellStyle name="Финансовый 2 3 9 3 2 2 4" xfId="27798" xr:uid="{00000000-0005-0000-0000-00008E5A0000}"/>
    <cellStyle name="Финансовый 2 3 9 3 2 2 5" xfId="51067" xr:uid="{00000000-0005-0000-0000-00008F5A0000}"/>
    <cellStyle name="Финансовый 2 3 9 3 2 3" xfId="5624" xr:uid="{00000000-0005-0000-0000-0000905A0000}"/>
    <cellStyle name="Финансовый 2 3 9 3 2 3 2" xfId="17602" xr:uid="{00000000-0005-0000-0000-0000915A0000}"/>
    <cellStyle name="Финансовый 2 3 9 3 2 3 2 2" xfId="41557" xr:uid="{00000000-0005-0000-0000-0000925A0000}"/>
    <cellStyle name="Финансовый 2 3 9 3 2 3 3" xfId="29579" xr:uid="{00000000-0005-0000-0000-0000935A0000}"/>
    <cellStyle name="Финансовый 2 3 9 3 2 4" xfId="8234" xr:uid="{00000000-0005-0000-0000-0000945A0000}"/>
    <cellStyle name="Финансовый 2 3 9 3 2 4 2" xfId="20212" xr:uid="{00000000-0005-0000-0000-0000955A0000}"/>
    <cellStyle name="Финансовый 2 3 9 3 2 4 2 2" xfId="44167" xr:uid="{00000000-0005-0000-0000-0000965A0000}"/>
    <cellStyle name="Финансовый 2 3 9 3 2 4 3" xfId="32189" xr:uid="{00000000-0005-0000-0000-0000975A0000}"/>
    <cellStyle name="Финансовый 2 3 9 3 2 5" xfId="10017" xr:uid="{00000000-0005-0000-0000-0000985A0000}"/>
    <cellStyle name="Финансовый 2 3 9 3 2 5 2" xfId="21995" xr:uid="{00000000-0005-0000-0000-0000995A0000}"/>
    <cellStyle name="Финансовый 2 3 9 3 2 5 2 2" xfId="45950" xr:uid="{00000000-0005-0000-0000-00009A5A0000}"/>
    <cellStyle name="Финансовый 2 3 9 3 2 5 3" xfId="33972" xr:uid="{00000000-0005-0000-0000-00009B5A0000}"/>
    <cellStyle name="Финансовый 2 3 9 3 2 6" xfId="14175" xr:uid="{00000000-0005-0000-0000-00009C5A0000}"/>
    <cellStyle name="Финансовый 2 3 9 3 2 6 2" xfId="38130" xr:uid="{00000000-0005-0000-0000-00009D5A0000}"/>
    <cellStyle name="Финансовый 2 3 9 3 2 7" xfId="26153" xr:uid="{00000000-0005-0000-0000-00009E5A0000}"/>
    <cellStyle name="Финансовый 2 3 9 3 2 8" xfId="49286" xr:uid="{00000000-0005-0000-0000-00009F5A0000}"/>
    <cellStyle name="Финансовый 2 3 9 3 3" xfId="1230" xr:uid="{00000000-0005-0000-0000-0000A05A0000}"/>
    <cellStyle name="Финансовый 2 3 9 3 3 2" xfId="7270" xr:uid="{00000000-0005-0000-0000-0000A15A0000}"/>
    <cellStyle name="Финансовый 2 3 9 3 3 2 2" xfId="19248" xr:uid="{00000000-0005-0000-0000-0000A25A0000}"/>
    <cellStyle name="Финансовый 2 3 9 3 3 2 2 2" xfId="43203" xr:uid="{00000000-0005-0000-0000-0000A35A0000}"/>
    <cellStyle name="Финансовый 2 3 9 3 3 2 3" xfId="31225" xr:uid="{00000000-0005-0000-0000-0000A45A0000}"/>
    <cellStyle name="Финансовый 2 3 9 3 3 3" xfId="10809" xr:uid="{00000000-0005-0000-0000-0000A55A0000}"/>
    <cellStyle name="Финансовый 2 3 9 3 3 3 2" xfId="22787" xr:uid="{00000000-0005-0000-0000-0000A65A0000}"/>
    <cellStyle name="Финансовый 2 3 9 3 3 3 2 2" xfId="46742" xr:uid="{00000000-0005-0000-0000-0000A75A0000}"/>
    <cellStyle name="Финансовый 2 3 9 3 3 3 3" xfId="34764" xr:uid="{00000000-0005-0000-0000-0000A85A0000}"/>
    <cellStyle name="Финансовый 2 3 9 3 3 4" xfId="13211" xr:uid="{00000000-0005-0000-0000-0000A95A0000}"/>
    <cellStyle name="Финансовый 2 3 9 3 3 4 2" xfId="37166" xr:uid="{00000000-0005-0000-0000-0000AA5A0000}"/>
    <cellStyle name="Финансовый 2 3 9 3 3 5" xfId="25189" xr:uid="{00000000-0005-0000-0000-0000AB5A0000}"/>
    <cellStyle name="Финансовый 2 3 9 3 3 6" xfId="50102" xr:uid="{00000000-0005-0000-0000-0000AC5A0000}"/>
    <cellStyle name="Финансовый 2 3 9 3 4" xfId="837" xr:uid="{00000000-0005-0000-0000-0000AD5A0000}"/>
    <cellStyle name="Финансовый 2 3 9 3 4 2" xfId="6877" xr:uid="{00000000-0005-0000-0000-0000AE5A0000}"/>
    <cellStyle name="Финансовый 2 3 9 3 4 2 2" xfId="18855" xr:uid="{00000000-0005-0000-0000-0000AF5A0000}"/>
    <cellStyle name="Финансовый 2 3 9 3 4 2 2 2" xfId="42810" xr:uid="{00000000-0005-0000-0000-0000B05A0000}"/>
    <cellStyle name="Финансовый 2 3 9 3 4 2 3" xfId="30832" xr:uid="{00000000-0005-0000-0000-0000B15A0000}"/>
    <cellStyle name="Финансовый 2 3 9 3 4 3" xfId="12818" xr:uid="{00000000-0005-0000-0000-0000B25A0000}"/>
    <cellStyle name="Финансовый 2 3 9 3 4 3 2" xfId="36773" xr:uid="{00000000-0005-0000-0000-0000B35A0000}"/>
    <cellStyle name="Финансовый 2 3 9 3 4 4" xfId="24796" xr:uid="{00000000-0005-0000-0000-0000B45A0000}"/>
    <cellStyle name="Финансовый 2 3 9 3 5" xfId="3014" xr:uid="{00000000-0005-0000-0000-0000B55A0000}"/>
    <cellStyle name="Финансовый 2 3 9 3 5 2" xfId="14993" xr:uid="{00000000-0005-0000-0000-0000B65A0000}"/>
    <cellStyle name="Финансовый 2 3 9 3 5 2 2" xfId="38948" xr:uid="{00000000-0005-0000-0000-0000B75A0000}"/>
    <cellStyle name="Финансовый 2 3 9 3 5 3" xfId="26971" xr:uid="{00000000-0005-0000-0000-0000B85A0000}"/>
    <cellStyle name="Финансовый 2 3 9 3 6" xfId="4658" xr:uid="{00000000-0005-0000-0000-0000B95A0000}"/>
    <cellStyle name="Финансовый 2 3 9 3 6 2" xfId="16637" xr:uid="{00000000-0005-0000-0000-0000BA5A0000}"/>
    <cellStyle name="Финансовый 2 3 9 3 6 2 2" xfId="40592" xr:uid="{00000000-0005-0000-0000-0000BB5A0000}"/>
    <cellStyle name="Финансовый 2 3 9 3 6 3" xfId="28615" xr:uid="{00000000-0005-0000-0000-0000BC5A0000}"/>
    <cellStyle name="Финансовый 2 3 9 3 7" xfId="6457" xr:uid="{00000000-0005-0000-0000-0000BD5A0000}"/>
    <cellStyle name="Финансовый 2 3 9 3 7 2" xfId="18435" xr:uid="{00000000-0005-0000-0000-0000BE5A0000}"/>
    <cellStyle name="Финансовый 2 3 9 3 7 2 2" xfId="42390" xr:uid="{00000000-0005-0000-0000-0000BF5A0000}"/>
    <cellStyle name="Финансовый 2 3 9 3 7 3" xfId="30412" xr:uid="{00000000-0005-0000-0000-0000C05A0000}"/>
    <cellStyle name="Финансовый 2 3 9 3 8" xfId="9052" xr:uid="{00000000-0005-0000-0000-0000C15A0000}"/>
    <cellStyle name="Финансовый 2 3 9 3 8 2" xfId="21030" xr:uid="{00000000-0005-0000-0000-0000C25A0000}"/>
    <cellStyle name="Финансовый 2 3 9 3 8 2 2" xfId="44985" xr:uid="{00000000-0005-0000-0000-0000C35A0000}"/>
    <cellStyle name="Финансовый 2 3 9 3 8 3" xfId="33007" xr:uid="{00000000-0005-0000-0000-0000C45A0000}"/>
    <cellStyle name="Финансовый 2 3 9 3 9" xfId="12398" xr:uid="{00000000-0005-0000-0000-0000C55A0000}"/>
    <cellStyle name="Финансовый 2 3 9 3 9 2" xfId="36353" xr:uid="{00000000-0005-0000-0000-0000C65A0000}"/>
    <cellStyle name="Финансовый 2 3 9 4" xfId="1495" xr:uid="{00000000-0005-0000-0000-0000C75A0000}"/>
    <cellStyle name="Финансовый 2 3 9 4 2" xfId="1940" xr:uid="{00000000-0005-0000-0000-0000C85A0000}"/>
    <cellStyle name="Финансовый 2 3 9 4 2 2" xfId="3585" xr:uid="{00000000-0005-0000-0000-0000C95A0000}"/>
    <cellStyle name="Финансовый 2 3 9 4 2 2 2" xfId="11325" xr:uid="{00000000-0005-0000-0000-0000CA5A0000}"/>
    <cellStyle name="Финансовый 2 3 9 4 2 2 2 2" xfId="23303" xr:uid="{00000000-0005-0000-0000-0000CB5A0000}"/>
    <cellStyle name="Финансовый 2 3 9 4 2 2 2 2 2" xfId="47258" xr:uid="{00000000-0005-0000-0000-0000CC5A0000}"/>
    <cellStyle name="Финансовый 2 3 9 4 2 2 2 3" xfId="35280" xr:uid="{00000000-0005-0000-0000-0000CD5A0000}"/>
    <cellStyle name="Финансовый 2 3 9 4 2 2 3" xfId="15564" xr:uid="{00000000-0005-0000-0000-0000CE5A0000}"/>
    <cellStyle name="Финансовый 2 3 9 4 2 2 3 2" xfId="39519" xr:uid="{00000000-0005-0000-0000-0000CF5A0000}"/>
    <cellStyle name="Финансовый 2 3 9 4 2 2 4" xfId="27542" xr:uid="{00000000-0005-0000-0000-0000D05A0000}"/>
    <cellStyle name="Финансовый 2 3 9 4 2 2 5" xfId="50811" xr:uid="{00000000-0005-0000-0000-0000D15A0000}"/>
    <cellStyle name="Финансовый 2 3 9 4 2 3" xfId="5368" xr:uid="{00000000-0005-0000-0000-0000D25A0000}"/>
    <cellStyle name="Финансовый 2 3 9 4 2 3 2" xfId="17346" xr:uid="{00000000-0005-0000-0000-0000D35A0000}"/>
    <cellStyle name="Финансовый 2 3 9 4 2 3 2 2" xfId="41301" xr:uid="{00000000-0005-0000-0000-0000D45A0000}"/>
    <cellStyle name="Финансовый 2 3 9 4 2 3 3" xfId="29323" xr:uid="{00000000-0005-0000-0000-0000D55A0000}"/>
    <cellStyle name="Финансовый 2 3 9 4 2 4" xfId="7978" xr:uid="{00000000-0005-0000-0000-0000D65A0000}"/>
    <cellStyle name="Финансовый 2 3 9 4 2 4 2" xfId="19956" xr:uid="{00000000-0005-0000-0000-0000D75A0000}"/>
    <cellStyle name="Финансовый 2 3 9 4 2 4 2 2" xfId="43911" xr:uid="{00000000-0005-0000-0000-0000D85A0000}"/>
    <cellStyle name="Финансовый 2 3 9 4 2 4 3" xfId="31933" xr:uid="{00000000-0005-0000-0000-0000D95A0000}"/>
    <cellStyle name="Финансовый 2 3 9 4 2 5" xfId="9761" xr:uid="{00000000-0005-0000-0000-0000DA5A0000}"/>
    <cellStyle name="Финансовый 2 3 9 4 2 5 2" xfId="21739" xr:uid="{00000000-0005-0000-0000-0000DB5A0000}"/>
    <cellStyle name="Финансовый 2 3 9 4 2 5 2 2" xfId="45694" xr:uid="{00000000-0005-0000-0000-0000DC5A0000}"/>
    <cellStyle name="Финансовый 2 3 9 4 2 5 3" xfId="33716" xr:uid="{00000000-0005-0000-0000-0000DD5A0000}"/>
    <cellStyle name="Финансовый 2 3 9 4 2 6" xfId="13919" xr:uid="{00000000-0005-0000-0000-0000DE5A0000}"/>
    <cellStyle name="Финансовый 2 3 9 4 2 6 2" xfId="37874" xr:uid="{00000000-0005-0000-0000-0000DF5A0000}"/>
    <cellStyle name="Финансовый 2 3 9 4 2 7" xfId="25897" xr:uid="{00000000-0005-0000-0000-0000E05A0000}"/>
    <cellStyle name="Финансовый 2 3 9 4 2 8" xfId="49030" xr:uid="{00000000-0005-0000-0000-0000E15A0000}"/>
    <cellStyle name="Финансовый 2 3 9 4 3" xfId="4923" xr:uid="{00000000-0005-0000-0000-0000E25A0000}"/>
    <cellStyle name="Финансовый 2 3 9 4 3 2" xfId="16901" xr:uid="{00000000-0005-0000-0000-0000E35A0000}"/>
    <cellStyle name="Финансовый 2 3 9 4 3 2 2" xfId="40856" xr:uid="{00000000-0005-0000-0000-0000E45A0000}"/>
    <cellStyle name="Финансовый 2 3 9 4 3 3" xfId="28878" xr:uid="{00000000-0005-0000-0000-0000E55A0000}"/>
    <cellStyle name="Финансовый 2 3 9 4 3 4" xfId="50366" xr:uid="{00000000-0005-0000-0000-0000E65A0000}"/>
    <cellStyle name="Финансовый 2 3 9 4 4" xfId="7533" xr:uid="{00000000-0005-0000-0000-0000E75A0000}"/>
    <cellStyle name="Финансовый 2 3 9 4 4 2" xfId="19511" xr:uid="{00000000-0005-0000-0000-0000E85A0000}"/>
    <cellStyle name="Финансовый 2 3 9 4 4 2 2" xfId="43466" xr:uid="{00000000-0005-0000-0000-0000E95A0000}"/>
    <cellStyle name="Финансовый 2 3 9 4 4 3" xfId="31488" xr:uid="{00000000-0005-0000-0000-0000EA5A0000}"/>
    <cellStyle name="Финансовый 2 3 9 4 5" xfId="9316" xr:uid="{00000000-0005-0000-0000-0000EB5A0000}"/>
    <cellStyle name="Финансовый 2 3 9 4 5 2" xfId="21294" xr:uid="{00000000-0005-0000-0000-0000EC5A0000}"/>
    <cellStyle name="Финансовый 2 3 9 4 5 2 2" xfId="45249" xr:uid="{00000000-0005-0000-0000-0000ED5A0000}"/>
    <cellStyle name="Финансовый 2 3 9 4 5 3" xfId="33271" xr:uid="{00000000-0005-0000-0000-0000EE5A0000}"/>
    <cellStyle name="Финансовый 2 3 9 4 6" xfId="13474" xr:uid="{00000000-0005-0000-0000-0000EF5A0000}"/>
    <cellStyle name="Финансовый 2 3 9 4 6 2" xfId="37429" xr:uid="{00000000-0005-0000-0000-0000F05A0000}"/>
    <cellStyle name="Финансовый 2 3 9 4 7" xfId="25452" xr:uid="{00000000-0005-0000-0000-0000F15A0000}"/>
    <cellStyle name="Финансовый 2 3 9 4 8" xfId="48585" xr:uid="{00000000-0005-0000-0000-0000F25A0000}"/>
    <cellStyle name="Финансовый 2 3 9 5" xfId="1816" xr:uid="{00000000-0005-0000-0000-0000F35A0000}"/>
    <cellStyle name="Финансовый 2 3 9 5 2" xfId="3461" xr:uid="{00000000-0005-0000-0000-0000F45A0000}"/>
    <cellStyle name="Финансовый 2 3 9 5 2 2" xfId="11209" xr:uid="{00000000-0005-0000-0000-0000F55A0000}"/>
    <cellStyle name="Финансовый 2 3 9 5 2 2 2" xfId="23187" xr:uid="{00000000-0005-0000-0000-0000F65A0000}"/>
    <cellStyle name="Финансовый 2 3 9 5 2 2 2 2" xfId="47142" xr:uid="{00000000-0005-0000-0000-0000F75A0000}"/>
    <cellStyle name="Финансовый 2 3 9 5 2 2 3" xfId="35164" xr:uid="{00000000-0005-0000-0000-0000F85A0000}"/>
    <cellStyle name="Финансовый 2 3 9 5 2 3" xfId="15440" xr:uid="{00000000-0005-0000-0000-0000F95A0000}"/>
    <cellStyle name="Финансовый 2 3 9 5 2 3 2" xfId="39395" xr:uid="{00000000-0005-0000-0000-0000FA5A0000}"/>
    <cellStyle name="Финансовый 2 3 9 5 2 4" xfId="27418" xr:uid="{00000000-0005-0000-0000-0000FB5A0000}"/>
    <cellStyle name="Финансовый 2 3 9 5 2 5" xfId="50687" xr:uid="{00000000-0005-0000-0000-0000FC5A0000}"/>
    <cellStyle name="Финансовый 2 3 9 5 3" xfId="5244" xr:uid="{00000000-0005-0000-0000-0000FD5A0000}"/>
    <cellStyle name="Финансовый 2 3 9 5 3 2" xfId="17222" xr:uid="{00000000-0005-0000-0000-0000FE5A0000}"/>
    <cellStyle name="Финансовый 2 3 9 5 3 2 2" xfId="41177" xr:uid="{00000000-0005-0000-0000-0000FF5A0000}"/>
    <cellStyle name="Финансовый 2 3 9 5 3 3" xfId="29199" xr:uid="{00000000-0005-0000-0000-0000005B0000}"/>
    <cellStyle name="Финансовый 2 3 9 5 4" xfId="7854" xr:uid="{00000000-0005-0000-0000-0000015B0000}"/>
    <cellStyle name="Финансовый 2 3 9 5 4 2" xfId="19832" xr:uid="{00000000-0005-0000-0000-0000025B0000}"/>
    <cellStyle name="Финансовый 2 3 9 5 4 2 2" xfId="43787" xr:uid="{00000000-0005-0000-0000-0000035B0000}"/>
    <cellStyle name="Финансовый 2 3 9 5 4 3" xfId="31809" xr:uid="{00000000-0005-0000-0000-0000045B0000}"/>
    <cellStyle name="Финансовый 2 3 9 5 5" xfId="9637" xr:uid="{00000000-0005-0000-0000-0000055B0000}"/>
    <cellStyle name="Финансовый 2 3 9 5 5 2" xfId="21615" xr:uid="{00000000-0005-0000-0000-0000065B0000}"/>
    <cellStyle name="Финансовый 2 3 9 5 5 2 2" xfId="45570" xr:uid="{00000000-0005-0000-0000-0000075B0000}"/>
    <cellStyle name="Финансовый 2 3 9 5 5 3" xfId="33592" xr:uid="{00000000-0005-0000-0000-0000085B0000}"/>
    <cellStyle name="Финансовый 2 3 9 5 6" xfId="13795" xr:uid="{00000000-0005-0000-0000-0000095B0000}"/>
    <cellStyle name="Финансовый 2 3 9 5 6 2" xfId="37750" xr:uid="{00000000-0005-0000-0000-00000A5B0000}"/>
    <cellStyle name="Финансовый 2 3 9 5 7" xfId="25773" xr:uid="{00000000-0005-0000-0000-00000B5B0000}"/>
    <cellStyle name="Финансовый 2 3 9 5 8" xfId="48906" xr:uid="{00000000-0005-0000-0000-00000C5B0000}"/>
    <cellStyle name="Финансовый 2 3 9 6" xfId="2461" xr:uid="{00000000-0005-0000-0000-00000D5B0000}"/>
    <cellStyle name="Финансовый 2 3 9 6 2" xfId="4106" xr:uid="{00000000-0005-0000-0000-00000E5B0000}"/>
    <cellStyle name="Финансовый 2 3 9 6 2 2" xfId="11838" xr:uid="{00000000-0005-0000-0000-00000F5B0000}"/>
    <cellStyle name="Финансовый 2 3 9 6 2 2 2" xfId="23816" xr:uid="{00000000-0005-0000-0000-0000105B0000}"/>
    <cellStyle name="Финансовый 2 3 9 6 2 2 2 2" xfId="47771" xr:uid="{00000000-0005-0000-0000-0000115B0000}"/>
    <cellStyle name="Финансовый 2 3 9 6 2 2 3" xfId="35793" xr:uid="{00000000-0005-0000-0000-0000125B0000}"/>
    <cellStyle name="Финансовый 2 3 9 6 2 3" xfId="16085" xr:uid="{00000000-0005-0000-0000-0000135B0000}"/>
    <cellStyle name="Финансовый 2 3 9 6 2 3 2" xfId="40040" xr:uid="{00000000-0005-0000-0000-0000145B0000}"/>
    <cellStyle name="Финансовый 2 3 9 6 2 4" xfId="28063" xr:uid="{00000000-0005-0000-0000-0000155B0000}"/>
    <cellStyle name="Финансовый 2 3 9 6 2 5" xfId="51332" xr:uid="{00000000-0005-0000-0000-0000165B0000}"/>
    <cellStyle name="Финансовый 2 3 9 6 3" xfId="5889" xr:uid="{00000000-0005-0000-0000-0000175B0000}"/>
    <cellStyle name="Финансовый 2 3 9 6 3 2" xfId="17867" xr:uid="{00000000-0005-0000-0000-0000185B0000}"/>
    <cellStyle name="Финансовый 2 3 9 6 3 2 2" xfId="41822" xr:uid="{00000000-0005-0000-0000-0000195B0000}"/>
    <cellStyle name="Финансовый 2 3 9 6 3 3" xfId="29844" xr:uid="{00000000-0005-0000-0000-00001A5B0000}"/>
    <cellStyle name="Финансовый 2 3 9 6 4" xfId="8499" xr:uid="{00000000-0005-0000-0000-00001B5B0000}"/>
    <cellStyle name="Финансовый 2 3 9 6 4 2" xfId="20477" xr:uid="{00000000-0005-0000-0000-00001C5B0000}"/>
    <cellStyle name="Финансовый 2 3 9 6 4 2 2" xfId="44432" xr:uid="{00000000-0005-0000-0000-00001D5B0000}"/>
    <cellStyle name="Финансовый 2 3 9 6 4 3" xfId="32454" xr:uid="{00000000-0005-0000-0000-00001E5B0000}"/>
    <cellStyle name="Финансовый 2 3 9 6 5" xfId="10282" xr:uid="{00000000-0005-0000-0000-00001F5B0000}"/>
    <cellStyle name="Финансовый 2 3 9 6 5 2" xfId="22260" xr:uid="{00000000-0005-0000-0000-0000205B0000}"/>
    <cellStyle name="Финансовый 2 3 9 6 5 2 2" xfId="46215" xr:uid="{00000000-0005-0000-0000-0000215B0000}"/>
    <cellStyle name="Финансовый 2 3 9 6 5 3" xfId="34237" xr:uid="{00000000-0005-0000-0000-0000225B0000}"/>
    <cellStyle name="Финансовый 2 3 9 6 6" xfId="14440" xr:uid="{00000000-0005-0000-0000-0000235B0000}"/>
    <cellStyle name="Финансовый 2 3 9 6 6 2" xfId="38395" xr:uid="{00000000-0005-0000-0000-0000245B0000}"/>
    <cellStyle name="Финансовый 2 3 9 6 7" xfId="26418" xr:uid="{00000000-0005-0000-0000-0000255B0000}"/>
    <cellStyle name="Финансовый 2 3 9 6 8" xfId="49551" xr:uid="{00000000-0005-0000-0000-0000265B0000}"/>
    <cellStyle name="Финансовый 2 3 9 7" xfId="1688" xr:uid="{00000000-0005-0000-0000-0000275B0000}"/>
    <cellStyle name="Финансовый 2 3 9 7 2" xfId="3333" xr:uid="{00000000-0005-0000-0000-0000285B0000}"/>
    <cellStyle name="Финансовый 2 3 9 7 2 2" xfId="11081" xr:uid="{00000000-0005-0000-0000-0000295B0000}"/>
    <cellStyle name="Финансовый 2 3 9 7 2 2 2" xfId="23059" xr:uid="{00000000-0005-0000-0000-00002A5B0000}"/>
    <cellStyle name="Финансовый 2 3 9 7 2 2 2 2" xfId="47014" xr:uid="{00000000-0005-0000-0000-00002B5B0000}"/>
    <cellStyle name="Финансовый 2 3 9 7 2 2 3" xfId="35036" xr:uid="{00000000-0005-0000-0000-00002C5B0000}"/>
    <cellStyle name="Финансовый 2 3 9 7 2 3" xfId="15312" xr:uid="{00000000-0005-0000-0000-00002D5B0000}"/>
    <cellStyle name="Финансовый 2 3 9 7 2 3 2" xfId="39267" xr:uid="{00000000-0005-0000-0000-00002E5B0000}"/>
    <cellStyle name="Финансовый 2 3 9 7 2 4" xfId="27290" xr:uid="{00000000-0005-0000-0000-00002F5B0000}"/>
    <cellStyle name="Финансовый 2 3 9 7 2 5" xfId="50559" xr:uid="{00000000-0005-0000-0000-0000305B0000}"/>
    <cellStyle name="Финансовый 2 3 9 7 3" xfId="5116" xr:uid="{00000000-0005-0000-0000-0000315B0000}"/>
    <cellStyle name="Финансовый 2 3 9 7 3 2" xfId="17094" xr:uid="{00000000-0005-0000-0000-0000325B0000}"/>
    <cellStyle name="Финансовый 2 3 9 7 3 2 2" xfId="41049" xr:uid="{00000000-0005-0000-0000-0000335B0000}"/>
    <cellStyle name="Финансовый 2 3 9 7 3 3" xfId="29071" xr:uid="{00000000-0005-0000-0000-0000345B0000}"/>
    <cellStyle name="Финансовый 2 3 9 7 4" xfId="7726" xr:uid="{00000000-0005-0000-0000-0000355B0000}"/>
    <cellStyle name="Финансовый 2 3 9 7 4 2" xfId="19704" xr:uid="{00000000-0005-0000-0000-0000365B0000}"/>
    <cellStyle name="Финансовый 2 3 9 7 4 2 2" xfId="43659" xr:uid="{00000000-0005-0000-0000-0000375B0000}"/>
    <cellStyle name="Финансовый 2 3 9 7 4 3" xfId="31681" xr:uid="{00000000-0005-0000-0000-0000385B0000}"/>
    <cellStyle name="Финансовый 2 3 9 7 5" xfId="9509" xr:uid="{00000000-0005-0000-0000-0000395B0000}"/>
    <cellStyle name="Финансовый 2 3 9 7 5 2" xfId="21487" xr:uid="{00000000-0005-0000-0000-00003A5B0000}"/>
    <cellStyle name="Финансовый 2 3 9 7 5 2 2" xfId="45442" xr:uid="{00000000-0005-0000-0000-00003B5B0000}"/>
    <cellStyle name="Финансовый 2 3 9 7 5 3" xfId="33464" xr:uid="{00000000-0005-0000-0000-00003C5B0000}"/>
    <cellStyle name="Финансовый 2 3 9 7 6" xfId="13667" xr:uid="{00000000-0005-0000-0000-00003D5B0000}"/>
    <cellStyle name="Финансовый 2 3 9 7 6 2" xfId="37622" xr:uid="{00000000-0005-0000-0000-00003E5B0000}"/>
    <cellStyle name="Финансовый 2 3 9 7 7" xfId="25645" xr:uid="{00000000-0005-0000-0000-00003F5B0000}"/>
    <cellStyle name="Финансовый 2 3 9 7 8" xfId="48778" xr:uid="{00000000-0005-0000-0000-0000405B0000}"/>
    <cellStyle name="Финансовый 2 3 9 8" xfId="965" xr:uid="{00000000-0005-0000-0000-0000415B0000}"/>
    <cellStyle name="Финансовый 2 3 9 8 2" xfId="7005" xr:uid="{00000000-0005-0000-0000-0000425B0000}"/>
    <cellStyle name="Финансовый 2 3 9 8 2 2" xfId="18983" xr:uid="{00000000-0005-0000-0000-0000435B0000}"/>
    <cellStyle name="Финансовый 2 3 9 8 2 2 2" xfId="42938" xr:uid="{00000000-0005-0000-0000-0000445B0000}"/>
    <cellStyle name="Финансовый 2 3 9 8 2 3" xfId="30960" xr:uid="{00000000-0005-0000-0000-0000455B0000}"/>
    <cellStyle name="Финансовый 2 3 9 8 3" xfId="10553" xr:uid="{00000000-0005-0000-0000-0000465B0000}"/>
    <cellStyle name="Финансовый 2 3 9 8 3 2" xfId="22531" xr:uid="{00000000-0005-0000-0000-0000475B0000}"/>
    <cellStyle name="Финансовый 2 3 9 8 3 2 2" xfId="46486" xr:uid="{00000000-0005-0000-0000-0000485B0000}"/>
    <cellStyle name="Финансовый 2 3 9 8 3 3" xfId="34508" xr:uid="{00000000-0005-0000-0000-0000495B0000}"/>
    <cellStyle name="Финансовый 2 3 9 8 4" xfId="12946" xr:uid="{00000000-0005-0000-0000-00004A5B0000}"/>
    <cellStyle name="Финансовый 2 3 9 8 4 2" xfId="36901" xr:uid="{00000000-0005-0000-0000-00004B5B0000}"/>
    <cellStyle name="Финансовый 2 3 9 8 5" xfId="24924" xr:uid="{00000000-0005-0000-0000-00004C5B0000}"/>
    <cellStyle name="Финансовый 2 3 9 8 6" xfId="49830" xr:uid="{00000000-0005-0000-0000-00004D5B0000}"/>
    <cellStyle name="Финансовый 2 3 9 9" xfId="553" xr:uid="{00000000-0005-0000-0000-00004E5B0000}"/>
    <cellStyle name="Финансовый 2 3 9 9 2" xfId="6593" xr:uid="{00000000-0005-0000-0000-00004F5B0000}"/>
    <cellStyle name="Финансовый 2 3 9 9 2 2" xfId="18571" xr:uid="{00000000-0005-0000-0000-0000505B0000}"/>
    <cellStyle name="Финансовый 2 3 9 9 2 2 2" xfId="42526" xr:uid="{00000000-0005-0000-0000-0000515B0000}"/>
    <cellStyle name="Финансовый 2 3 9 9 2 3" xfId="30548" xr:uid="{00000000-0005-0000-0000-0000525B0000}"/>
    <cellStyle name="Финансовый 2 3 9 9 3" xfId="12534" xr:uid="{00000000-0005-0000-0000-0000535B0000}"/>
    <cellStyle name="Финансовый 2 3 9 9 3 2" xfId="36489" xr:uid="{00000000-0005-0000-0000-0000545B0000}"/>
    <cellStyle name="Финансовый 2 3 9 9 4" xfId="24512" xr:uid="{00000000-0005-0000-0000-0000555B0000}"/>
    <cellStyle name="Финансовый 2 4" xfId="8" xr:uid="{00000000-0005-0000-0000-0000565B0000}"/>
    <cellStyle name="Финансовый 2 4 10" xfId="282" xr:uid="{00000000-0005-0000-0000-0000575B0000}"/>
    <cellStyle name="Финансовый 2 4 10 10" xfId="24242" xr:uid="{00000000-0005-0000-0000-0000585B0000}"/>
    <cellStyle name="Финансовый 2 4 10 11" xfId="48472" xr:uid="{00000000-0005-0000-0000-0000595B0000}"/>
    <cellStyle name="Финансовый 2 4 10 2" xfId="2082" xr:uid="{00000000-0005-0000-0000-00005A5B0000}"/>
    <cellStyle name="Финансовый 2 4 10 2 2" xfId="3727" xr:uid="{00000000-0005-0000-0000-00005B5B0000}"/>
    <cellStyle name="Финансовый 2 4 10 2 2 2" xfId="11467" xr:uid="{00000000-0005-0000-0000-00005C5B0000}"/>
    <cellStyle name="Финансовый 2 4 10 2 2 2 2" xfId="23445" xr:uid="{00000000-0005-0000-0000-00005D5B0000}"/>
    <cellStyle name="Финансовый 2 4 10 2 2 2 2 2" xfId="47400" xr:uid="{00000000-0005-0000-0000-00005E5B0000}"/>
    <cellStyle name="Финансовый 2 4 10 2 2 2 3" xfId="35422" xr:uid="{00000000-0005-0000-0000-00005F5B0000}"/>
    <cellStyle name="Финансовый 2 4 10 2 2 3" xfId="15706" xr:uid="{00000000-0005-0000-0000-0000605B0000}"/>
    <cellStyle name="Финансовый 2 4 10 2 2 3 2" xfId="39661" xr:uid="{00000000-0005-0000-0000-0000615B0000}"/>
    <cellStyle name="Финансовый 2 4 10 2 2 4" xfId="27684" xr:uid="{00000000-0005-0000-0000-0000625B0000}"/>
    <cellStyle name="Финансовый 2 4 10 2 2 5" xfId="50953" xr:uid="{00000000-0005-0000-0000-0000635B0000}"/>
    <cellStyle name="Финансовый 2 4 10 2 3" xfId="5510" xr:uid="{00000000-0005-0000-0000-0000645B0000}"/>
    <cellStyle name="Финансовый 2 4 10 2 3 2" xfId="17488" xr:uid="{00000000-0005-0000-0000-0000655B0000}"/>
    <cellStyle name="Финансовый 2 4 10 2 3 2 2" xfId="41443" xr:uid="{00000000-0005-0000-0000-0000665B0000}"/>
    <cellStyle name="Финансовый 2 4 10 2 3 3" xfId="29465" xr:uid="{00000000-0005-0000-0000-0000675B0000}"/>
    <cellStyle name="Финансовый 2 4 10 2 4" xfId="8120" xr:uid="{00000000-0005-0000-0000-0000685B0000}"/>
    <cellStyle name="Финансовый 2 4 10 2 4 2" xfId="20098" xr:uid="{00000000-0005-0000-0000-0000695B0000}"/>
    <cellStyle name="Финансовый 2 4 10 2 4 2 2" xfId="44053" xr:uid="{00000000-0005-0000-0000-00006A5B0000}"/>
    <cellStyle name="Финансовый 2 4 10 2 4 3" xfId="32075" xr:uid="{00000000-0005-0000-0000-00006B5B0000}"/>
    <cellStyle name="Финансовый 2 4 10 2 5" xfId="9903" xr:uid="{00000000-0005-0000-0000-00006C5B0000}"/>
    <cellStyle name="Финансовый 2 4 10 2 5 2" xfId="21881" xr:uid="{00000000-0005-0000-0000-00006D5B0000}"/>
    <cellStyle name="Финансовый 2 4 10 2 5 2 2" xfId="45836" xr:uid="{00000000-0005-0000-0000-00006E5B0000}"/>
    <cellStyle name="Финансовый 2 4 10 2 5 3" xfId="33858" xr:uid="{00000000-0005-0000-0000-00006F5B0000}"/>
    <cellStyle name="Финансовый 2 4 10 2 6" xfId="14061" xr:uid="{00000000-0005-0000-0000-0000705B0000}"/>
    <cellStyle name="Финансовый 2 4 10 2 6 2" xfId="38016" xr:uid="{00000000-0005-0000-0000-0000715B0000}"/>
    <cellStyle name="Финансовый 2 4 10 2 7" xfId="26039" xr:uid="{00000000-0005-0000-0000-0000725B0000}"/>
    <cellStyle name="Финансовый 2 4 10 2 8" xfId="49172" xr:uid="{00000000-0005-0000-0000-0000735B0000}"/>
    <cellStyle name="Финансовый 2 4 10 3" xfId="1380" xr:uid="{00000000-0005-0000-0000-0000745B0000}"/>
    <cellStyle name="Финансовый 2 4 10 3 2" xfId="7420" xr:uid="{00000000-0005-0000-0000-0000755B0000}"/>
    <cellStyle name="Финансовый 2 4 10 3 2 2" xfId="19398" xr:uid="{00000000-0005-0000-0000-0000765B0000}"/>
    <cellStyle name="Финансовый 2 4 10 3 2 2 2" xfId="43353" xr:uid="{00000000-0005-0000-0000-0000775B0000}"/>
    <cellStyle name="Финансовый 2 4 10 3 2 3" xfId="31375" xr:uid="{00000000-0005-0000-0000-0000785B0000}"/>
    <cellStyle name="Финансовый 2 4 10 3 3" xfId="10951" xr:uid="{00000000-0005-0000-0000-0000795B0000}"/>
    <cellStyle name="Финансовый 2 4 10 3 3 2" xfId="22929" xr:uid="{00000000-0005-0000-0000-00007A5B0000}"/>
    <cellStyle name="Финансовый 2 4 10 3 3 2 2" xfId="46884" xr:uid="{00000000-0005-0000-0000-00007B5B0000}"/>
    <cellStyle name="Финансовый 2 4 10 3 3 3" xfId="34906" xr:uid="{00000000-0005-0000-0000-00007C5B0000}"/>
    <cellStyle name="Финансовый 2 4 10 3 4" xfId="13361" xr:uid="{00000000-0005-0000-0000-00007D5B0000}"/>
    <cellStyle name="Финансовый 2 4 10 3 4 2" xfId="37316" xr:uid="{00000000-0005-0000-0000-00007E5B0000}"/>
    <cellStyle name="Финансовый 2 4 10 3 5" xfId="25339" xr:uid="{00000000-0005-0000-0000-00007F5B0000}"/>
    <cellStyle name="Финансовый 2 4 10 3 6" xfId="50252" xr:uid="{00000000-0005-0000-0000-0000805B0000}"/>
    <cellStyle name="Финансовый 2 4 10 4" xfId="703" xr:uid="{00000000-0005-0000-0000-0000815B0000}"/>
    <cellStyle name="Финансовый 2 4 10 4 2" xfId="6743" xr:uid="{00000000-0005-0000-0000-0000825B0000}"/>
    <cellStyle name="Финансовый 2 4 10 4 2 2" xfId="18721" xr:uid="{00000000-0005-0000-0000-0000835B0000}"/>
    <cellStyle name="Финансовый 2 4 10 4 2 2 2" xfId="42676" xr:uid="{00000000-0005-0000-0000-0000845B0000}"/>
    <cellStyle name="Финансовый 2 4 10 4 2 3" xfId="30698" xr:uid="{00000000-0005-0000-0000-0000855B0000}"/>
    <cellStyle name="Финансовый 2 4 10 4 3" xfId="12684" xr:uid="{00000000-0005-0000-0000-0000865B0000}"/>
    <cellStyle name="Финансовый 2 4 10 4 3 2" xfId="36639" xr:uid="{00000000-0005-0000-0000-0000875B0000}"/>
    <cellStyle name="Финансовый 2 4 10 4 4" xfId="24662" xr:uid="{00000000-0005-0000-0000-0000885B0000}"/>
    <cellStyle name="Финансовый 2 4 10 5" xfId="3164" xr:uid="{00000000-0005-0000-0000-0000895B0000}"/>
    <cellStyle name="Финансовый 2 4 10 5 2" xfId="15143" xr:uid="{00000000-0005-0000-0000-00008A5B0000}"/>
    <cellStyle name="Финансовый 2 4 10 5 2 2" xfId="39098" xr:uid="{00000000-0005-0000-0000-00008B5B0000}"/>
    <cellStyle name="Финансовый 2 4 10 5 3" xfId="27121" xr:uid="{00000000-0005-0000-0000-00008C5B0000}"/>
    <cellStyle name="Финансовый 2 4 10 6" xfId="4808" xr:uid="{00000000-0005-0000-0000-00008D5B0000}"/>
    <cellStyle name="Финансовый 2 4 10 6 2" xfId="16787" xr:uid="{00000000-0005-0000-0000-00008E5B0000}"/>
    <cellStyle name="Финансовый 2 4 10 6 2 2" xfId="40742" xr:uid="{00000000-0005-0000-0000-00008F5B0000}"/>
    <cellStyle name="Финансовый 2 4 10 6 3" xfId="28765" xr:uid="{00000000-0005-0000-0000-0000905B0000}"/>
    <cellStyle name="Финансовый 2 4 10 7" xfId="6323" xr:uid="{00000000-0005-0000-0000-0000915B0000}"/>
    <cellStyle name="Финансовый 2 4 10 7 2" xfId="18301" xr:uid="{00000000-0005-0000-0000-0000925B0000}"/>
    <cellStyle name="Финансовый 2 4 10 7 2 2" xfId="42256" xr:uid="{00000000-0005-0000-0000-0000935B0000}"/>
    <cellStyle name="Финансовый 2 4 10 7 3" xfId="30278" xr:uid="{00000000-0005-0000-0000-0000945B0000}"/>
    <cellStyle name="Финансовый 2 4 10 8" xfId="9202" xr:uid="{00000000-0005-0000-0000-0000955B0000}"/>
    <cellStyle name="Финансовый 2 4 10 8 2" xfId="21180" xr:uid="{00000000-0005-0000-0000-0000965B0000}"/>
    <cellStyle name="Финансовый 2 4 10 8 2 2" xfId="45135" xr:uid="{00000000-0005-0000-0000-0000975B0000}"/>
    <cellStyle name="Финансовый 2 4 10 8 3" xfId="33157" xr:uid="{00000000-0005-0000-0000-0000985B0000}"/>
    <cellStyle name="Финансовый 2 4 10 9" xfId="12264" xr:uid="{00000000-0005-0000-0000-0000995B0000}"/>
    <cellStyle name="Финансовый 2 4 10 9 2" xfId="36219" xr:uid="{00000000-0005-0000-0000-00009A5B0000}"/>
    <cellStyle name="Финансовый 2 4 11" xfId="295" xr:uid="{00000000-0005-0000-0000-00009B5B0000}"/>
    <cellStyle name="Финансовый 2 4 11 10" xfId="48200" xr:uid="{00000000-0005-0000-0000-00009C5B0000}"/>
    <cellStyle name="Финансовый 2 4 11 2" xfId="1115" xr:uid="{00000000-0005-0000-0000-00009D5B0000}"/>
    <cellStyle name="Финансовый 2 4 11 2 2" xfId="7155" xr:uid="{00000000-0005-0000-0000-00009E5B0000}"/>
    <cellStyle name="Финансовый 2 4 11 2 2 2" xfId="19133" xr:uid="{00000000-0005-0000-0000-00009F5B0000}"/>
    <cellStyle name="Финансовый 2 4 11 2 2 2 2" xfId="43088" xr:uid="{00000000-0005-0000-0000-0000A05B0000}"/>
    <cellStyle name="Финансовый 2 4 11 2 2 3" xfId="31110" xr:uid="{00000000-0005-0000-0000-0000A15B0000}"/>
    <cellStyle name="Финансовый 2 4 11 2 3" xfId="10695" xr:uid="{00000000-0005-0000-0000-0000A25B0000}"/>
    <cellStyle name="Финансовый 2 4 11 2 3 2" xfId="22673" xr:uid="{00000000-0005-0000-0000-0000A35B0000}"/>
    <cellStyle name="Финансовый 2 4 11 2 3 2 2" xfId="46628" xr:uid="{00000000-0005-0000-0000-0000A45B0000}"/>
    <cellStyle name="Финансовый 2 4 11 2 3 3" xfId="34650" xr:uid="{00000000-0005-0000-0000-0000A55B0000}"/>
    <cellStyle name="Финансовый 2 4 11 2 4" xfId="13096" xr:uid="{00000000-0005-0000-0000-0000A65B0000}"/>
    <cellStyle name="Финансовый 2 4 11 2 4 2" xfId="37051" xr:uid="{00000000-0005-0000-0000-0000A75B0000}"/>
    <cellStyle name="Финансовый 2 4 11 2 5" xfId="25074" xr:uid="{00000000-0005-0000-0000-0000A85B0000}"/>
    <cellStyle name="Финансовый 2 4 11 2 6" xfId="49980" xr:uid="{00000000-0005-0000-0000-0000A95B0000}"/>
    <cellStyle name="Финансовый 2 4 11 3" xfId="715" xr:uid="{00000000-0005-0000-0000-0000AA5B0000}"/>
    <cellStyle name="Финансовый 2 4 11 3 2" xfId="6755" xr:uid="{00000000-0005-0000-0000-0000AB5B0000}"/>
    <cellStyle name="Финансовый 2 4 11 3 2 2" xfId="18733" xr:uid="{00000000-0005-0000-0000-0000AC5B0000}"/>
    <cellStyle name="Финансовый 2 4 11 3 2 2 2" xfId="42688" xr:uid="{00000000-0005-0000-0000-0000AD5B0000}"/>
    <cellStyle name="Финансовый 2 4 11 3 2 3" xfId="30710" xr:uid="{00000000-0005-0000-0000-0000AE5B0000}"/>
    <cellStyle name="Финансовый 2 4 11 3 3" xfId="12696" xr:uid="{00000000-0005-0000-0000-0000AF5B0000}"/>
    <cellStyle name="Финансовый 2 4 11 3 3 2" xfId="36651" xr:uid="{00000000-0005-0000-0000-0000B05B0000}"/>
    <cellStyle name="Финансовый 2 4 11 3 4" xfId="24674" xr:uid="{00000000-0005-0000-0000-0000B15B0000}"/>
    <cellStyle name="Финансовый 2 4 11 4" xfId="2892" xr:uid="{00000000-0005-0000-0000-0000B25B0000}"/>
    <cellStyle name="Финансовый 2 4 11 4 2" xfId="14871" xr:uid="{00000000-0005-0000-0000-0000B35B0000}"/>
    <cellStyle name="Финансовый 2 4 11 4 2 2" xfId="38826" xr:uid="{00000000-0005-0000-0000-0000B45B0000}"/>
    <cellStyle name="Финансовый 2 4 11 4 3" xfId="26849" xr:uid="{00000000-0005-0000-0000-0000B55B0000}"/>
    <cellStyle name="Финансовый 2 4 11 5" xfId="4536" xr:uid="{00000000-0005-0000-0000-0000B65B0000}"/>
    <cellStyle name="Финансовый 2 4 11 5 2" xfId="16515" xr:uid="{00000000-0005-0000-0000-0000B75B0000}"/>
    <cellStyle name="Финансовый 2 4 11 5 2 2" xfId="40470" xr:uid="{00000000-0005-0000-0000-0000B85B0000}"/>
    <cellStyle name="Финансовый 2 4 11 5 3" xfId="28493" xr:uid="{00000000-0005-0000-0000-0000B95B0000}"/>
    <cellStyle name="Финансовый 2 4 11 6" xfId="6335" xr:uid="{00000000-0005-0000-0000-0000BA5B0000}"/>
    <cellStyle name="Финансовый 2 4 11 6 2" xfId="18313" xr:uid="{00000000-0005-0000-0000-0000BB5B0000}"/>
    <cellStyle name="Финансовый 2 4 11 6 2 2" xfId="42268" xr:uid="{00000000-0005-0000-0000-0000BC5B0000}"/>
    <cellStyle name="Финансовый 2 4 11 6 3" xfId="30290" xr:uid="{00000000-0005-0000-0000-0000BD5B0000}"/>
    <cellStyle name="Финансовый 2 4 11 7" xfId="8930" xr:uid="{00000000-0005-0000-0000-0000BE5B0000}"/>
    <cellStyle name="Финансовый 2 4 11 7 2" xfId="20908" xr:uid="{00000000-0005-0000-0000-0000BF5B0000}"/>
    <cellStyle name="Финансовый 2 4 11 7 2 2" xfId="44863" xr:uid="{00000000-0005-0000-0000-0000C05B0000}"/>
    <cellStyle name="Финансовый 2 4 11 7 3" xfId="32885" xr:uid="{00000000-0005-0000-0000-0000C15B0000}"/>
    <cellStyle name="Финансовый 2 4 11 8" xfId="12276" xr:uid="{00000000-0005-0000-0000-0000C25B0000}"/>
    <cellStyle name="Финансовый 2 4 11 8 2" xfId="36231" xr:uid="{00000000-0005-0000-0000-0000C35B0000}"/>
    <cellStyle name="Финансовый 2 4 11 9" xfId="24254" xr:uid="{00000000-0005-0000-0000-0000C45B0000}"/>
    <cellStyle name="Финансовый 2 4 12" xfId="1497" xr:uid="{00000000-0005-0000-0000-0000C55B0000}"/>
    <cellStyle name="Финансовый 2 4 12 2" xfId="1702" xr:uid="{00000000-0005-0000-0000-0000C65B0000}"/>
    <cellStyle name="Финансовый 2 4 12 2 2" xfId="3347" xr:uid="{00000000-0005-0000-0000-0000C75B0000}"/>
    <cellStyle name="Финансовый 2 4 12 2 2 2" xfId="11095" xr:uid="{00000000-0005-0000-0000-0000C85B0000}"/>
    <cellStyle name="Финансовый 2 4 12 2 2 2 2" xfId="23073" xr:uid="{00000000-0005-0000-0000-0000C95B0000}"/>
    <cellStyle name="Финансовый 2 4 12 2 2 2 2 2" xfId="47028" xr:uid="{00000000-0005-0000-0000-0000CA5B0000}"/>
    <cellStyle name="Финансовый 2 4 12 2 2 2 3" xfId="35050" xr:uid="{00000000-0005-0000-0000-0000CB5B0000}"/>
    <cellStyle name="Финансовый 2 4 12 2 2 3" xfId="15326" xr:uid="{00000000-0005-0000-0000-0000CC5B0000}"/>
    <cellStyle name="Финансовый 2 4 12 2 2 3 2" xfId="39281" xr:uid="{00000000-0005-0000-0000-0000CD5B0000}"/>
    <cellStyle name="Финансовый 2 4 12 2 2 4" xfId="27304" xr:uid="{00000000-0005-0000-0000-0000CE5B0000}"/>
    <cellStyle name="Финансовый 2 4 12 2 2 5" xfId="50573" xr:uid="{00000000-0005-0000-0000-0000CF5B0000}"/>
    <cellStyle name="Финансовый 2 4 12 2 3" xfId="5130" xr:uid="{00000000-0005-0000-0000-0000D05B0000}"/>
    <cellStyle name="Финансовый 2 4 12 2 3 2" xfId="17108" xr:uid="{00000000-0005-0000-0000-0000D15B0000}"/>
    <cellStyle name="Финансовый 2 4 12 2 3 2 2" xfId="41063" xr:uid="{00000000-0005-0000-0000-0000D25B0000}"/>
    <cellStyle name="Финансовый 2 4 12 2 3 3" xfId="29085" xr:uid="{00000000-0005-0000-0000-0000D35B0000}"/>
    <cellStyle name="Финансовый 2 4 12 2 4" xfId="7740" xr:uid="{00000000-0005-0000-0000-0000D45B0000}"/>
    <cellStyle name="Финансовый 2 4 12 2 4 2" xfId="19718" xr:uid="{00000000-0005-0000-0000-0000D55B0000}"/>
    <cellStyle name="Финансовый 2 4 12 2 4 2 2" xfId="43673" xr:uid="{00000000-0005-0000-0000-0000D65B0000}"/>
    <cellStyle name="Финансовый 2 4 12 2 4 3" xfId="31695" xr:uid="{00000000-0005-0000-0000-0000D75B0000}"/>
    <cellStyle name="Финансовый 2 4 12 2 5" xfId="9523" xr:uid="{00000000-0005-0000-0000-0000D85B0000}"/>
    <cellStyle name="Финансовый 2 4 12 2 5 2" xfId="21501" xr:uid="{00000000-0005-0000-0000-0000D95B0000}"/>
    <cellStyle name="Финансовый 2 4 12 2 5 2 2" xfId="45456" xr:uid="{00000000-0005-0000-0000-0000DA5B0000}"/>
    <cellStyle name="Финансовый 2 4 12 2 5 3" xfId="33478" xr:uid="{00000000-0005-0000-0000-0000DB5B0000}"/>
    <cellStyle name="Финансовый 2 4 12 2 6" xfId="13681" xr:uid="{00000000-0005-0000-0000-0000DC5B0000}"/>
    <cellStyle name="Финансовый 2 4 12 2 6 2" xfId="37636" xr:uid="{00000000-0005-0000-0000-0000DD5B0000}"/>
    <cellStyle name="Финансовый 2 4 12 2 7" xfId="25659" xr:uid="{00000000-0005-0000-0000-0000DE5B0000}"/>
    <cellStyle name="Финансовый 2 4 12 2 8" xfId="48792" xr:uid="{00000000-0005-0000-0000-0000DF5B0000}"/>
    <cellStyle name="Финансовый 2 4 12 3" xfId="4925" xr:uid="{00000000-0005-0000-0000-0000E05B0000}"/>
    <cellStyle name="Финансовый 2 4 12 3 2" xfId="16903" xr:uid="{00000000-0005-0000-0000-0000E15B0000}"/>
    <cellStyle name="Финансовый 2 4 12 3 2 2" xfId="40858" xr:uid="{00000000-0005-0000-0000-0000E25B0000}"/>
    <cellStyle name="Финансовый 2 4 12 3 3" xfId="28880" xr:uid="{00000000-0005-0000-0000-0000E35B0000}"/>
    <cellStyle name="Финансовый 2 4 12 3 4" xfId="50368" xr:uid="{00000000-0005-0000-0000-0000E45B0000}"/>
    <cellStyle name="Финансовый 2 4 12 4" xfId="7535" xr:uid="{00000000-0005-0000-0000-0000E55B0000}"/>
    <cellStyle name="Финансовый 2 4 12 4 2" xfId="19513" xr:uid="{00000000-0005-0000-0000-0000E65B0000}"/>
    <cellStyle name="Финансовый 2 4 12 4 2 2" xfId="43468" xr:uid="{00000000-0005-0000-0000-0000E75B0000}"/>
    <cellStyle name="Финансовый 2 4 12 4 3" xfId="31490" xr:uid="{00000000-0005-0000-0000-0000E85B0000}"/>
    <cellStyle name="Финансовый 2 4 12 5" xfId="9318" xr:uid="{00000000-0005-0000-0000-0000E95B0000}"/>
    <cellStyle name="Финансовый 2 4 12 5 2" xfId="21296" xr:uid="{00000000-0005-0000-0000-0000EA5B0000}"/>
    <cellStyle name="Финансовый 2 4 12 5 2 2" xfId="45251" xr:uid="{00000000-0005-0000-0000-0000EB5B0000}"/>
    <cellStyle name="Финансовый 2 4 12 5 3" xfId="33273" xr:uid="{00000000-0005-0000-0000-0000EC5B0000}"/>
    <cellStyle name="Финансовый 2 4 12 6" xfId="13476" xr:uid="{00000000-0005-0000-0000-0000ED5B0000}"/>
    <cellStyle name="Финансовый 2 4 12 6 2" xfId="37431" xr:uid="{00000000-0005-0000-0000-0000EE5B0000}"/>
    <cellStyle name="Финансовый 2 4 12 7" xfId="25454" xr:uid="{00000000-0005-0000-0000-0000EF5B0000}"/>
    <cellStyle name="Финансовый 2 4 12 8" xfId="48587" xr:uid="{00000000-0005-0000-0000-0000F05B0000}"/>
    <cellStyle name="Финансовый 2 4 13" xfId="2338" xr:uid="{00000000-0005-0000-0000-0000F15B0000}"/>
    <cellStyle name="Финансовый 2 4 13 2" xfId="3983" xr:uid="{00000000-0005-0000-0000-0000F25B0000}"/>
    <cellStyle name="Финансовый 2 4 13 2 2" xfId="11723" xr:uid="{00000000-0005-0000-0000-0000F35B0000}"/>
    <cellStyle name="Финансовый 2 4 13 2 2 2" xfId="23701" xr:uid="{00000000-0005-0000-0000-0000F45B0000}"/>
    <cellStyle name="Финансовый 2 4 13 2 2 2 2" xfId="47656" xr:uid="{00000000-0005-0000-0000-0000F55B0000}"/>
    <cellStyle name="Финансовый 2 4 13 2 2 3" xfId="35678" xr:uid="{00000000-0005-0000-0000-0000F65B0000}"/>
    <cellStyle name="Финансовый 2 4 13 2 3" xfId="15962" xr:uid="{00000000-0005-0000-0000-0000F75B0000}"/>
    <cellStyle name="Финансовый 2 4 13 2 3 2" xfId="39917" xr:uid="{00000000-0005-0000-0000-0000F85B0000}"/>
    <cellStyle name="Финансовый 2 4 13 2 4" xfId="27940" xr:uid="{00000000-0005-0000-0000-0000F95B0000}"/>
    <cellStyle name="Финансовый 2 4 13 2 5" xfId="51209" xr:uid="{00000000-0005-0000-0000-0000FA5B0000}"/>
    <cellStyle name="Финансовый 2 4 13 3" xfId="5766" xr:uid="{00000000-0005-0000-0000-0000FB5B0000}"/>
    <cellStyle name="Финансовый 2 4 13 3 2" xfId="17744" xr:uid="{00000000-0005-0000-0000-0000FC5B0000}"/>
    <cellStyle name="Финансовый 2 4 13 3 2 2" xfId="41699" xr:uid="{00000000-0005-0000-0000-0000FD5B0000}"/>
    <cellStyle name="Финансовый 2 4 13 3 3" xfId="29721" xr:uid="{00000000-0005-0000-0000-0000FE5B0000}"/>
    <cellStyle name="Финансовый 2 4 13 4" xfId="8376" xr:uid="{00000000-0005-0000-0000-0000FF5B0000}"/>
    <cellStyle name="Финансовый 2 4 13 4 2" xfId="20354" xr:uid="{00000000-0005-0000-0000-0000005C0000}"/>
    <cellStyle name="Финансовый 2 4 13 4 2 2" xfId="44309" xr:uid="{00000000-0005-0000-0000-0000015C0000}"/>
    <cellStyle name="Финансовый 2 4 13 4 3" xfId="32331" xr:uid="{00000000-0005-0000-0000-0000025C0000}"/>
    <cellStyle name="Финансовый 2 4 13 5" xfId="10159" xr:uid="{00000000-0005-0000-0000-0000035C0000}"/>
    <cellStyle name="Финансовый 2 4 13 5 2" xfId="22137" xr:uid="{00000000-0005-0000-0000-0000045C0000}"/>
    <cellStyle name="Финансовый 2 4 13 5 2 2" xfId="46092" xr:uid="{00000000-0005-0000-0000-0000055C0000}"/>
    <cellStyle name="Финансовый 2 4 13 5 3" xfId="34114" xr:uid="{00000000-0005-0000-0000-0000065C0000}"/>
    <cellStyle name="Финансовый 2 4 13 6" xfId="14317" xr:uid="{00000000-0005-0000-0000-0000075C0000}"/>
    <cellStyle name="Финансовый 2 4 13 6 2" xfId="38272" xr:uid="{00000000-0005-0000-0000-0000085C0000}"/>
    <cellStyle name="Финансовый 2 4 13 7" xfId="26295" xr:uid="{00000000-0005-0000-0000-0000095C0000}"/>
    <cellStyle name="Финансовый 2 4 13 8" xfId="49428" xr:uid="{00000000-0005-0000-0000-00000A5C0000}"/>
    <cellStyle name="Финансовый 2 4 14" xfId="1565" xr:uid="{00000000-0005-0000-0000-00000B5C0000}"/>
    <cellStyle name="Финансовый 2 4 14 2" xfId="3210" xr:uid="{00000000-0005-0000-0000-00000C5C0000}"/>
    <cellStyle name="Финансовый 2 4 14 2 2" xfId="10966" xr:uid="{00000000-0005-0000-0000-00000D5C0000}"/>
    <cellStyle name="Финансовый 2 4 14 2 2 2" xfId="22944" xr:uid="{00000000-0005-0000-0000-00000E5C0000}"/>
    <cellStyle name="Финансовый 2 4 14 2 2 2 2" xfId="46899" xr:uid="{00000000-0005-0000-0000-00000F5C0000}"/>
    <cellStyle name="Финансовый 2 4 14 2 2 3" xfId="34921" xr:uid="{00000000-0005-0000-0000-0000105C0000}"/>
    <cellStyle name="Финансовый 2 4 14 2 3" xfId="15189" xr:uid="{00000000-0005-0000-0000-0000115C0000}"/>
    <cellStyle name="Финансовый 2 4 14 2 3 2" xfId="39144" xr:uid="{00000000-0005-0000-0000-0000125C0000}"/>
    <cellStyle name="Финансовый 2 4 14 2 4" xfId="27167" xr:uid="{00000000-0005-0000-0000-0000135C0000}"/>
    <cellStyle name="Финансовый 2 4 14 2 5" xfId="50436" xr:uid="{00000000-0005-0000-0000-0000145C0000}"/>
    <cellStyle name="Финансовый 2 4 14 3" xfId="4993" xr:uid="{00000000-0005-0000-0000-0000155C0000}"/>
    <cellStyle name="Финансовый 2 4 14 3 2" xfId="16971" xr:uid="{00000000-0005-0000-0000-0000165C0000}"/>
    <cellStyle name="Финансовый 2 4 14 3 2 2" xfId="40926" xr:uid="{00000000-0005-0000-0000-0000175C0000}"/>
    <cellStyle name="Финансовый 2 4 14 3 3" xfId="28948" xr:uid="{00000000-0005-0000-0000-0000185C0000}"/>
    <cellStyle name="Финансовый 2 4 14 4" xfId="7603" xr:uid="{00000000-0005-0000-0000-0000195C0000}"/>
    <cellStyle name="Финансовый 2 4 14 4 2" xfId="19581" xr:uid="{00000000-0005-0000-0000-00001A5C0000}"/>
    <cellStyle name="Финансовый 2 4 14 4 2 2" xfId="43536" xr:uid="{00000000-0005-0000-0000-00001B5C0000}"/>
    <cellStyle name="Финансовый 2 4 14 4 3" xfId="31558" xr:uid="{00000000-0005-0000-0000-00001C5C0000}"/>
    <cellStyle name="Финансовый 2 4 14 5" xfId="9386" xr:uid="{00000000-0005-0000-0000-00001D5C0000}"/>
    <cellStyle name="Финансовый 2 4 14 5 2" xfId="21364" xr:uid="{00000000-0005-0000-0000-00001E5C0000}"/>
    <cellStyle name="Финансовый 2 4 14 5 2 2" xfId="45319" xr:uid="{00000000-0005-0000-0000-00001F5C0000}"/>
    <cellStyle name="Финансовый 2 4 14 5 3" xfId="33341" xr:uid="{00000000-0005-0000-0000-0000205C0000}"/>
    <cellStyle name="Финансовый 2 4 14 6" xfId="13544" xr:uid="{00000000-0005-0000-0000-0000215C0000}"/>
    <cellStyle name="Финансовый 2 4 14 6 2" xfId="37499" xr:uid="{00000000-0005-0000-0000-0000225C0000}"/>
    <cellStyle name="Финансовый 2 4 14 7" xfId="25522" xr:uid="{00000000-0005-0000-0000-0000235C0000}"/>
    <cellStyle name="Финансовый 2 4 14 8" xfId="48655" xr:uid="{00000000-0005-0000-0000-0000245C0000}"/>
    <cellStyle name="Финансовый 2 4 15" xfId="851" xr:uid="{00000000-0005-0000-0000-0000255C0000}"/>
    <cellStyle name="Финансовый 2 4 15 2" xfId="6891" xr:uid="{00000000-0005-0000-0000-0000265C0000}"/>
    <cellStyle name="Финансовый 2 4 15 2 2" xfId="18869" xr:uid="{00000000-0005-0000-0000-0000275C0000}"/>
    <cellStyle name="Финансовый 2 4 15 2 2 2" xfId="42824" xr:uid="{00000000-0005-0000-0000-0000285C0000}"/>
    <cellStyle name="Финансовый 2 4 15 2 3" xfId="30846" xr:uid="{00000000-0005-0000-0000-0000295C0000}"/>
    <cellStyle name="Финансовый 2 4 15 3" xfId="10439" xr:uid="{00000000-0005-0000-0000-00002A5C0000}"/>
    <cellStyle name="Финансовый 2 4 15 3 2" xfId="22417" xr:uid="{00000000-0005-0000-0000-00002B5C0000}"/>
    <cellStyle name="Финансовый 2 4 15 3 2 2" xfId="46372" xr:uid="{00000000-0005-0000-0000-00002C5C0000}"/>
    <cellStyle name="Финансовый 2 4 15 3 3" xfId="34394" xr:uid="{00000000-0005-0000-0000-00002D5C0000}"/>
    <cellStyle name="Финансовый 2 4 15 4" xfId="12832" xr:uid="{00000000-0005-0000-0000-00002E5C0000}"/>
    <cellStyle name="Финансовый 2 4 15 4 2" xfId="36787" xr:uid="{00000000-0005-0000-0000-00002F5C0000}"/>
    <cellStyle name="Финансовый 2 4 15 5" xfId="24810" xr:uid="{00000000-0005-0000-0000-0000305C0000}"/>
    <cellStyle name="Финансовый 2 4 15 6" xfId="49708" xr:uid="{00000000-0005-0000-0000-0000315C0000}"/>
    <cellStyle name="Финансовый 2 4 16" xfId="431" xr:uid="{00000000-0005-0000-0000-0000325C0000}"/>
    <cellStyle name="Финансовый 2 4 16 2" xfId="6471" xr:uid="{00000000-0005-0000-0000-0000335C0000}"/>
    <cellStyle name="Финансовый 2 4 16 2 2" xfId="18449" xr:uid="{00000000-0005-0000-0000-0000345C0000}"/>
    <cellStyle name="Финансовый 2 4 16 2 2 2" xfId="42404" xr:uid="{00000000-0005-0000-0000-0000355C0000}"/>
    <cellStyle name="Финансовый 2 4 16 2 3" xfId="30426" xr:uid="{00000000-0005-0000-0000-0000365C0000}"/>
    <cellStyle name="Финансовый 2 4 16 3" xfId="12412" xr:uid="{00000000-0005-0000-0000-0000375C0000}"/>
    <cellStyle name="Финансовый 2 4 16 3 2" xfId="36367" xr:uid="{00000000-0005-0000-0000-0000385C0000}"/>
    <cellStyle name="Финансовый 2 4 16 4" xfId="24390" xr:uid="{00000000-0005-0000-0000-0000395C0000}"/>
    <cellStyle name="Финансовый 2 4 17" xfId="2620" xr:uid="{00000000-0005-0000-0000-00003A5C0000}"/>
    <cellStyle name="Финансовый 2 4 17 2" xfId="14599" xr:uid="{00000000-0005-0000-0000-00003B5C0000}"/>
    <cellStyle name="Финансовый 2 4 17 2 2" xfId="38554" xr:uid="{00000000-0005-0000-0000-00003C5C0000}"/>
    <cellStyle name="Финансовый 2 4 17 3" xfId="26577" xr:uid="{00000000-0005-0000-0000-00003D5C0000}"/>
    <cellStyle name="Финансовый 2 4 18" xfId="4263" xr:uid="{00000000-0005-0000-0000-00003E5C0000}"/>
    <cellStyle name="Финансовый 2 4 18 2" xfId="16242" xr:uid="{00000000-0005-0000-0000-00003F5C0000}"/>
    <cellStyle name="Финансовый 2 4 18 2 2" xfId="40197" xr:uid="{00000000-0005-0000-0000-0000405C0000}"/>
    <cellStyle name="Финансовый 2 4 18 3" xfId="28220" xr:uid="{00000000-0005-0000-0000-0000415C0000}"/>
    <cellStyle name="Финансовый 2 4 19" xfId="6051" xr:uid="{00000000-0005-0000-0000-0000425C0000}"/>
    <cellStyle name="Финансовый 2 4 19 2" xfId="18029" xr:uid="{00000000-0005-0000-0000-0000435C0000}"/>
    <cellStyle name="Финансовый 2 4 19 2 2" xfId="41984" xr:uid="{00000000-0005-0000-0000-0000445C0000}"/>
    <cellStyle name="Финансовый 2 4 19 3" xfId="30006" xr:uid="{00000000-0005-0000-0000-0000455C0000}"/>
    <cellStyle name="Финансовый 2 4 2" xfId="44" xr:uid="{00000000-0005-0000-0000-0000465C0000}"/>
    <cellStyle name="Финансовый 2 4 2 10" xfId="467" xr:uid="{00000000-0005-0000-0000-0000475C0000}"/>
    <cellStyle name="Финансовый 2 4 2 10 2" xfId="6507" xr:uid="{00000000-0005-0000-0000-0000485C0000}"/>
    <cellStyle name="Финансовый 2 4 2 10 2 2" xfId="18485" xr:uid="{00000000-0005-0000-0000-0000495C0000}"/>
    <cellStyle name="Финансовый 2 4 2 10 2 2 2" xfId="42440" xr:uid="{00000000-0005-0000-0000-00004A5C0000}"/>
    <cellStyle name="Финансовый 2 4 2 10 2 3" xfId="30462" xr:uid="{00000000-0005-0000-0000-00004B5C0000}"/>
    <cellStyle name="Финансовый 2 4 2 10 3" xfId="12448" xr:uid="{00000000-0005-0000-0000-00004C5C0000}"/>
    <cellStyle name="Финансовый 2 4 2 10 3 2" xfId="36403" xr:uid="{00000000-0005-0000-0000-00004D5C0000}"/>
    <cellStyle name="Финансовый 2 4 2 10 4" xfId="24426" xr:uid="{00000000-0005-0000-0000-00004E5C0000}"/>
    <cellStyle name="Финансовый 2 4 2 11" xfId="2656" xr:uid="{00000000-0005-0000-0000-00004F5C0000}"/>
    <cellStyle name="Финансовый 2 4 2 11 2" xfId="14635" xr:uid="{00000000-0005-0000-0000-0000505C0000}"/>
    <cellStyle name="Финансовый 2 4 2 11 2 2" xfId="38590" xr:uid="{00000000-0005-0000-0000-0000515C0000}"/>
    <cellStyle name="Финансовый 2 4 2 11 3" xfId="26613" xr:uid="{00000000-0005-0000-0000-0000525C0000}"/>
    <cellStyle name="Финансовый 2 4 2 12" xfId="4299" xr:uid="{00000000-0005-0000-0000-0000535C0000}"/>
    <cellStyle name="Финансовый 2 4 2 12 2" xfId="16278" xr:uid="{00000000-0005-0000-0000-0000545C0000}"/>
    <cellStyle name="Финансовый 2 4 2 12 2 2" xfId="40233" xr:uid="{00000000-0005-0000-0000-0000555C0000}"/>
    <cellStyle name="Финансовый 2 4 2 12 3" xfId="28256" xr:uid="{00000000-0005-0000-0000-0000565C0000}"/>
    <cellStyle name="Финансовый 2 4 2 13" xfId="6087" xr:uid="{00000000-0005-0000-0000-0000575C0000}"/>
    <cellStyle name="Финансовый 2 4 2 13 2" xfId="18065" xr:uid="{00000000-0005-0000-0000-0000585C0000}"/>
    <cellStyle name="Финансовый 2 4 2 13 2 2" xfId="42020" xr:uid="{00000000-0005-0000-0000-0000595C0000}"/>
    <cellStyle name="Финансовый 2 4 2 13 3" xfId="30042" xr:uid="{00000000-0005-0000-0000-00005A5C0000}"/>
    <cellStyle name="Финансовый 2 4 2 14" xfId="8694" xr:uid="{00000000-0005-0000-0000-00005B5C0000}"/>
    <cellStyle name="Финансовый 2 4 2 14 2" xfId="20672" xr:uid="{00000000-0005-0000-0000-00005C5C0000}"/>
    <cellStyle name="Финансовый 2 4 2 14 2 2" xfId="44627" xr:uid="{00000000-0005-0000-0000-00005D5C0000}"/>
    <cellStyle name="Финансовый 2 4 2 14 3" xfId="32649" xr:uid="{00000000-0005-0000-0000-00005E5C0000}"/>
    <cellStyle name="Финансовый 2 4 2 15" xfId="12028" xr:uid="{00000000-0005-0000-0000-00005F5C0000}"/>
    <cellStyle name="Финансовый 2 4 2 15 2" xfId="35983" xr:uid="{00000000-0005-0000-0000-0000605C0000}"/>
    <cellStyle name="Финансовый 2 4 2 16" xfId="24006" xr:uid="{00000000-0005-0000-0000-0000615C0000}"/>
    <cellStyle name="Финансовый 2 4 2 17" xfId="47964" xr:uid="{00000000-0005-0000-0000-0000625C0000}"/>
    <cellStyle name="Финансовый 2 4 2 2" xfId="102" xr:uid="{00000000-0005-0000-0000-0000635C0000}"/>
    <cellStyle name="Финансовый 2 4 2 2 10" xfId="2712" xr:uid="{00000000-0005-0000-0000-0000645C0000}"/>
    <cellStyle name="Финансовый 2 4 2 2 10 2" xfId="14691" xr:uid="{00000000-0005-0000-0000-0000655C0000}"/>
    <cellStyle name="Финансовый 2 4 2 2 10 2 2" xfId="38646" xr:uid="{00000000-0005-0000-0000-0000665C0000}"/>
    <cellStyle name="Финансовый 2 4 2 2 10 3" xfId="26669" xr:uid="{00000000-0005-0000-0000-0000675C0000}"/>
    <cellStyle name="Финансовый 2 4 2 2 11" xfId="4356" xr:uid="{00000000-0005-0000-0000-0000685C0000}"/>
    <cellStyle name="Финансовый 2 4 2 2 11 2" xfId="16335" xr:uid="{00000000-0005-0000-0000-0000695C0000}"/>
    <cellStyle name="Финансовый 2 4 2 2 11 2 2" xfId="40290" xr:uid="{00000000-0005-0000-0000-00006A5C0000}"/>
    <cellStyle name="Финансовый 2 4 2 2 11 3" xfId="28313" xr:uid="{00000000-0005-0000-0000-00006B5C0000}"/>
    <cellStyle name="Финансовый 2 4 2 2 12" xfId="6143" xr:uid="{00000000-0005-0000-0000-00006C5C0000}"/>
    <cellStyle name="Финансовый 2 4 2 2 12 2" xfId="18121" xr:uid="{00000000-0005-0000-0000-00006D5C0000}"/>
    <cellStyle name="Финансовый 2 4 2 2 12 2 2" xfId="42076" xr:uid="{00000000-0005-0000-0000-00006E5C0000}"/>
    <cellStyle name="Финансовый 2 4 2 2 12 3" xfId="30098" xr:uid="{00000000-0005-0000-0000-00006F5C0000}"/>
    <cellStyle name="Финансовый 2 4 2 2 13" xfId="8750" xr:uid="{00000000-0005-0000-0000-0000705C0000}"/>
    <cellStyle name="Финансовый 2 4 2 2 13 2" xfId="20728" xr:uid="{00000000-0005-0000-0000-0000715C0000}"/>
    <cellStyle name="Финансовый 2 4 2 2 13 2 2" xfId="44683" xr:uid="{00000000-0005-0000-0000-0000725C0000}"/>
    <cellStyle name="Финансовый 2 4 2 2 13 3" xfId="32705" xr:uid="{00000000-0005-0000-0000-0000735C0000}"/>
    <cellStyle name="Финансовый 2 4 2 2 14" xfId="12084" xr:uid="{00000000-0005-0000-0000-0000745C0000}"/>
    <cellStyle name="Финансовый 2 4 2 2 14 2" xfId="36039" xr:uid="{00000000-0005-0000-0000-0000755C0000}"/>
    <cellStyle name="Финансовый 2 4 2 2 15" xfId="24062" xr:uid="{00000000-0005-0000-0000-0000765C0000}"/>
    <cellStyle name="Финансовый 2 4 2 2 16" xfId="48020" xr:uid="{00000000-0005-0000-0000-0000775C0000}"/>
    <cellStyle name="Финансовый 2 4 2 2 2" xfId="238" xr:uid="{00000000-0005-0000-0000-0000785C0000}"/>
    <cellStyle name="Финансовый 2 4 2 2 2 10" xfId="8886" xr:uid="{00000000-0005-0000-0000-0000795C0000}"/>
    <cellStyle name="Финансовый 2 4 2 2 2 10 2" xfId="20864" xr:uid="{00000000-0005-0000-0000-00007A5C0000}"/>
    <cellStyle name="Финансовый 2 4 2 2 2 10 2 2" xfId="44819" xr:uid="{00000000-0005-0000-0000-00007B5C0000}"/>
    <cellStyle name="Финансовый 2 4 2 2 2 10 3" xfId="32841" xr:uid="{00000000-0005-0000-0000-00007C5C0000}"/>
    <cellStyle name="Финансовый 2 4 2 2 2 11" xfId="12220" xr:uid="{00000000-0005-0000-0000-00007D5C0000}"/>
    <cellStyle name="Финансовый 2 4 2 2 2 11 2" xfId="36175" xr:uid="{00000000-0005-0000-0000-00007E5C0000}"/>
    <cellStyle name="Финансовый 2 4 2 2 2 12" xfId="24198" xr:uid="{00000000-0005-0000-0000-00007F5C0000}"/>
    <cellStyle name="Финансовый 2 4 2 2 2 13" xfId="48156" xr:uid="{00000000-0005-0000-0000-0000805C0000}"/>
    <cellStyle name="Финансовый 2 4 2 2 2 2" xfId="1336" xr:uid="{00000000-0005-0000-0000-0000815C0000}"/>
    <cellStyle name="Финансовый 2 4 2 2 2 2 2" xfId="2294" xr:uid="{00000000-0005-0000-0000-0000825C0000}"/>
    <cellStyle name="Финансовый 2 4 2 2 2 2 2 2" xfId="3939" xr:uid="{00000000-0005-0000-0000-0000835C0000}"/>
    <cellStyle name="Финансовый 2 4 2 2 2 2 2 2 2" xfId="11679" xr:uid="{00000000-0005-0000-0000-0000845C0000}"/>
    <cellStyle name="Финансовый 2 4 2 2 2 2 2 2 2 2" xfId="23657" xr:uid="{00000000-0005-0000-0000-0000855C0000}"/>
    <cellStyle name="Финансовый 2 4 2 2 2 2 2 2 2 2 2" xfId="47612" xr:uid="{00000000-0005-0000-0000-0000865C0000}"/>
    <cellStyle name="Финансовый 2 4 2 2 2 2 2 2 2 3" xfId="35634" xr:uid="{00000000-0005-0000-0000-0000875C0000}"/>
    <cellStyle name="Финансовый 2 4 2 2 2 2 2 2 3" xfId="15918" xr:uid="{00000000-0005-0000-0000-0000885C0000}"/>
    <cellStyle name="Финансовый 2 4 2 2 2 2 2 2 3 2" xfId="39873" xr:uid="{00000000-0005-0000-0000-0000895C0000}"/>
    <cellStyle name="Финансовый 2 4 2 2 2 2 2 2 4" xfId="27896" xr:uid="{00000000-0005-0000-0000-00008A5C0000}"/>
    <cellStyle name="Финансовый 2 4 2 2 2 2 2 2 5" xfId="51165" xr:uid="{00000000-0005-0000-0000-00008B5C0000}"/>
    <cellStyle name="Финансовый 2 4 2 2 2 2 2 3" xfId="5722" xr:uid="{00000000-0005-0000-0000-00008C5C0000}"/>
    <cellStyle name="Финансовый 2 4 2 2 2 2 2 3 2" xfId="17700" xr:uid="{00000000-0005-0000-0000-00008D5C0000}"/>
    <cellStyle name="Финансовый 2 4 2 2 2 2 2 3 2 2" xfId="41655" xr:uid="{00000000-0005-0000-0000-00008E5C0000}"/>
    <cellStyle name="Финансовый 2 4 2 2 2 2 2 3 3" xfId="29677" xr:uid="{00000000-0005-0000-0000-00008F5C0000}"/>
    <cellStyle name="Финансовый 2 4 2 2 2 2 2 4" xfId="8332" xr:uid="{00000000-0005-0000-0000-0000905C0000}"/>
    <cellStyle name="Финансовый 2 4 2 2 2 2 2 4 2" xfId="20310" xr:uid="{00000000-0005-0000-0000-0000915C0000}"/>
    <cellStyle name="Финансовый 2 4 2 2 2 2 2 4 2 2" xfId="44265" xr:uid="{00000000-0005-0000-0000-0000925C0000}"/>
    <cellStyle name="Финансовый 2 4 2 2 2 2 2 4 3" xfId="32287" xr:uid="{00000000-0005-0000-0000-0000935C0000}"/>
    <cellStyle name="Финансовый 2 4 2 2 2 2 2 5" xfId="10115" xr:uid="{00000000-0005-0000-0000-0000945C0000}"/>
    <cellStyle name="Финансовый 2 4 2 2 2 2 2 5 2" xfId="22093" xr:uid="{00000000-0005-0000-0000-0000955C0000}"/>
    <cellStyle name="Финансовый 2 4 2 2 2 2 2 5 2 2" xfId="46048" xr:uid="{00000000-0005-0000-0000-0000965C0000}"/>
    <cellStyle name="Финансовый 2 4 2 2 2 2 2 5 3" xfId="34070" xr:uid="{00000000-0005-0000-0000-0000975C0000}"/>
    <cellStyle name="Финансовый 2 4 2 2 2 2 2 6" xfId="14273" xr:uid="{00000000-0005-0000-0000-0000985C0000}"/>
    <cellStyle name="Финансовый 2 4 2 2 2 2 2 6 2" xfId="38228" xr:uid="{00000000-0005-0000-0000-0000995C0000}"/>
    <cellStyle name="Финансовый 2 4 2 2 2 2 2 7" xfId="26251" xr:uid="{00000000-0005-0000-0000-00009A5C0000}"/>
    <cellStyle name="Финансовый 2 4 2 2 2 2 2 8" xfId="49384" xr:uid="{00000000-0005-0000-0000-00009B5C0000}"/>
    <cellStyle name="Финансовый 2 4 2 2 2 2 3" xfId="3120" xr:uid="{00000000-0005-0000-0000-00009C5C0000}"/>
    <cellStyle name="Финансовый 2 4 2 2 2 2 3 2" xfId="10907" xr:uid="{00000000-0005-0000-0000-00009D5C0000}"/>
    <cellStyle name="Финансовый 2 4 2 2 2 2 3 2 2" xfId="22885" xr:uid="{00000000-0005-0000-0000-00009E5C0000}"/>
    <cellStyle name="Финансовый 2 4 2 2 2 2 3 2 2 2" xfId="46840" xr:uid="{00000000-0005-0000-0000-00009F5C0000}"/>
    <cellStyle name="Финансовый 2 4 2 2 2 2 3 2 3" xfId="34862" xr:uid="{00000000-0005-0000-0000-0000A05C0000}"/>
    <cellStyle name="Финансовый 2 4 2 2 2 2 3 3" xfId="15099" xr:uid="{00000000-0005-0000-0000-0000A15C0000}"/>
    <cellStyle name="Финансовый 2 4 2 2 2 2 3 3 2" xfId="39054" xr:uid="{00000000-0005-0000-0000-0000A25C0000}"/>
    <cellStyle name="Финансовый 2 4 2 2 2 2 3 4" xfId="27077" xr:uid="{00000000-0005-0000-0000-0000A35C0000}"/>
    <cellStyle name="Финансовый 2 4 2 2 2 2 3 5" xfId="50208" xr:uid="{00000000-0005-0000-0000-0000A45C0000}"/>
    <cellStyle name="Финансовый 2 4 2 2 2 2 4" xfId="4764" xr:uid="{00000000-0005-0000-0000-0000A55C0000}"/>
    <cellStyle name="Финансовый 2 4 2 2 2 2 4 2" xfId="16743" xr:uid="{00000000-0005-0000-0000-0000A65C0000}"/>
    <cellStyle name="Финансовый 2 4 2 2 2 2 4 2 2" xfId="40698" xr:uid="{00000000-0005-0000-0000-0000A75C0000}"/>
    <cellStyle name="Финансовый 2 4 2 2 2 2 4 3" xfId="28721" xr:uid="{00000000-0005-0000-0000-0000A85C0000}"/>
    <cellStyle name="Финансовый 2 4 2 2 2 2 5" xfId="7376" xr:uid="{00000000-0005-0000-0000-0000A95C0000}"/>
    <cellStyle name="Финансовый 2 4 2 2 2 2 5 2" xfId="19354" xr:uid="{00000000-0005-0000-0000-0000AA5C0000}"/>
    <cellStyle name="Финансовый 2 4 2 2 2 2 5 2 2" xfId="43309" xr:uid="{00000000-0005-0000-0000-0000AB5C0000}"/>
    <cellStyle name="Финансовый 2 4 2 2 2 2 5 3" xfId="31331" xr:uid="{00000000-0005-0000-0000-0000AC5C0000}"/>
    <cellStyle name="Финансовый 2 4 2 2 2 2 6" xfId="9158" xr:uid="{00000000-0005-0000-0000-0000AD5C0000}"/>
    <cellStyle name="Финансовый 2 4 2 2 2 2 6 2" xfId="21136" xr:uid="{00000000-0005-0000-0000-0000AE5C0000}"/>
    <cellStyle name="Финансовый 2 4 2 2 2 2 6 2 2" xfId="45091" xr:uid="{00000000-0005-0000-0000-0000AF5C0000}"/>
    <cellStyle name="Финансовый 2 4 2 2 2 2 6 3" xfId="33113" xr:uid="{00000000-0005-0000-0000-0000B05C0000}"/>
    <cellStyle name="Финансовый 2 4 2 2 2 2 7" xfId="13317" xr:uid="{00000000-0005-0000-0000-0000B15C0000}"/>
    <cellStyle name="Финансовый 2 4 2 2 2 2 7 2" xfId="37272" xr:uid="{00000000-0005-0000-0000-0000B25C0000}"/>
    <cellStyle name="Финансовый 2 4 2 2 2 2 8" xfId="25295" xr:uid="{00000000-0005-0000-0000-0000B35C0000}"/>
    <cellStyle name="Финансовый 2 4 2 2 2 2 9" xfId="48428" xr:uid="{00000000-0005-0000-0000-0000B45C0000}"/>
    <cellStyle name="Финансовый 2 4 2 2 2 3" xfId="2038" xr:uid="{00000000-0005-0000-0000-0000B55C0000}"/>
    <cellStyle name="Финансовый 2 4 2 2 2 3 2" xfId="3683" xr:uid="{00000000-0005-0000-0000-0000B65C0000}"/>
    <cellStyle name="Финансовый 2 4 2 2 2 3 2 2" xfId="11423" xr:uid="{00000000-0005-0000-0000-0000B75C0000}"/>
    <cellStyle name="Финансовый 2 4 2 2 2 3 2 2 2" xfId="23401" xr:uid="{00000000-0005-0000-0000-0000B85C0000}"/>
    <cellStyle name="Финансовый 2 4 2 2 2 3 2 2 2 2" xfId="47356" xr:uid="{00000000-0005-0000-0000-0000B95C0000}"/>
    <cellStyle name="Финансовый 2 4 2 2 2 3 2 2 3" xfId="35378" xr:uid="{00000000-0005-0000-0000-0000BA5C0000}"/>
    <cellStyle name="Финансовый 2 4 2 2 2 3 2 3" xfId="15662" xr:uid="{00000000-0005-0000-0000-0000BB5C0000}"/>
    <cellStyle name="Финансовый 2 4 2 2 2 3 2 3 2" xfId="39617" xr:uid="{00000000-0005-0000-0000-0000BC5C0000}"/>
    <cellStyle name="Финансовый 2 4 2 2 2 3 2 4" xfId="27640" xr:uid="{00000000-0005-0000-0000-0000BD5C0000}"/>
    <cellStyle name="Финансовый 2 4 2 2 2 3 2 5" xfId="50909" xr:uid="{00000000-0005-0000-0000-0000BE5C0000}"/>
    <cellStyle name="Финансовый 2 4 2 2 2 3 3" xfId="5466" xr:uid="{00000000-0005-0000-0000-0000BF5C0000}"/>
    <cellStyle name="Финансовый 2 4 2 2 2 3 3 2" xfId="17444" xr:uid="{00000000-0005-0000-0000-0000C05C0000}"/>
    <cellStyle name="Финансовый 2 4 2 2 2 3 3 2 2" xfId="41399" xr:uid="{00000000-0005-0000-0000-0000C15C0000}"/>
    <cellStyle name="Финансовый 2 4 2 2 2 3 3 3" xfId="29421" xr:uid="{00000000-0005-0000-0000-0000C25C0000}"/>
    <cellStyle name="Финансовый 2 4 2 2 2 3 4" xfId="8076" xr:uid="{00000000-0005-0000-0000-0000C35C0000}"/>
    <cellStyle name="Финансовый 2 4 2 2 2 3 4 2" xfId="20054" xr:uid="{00000000-0005-0000-0000-0000C45C0000}"/>
    <cellStyle name="Финансовый 2 4 2 2 2 3 4 2 2" xfId="44009" xr:uid="{00000000-0005-0000-0000-0000C55C0000}"/>
    <cellStyle name="Финансовый 2 4 2 2 2 3 4 3" xfId="32031" xr:uid="{00000000-0005-0000-0000-0000C65C0000}"/>
    <cellStyle name="Финансовый 2 4 2 2 2 3 5" xfId="9859" xr:uid="{00000000-0005-0000-0000-0000C75C0000}"/>
    <cellStyle name="Финансовый 2 4 2 2 2 3 5 2" xfId="21837" xr:uid="{00000000-0005-0000-0000-0000C85C0000}"/>
    <cellStyle name="Финансовый 2 4 2 2 2 3 5 2 2" xfId="45792" xr:uid="{00000000-0005-0000-0000-0000C95C0000}"/>
    <cellStyle name="Финансовый 2 4 2 2 2 3 5 3" xfId="33814" xr:uid="{00000000-0005-0000-0000-0000CA5C0000}"/>
    <cellStyle name="Финансовый 2 4 2 2 2 3 6" xfId="14017" xr:uid="{00000000-0005-0000-0000-0000CB5C0000}"/>
    <cellStyle name="Финансовый 2 4 2 2 2 3 6 2" xfId="37972" xr:uid="{00000000-0005-0000-0000-0000CC5C0000}"/>
    <cellStyle name="Финансовый 2 4 2 2 2 3 7" xfId="25995" xr:uid="{00000000-0005-0000-0000-0000CD5C0000}"/>
    <cellStyle name="Финансовый 2 4 2 2 2 3 8" xfId="49128" xr:uid="{00000000-0005-0000-0000-0000CE5C0000}"/>
    <cellStyle name="Финансовый 2 4 2 2 2 4" xfId="2567" xr:uid="{00000000-0005-0000-0000-0000CF5C0000}"/>
    <cellStyle name="Финансовый 2 4 2 2 2 4 2" xfId="4212" xr:uid="{00000000-0005-0000-0000-0000D05C0000}"/>
    <cellStyle name="Финансовый 2 4 2 2 2 4 2 2" xfId="11936" xr:uid="{00000000-0005-0000-0000-0000D15C0000}"/>
    <cellStyle name="Финансовый 2 4 2 2 2 4 2 2 2" xfId="23914" xr:uid="{00000000-0005-0000-0000-0000D25C0000}"/>
    <cellStyle name="Финансовый 2 4 2 2 2 4 2 2 2 2" xfId="47869" xr:uid="{00000000-0005-0000-0000-0000D35C0000}"/>
    <cellStyle name="Финансовый 2 4 2 2 2 4 2 2 3" xfId="35891" xr:uid="{00000000-0005-0000-0000-0000D45C0000}"/>
    <cellStyle name="Финансовый 2 4 2 2 2 4 2 3" xfId="16191" xr:uid="{00000000-0005-0000-0000-0000D55C0000}"/>
    <cellStyle name="Финансовый 2 4 2 2 2 4 2 3 2" xfId="40146" xr:uid="{00000000-0005-0000-0000-0000D65C0000}"/>
    <cellStyle name="Финансовый 2 4 2 2 2 4 2 4" xfId="28169" xr:uid="{00000000-0005-0000-0000-0000D75C0000}"/>
    <cellStyle name="Финансовый 2 4 2 2 2 4 2 5" xfId="51438" xr:uid="{00000000-0005-0000-0000-0000D85C0000}"/>
    <cellStyle name="Финансовый 2 4 2 2 2 4 3" xfId="5995" xr:uid="{00000000-0005-0000-0000-0000D95C0000}"/>
    <cellStyle name="Финансовый 2 4 2 2 2 4 3 2" xfId="17973" xr:uid="{00000000-0005-0000-0000-0000DA5C0000}"/>
    <cellStyle name="Финансовый 2 4 2 2 2 4 3 2 2" xfId="41928" xr:uid="{00000000-0005-0000-0000-0000DB5C0000}"/>
    <cellStyle name="Финансовый 2 4 2 2 2 4 3 3" xfId="29950" xr:uid="{00000000-0005-0000-0000-0000DC5C0000}"/>
    <cellStyle name="Финансовый 2 4 2 2 2 4 4" xfId="8605" xr:uid="{00000000-0005-0000-0000-0000DD5C0000}"/>
    <cellStyle name="Финансовый 2 4 2 2 2 4 4 2" xfId="20583" xr:uid="{00000000-0005-0000-0000-0000DE5C0000}"/>
    <cellStyle name="Финансовый 2 4 2 2 2 4 4 2 2" xfId="44538" xr:uid="{00000000-0005-0000-0000-0000DF5C0000}"/>
    <cellStyle name="Финансовый 2 4 2 2 2 4 4 3" xfId="32560" xr:uid="{00000000-0005-0000-0000-0000E05C0000}"/>
    <cellStyle name="Финансовый 2 4 2 2 2 4 5" xfId="10388" xr:uid="{00000000-0005-0000-0000-0000E15C0000}"/>
    <cellStyle name="Финансовый 2 4 2 2 2 4 5 2" xfId="22366" xr:uid="{00000000-0005-0000-0000-0000E25C0000}"/>
    <cellStyle name="Финансовый 2 4 2 2 2 4 5 2 2" xfId="46321" xr:uid="{00000000-0005-0000-0000-0000E35C0000}"/>
    <cellStyle name="Финансовый 2 4 2 2 2 4 5 3" xfId="34343" xr:uid="{00000000-0005-0000-0000-0000E45C0000}"/>
    <cellStyle name="Финансовый 2 4 2 2 2 4 6" xfId="14546" xr:uid="{00000000-0005-0000-0000-0000E55C0000}"/>
    <cellStyle name="Финансовый 2 4 2 2 2 4 6 2" xfId="38501" xr:uid="{00000000-0005-0000-0000-0000E65C0000}"/>
    <cellStyle name="Финансовый 2 4 2 2 2 4 7" xfId="26524" xr:uid="{00000000-0005-0000-0000-0000E75C0000}"/>
    <cellStyle name="Финансовый 2 4 2 2 2 4 8" xfId="49657" xr:uid="{00000000-0005-0000-0000-0000E85C0000}"/>
    <cellStyle name="Финансовый 2 4 2 2 2 5" xfId="1071" xr:uid="{00000000-0005-0000-0000-0000E95C0000}"/>
    <cellStyle name="Финансовый 2 4 2 2 2 5 2" xfId="7111" xr:uid="{00000000-0005-0000-0000-0000EA5C0000}"/>
    <cellStyle name="Финансовый 2 4 2 2 2 5 2 2" xfId="19089" xr:uid="{00000000-0005-0000-0000-0000EB5C0000}"/>
    <cellStyle name="Финансовый 2 4 2 2 2 5 2 2 2" xfId="43044" xr:uid="{00000000-0005-0000-0000-0000EC5C0000}"/>
    <cellStyle name="Финансовый 2 4 2 2 2 5 2 3" xfId="31066" xr:uid="{00000000-0005-0000-0000-0000ED5C0000}"/>
    <cellStyle name="Финансовый 2 4 2 2 2 5 3" xfId="10651" xr:uid="{00000000-0005-0000-0000-0000EE5C0000}"/>
    <cellStyle name="Финансовый 2 4 2 2 2 5 3 2" xfId="22629" xr:uid="{00000000-0005-0000-0000-0000EF5C0000}"/>
    <cellStyle name="Финансовый 2 4 2 2 2 5 3 2 2" xfId="46584" xr:uid="{00000000-0005-0000-0000-0000F05C0000}"/>
    <cellStyle name="Финансовый 2 4 2 2 2 5 3 3" xfId="34606" xr:uid="{00000000-0005-0000-0000-0000F15C0000}"/>
    <cellStyle name="Финансовый 2 4 2 2 2 5 4" xfId="13052" xr:uid="{00000000-0005-0000-0000-0000F25C0000}"/>
    <cellStyle name="Финансовый 2 4 2 2 2 5 4 2" xfId="37007" xr:uid="{00000000-0005-0000-0000-0000F35C0000}"/>
    <cellStyle name="Финансовый 2 4 2 2 2 5 5" xfId="25030" xr:uid="{00000000-0005-0000-0000-0000F45C0000}"/>
    <cellStyle name="Финансовый 2 4 2 2 2 5 6" xfId="49936" xr:uid="{00000000-0005-0000-0000-0000F55C0000}"/>
    <cellStyle name="Финансовый 2 4 2 2 2 6" xfId="659" xr:uid="{00000000-0005-0000-0000-0000F65C0000}"/>
    <cellStyle name="Финансовый 2 4 2 2 2 6 2" xfId="6699" xr:uid="{00000000-0005-0000-0000-0000F75C0000}"/>
    <cellStyle name="Финансовый 2 4 2 2 2 6 2 2" xfId="18677" xr:uid="{00000000-0005-0000-0000-0000F85C0000}"/>
    <cellStyle name="Финансовый 2 4 2 2 2 6 2 2 2" xfId="42632" xr:uid="{00000000-0005-0000-0000-0000F95C0000}"/>
    <cellStyle name="Финансовый 2 4 2 2 2 6 2 3" xfId="30654" xr:uid="{00000000-0005-0000-0000-0000FA5C0000}"/>
    <cellStyle name="Финансовый 2 4 2 2 2 6 3" xfId="12640" xr:uid="{00000000-0005-0000-0000-0000FB5C0000}"/>
    <cellStyle name="Финансовый 2 4 2 2 2 6 3 2" xfId="36595" xr:uid="{00000000-0005-0000-0000-0000FC5C0000}"/>
    <cellStyle name="Финансовый 2 4 2 2 2 6 4" xfId="24618" xr:uid="{00000000-0005-0000-0000-0000FD5C0000}"/>
    <cellStyle name="Финансовый 2 4 2 2 2 7" xfId="2848" xr:uid="{00000000-0005-0000-0000-0000FE5C0000}"/>
    <cellStyle name="Финансовый 2 4 2 2 2 7 2" xfId="14827" xr:uid="{00000000-0005-0000-0000-0000FF5C0000}"/>
    <cellStyle name="Финансовый 2 4 2 2 2 7 2 2" xfId="38782" xr:uid="{00000000-0005-0000-0000-0000005D0000}"/>
    <cellStyle name="Финансовый 2 4 2 2 2 7 3" xfId="26805" xr:uid="{00000000-0005-0000-0000-0000015D0000}"/>
    <cellStyle name="Финансовый 2 4 2 2 2 8" xfId="4492" xr:uid="{00000000-0005-0000-0000-0000025D0000}"/>
    <cellStyle name="Финансовый 2 4 2 2 2 8 2" xfId="16471" xr:uid="{00000000-0005-0000-0000-0000035D0000}"/>
    <cellStyle name="Финансовый 2 4 2 2 2 8 2 2" xfId="40426" xr:uid="{00000000-0005-0000-0000-0000045D0000}"/>
    <cellStyle name="Финансовый 2 4 2 2 2 8 3" xfId="28449" xr:uid="{00000000-0005-0000-0000-0000055D0000}"/>
    <cellStyle name="Финансовый 2 4 2 2 2 9" xfId="6279" xr:uid="{00000000-0005-0000-0000-0000065D0000}"/>
    <cellStyle name="Финансовый 2 4 2 2 2 9 2" xfId="18257" xr:uid="{00000000-0005-0000-0000-0000075D0000}"/>
    <cellStyle name="Финансовый 2 4 2 2 2 9 2 2" xfId="42212" xr:uid="{00000000-0005-0000-0000-0000085D0000}"/>
    <cellStyle name="Финансовый 2 4 2 2 2 9 3" xfId="30234" xr:uid="{00000000-0005-0000-0000-0000095D0000}"/>
    <cellStyle name="Финансовый 2 4 2 2 3" xfId="387" xr:uid="{00000000-0005-0000-0000-00000A5D0000}"/>
    <cellStyle name="Финансовый 2 4 2 2 3 10" xfId="24346" xr:uid="{00000000-0005-0000-0000-00000B5D0000}"/>
    <cellStyle name="Финансовый 2 4 2 2 3 11" xfId="48292" xr:uid="{00000000-0005-0000-0000-00000C5D0000}"/>
    <cellStyle name="Финансовый 2 4 2 2 3 2" xfId="2166" xr:uid="{00000000-0005-0000-0000-00000D5D0000}"/>
    <cellStyle name="Финансовый 2 4 2 2 3 2 2" xfId="3811" xr:uid="{00000000-0005-0000-0000-00000E5D0000}"/>
    <cellStyle name="Финансовый 2 4 2 2 3 2 2 2" xfId="11551" xr:uid="{00000000-0005-0000-0000-00000F5D0000}"/>
    <cellStyle name="Финансовый 2 4 2 2 3 2 2 2 2" xfId="23529" xr:uid="{00000000-0005-0000-0000-0000105D0000}"/>
    <cellStyle name="Финансовый 2 4 2 2 3 2 2 2 2 2" xfId="47484" xr:uid="{00000000-0005-0000-0000-0000115D0000}"/>
    <cellStyle name="Финансовый 2 4 2 2 3 2 2 2 3" xfId="35506" xr:uid="{00000000-0005-0000-0000-0000125D0000}"/>
    <cellStyle name="Финансовый 2 4 2 2 3 2 2 3" xfId="15790" xr:uid="{00000000-0005-0000-0000-0000135D0000}"/>
    <cellStyle name="Финансовый 2 4 2 2 3 2 2 3 2" xfId="39745" xr:uid="{00000000-0005-0000-0000-0000145D0000}"/>
    <cellStyle name="Финансовый 2 4 2 2 3 2 2 4" xfId="27768" xr:uid="{00000000-0005-0000-0000-0000155D0000}"/>
    <cellStyle name="Финансовый 2 4 2 2 3 2 2 5" xfId="51037" xr:uid="{00000000-0005-0000-0000-0000165D0000}"/>
    <cellStyle name="Финансовый 2 4 2 2 3 2 3" xfId="5594" xr:uid="{00000000-0005-0000-0000-0000175D0000}"/>
    <cellStyle name="Финансовый 2 4 2 2 3 2 3 2" xfId="17572" xr:uid="{00000000-0005-0000-0000-0000185D0000}"/>
    <cellStyle name="Финансовый 2 4 2 2 3 2 3 2 2" xfId="41527" xr:uid="{00000000-0005-0000-0000-0000195D0000}"/>
    <cellStyle name="Финансовый 2 4 2 2 3 2 3 3" xfId="29549" xr:uid="{00000000-0005-0000-0000-00001A5D0000}"/>
    <cellStyle name="Финансовый 2 4 2 2 3 2 4" xfId="8204" xr:uid="{00000000-0005-0000-0000-00001B5D0000}"/>
    <cellStyle name="Финансовый 2 4 2 2 3 2 4 2" xfId="20182" xr:uid="{00000000-0005-0000-0000-00001C5D0000}"/>
    <cellStyle name="Финансовый 2 4 2 2 3 2 4 2 2" xfId="44137" xr:uid="{00000000-0005-0000-0000-00001D5D0000}"/>
    <cellStyle name="Финансовый 2 4 2 2 3 2 4 3" xfId="32159" xr:uid="{00000000-0005-0000-0000-00001E5D0000}"/>
    <cellStyle name="Финансовый 2 4 2 2 3 2 5" xfId="9987" xr:uid="{00000000-0005-0000-0000-00001F5D0000}"/>
    <cellStyle name="Финансовый 2 4 2 2 3 2 5 2" xfId="21965" xr:uid="{00000000-0005-0000-0000-0000205D0000}"/>
    <cellStyle name="Финансовый 2 4 2 2 3 2 5 2 2" xfId="45920" xr:uid="{00000000-0005-0000-0000-0000215D0000}"/>
    <cellStyle name="Финансовый 2 4 2 2 3 2 5 3" xfId="33942" xr:uid="{00000000-0005-0000-0000-0000225D0000}"/>
    <cellStyle name="Финансовый 2 4 2 2 3 2 6" xfId="14145" xr:uid="{00000000-0005-0000-0000-0000235D0000}"/>
    <cellStyle name="Финансовый 2 4 2 2 3 2 6 2" xfId="38100" xr:uid="{00000000-0005-0000-0000-0000245D0000}"/>
    <cellStyle name="Финансовый 2 4 2 2 3 2 7" xfId="26123" xr:uid="{00000000-0005-0000-0000-0000255D0000}"/>
    <cellStyle name="Финансовый 2 4 2 2 3 2 8" xfId="49256" xr:uid="{00000000-0005-0000-0000-0000265D0000}"/>
    <cellStyle name="Финансовый 2 4 2 2 3 3" xfId="1200" xr:uid="{00000000-0005-0000-0000-0000275D0000}"/>
    <cellStyle name="Финансовый 2 4 2 2 3 3 2" xfId="7240" xr:uid="{00000000-0005-0000-0000-0000285D0000}"/>
    <cellStyle name="Финансовый 2 4 2 2 3 3 2 2" xfId="19218" xr:uid="{00000000-0005-0000-0000-0000295D0000}"/>
    <cellStyle name="Финансовый 2 4 2 2 3 3 2 2 2" xfId="43173" xr:uid="{00000000-0005-0000-0000-00002A5D0000}"/>
    <cellStyle name="Финансовый 2 4 2 2 3 3 2 3" xfId="31195" xr:uid="{00000000-0005-0000-0000-00002B5D0000}"/>
    <cellStyle name="Финансовый 2 4 2 2 3 3 3" xfId="10779" xr:uid="{00000000-0005-0000-0000-00002C5D0000}"/>
    <cellStyle name="Финансовый 2 4 2 2 3 3 3 2" xfId="22757" xr:uid="{00000000-0005-0000-0000-00002D5D0000}"/>
    <cellStyle name="Финансовый 2 4 2 2 3 3 3 2 2" xfId="46712" xr:uid="{00000000-0005-0000-0000-00002E5D0000}"/>
    <cellStyle name="Финансовый 2 4 2 2 3 3 3 3" xfId="34734" xr:uid="{00000000-0005-0000-0000-00002F5D0000}"/>
    <cellStyle name="Финансовый 2 4 2 2 3 3 4" xfId="13181" xr:uid="{00000000-0005-0000-0000-0000305D0000}"/>
    <cellStyle name="Финансовый 2 4 2 2 3 3 4 2" xfId="37136" xr:uid="{00000000-0005-0000-0000-0000315D0000}"/>
    <cellStyle name="Финансовый 2 4 2 2 3 3 5" xfId="25159" xr:uid="{00000000-0005-0000-0000-0000325D0000}"/>
    <cellStyle name="Финансовый 2 4 2 2 3 3 6" xfId="50072" xr:uid="{00000000-0005-0000-0000-0000335D0000}"/>
    <cellStyle name="Финансовый 2 4 2 2 3 4" xfId="807" xr:uid="{00000000-0005-0000-0000-0000345D0000}"/>
    <cellStyle name="Финансовый 2 4 2 2 3 4 2" xfId="6847" xr:uid="{00000000-0005-0000-0000-0000355D0000}"/>
    <cellStyle name="Финансовый 2 4 2 2 3 4 2 2" xfId="18825" xr:uid="{00000000-0005-0000-0000-0000365D0000}"/>
    <cellStyle name="Финансовый 2 4 2 2 3 4 2 2 2" xfId="42780" xr:uid="{00000000-0005-0000-0000-0000375D0000}"/>
    <cellStyle name="Финансовый 2 4 2 2 3 4 2 3" xfId="30802" xr:uid="{00000000-0005-0000-0000-0000385D0000}"/>
    <cellStyle name="Финансовый 2 4 2 2 3 4 3" xfId="12788" xr:uid="{00000000-0005-0000-0000-0000395D0000}"/>
    <cellStyle name="Финансовый 2 4 2 2 3 4 3 2" xfId="36743" xr:uid="{00000000-0005-0000-0000-00003A5D0000}"/>
    <cellStyle name="Финансовый 2 4 2 2 3 4 4" xfId="24766" xr:uid="{00000000-0005-0000-0000-00003B5D0000}"/>
    <cellStyle name="Финансовый 2 4 2 2 3 5" xfId="2984" xr:uid="{00000000-0005-0000-0000-00003C5D0000}"/>
    <cellStyle name="Финансовый 2 4 2 2 3 5 2" xfId="14963" xr:uid="{00000000-0005-0000-0000-00003D5D0000}"/>
    <cellStyle name="Финансовый 2 4 2 2 3 5 2 2" xfId="38918" xr:uid="{00000000-0005-0000-0000-00003E5D0000}"/>
    <cellStyle name="Финансовый 2 4 2 2 3 5 3" xfId="26941" xr:uid="{00000000-0005-0000-0000-00003F5D0000}"/>
    <cellStyle name="Финансовый 2 4 2 2 3 6" xfId="4628" xr:uid="{00000000-0005-0000-0000-0000405D0000}"/>
    <cellStyle name="Финансовый 2 4 2 2 3 6 2" xfId="16607" xr:uid="{00000000-0005-0000-0000-0000415D0000}"/>
    <cellStyle name="Финансовый 2 4 2 2 3 6 2 2" xfId="40562" xr:uid="{00000000-0005-0000-0000-0000425D0000}"/>
    <cellStyle name="Финансовый 2 4 2 2 3 6 3" xfId="28585" xr:uid="{00000000-0005-0000-0000-0000435D0000}"/>
    <cellStyle name="Финансовый 2 4 2 2 3 7" xfId="6427" xr:uid="{00000000-0005-0000-0000-0000445D0000}"/>
    <cellStyle name="Финансовый 2 4 2 2 3 7 2" xfId="18405" xr:uid="{00000000-0005-0000-0000-0000455D0000}"/>
    <cellStyle name="Финансовый 2 4 2 2 3 7 2 2" xfId="42360" xr:uid="{00000000-0005-0000-0000-0000465D0000}"/>
    <cellStyle name="Финансовый 2 4 2 2 3 7 3" xfId="30382" xr:uid="{00000000-0005-0000-0000-0000475D0000}"/>
    <cellStyle name="Финансовый 2 4 2 2 3 8" xfId="9022" xr:uid="{00000000-0005-0000-0000-0000485D0000}"/>
    <cellStyle name="Финансовый 2 4 2 2 3 8 2" xfId="21000" xr:uid="{00000000-0005-0000-0000-0000495D0000}"/>
    <cellStyle name="Финансовый 2 4 2 2 3 8 2 2" xfId="44955" xr:uid="{00000000-0005-0000-0000-00004A5D0000}"/>
    <cellStyle name="Финансовый 2 4 2 2 3 8 3" xfId="32977" xr:uid="{00000000-0005-0000-0000-00004B5D0000}"/>
    <cellStyle name="Финансовый 2 4 2 2 3 9" xfId="12368" xr:uid="{00000000-0005-0000-0000-00004C5D0000}"/>
    <cellStyle name="Финансовый 2 4 2 2 3 9 2" xfId="36323" xr:uid="{00000000-0005-0000-0000-00004D5D0000}"/>
    <cellStyle name="Финансовый 2 4 2 2 4" xfId="1499" xr:uid="{00000000-0005-0000-0000-00004E5D0000}"/>
    <cellStyle name="Финансовый 2 4 2 2 4 2" xfId="1910" xr:uid="{00000000-0005-0000-0000-00004F5D0000}"/>
    <cellStyle name="Финансовый 2 4 2 2 4 2 2" xfId="3555" xr:uid="{00000000-0005-0000-0000-0000505D0000}"/>
    <cellStyle name="Финансовый 2 4 2 2 4 2 2 2" xfId="11295" xr:uid="{00000000-0005-0000-0000-0000515D0000}"/>
    <cellStyle name="Финансовый 2 4 2 2 4 2 2 2 2" xfId="23273" xr:uid="{00000000-0005-0000-0000-0000525D0000}"/>
    <cellStyle name="Финансовый 2 4 2 2 4 2 2 2 2 2" xfId="47228" xr:uid="{00000000-0005-0000-0000-0000535D0000}"/>
    <cellStyle name="Финансовый 2 4 2 2 4 2 2 2 3" xfId="35250" xr:uid="{00000000-0005-0000-0000-0000545D0000}"/>
    <cellStyle name="Финансовый 2 4 2 2 4 2 2 3" xfId="15534" xr:uid="{00000000-0005-0000-0000-0000555D0000}"/>
    <cellStyle name="Финансовый 2 4 2 2 4 2 2 3 2" xfId="39489" xr:uid="{00000000-0005-0000-0000-0000565D0000}"/>
    <cellStyle name="Финансовый 2 4 2 2 4 2 2 4" xfId="27512" xr:uid="{00000000-0005-0000-0000-0000575D0000}"/>
    <cellStyle name="Финансовый 2 4 2 2 4 2 2 5" xfId="50781" xr:uid="{00000000-0005-0000-0000-0000585D0000}"/>
    <cellStyle name="Финансовый 2 4 2 2 4 2 3" xfId="5338" xr:uid="{00000000-0005-0000-0000-0000595D0000}"/>
    <cellStyle name="Финансовый 2 4 2 2 4 2 3 2" xfId="17316" xr:uid="{00000000-0005-0000-0000-00005A5D0000}"/>
    <cellStyle name="Финансовый 2 4 2 2 4 2 3 2 2" xfId="41271" xr:uid="{00000000-0005-0000-0000-00005B5D0000}"/>
    <cellStyle name="Финансовый 2 4 2 2 4 2 3 3" xfId="29293" xr:uid="{00000000-0005-0000-0000-00005C5D0000}"/>
    <cellStyle name="Финансовый 2 4 2 2 4 2 4" xfId="7948" xr:uid="{00000000-0005-0000-0000-00005D5D0000}"/>
    <cellStyle name="Финансовый 2 4 2 2 4 2 4 2" xfId="19926" xr:uid="{00000000-0005-0000-0000-00005E5D0000}"/>
    <cellStyle name="Финансовый 2 4 2 2 4 2 4 2 2" xfId="43881" xr:uid="{00000000-0005-0000-0000-00005F5D0000}"/>
    <cellStyle name="Финансовый 2 4 2 2 4 2 4 3" xfId="31903" xr:uid="{00000000-0005-0000-0000-0000605D0000}"/>
    <cellStyle name="Финансовый 2 4 2 2 4 2 5" xfId="9731" xr:uid="{00000000-0005-0000-0000-0000615D0000}"/>
    <cellStyle name="Финансовый 2 4 2 2 4 2 5 2" xfId="21709" xr:uid="{00000000-0005-0000-0000-0000625D0000}"/>
    <cellStyle name="Финансовый 2 4 2 2 4 2 5 2 2" xfId="45664" xr:uid="{00000000-0005-0000-0000-0000635D0000}"/>
    <cellStyle name="Финансовый 2 4 2 2 4 2 5 3" xfId="33686" xr:uid="{00000000-0005-0000-0000-0000645D0000}"/>
    <cellStyle name="Финансовый 2 4 2 2 4 2 6" xfId="13889" xr:uid="{00000000-0005-0000-0000-0000655D0000}"/>
    <cellStyle name="Финансовый 2 4 2 2 4 2 6 2" xfId="37844" xr:uid="{00000000-0005-0000-0000-0000665D0000}"/>
    <cellStyle name="Финансовый 2 4 2 2 4 2 7" xfId="25867" xr:uid="{00000000-0005-0000-0000-0000675D0000}"/>
    <cellStyle name="Финансовый 2 4 2 2 4 2 8" xfId="49000" xr:uid="{00000000-0005-0000-0000-0000685D0000}"/>
    <cellStyle name="Финансовый 2 4 2 2 4 3" xfId="4927" xr:uid="{00000000-0005-0000-0000-0000695D0000}"/>
    <cellStyle name="Финансовый 2 4 2 2 4 3 2" xfId="16905" xr:uid="{00000000-0005-0000-0000-00006A5D0000}"/>
    <cellStyle name="Финансовый 2 4 2 2 4 3 2 2" xfId="40860" xr:uid="{00000000-0005-0000-0000-00006B5D0000}"/>
    <cellStyle name="Финансовый 2 4 2 2 4 3 3" xfId="28882" xr:uid="{00000000-0005-0000-0000-00006C5D0000}"/>
    <cellStyle name="Финансовый 2 4 2 2 4 3 4" xfId="50370" xr:uid="{00000000-0005-0000-0000-00006D5D0000}"/>
    <cellStyle name="Финансовый 2 4 2 2 4 4" xfId="7537" xr:uid="{00000000-0005-0000-0000-00006E5D0000}"/>
    <cellStyle name="Финансовый 2 4 2 2 4 4 2" xfId="19515" xr:uid="{00000000-0005-0000-0000-00006F5D0000}"/>
    <cellStyle name="Финансовый 2 4 2 2 4 4 2 2" xfId="43470" xr:uid="{00000000-0005-0000-0000-0000705D0000}"/>
    <cellStyle name="Финансовый 2 4 2 2 4 4 3" xfId="31492" xr:uid="{00000000-0005-0000-0000-0000715D0000}"/>
    <cellStyle name="Финансовый 2 4 2 2 4 5" xfId="9320" xr:uid="{00000000-0005-0000-0000-0000725D0000}"/>
    <cellStyle name="Финансовый 2 4 2 2 4 5 2" xfId="21298" xr:uid="{00000000-0005-0000-0000-0000735D0000}"/>
    <cellStyle name="Финансовый 2 4 2 2 4 5 2 2" xfId="45253" xr:uid="{00000000-0005-0000-0000-0000745D0000}"/>
    <cellStyle name="Финансовый 2 4 2 2 4 5 3" xfId="33275" xr:uid="{00000000-0005-0000-0000-0000755D0000}"/>
    <cellStyle name="Финансовый 2 4 2 2 4 6" xfId="13478" xr:uid="{00000000-0005-0000-0000-0000765D0000}"/>
    <cellStyle name="Финансовый 2 4 2 2 4 6 2" xfId="37433" xr:uid="{00000000-0005-0000-0000-0000775D0000}"/>
    <cellStyle name="Финансовый 2 4 2 2 4 7" xfId="25456" xr:uid="{00000000-0005-0000-0000-0000785D0000}"/>
    <cellStyle name="Финансовый 2 4 2 2 4 8" xfId="48589" xr:uid="{00000000-0005-0000-0000-0000795D0000}"/>
    <cellStyle name="Финансовый 2 4 2 2 5" xfId="1786" xr:uid="{00000000-0005-0000-0000-00007A5D0000}"/>
    <cellStyle name="Финансовый 2 4 2 2 5 2" xfId="3431" xr:uid="{00000000-0005-0000-0000-00007B5D0000}"/>
    <cellStyle name="Финансовый 2 4 2 2 5 2 2" xfId="11179" xr:uid="{00000000-0005-0000-0000-00007C5D0000}"/>
    <cellStyle name="Финансовый 2 4 2 2 5 2 2 2" xfId="23157" xr:uid="{00000000-0005-0000-0000-00007D5D0000}"/>
    <cellStyle name="Финансовый 2 4 2 2 5 2 2 2 2" xfId="47112" xr:uid="{00000000-0005-0000-0000-00007E5D0000}"/>
    <cellStyle name="Финансовый 2 4 2 2 5 2 2 3" xfId="35134" xr:uid="{00000000-0005-0000-0000-00007F5D0000}"/>
    <cellStyle name="Финансовый 2 4 2 2 5 2 3" xfId="15410" xr:uid="{00000000-0005-0000-0000-0000805D0000}"/>
    <cellStyle name="Финансовый 2 4 2 2 5 2 3 2" xfId="39365" xr:uid="{00000000-0005-0000-0000-0000815D0000}"/>
    <cellStyle name="Финансовый 2 4 2 2 5 2 4" xfId="27388" xr:uid="{00000000-0005-0000-0000-0000825D0000}"/>
    <cellStyle name="Финансовый 2 4 2 2 5 2 5" xfId="50657" xr:uid="{00000000-0005-0000-0000-0000835D0000}"/>
    <cellStyle name="Финансовый 2 4 2 2 5 3" xfId="5214" xr:uid="{00000000-0005-0000-0000-0000845D0000}"/>
    <cellStyle name="Финансовый 2 4 2 2 5 3 2" xfId="17192" xr:uid="{00000000-0005-0000-0000-0000855D0000}"/>
    <cellStyle name="Финансовый 2 4 2 2 5 3 2 2" xfId="41147" xr:uid="{00000000-0005-0000-0000-0000865D0000}"/>
    <cellStyle name="Финансовый 2 4 2 2 5 3 3" xfId="29169" xr:uid="{00000000-0005-0000-0000-0000875D0000}"/>
    <cellStyle name="Финансовый 2 4 2 2 5 4" xfId="7824" xr:uid="{00000000-0005-0000-0000-0000885D0000}"/>
    <cellStyle name="Финансовый 2 4 2 2 5 4 2" xfId="19802" xr:uid="{00000000-0005-0000-0000-0000895D0000}"/>
    <cellStyle name="Финансовый 2 4 2 2 5 4 2 2" xfId="43757" xr:uid="{00000000-0005-0000-0000-00008A5D0000}"/>
    <cellStyle name="Финансовый 2 4 2 2 5 4 3" xfId="31779" xr:uid="{00000000-0005-0000-0000-00008B5D0000}"/>
    <cellStyle name="Финансовый 2 4 2 2 5 5" xfId="9607" xr:uid="{00000000-0005-0000-0000-00008C5D0000}"/>
    <cellStyle name="Финансовый 2 4 2 2 5 5 2" xfId="21585" xr:uid="{00000000-0005-0000-0000-00008D5D0000}"/>
    <cellStyle name="Финансовый 2 4 2 2 5 5 2 2" xfId="45540" xr:uid="{00000000-0005-0000-0000-00008E5D0000}"/>
    <cellStyle name="Финансовый 2 4 2 2 5 5 3" xfId="33562" xr:uid="{00000000-0005-0000-0000-00008F5D0000}"/>
    <cellStyle name="Финансовый 2 4 2 2 5 6" xfId="13765" xr:uid="{00000000-0005-0000-0000-0000905D0000}"/>
    <cellStyle name="Финансовый 2 4 2 2 5 6 2" xfId="37720" xr:uid="{00000000-0005-0000-0000-0000915D0000}"/>
    <cellStyle name="Финансовый 2 4 2 2 5 7" xfId="25743" xr:uid="{00000000-0005-0000-0000-0000925D0000}"/>
    <cellStyle name="Финансовый 2 4 2 2 5 8" xfId="48876" xr:uid="{00000000-0005-0000-0000-0000935D0000}"/>
    <cellStyle name="Финансовый 2 4 2 2 6" xfId="2431" xr:uid="{00000000-0005-0000-0000-0000945D0000}"/>
    <cellStyle name="Финансовый 2 4 2 2 6 2" xfId="4076" xr:uid="{00000000-0005-0000-0000-0000955D0000}"/>
    <cellStyle name="Финансовый 2 4 2 2 6 2 2" xfId="11808" xr:uid="{00000000-0005-0000-0000-0000965D0000}"/>
    <cellStyle name="Финансовый 2 4 2 2 6 2 2 2" xfId="23786" xr:uid="{00000000-0005-0000-0000-0000975D0000}"/>
    <cellStyle name="Финансовый 2 4 2 2 6 2 2 2 2" xfId="47741" xr:uid="{00000000-0005-0000-0000-0000985D0000}"/>
    <cellStyle name="Финансовый 2 4 2 2 6 2 2 3" xfId="35763" xr:uid="{00000000-0005-0000-0000-0000995D0000}"/>
    <cellStyle name="Финансовый 2 4 2 2 6 2 3" xfId="16055" xr:uid="{00000000-0005-0000-0000-00009A5D0000}"/>
    <cellStyle name="Финансовый 2 4 2 2 6 2 3 2" xfId="40010" xr:uid="{00000000-0005-0000-0000-00009B5D0000}"/>
    <cellStyle name="Финансовый 2 4 2 2 6 2 4" xfId="28033" xr:uid="{00000000-0005-0000-0000-00009C5D0000}"/>
    <cellStyle name="Финансовый 2 4 2 2 6 2 5" xfId="51302" xr:uid="{00000000-0005-0000-0000-00009D5D0000}"/>
    <cellStyle name="Финансовый 2 4 2 2 6 3" xfId="5859" xr:uid="{00000000-0005-0000-0000-00009E5D0000}"/>
    <cellStyle name="Финансовый 2 4 2 2 6 3 2" xfId="17837" xr:uid="{00000000-0005-0000-0000-00009F5D0000}"/>
    <cellStyle name="Финансовый 2 4 2 2 6 3 2 2" xfId="41792" xr:uid="{00000000-0005-0000-0000-0000A05D0000}"/>
    <cellStyle name="Финансовый 2 4 2 2 6 3 3" xfId="29814" xr:uid="{00000000-0005-0000-0000-0000A15D0000}"/>
    <cellStyle name="Финансовый 2 4 2 2 6 4" xfId="8469" xr:uid="{00000000-0005-0000-0000-0000A25D0000}"/>
    <cellStyle name="Финансовый 2 4 2 2 6 4 2" xfId="20447" xr:uid="{00000000-0005-0000-0000-0000A35D0000}"/>
    <cellStyle name="Финансовый 2 4 2 2 6 4 2 2" xfId="44402" xr:uid="{00000000-0005-0000-0000-0000A45D0000}"/>
    <cellStyle name="Финансовый 2 4 2 2 6 4 3" xfId="32424" xr:uid="{00000000-0005-0000-0000-0000A55D0000}"/>
    <cellStyle name="Финансовый 2 4 2 2 6 5" xfId="10252" xr:uid="{00000000-0005-0000-0000-0000A65D0000}"/>
    <cellStyle name="Финансовый 2 4 2 2 6 5 2" xfId="22230" xr:uid="{00000000-0005-0000-0000-0000A75D0000}"/>
    <cellStyle name="Финансовый 2 4 2 2 6 5 2 2" xfId="46185" xr:uid="{00000000-0005-0000-0000-0000A85D0000}"/>
    <cellStyle name="Финансовый 2 4 2 2 6 5 3" xfId="34207" xr:uid="{00000000-0005-0000-0000-0000A95D0000}"/>
    <cellStyle name="Финансовый 2 4 2 2 6 6" xfId="14410" xr:uid="{00000000-0005-0000-0000-0000AA5D0000}"/>
    <cellStyle name="Финансовый 2 4 2 2 6 6 2" xfId="38365" xr:uid="{00000000-0005-0000-0000-0000AB5D0000}"/>
    <cellStyle name="Финансовый 2 4 2 2 6 7" xfId="26388" xr:uid="{00000000-0005-0000-0000-0000AC5D0000}"/>
    <cellStyle name="Финансовый 2 4 2 2 6 8" xfId="49521" xr:uid="{00000000-0005-0000-0000-0000AD5D0000}"/>
    <cellStyle name="Финансовый 2 4 2 2 7" xfId="1658" xr:uid="{00000000-0005-0000-0000-0000AE5D0000}"/>
    <cellStyle name="Финансовый 2 4 2 2 7 2" xfId="3303" xr:uid="{00000000-0005-0000-0000-0000AF5D0000}"/>
    <cellStyle name="Финансовый 2 4 2 2 7 2 2" xfId="11051" xr:uid="{00000000-0005-0000-0000-0000B05D0000}"/>
    <cellStyle name="Финансовый 2 4 2 2 7 2 2 2" xfId="23029" xr:uid="{00000000-0005-0000-0000-0000B15D0000}"/>
    <cellStyle name="Финансовый 2 4 2 2 7 2 2 2 2" xfId="46984" xr:uid="{00000000-0005-0000-0000-0000B25D0000}"/>
    <cellStyle name="Финансовый 2 4 2 2 7 2 2 3" xfId="35006" xr:uid="{00000000-0005-0000-0000-0000B35D0000}"/>
    <cellStyle name="Финансовый 2 4 2 2 7 2 3" xfId="15282" xr:uid="{00000000-0005-0000-0000-0000B45D0000}"/>
    <cellStyle name="Финансовый 2 4 2 2 7 2 3 2" xfId="39237" xr:uid="{00000000-0005-0000-0000-0000B55D0000}"/>
    <cellStyle name="Финансовый 2 4 2 2 7 2 4" xfId="27260" xr:uid="{00000000-0005-0000-0000-0000B65D0000}"/>
    <cellStyle name="Финансовый 2 4 2 2 7 2 5" xfId="50529" xr:uid="{00000000-0005-0000-0000-0000B75D0000}"/>
    <cellStyle name="Финансовый 2 4 2 2 7 3" xfId="5086" xr:uid="{00000000-0005-0000-0000-0000B85D0000}"/>
    <cellStyle name="Финансовый 2 4 2 2 7 3 2" xfId="17064" xr:uid="{00000000-0005-0000-0000-0000B95D0000}"/>
    <cellStyle name="Финансовый 2 4 2 2 7 3 2 2" xfId="41019" xr:uid="{00000000-0005-0000-0000-0000BA5D0000}"/>
    <cellStyle name="Финансовый 2 4 2 2 7 3 3" xfId="29041" xr:uid="{00000000-0005-0000-0000-0000BB5D0000}"/>
    <cellStyle name="Финансовый 2 4 2 2 7 4" xfId="7696" xr:uid="{00000000-0005-0000-0000-0000BC5D0000}"/>
    <cellStyle name="Финансовый 2 4 2 2 7 4 2" xfId="19674" xr:uid="{00000000-0005-0000-0000-0000BD5D0000}"/>
    <cellStyle name="Финансовый 2 4 2 2 7 4 2 2" xfId="43629" xr:uid="{00000000-0005-0000-0000-0000BE5D0000}"/>
    <cellStyle name="Финансовый 2 4 2 2 7 4 3" xfId="31651" xr:uid="{00000000-0005-0000-0000-0000BF5D0000}"/>
    <cellStyle name="Финансовый 2 4 2 2 7 5" xfId="9479" xr:uid="{00000000-0005-0000-0000-0000C05D0000}"/>
    <cellStyle name="Финансовый 2 4 2 2 7 5 2" xfId="21457" xr:uid="{00000000-0005-0000-0000-0000C15D0000}"/>
    <cellStyle name="Финансовый 2 4 2 2 7 5 2 2" xfId="45412" xr:uid="{00000000-0005-0000-0000-0000C25D0000}"/>
    <cellStyle name="Финансовый 2 4 2 2 7 5 3" xfId="33434" xr:uid="{00000000-0005-0000-0000-0000C35D0000}"/>
    <cellStyle name="Финансовый 2 4 2 2 7 6" xfId="13637" xr:uid="{00000000-0005-0000-0000-0000C45D0000}"/>
    <cellStyle name="Финансовый 2 4 2 2 7 6 2" xfId="37592" xr:uid="{00000000-0005-0000-0000-0000C55D0000}"/>
    <cellStyle name="Финансовый 2 4 2 2 7 7" xfId="25615" xr:uid="{00000000-0005-0000-0000-0000C65D0000}"/>
    <cellStyle name="Финансовый 2 4 2 2 7 8" xfId="48748" xr:uid="{00000000-0005-0000-0000-0000C75D0000}"/>
    <cellStyle name="Финансовый 2 4 2 2 8" xfId="935" xr:uid="{00000000-0005-0000-0000-0000C85D0000}"/>
    <cellStyle name="Финансовый 2 4 2 2 8 2" xfId="6975" xr:uid="{00000000-0005-0000-0000-0000C95D0000}"/>
    <cellStyle name="Финансовый 2 4 2 2 8 2 2" xfId="18953" xr:uid="{00000000-0005-0000-0000-0000CA5D0000}"/>
    <cellStyle name="Финансовый 2 4 2 2 8 2 2 2" xfId="42908" xr:uid="{00000000-0005-0000-0000-0000CB5D0000}"/>
    <cellStyle name="Финансовый 2 4 2 2 8 2 3" xfId="30930" xr:uid="{00000000-0005-0000-0000-0000CC5D0000}"/>
    <cellStyle name="Финансовый 2 4 2 2 8 3" xfId="10523" xr:uid="{00000000-0005-0000-0000-0000CD5D0000}"/>
    <cellStyle name="Финансовый 2 4 2 2 8 3 2" xfId="22501" xr:uid="{00000000-0005-0000-0000-0000CE5D0000}"/>
    <cellStyle name="Финансовый 2 4 2 2 8 3 2 2" xfId="46456" xr:uid="{00000000-0005-0000-0000-0000CF5D0000}"/>
    <cellStyle name="Финансовый 2 4 2 2 8 3 3" xfId="34478" xr:uid="{00000000-0005-0000-0000-0000D05D0000}"/>
    <cellStyle name="Финансовый 2 4 2 2 8 4" xfId="12916" xr:uid="{00000000-0005-0000-0000-0000D15D0000}"/>
    <cellStyle name="Финансовый 2 4 2 2 8 4 2" xfId="36871" xr:uid="{00000000-0005-0000-0000-0000D25D0000}"/>
    <cellStyle name="Финансовый 2 4 2 2 8 5" xfId="24894" xr:uid="{00000000-0005-0000-0000-0000D35D0000}"/>
    <cellStyle name="Финансовый 2 4 2 2 8 6" xfId="49800" xr:uid="{00000000-0005-0000-0000-0000D45D0000}"/>
    <cellStyle name="Финансовый 2 4 2 2 9" xfId="523" xr:uid="{00000000-0005-0000-0000-0000D55D0000}"/>
    <cellStyle name="Финансовый 2 4 2 2 9 2" xfId="6563" xr:uid="{00000000-0005-0000-0000-0000D65D0000}"/>
    <cellStyle name="Финансовый 2 4 2 2 9 2 2" xfId="18541" xr:uid="{00000000-0005-0000-0000-0000D75D0000}"/>
    <cellStyle name="Финансовый 2 4 2 2 9 2 2 2" xfId="42496" xr:uid="{00000000-0005-0000-0000-0000D85D0000}"/>
    <cellStyle name="Финансовый 2 4 2 2 9 2 3" xfId="30518" xr:uid="{00000000-0005-0000-0000-0000D95D0000}"/>
    <cellStyle name="Финансовый 2 4 2 2 9 3" xfId="12504" xr:uid="{00000000-0005-0000-0000-0000DA5D0000}"/>
    <cellStyle name="Финансовый 2 4 2 2 9 3 2" xfId="36459" xr:uid="{00000000-0005-0000-0000-0000DB5D0000}"/>
    <cellStyle name="Финансовый 2 4 2 2 9 4" xfId="24482" xr:uid="{00000000-0005-0000-0000-0000DC5D0000}"/>
    <cellStyle name="Финансовый 2 4 2 3" xfId="182" xr:uid="{00000000-0005-0000-0000-0000DD5D0000}"/>
    <cellStyle name="Финансовый 2 4 2 3 10" xfId="8830" xr:uid="{00000000-0005-0000-0000-0000DE5D0000}"/>
    <cellStyle name="Финансовый 2 4 2 3 10 2" xfId="20808" xr:uid="{00000000-0005-0000-0000-0000DF5D0000}"/>
    <cellStyle name="Финансовый 2 4 2 3 10 2 2" xfId="44763" xr:uid="{00000000-0005-0000-0000-0000E05D0000}"/>
    <cellStyle name="Финансовый 2 4 2 3 10 3" xfId="32785" xr:uid="{00000000-0005-0000-0000-0000E15D0000}"/>
    <cellStyle name="Финансовый 2 4 2 3 11" xfId="12164" xr:uid="{00000000-0005-0000-0000-0000E25D0000}"/>
    <cellStyle name="Финансовый 2 4 2 3 11 2" xfId="36119" xr:uid="{00000000-0005-0000-0000-0000E35D0000}"/>
    <cellStyle name="Финансовый 2 4 2 3 12" xfId="24142" xr:uid="{00000000-0005-0000-0000-0000E45D0000}"/>
    <cellStyle name="Финансовый 2 4 2 3 13" xfId="48100" xr:uid="{00000000-0005-0000-0000-0000E55D0000}"/>
    <cellStyle name="Финансовый 2 4 2 3 2" xfId="1280" xr:uid="{00000000-0005-0000-0000-0000E65D0000}"/>
    <cellStyle name="Финансовый 2 4 2 3 2 2" xfId="2246" xr:uid="{00000000-0005-0000-0000-0000E75D0000}"/>
    <cellStyle name="Финансовый 2 4 2 3 2 2 2" xfId="3891" xr:uid="{00000000-0005-0000-0000-0000E85D0000}"/>
    <cellStyle name="Финансовый 2 4 2 3 2 2 2 2" xfId="11631" xr:uid="{00000000-0005-0000-0000-0000E95D0000}"/>
    <cellStyle name="Финансовый 2 4 2 3 2 2 2 2 2" xfId="23609" xr:uid="{00000000-0005-0000-0000-0000EA5D0000}"/>
    <cellStyle name="Финансовый 2 4 2 3 2 2 2 2 2 2" xfId="47564" xr:uid="{00000000-0005-0000-0000-0000EB5D0000}"/>
    <cellStyle name="Финансовый 2 4 2 3 2 2 2 2 3" xfId="35586" xr:uid="{00000000-0005-0000-0000-0000EC5D0000}"/>
    <cellStyle name="Финансовый 2 4 2 3 2 2 2 3" xfId="15870" xr:uid="{00000000-0005-0000-0000-0000ED5D0000}"/>
    <cellStyle name="Финансовый 2 4 2 3 2 2 2 3 2" xfId="39825" xr:uid="{00000000-0005-0000-0000-0000EE5D0000}"/>
    <cellStyle name="Финансовый 2 4 2 3 2 2 2 4" xfId="27848" xr:uid="{00000000-0005-0000-0000-0000EF5D0000}"/>
    <cellStyle name="Финансовый 2 4 2 3 2 2 2 5" xfId="51117" xr:uid="{00000000-0005-0000-0000-0000F05D0000}"/>
    <cellStyle name="Финансовый 2 4 2 3 2 2 3" xfId="5674" xr:uid="{00000000-0005-0000-0000-0000F15D0000}"/>
    <cellStyle name="Финансовый 2 4 2 3 2 2 3 2" xfId="17652" xr:uid="{00000000-0005-0000-0000-0000F25D0000}"/>
    <cellStyle name="Финансовый 2 4 2 3 2 2 3 2 2" xfId="41607" xr:uid="{00000000-0005-0000-0000-0000F35D0000}"/>
    <cellStyle name="Финансовый 2 4 2 3 2 2 3 3" xfId="29629" xr:uid="{00000000-0005-0000-0000-0000F45D0000}"/>
    <cellStyle name="Финансовый 2 4 2 3 2 2 4" xfId="8284" xr:uid="{00000000-0005-0000-0000-0000F55D0000}"/>
    <cellStyle name="Финансовый 2 4 2 3 2 2 4 2" xfId="20262" xr:uid="{00000000-0005-0000-0000-0000F65D0000}"/>
    <cellStyle name="Финансовый 2 4 2 3 2 2 4 2 2" xfId="44217" xr:uid="{00000000-0005-0000-0000-0000F75D0000}"/>
    <cellStyle name="Финансовый 2 4 2 3 2 2 4 3" xfId="32239" xr:uid="{00000000-0005-0000-0000-0000F85D0000}"/>
    <cellStyle name="Финансовый 2 4 2 3 2 2 5" xfId="10067" xr:uid="{00000000-0005-0000-0000-0000F95D0000}"/>
    <cellStyle name="Финансовый 2 4 2 3 2 2 5 2" xfId="22045" xr:uid="{00000000-0005-0000-0000-0000FA5D0000}"/>
    <cellStyle name="Финансовый 2 4 2 3 2 2 5 2 2" xfId="46000" xr:uid="{00000000-0005-0000-0000-0000FB5D0000}"/>
    <cellStyle name="Финансовый 2 4 2 3 2 2 5 3" xfId="34022" xr:uid="{00000000-0005-0000-0000-0000FC5D0000}"/>
    <cellStyle name="Финансовый 2 4 2 3 2 2 6" xfId="14225" xr:uid="{00000000-0005-0000-0000-0000FD5D0000}"/>
    <cellStyle name="Финансовый 2 4 2 3 2 2 6 2" xfId="38180" xr:uid="{00000000-0005-0000-0000-0000FE5D0000}"/>
    <cellStyle name="Финансовый 2 4 2 3 2 2 7" xfId="26203" xr:uid="{00000000-0005-0000-0000-0000FF5D0000}"/>
    <cellStyle name="Финансовый 2 4 2 3 2 2 8" xfId="49336" xr:uid="{00000000-0005-0000-0000-0000005E0000}"/>
    <cellStyle name="Финансовый 2 4 2 3 2 3" xfId="3064" xr:uid="{00000000-0005-0000-0000-0000015E0000}"/>
    <cellStyle name="Финансовый 2 4 2 3 2 3 2" xfId="10859" xr:uid="{00000000-0005-0000-0000-0000025E0000}"/>
    <cellStyle name="Финансовый 2 4 2 3 2 3 2 2" xfId="22837" xr:uid="{00000000-0005-0000-0000-0000035E0000}"/>
    <cellStyle name="Финансовый 2 4 2 3 2 3 2 2 2" xfId="46792" xr:uid="{00000000-0005-0000-0000-0000045E0000}"/>
    <cellStyle name="Финансовый 2 4 2 3 2 3 2 3" xfId="34814" xr:uid="{00000000-0005-0000-0000-0000055E0000}"/>
    <cellStyle name="Финансовый 2 4 2 3 2 3 3" xfId="15043" xr:uid="{00000000-0005-0000-0000-0000065E0000}"/>
    <cellStyle name="Финансовый 2 4 2 3 2 3 3 2" xfId="38998" xr:uid="{00000000-0005-0000-0000-0000075E0000}"/>
    <cellStyle name="Финансовый 2 4 2 3 2 3 4" xfId="27021" xr:uid="{00000000-0005-0000-0000-0000085E0000}"/>
    <cellStyle name="Финансовый 2 4 2 3 2 3 5" xfId="50152" xr:uid="{00000000-0005-0000-0000-0000095E0000}"/>
    <cellStyle name="Финансовый 2 4 2 3 2 4" xfId="4708" xr:uid="{00000000-0005-0000-0000-00000A5E0000}"/>
    <cellStyle name="Финансовый 2 4 2 3 2 4 2" xfId="16687" xr:uid="{00000000-0005-0000-0000-00000B5E0000}"/>
    <cellStyle name="Финансовый 2 4 2 3 2 4 2 2" xfId="40642" xr:uid="{00000000-0005-0000-0000-00000C5E0000}"/>
    <cellStyle name="Финансовый 2 4 2 3 2 4 3" xfId="28665" xr:uid="{00000000-0005-0000-0000-00000D5E0000}"/>
    <cellStyle name="Финансовый 2 4 2 3 2 5" xfId="7320" xr:uid="{00000000-0005-0000-0000-00000E5E0000}"/>
    <cellStyle name="Финансовый 2 4 2 3 2 5 2" xfId="19298" xr:uid="{00000000-0005-0000-0000-00000F5E0000}"/>
    <cellStyle name="Финансовый 2 4 2 3 2 5 2 2" xfId="43253" xr:uid="{00000000-0005-0000-0000-0000105E0000}"/>
    <cellStyle name="Финансовый 2 4 2 3 2 5 3" xfId="31275" xr:uid="{00000000-0005-0000-0000-0000115E0000}"/>
    <cellStyle name="Финансовый 2 4 2 3 2 6" xfId="9102" xr:uid="{00000000-0005-0000-0000-0000125E0000}"/>
    <cellStyle name="Финансовый 2 4 2 3 2 6 2" xfId="21080" xr:uid="{00000000-0005-0000-0000-0000135E0000}"/>
    <cellStyle name="Финансовый 2 4 2 3 2 6 2 2" xfId="45035" xr:uid="{00000000-0005-0000-0000-0000145E0000}"/>
    <cellStyle name="Финансовый 2 4 2 3 2 6 3" xfId="33057" xr:uid="{00000000-0005-0000-0000-0000155E0000}"/>
    <cellStyle name="Финансовый 2 4 2 3 2 7" xfId="13261" xr:uid="{00000000-0005-0000-0000-0000165E0000}"/>
    <cellStyle name="Финансовый 2 4 2 3 2 7 2" xfId="37216" xr:uid="{00000000-0005-0000-0000-0000175E0000}"/>
    <cellStyle name="Финансовый 2 4 2 3 2 8" xfId="25239" xr:uid="{00000000-0005-0000-0000-0000185E0000}"/>
    <cellStyle name="Финансовый 2 4 2 3 2 9" xfId="48372" xr:uid="{00000000-0005-0000-0000-0000195E0000}"/>
    <cellStyle name="Финансовый 2 4 2 3 3" xfId="1990" xr:uid="{00000000-0005-0000-0000-00001A5E0000}"/>
    <cellStyle name="Финансовый 2 4 2 3 3 2" xfId="3635" xr:uid="{00000000-0005-0000-0000-00001B5E0000}"/>
    <cellStyle name="Финансовый 2 4 2 3 3 2 2" xfId="11375" xr:uid="{00000000-0005-0000-0000-00001C5E0000}"/>
    <cellStyle name="Финансовый 2 4 2 3 3 2 2 2" xfId="23353" xr:uid="{00000000-0005-0000-0000-00001D5E0000}"/>
    <cellStyle name="Финансовый 2 4 2 3 3 2 2 2 2" xfId="47308" xr:uid="{00000000-0005-0000-0000-00001E5E0000}"/>
    <cellStyle name="Финансовый 2 4 2 3 3 2 2 3" xfId="35330" xr:uid="{00000000-0005-0000-0000-00001F5E0000}"/>
    <cellStyle name="Финансовый 2 4 2 3 3 2 3" xfId="15614" xr:uid="{00000000-0005-0000-0000-0000205E0000}"/>
    <cellStyle name="Финансовый 2 4 2 3 3 2 3 2" xfId="39569" xr:uid="{00000000-0005-0000-0000-0000215E0000}"/>
    <cellStyle name="Финансовый 2 4 2 3 3 2 4" xfId="27592" xr:uid="{00000000-0005-0000-0000-0000225E0000}"/>
    <cellStyle name="Финансовый 2 4 2 3 3 2 5" xfId="50861" xr:uid="{00000000-0005-0000-0000-0000235E0000}"/>
    <cellStyle name="Финансовый 2 4 2 3 3 3" xfId="5418" xr:uid="{00000000-0005-0000-0000-0000245E0000}"/>
    <cellStyle name="Финансовый 2 4 2 3 3 3 2" xfId="17396" xr:uid="{00000000-0005-0000-0000-0000255E0000}"/>
    <cellStyle name="Финансовый 2 4 2 3 3 3 2 2" xfId="41351" xr:uid="{00000000-0005-0000-0000-0000265E0000}"/>
    <cellStyle name="Финансовый 2 4 2 3 3 3 3" xfId="29373" xr:uid="{00000000-0005-0000-0000-0000275E0000}"/>
    <cellStyle name="Финансовый 2 4 2 3 3 4" xfId="8028" xr:uid="{00000000-0005-0000-0000-0000285E0000}"/>
    <cellStyle name="Финансовый 2 4 2 3 3 4 2" xfId="20006" xr:uid="{00000000-0005-0000-0000-0000295E0000}"/>
    <cellStyle name="Финансовый 2 4 2 3 3 4 2 2" xfId="43961" xr:uid="{00000000-0005-0000-0000-00002A5E0000}"/>
    <cellStyle name="Финансовый 2 4 2 3 3 4 3" xfId="31983" xr:uid="{00000000-0005-0000-0000-00002B5E0000}"/>
    <cellStyle name="Финансовый 2 4 2 3 3 5" xfId="9811" xr:uid="{00000000-0005-0000-0000-00002C5E0000}"/>
    <cellStyle name="Финансовый 2 4 2 3 3 5 2" xfId="21789" xr:uid="{00000000-0005-0000-0000-00002D5E0000}"/>
    <cellStyle name="Финансовый 2 4 2 3 3 5 2 2" xfId="45744" xr:uid="{00000000-0005-0000-0000-00002E5E0000}"/>
    <cellStyle name="Финансовый 2 4 2 3 3 5 3" xfId="33766" xr:uid="{00000000-0005-0000-0000-00002F5E0000}"/>
    <cellStyle name="Финансовый 2 4 2 3 3 6" xfId="13969" xr:uid="{00000000-0005-0000-0000-0000305E0000}"/>
    <cellStyle name="Финансовый 2 4 2 3 3 6 2" xfId="37924" xr:uid="{00000000-0005-0000-0000-0000315E0000}"/>
    <cellStyle name="Финансовый 2 4 2 3 3 7" xfId="25947" xr:uid="{00000000-0005-0000-0000-0000325E0000}"/>
    <cellStyle name="Финансовый 2 4 2 3 3 8" xfId="49080" xr:uid="{00000000-0005-0000-0000-0000335E0000}"/>
    <cellStyle name="Финансовый 2 4 2 3 4" xfId="2511" xr:uid="{00000000-0005-0000-0000-0000345E0000}"/>
    <cellStyle name="Финансовый 2 4 2 3 4 2" xfId="4156" xr:uid="{00000000-0005-0000-0000-0000355E0000}"/>
    <cellStyle name="Финансовый 2 4 2 3 4 2 2" xfId="11888" xr:uid="{00000000-0005-0000-0000-0000365E0000}"/>
    <cellStyle name="Финансовый 2 4 2 3 4 2 2 2" xfId="23866" xr:uid="{00000000-0005-0000-0000-0000375E0000}"/>
    <cellStyle name="Финансовый 2 4 2 3 4 2 2 2 2" xfId="47821" xr:uid="{00000000-0005-0000-0000-0000385E0000}"/>
    <cellStyle name="Финансовый 2 4 2 3 4 2 2 3" xfId="35843" xr:uid="{00000000-0005-0000-0000-0000395E0000}"/>
    <cellStyle name="Финансовый 2 4 2 3 4 2 3" xfId="16135" xr:uid="{00000000-0005-0000-0000-00003A5E0000}"/>
    <cellStyle name="Финансовый 2 4 2 3 4 2 3 2" xfId="40090" xr:uid="{00000000-0005-0000-0000-00003B5E0000}"/>
    <cellStyle name="Финансовый 2 4 2 3 4 2 4" xfId="28113" xr:uid="{00000000-0005-0000-0000-00003C5E0000}"/>
    <cellStyle name="Финансовый 2 4 2 3 4 2 5" xfId="51382" xr:uid="{00000000-0005-0000-0000-00003D5E0000}"/>
    <cellStyle name="Финансовый 2 4 2 3 4 3" xfId="5939" xr:uid="{00000000-0005-0000-0000-00003E5E0000}"/>
    <cellStyle name="Финансовый 2 4 2 3 4 3 2" xfId="17917" xr:uid="{00000000-0005-0000-0000-00003F5E0000}"/>
    <cellStyle name="Финансовый 2 4 2 3 4 3 2 2" xfId="41872" xr:uid="{00000000-0005-0000-0000-0000405E0000}"/>
    <cellStyle name="Финансовый 2 4 2 3 4 3 3" xfId="29894" xr:uid="{00000000-0005-0000-0000-0000415E0000}"/>
    <cellStyle name="Финансовый 2 4 2 3 4 4" xfId="8549" xr:uid="{00000000-0005-0000-0000-0000425E0000}"/>
    <cellStyle name="Финансовый 2 4 2 3 4 4 2" xfId="20527" xr:uid="{00000000-0005-0000-0000-0000435E0000}"/>
    <cellStyle name="Финансовый 2 4 2 3 4 4 2 2" xfId="44482" xr:uid="{00000000-0005-0000-0000-0000445E0000}"/>
    <cellStyle name="Финансовый 2 4 2 3 4 4 3" xfId="32504" xr:uid="{00000000-0005-0000-0000-0000455E0000}"/>
    <cellStyle name="Финансовый 2 4 2 3 4 5" xfId="10332" xr:uid="{00000000-0005-0000-0000-0000465E0000}"/>
    <cellStyle name="Финансовый 2 4 2 3 4 5 2" xfId="22310" xr:uid="{00000000-0005-0000-0000-0000475E0000}"/>
    <cellStyle name="Финансовый 2 4 2 3 4 5 2 2" xfId="46265" xr:uid="{00000000-0005-0000-0000-0000485E0000}"/>
    <cellStyle name="Финансовый 2 4 2 3 4 5 3" xfId="34287" xr:uid="{00000000-0005-0000-0000-0000495E0000}"/>
    <cellStyle name="Финансовый 2 4 2 3 4 6" xfId="14490" xr:uid="{00000000-0005-0000-0000-00004A5E0000}"/>
    <cellStyle name="Финансовый 2 4 2 3 4 6 2" xfId="38445" xr:uid="{00000000-0005-0000-0000-00004B5E0000}"/>
    <cellStyle name="Финансовый 2 4 2 3 4 7" xfId="26468" xr:uid="{00000000-0005-0000-0000-00004C5E0000}"/>
    <cellStyle name="Финансовый 2 4 2 3 4 8" xfId="49601" xr:uid="{00000000-0005-0000-0000-00004D5E0000}"/>
    <cellStyle name="Финансовый 2 4 2 3 5" xfId="1015" xr:uid="{00000000-0005-0000-0000-00004E5E0000}"/>
    <cellStyle name="Финансовый 2 4 2 3 5 2" xfId="7055" xr:uid="{00000000-0005-0000-0000-00004F5E0000}"/>
    <cellStyle name="Финансовый 2 4 2 3 5 2 2" xfId="19033" xr:uid="{00000000-0005-0000-0000-0000505E0000}"/>
    <cellStyle name="Финансовый 2 4 2 3 5 2 2 2" xfId="42988" xr:uid="{00000000-0005-0000-0000-0000515E0000}"/>
    <cellStyle name="Финансовый 2 4 2 3 5 2 3" xfId="31010" xr:uid="{00000000-0005-0000-0000-0000525E0000}"/>
    <cellStyle name="Финансовый 2 4 2 3 5 3" xfId="10603" xr:uid="{00000000-0005-0000-0000-0000535E0000}"/>
    <cellStyle name="Финансовый 2 4 2 3 5 3 2" xfId="22581" xr:uid="{00000000-0005-0000-0000-0000545E0000}"/>
    <cellStyle name="Финансовый 2 4 2 3 5 3 2 2" xfId="46536" xr:uid="{00000000-0005-0000-0000-0000555E0000}"/>
    <cellStyle name="Финансовый 2 4 2 3 5 3 3" xfId="34558" xr:uid="{00000000-0005-0000-0000-0000565E0000}"/>
    <cellStyle name="Финансовый 2 4 2 3 5 4" xfId="12996" xr:uid="{00000000-0005-0000-0000-0000575E0000}"/>
    <cellStyle name="Финансовый 2 4 2 3 5 4 2" xfId="36951" xr:uid="{00000000-0005-0000-0000-0000585E0000}"/>
    <cellStyle name="Финансовый 2 4 2 3 5 5" xfId="24974" xr:uid="{00000000-0005-0000-0000-0000595E0000}"/>
    <cellStyle name="Финансовый 2 4 2 3 5 6" xfId="49880" xr:uid="{00000000-0005-0000-0000-00005A5E0000}"/>
    <cellStyle name="Финансовый 2 4 2 3 6" xfId="603" xr:uid="{00000000-0005-0000-0000-00005B5E0000}"/>
    <cellStyle name="Финансовый 2 4 2 3 6 2" xfId="6643" xr:uid="{00000000-0005-0000-0000-00005C5E0000}"/>
    <cellStyle name="Финансовый 2 4 2 3 6 2 2" xfId="18621" xr:uid="{00000000-0005-0000-0000-00005D5E0000}"/>
    <cellStyle name="Финансовый 2 4 2 3 6 2 2 2" xfId="42576" xr:uid="{00000000-0005-0000-0000-00005E5E0000}"/>
    <cellStyle name="Финансовый 2 4 2 3 6 2 3" xfId="30598" xr:uid="{00000000-0005-0000-0000-00005F5E0000}"/>
    <cellStyle name="Финансовый 2 4 2 3 6 3" xfId="12584" xr:uid="{00000000-0005-0000-0000-0000605E0000}"/>
    <cellStyle name="Финансовый 2 4 2 3 6 3 2" xfId="36539" xr:uid="{00000000-0005-0000-0000-0000615E0000}"/>
    <cellStyle name="Финансовый 2 4 2 3 6 4" xfId="24562" xr:uid="{00000000-0005-0000-0000-0000625E0000}"/>
    <cellStyle name="Финансовый 2 4 2 3 7" xfId="2792" xr:uid="{00000000-0005-0000-0000-0000635E0000}"/>
    <cellStyle name="Финансовый 2 4 2 3 7 2" xfId="14771" xr:uid="{00000000-0005-0000-0000-0000645E0000}"/>
    <cellStyle name="Финансовый 2 4 2 3 7 2 2" xfId="38726" xr:uid="{00000000-0005-0000-0000-0000655E0000}"/>
    <cellStyle name="Финансовый 2 4 2 3 7 3" xfId="26749" xr:uid="{00000000-0005-0000-0000-0000665E0000}"/>
    <cellStyle name="Финансовый 2 4 2 3 8" xfId="4436" xr:uid="{00000000-0005-0000-0000-0000675E0000}"/>
    <cellStyle name="Финансовый 2 4 2 3 8 2" xfId="16415" xr:uid="{00000000-0005-0000-0000-0000685E0000}"/>
    <cellStyle name="Финансовый 2 4 2 3 8 2 2" xfId="40370" xr:uid="{00000000-0005-0000-0000-0000695E0000}"/>
    <cellStyle name="Финансовый 2 4 2 3 8 3" xfId="28393" xr:uid="{00000000-0005-0000-0000-00006A5E0000}"/>
    <cellStyle name="Финансовый 2 4 2 3 9" xfId="6223" xr:uid="{00000000-0005-0000-0000-00006B5E0000}"/>
    <cellStyle name="Финансовый 2 4 2 3 9 2" xfId="18201" xr:uid="{00000000-0005-0000-0000-00006C5E0000}"/>
    <cellStyle name="Финансовый 2 4 2 3 9 2 2" xfId="42156" xr:uid="{00000000-0005-0000-0000-00006D5E0000}"/>
    <cellStyle name="Финансовый 2 4 2 3 9 3" xfId="30178" xr:uid="{00000000-0005-0000-0000-00006E5E0000}"/>
    <cellStyle name="Финансовый 2 4 2 4" xfId="331" xr:uid="{00000000-0005-0000-0000-00006F5E0000}"/>
    <cellStyle name="Финансовый 2 4 2 4 10" xfId="24290" xr:uid="{00000000-0005-0000-0000-0000705E0000}"/>
    <cellStyle name="Финансовый 2 4 2 4 11" xfId="48236" xr:uid="{00000000-0005-0000-0000-0000715E0000}"/>
    <cellStyle name="Финансовый 2 4 2 4 2" xfId="2118" xr:uid="{00000000-0005-0000-0000-0000725E0000}"/>
    <cellStyle name="Финансовый 2 4 2 4 2 2" xfId="3763" xr:uid="{00000000-0005-0000-0000-0000735E0000}"/>
    <cellStyle name="Финансовый 2 4 2 4 2 2 2" xfId="11503" xr:uid="{00000000-0005-0000-0000-0000745E0000}"/>
    <cellStyle name="Финансовый 2 4 2 4 2 2 2 2" xfId="23481" xr:uid="{00000000-0005-0000-0000-0000755E0000}"/>
    <cellStyle name="Финансовый 2 4 2 4 2 2 2 2 2" xfId="47436" xr:uid="{00000000-0005-0000-0000-0000765E0000}"/>
    <cellStyle name="Финансовый 2 4 2 4 2 2 2 3" xfId="35458" xr:uid="{00000000-0005-0000-0000-0000775E0000}"/>
    <cellStyle name="Финансовый 2 4 2 4 2 2 3" xfId="15742" xr:uid="{00000000-0005-0000-0000-0000785E0000}"/>
    <cellStyle name="Финансовый 2 4 2 4 2 2 3 2" xfId="39697" xr:uid="{00000000-0005-0000-0000-0000795E0000}"/>
    <cellStyle name="Финансовый 2 4 2 4 2 2 4" xfId="27720" xr:uid="{00000000-0005-0000-0000-00007A5E0000}"/>
    <cellStyle name="Финансовый 2 4 2 4 2 2 5" xfId="50989" xr:uid="{00000000-0005-0000-0000-00007B5E0000}"/>
    <cellStyle name="Финансовый 2 4 2 4 2 3" xfId="5546" xr:uid="{00000000-0005-0000-0000-00007C5E0000}"/>
    <cellStyle name="Финансовый 2 4 2 4 2 3 2" xfId="17524" xr:uid="{00000000-0005-0000-0000-00007D5E0000}"/>
    <cellStyle name="Финансовый 2 4 2 4 2 3 2 2" xfId="41479" xr:uid="{00000000-0005-0000-0000-00007E5E0000}"/>
    <cellStyle name="Финансовый 2 4 2 4 2 3 3" xfId="29501" xr:uid="{00000000-0005-0000-0000-00007F5E0000}"/>
    <cellStyle name="Финансовый 2 4 2 4 2 4" xfId="8156" xr:uid="{00000000-0005-0000-0000-0000805E0000}"/>
    <cellStyle name="Финансовый 2 4 2 4 2 4 2" xfId="20134" xr:uid="{00000000-0005-0000-0000-0000815E0000}"/>
    <cellStyle name="Финансовый 2 4 2 4 2 4 2 2" xfId="44089" xr:uid="{00000000-0005-0000-0000-0000825E0000}"/>
    <cellStyle name="Финансовый 2 4 2 4 2 4 3" xfId="32111" xr:uid="{00000000-0005-0000-0000-0000835E0000}"/>
    <cellStyle name="Финансовый 2 4 2 4 2 5" xfId="9939" xr:uid="{00000000-0005-0000-0000-0000845E0000}"/>
    <cellStyle name="Финансовый 2 4 2 4 2 5 2" xfId="21917" xr:uid="{00000000-0005-0000-0000-0000855E0000}"/>
    <cellStyle name="Финансовый 2 4 2 4 2 5 2 2" xfId="45872" xr:uid="{00000000-0005-0000-0000-0000865E0000}"/>
    <cellStyle name="Финансовый 2 4 2 4 2 5 3" xfId="33894" xr:uid="{00000000-0005-0000-0000-0000875E0000}"/>
    <cellStyle name="Финансовый 2 4 2 4 2 6" xfId="14097" xr:uid="{00000000-0005-0000-0000-0000885E0000}"/>
    <cellStyle name="Финансовый 2 4 2 4 2 6 2" xfId="38052" xr:uid="{00000000-0005-0000-0000-0000895E0000}"/>
    <cellStyle name="Финансовый 2 4 2 4 2 7" xfId="26075" xr:uid="{00000000-0005-0000-0000-00008A5E0000}"/>
    <cellStyle name="Финансовый 2 4 2 4 2 8" xfId="49208" xr:uid="{00000000-0005-0000-0000-00008B5E0000}"/>
    <cellStyle name="Финансовый 2 4 2 4 3" xfId="1151" xr:uid="{00000000-0005-0000-0000-00008C5E0000}"/>
    <cellStyle name="Финансовый 2 4 2 4 3 2" xfId="7191" xr:uid="{00000000-0005-0000-0000-00008D5E0000}"/>
    <cellStyle name="Финансовый 2 4 2 4 3 2 2" xfId="19169" xr:uid="{00000000-0005-0000-0000-00008E5E0000}"/>
    <cellStyle name="Финансовый 2 4 2 4 3 2 2 2" xfId="43124" xr:uid="{00000000-0005-0000-0000-00008F5E0000}"/>
    <cellStyle name="Финансовый 2 4 2 4 3 2 3" xfId="31146" xr:uid="{00000000-0005-0000-0000-0000905E0000}"/>
    <cellStyle name="Финансовый 2 4 2 4 3 3" xfId="10731" xr:uid="{00000000-0005-0000-0000-0000915E0000}"/>
    <cellStyle name="Финансовый 2 4 2 4 3 3 2" xfId="22709" xr:uid="{00000000-0005-0000-0000-0000925E0000}"/>
    <cellStyle name="Финансовый 2 4 2 4 3 3 2 2" xfId="46664" xr:uid="{00000000-0005-0000-0000-0000935E0000}"/>
    <cellStyle name="Финансовый 2 4 2 4 3 3 3" xfId="34686" xr:uid="{00000000-0005-0000-0000-0000945E0000}"/>
    <cellStyle name="Финансовый 2 4 2 4 3 4" xfId="13132" xr:uid="{00000000-0005-0000-0000-0000955E0000}"/>
    <cellStyle name="Финансовый 2 4 2 4 3 4 2" xfId="37087" xr:uid="{00000000-0005-0000-0000-0000965E0000}"/>
    <cellStyle name="Финансовый 2 4 2 4 3 5" xfId="25110" xr:uid="{00000000-0005-0000-0000-0000975E0000}"/>
    <cellStyle name="Финансовый 2 4 2 4 3 6" xfId="50016" xr:uid="{00000000-0005-0000-0000-0000985E0000}"/>
    <cellStyle name="Финансовый 2 4 2 4 4" xfId="751" xr:uid="{00000000-0005-0000-0000-0000995E0000}"/>
    <cellStyle name="Финансовый 2 4 2 4 4 2" xfId="6791" xr:uid="{00000000-0005-0000-0000-00009A5E0000}"/>
    <cellStyle name="Финансовый 2 4 2 4 4 2 2" xfId="18769" xr:uid="{00000000-0005-0000-0000-00009B5E0000}"/>
    <cellStyle name="Финансовый 2 4 2 4 4 2 2 2" xfId="42724" xr:uid="{00000000-0005-0000-0000-00009C5E0000}"/>
    <cellStyle name="Финансовый 2 4 2 4 4 2 3" xfId="30746" xr:uid="{00000000-0005-0000-0000-00009D5E0000}"/>
    <cellStyle name="Финансовый 2 4 2 4 4 3" xfId="12732" xr:uid="{00000000-0005-0000-0000-00009E5E0000}"/>
    <cellStyle name="Финансовый 2 4 2 4 4 3 2" xfId="36687" xr:uid="{00000000-0005-0000-0000-00009F5E0000}"/>
    <cellStyle name="Финансовый 2 4 2 4 4 4" xfId="24710" xr:uid="{00000000-0005-0000-0000-0000A05E0000}"/>
    <cellStyle name="Финансовый 2 4 2 4 5" xfId="2928" xr:uid="{00000000-0005-0000-0000-0000A15E0000}"/>
    <cellStyle name="Финансовый 2 4 2 4 5 2" xfId="14907" xr:uid="{00000000-0005-0000-0000-0000A25E0000}"/>
    <cellStyle name="Финансовый 2 4 2 4 5 2 2" xfId="38862" xr:uid="{00000000-0005-0000-0000-0000A35E0000}"/>
    <cellStyle name="Финансовый 2 4 2 4 5 3" xfId="26885" xr:uid="{00000000-0005-0000-0000-0000A45E0000}"/>
    <cellStyle name="Финансовый 2 4 2 4 6" xfId="4572" xr:uid="{00000000-0005-0000-0000-0000A55E0000}"/>
    <cellStyle name="Финансовый 2 4 2 4 6 2" xfId="16551" xr:uid="{00000000-0005-0000-0000-0000A65E0000}"/>
    <cellStyle name="Финансовый 2 4 2 4 6 2 2" xfId="40506" xr:uid="{00000000-0005-0000-0000-0000A75E0000}"/>
    <cellStyle name="Финансовый 2 4 2 4 6 3" xfId="28529" xr:uid="{00000000-0005-0000-0000-0000A85E0000}"/>
    <cellStyle name="Финансовый 2 4 2 4 7" xfId="6371" xr:uid="{00000000-0005-0000-0000-0000A95E0000}"/>
    <cellStyle name="Финансовый 2 4 2 4 7 2" xfId="18349" xr:uid="{00000000-0005-0000-0000-0000AA5E0000}"/>
    <cellStyle name="Финансовый 2 4 2 4 7 2 2" xfId="42304" xr:uid="{00000000-0005-0000-0000-0000AB5E0000}"/>
    <cellStyle name="Финансовый 2 4 2 4 7 3" xfId="30326" xr:uid="{00000000-0005-0000-0000-0000AC5E0000}"/>
    <cellStyle name="Финансовый 2 4 2 4 8" xfId="8966" xr:uid="{00000000-0005-0000-0000-0000AD5E0000}"/>
    <cellStyle name="Финансовый 2 4 2 4 8 2" xfId="20944" xr:uid="{00000000-0005-0000-0000-0000AE5E0000}"/>
    <cellStyle name="Финансовый 2 4 2 4 8 2 2" xfId="44899" xr:uid="{00000000-0005-0000-0000-0000AF5E0000}"/>
    <cellStyle name="Финансовый 2 4 2 4 8 3" xfId="32921" xr:uid="{00000000-0005-0000-0000-0000B05E0000}"/>
    <cellStyle name="Финансовый 2 4 2 4 9" xfId="12312" xr:uid="{00000000-0005-0000-0000-0000B15E0000}"/>
    <cellStyle name="Финансовый 2 4 2 4 9 2" xfId="36267" xr:uid="{00000000-0005-0000-0000-0000B25E0000}"/>
    <cellStyle name="Финансовый 2 4 2 5" xfId="1498" xr:uid="{00000000-0005-0000-0000-0000B35E0000}"/>
    <cellStyle name="Финансовый 2 4 2 5 2" xfId="1854" xr:uid="{00000000-0005-0000-0000-0000B45E0000}"/>
    <cellStyle name="Финансовый 2 4 2 5 2 2" xfId="3499" xr:uid="{00000000-0005-0000-0000-0000B55E0000}"/>
    <cellStyle name="Финансовый 2 4 2 5 2 2 2" xfId="11247" xr:uid="{00000000-0005-0000-0000-0000B65E0000}"/>
    <cellStyle name="Финансовый 2 4 2 5 2 2 2 2" xfId="23225" xr:uid="{00000000-0005-0000-0000-0000B75E0000}"/>
    <cellStyle name="Финансовый 2 4 2 5 2 2 2 2 2" xfId="47180" xr:uid="{00000000-0005-0000-0000-0000B85E0000}"/>
    <cellStyle name="Финансовый 2 4 2 5 2 2 2 3" xfId="35202" xr:uid="{00000000-0005-0000-0000-0000B95E0000}"/>
    <cellStyle name="Финансовый 2 4 2 5 2 2 3" xfId="15478" xr:uid="{00000000-0005-0000-0000-0000BA5E0000}"/>
    <cellStyle name="Финансовый 2 4 2 5 2 2 3 2" xfId="39433" xr:uid="{00000000-0005-0000-0000-0000BB5E0000}"/>
    <cellStyle name="Финансовый 2 4 2 5 2 2 4" xfId="27456" xr:uid="{00000000-0005-0000-0000-0000BC5E0000}"/>
    <cellStyle name="Финансовый 2 4 2 5 2 2 5" xfId="50725" xr:uid="{00000000-0005-0000-0000-0000BD5E0000}"/>
    <cellStyle name="Финансовый 2 4 2 5 2 3" xfId="5282" xr:uid="{00000000-0005-0000-0000-0000BE5E0000}"/>
    <cellStyle name="Финансовый 2 4 2 5 2 3 2" xfId="17260" xr:uid="{00000000-0005-0000-0000-0000BF5E0000}"/>
    <cellStyle name="Финансовый 2 4 2 5 2 3 2 2" xfId="41215" xr:uid="{00000000-0005-0000-0000-0000C05E0000}"/>
    <cellStyle name="Финансовый 2 4 2 5 2 3 3" xfId="29237" xr:uid="{00000000-0005-0000-0000-0000C15E0000}"/>
    <cellStyle name="Финансовый 2 4 2 5 2 4" xfId="7892" xr:uid="{00000000-0005-0000-0000-0000C25E0000}"/>
    <cellStyle name="Финансовый 2 4 2 5 2 4 2" xfId="19870" xr:uid="{00000000-0005-0000-0000-0000C35E0000}"/>
    <cellStyle name="Финансовый 2 4 2 5 2 4 2 2" xfId="43825" xr:uid="{00000000-0005-0000-0000-0000C45E0000}"/>
    <cellStyle name="Финансовый 2 4 2 5 2 4 3" xfId="31847" xr:uid="{00000000-0005-0000-0000-0000C55E0000}"/>
    <cellStyle name="Финансовый 2 4 2 5 2 5" xfId="9675" xr:uid="{00000000-0005-0000-0000-0000C65E0000}"/>
    <cellStyle name="Финансовый 2 4 2 5 2 5 2" xfId="21653" xr:uid="{00000000-0005-0000-0000-0000C75E0000}"/>
    <cellStyle name="Финансовый 2 4 2 5 2 5 2 2" xfId="45608" xr:uid="{00000000-0005-0000-0000-0000C85E0000}"/>
    <cellStyle name="Финансовый 2 4 2 5 2 5 3" xfId="33630" xr:uid="{00000000-0005-0000-0000-0000C95E0000}"/>
    <cellStyle name="Финансовый 2 4 2 5 2 6" xfId="13833" xr:uid="{00000000-0005-0000-0000-0000CA5E0000}"/>
    <cellStyle name="Финансовый 2 4 2 5 2 6 2" xfId="37788" xr:uid="{00000000-0005-0000-0000-0000CB5E0000}"/>
    <cellStyle name="Финансовый 2 4 2 5 2 7" xfId="25811" xr:uid="{00000000-0005-0000-0000-0000CC5E0000}"/>
    <cellStyle name="Финансовый 2 4 2 5 2 8" xfId="48944" xr:uid="{00000000-0005-0000-0000-0000CD5E0000}"/>
    <cellStyle name="Финансовый 2 4 2 5 3" xfId="4926" xr:uid="{00000000-0005-0000-0000-0000CE5E0000}"/>
    <cellStyle name="Финансовый 2 4 2 5 3 2" xfId="16904" xr:uid="{00000000-0005-0000-0000-0000CF5E0000}"/>
    <cellStyle name="Финансовый 2 4 2 5 3 2 2" xfId="40859" xr:uid="{00000000-0005-0000-0000-0000D05E0000}"/>
    <cellStyle name="Финансовый 2 4 2 5 3 3" xfId="28881" xr:uid="{00000000-0005-0000-0000-0000D15E0000}"/>
    <cellStyle name="Финансовый 2 4 2 5 3 4" xfId="50369" xr:uid="{00000000-0005-0000-0000-0000D25E0000}"/>
    <cellStyle name="Финансовый 2 4 2 5 4" xfId="7536" xr:uid="{00000000-0005-0000-0000-0000D35E0000}"/>
    <cellStyle name="Финансовый 2 4 2 5 4 2" xfId="19514" xr:uid="{00000000-0005-0000-0000-0000D45E0000}"/>
    <cellStyle name="Финансовый 2 4 2 5 4 2 2" xfId="43469" xr:uid="{00000000-0005-0000-0000-0000D55E0000}"/>
    <cellStyle name="Финансовый 2 4 2 5 4 3" xfId="31491" xr:uid="{00000000-0005-0000-0000-0000D65E0000}"/>
    <cellStyle name="Финансовый 2 4 2 5 5" xfId="9319" xr:uid="{00000000-0005-0000-0000-0000D75E0000}"/>
    <cellStyle name="Финансовый 2 4 2 5 5 2" xfId="21297" xr:uid="{00000000-0005-0000-0000-0000D85E0000}"/>
    <cellStyle name="Финансовый 2 4 2 5 5 2 2" xfId="45252" xr:uid="{00000000-0005-0000-0000-0000D95E0000}"/>
    <cellStyle name="Финансовый 2 4 2 5 5 3" xfId="33274" xr:uid="{00000000-0005-0000-0000-0000DA5E0000}"/>
    <cellStyle name="Финансовый 2 4 2 5 6" xfId="13477" xr:uid="{00000000-0005-0000-0000-0000DB5E0000}"/>
    <cellStyle name="Финансовый 2 4 2 5 6 2" xfId="37432" xr:uid="{00000000-0005-0000-0000-0000DC5E0000}"/>
    <cellStyle name="Финансовый 2 4 2 5 7" xfId="25455" xr:uid="{00000000-0005-0000-0000-0000DD5E0000}"/>
    <cellStyle name="Финансовый 2 4 2 5 8" xfId="48588" xr:uid="{00000000-0005-0000-0000-0000DE5E0000}"/>
    <cellStyle name="Финансовый 2 4 2 6" xfId="1738" xr:uid="{00000000-0005-0000-0000-0000DF5E0000}"/>
    <cellStyle name="Финансовый 2 4 2 6 2" xfId="3383" xr:uid="{00000000-0005-0000-0000-0000E05E0000}"/>
    <cellStyle name="Финансовый 2 4 2 6 2 2" xfId="11131" xr:uid="{00000000-0005-0000-0000-0000E15E0000}"/>
    <cellStyle name="Финансовый 2 4 2 6 2 2 2" xfId="23109" xr:uid="{00000000-0005-0000-0000-0000E25E0000}"/>
    <cellStyle name="Финансовый 2 4 2 6 2 2 2 2" xfId="47064" xr:uid="{00000000-0005-0000-0000-0000E35E0000}"/>
    <cellStyle name="Финансовый 2 4 2 6 2 2 3" xfId="35086" xr:uid="{00000000-0005-0000-0000-0000E45E0000}"/>
    <cellStyle name="Финансовый 2 4 2 6 2 3" xfId="15362" xr:uid="{00000000-0005-0000-0000-0000E55E0000}"/>
    <cellStyle name="Финансовый 2 4 2 6 2 3 2" xfId="39317" xr:uid="{00000000-0005-0000-0000-0000E65E0000}"/>
    <cellStyle name="Финансовый 2 4 2 6 2 4" xfId="27340" xr:uid="{00000000-0005-0000-0000-0000E75E0000}"/>
    <cellStyle name="Финансовый 2 4 2 6 2 5" xfId="50609" xr:uid="{00000000-0005-0000-0000-0000E85E0000}"/>
    <cellStyle name="Финансовый 2 4 2 6 3" xfId="5166" xr:uid="{00000000-0005-0000-0000-0000E95E0000}"/>
    <cellStyle name="Финансовый 2 4 2 6 3 2" xfId="17144" xr:uid="{00000000-0005-0000-0000-0000EA5E0000}"/>
    <cellStyle name="Финансовый 2 4 2 6 3 2 2" xfId="41099" xr:uid="{00000000-0005-0000-0000-0000EB5E0000}"/>
    <cellStyle name="Финансовый 2 4 2 6 3 3" xfId="29121" xr:uid="{00000000-0005-0000-0000-0000EC5E0000}"/>
    <cellStyle name="Финансовый 2 4 2 6 4" xfId="7776" xr:uid="{00000000-0005-0000-0000-0000ED5E0000}"/>
    <cellStyle name="Финансовый 2 4 2 6 4 2" xfId="19754" xr:uid="{00000000-0005-0000-0000-0000EE5E0000}"/>
    <cellStyle name="Финансовый 2 4 2 6 4 2 2" xfId="43709" xr:uid="{00000000-0005-0000-0000-0000EF5E0000}"/>
    <cellStyle name="Финансовый 2 4 2 6 4 3" xfId="31731" xr:uid="{00000000-0005-0000-0000-0000F05E0000}"/>
    <cellStyle name="Финансовый 2 4 2 6 5" xfId="9559" xr:uid="{00000000-0005-0000-0000-0000F15E0000}"/>
    <cellStyle name="Финансовый 2 4 2 6 5 2" xfId="21537" xr:uid="{00000000-0005-0000-0000-0000F25E0000}"/>
    <cellStyle name="Финансовый 2 4 2 6 5 2 2" xfId="45492" xr:uid="{00000000-0005-0000-0000-0000F35E0000}"/>
    <cellStyle name="Финансовый 2 4 2 6 5 3" xfId="33514" xr:uid="{00000000-0005-0000-0000-0000F45E0000}"/>
    <cellStyle name="Финансовый 2 4 2 6 6" xfId="13717" xr:uid="{00000000-0005-0000-0000-0000F55E0000}"/>
    <cellStyle name="Финансовый 2 4 2 6 6 2" xfId="37672" xr:uid="{00000000-0005-0000-0000-0000F65E0000}"/>
    <cellStyle name="Финансовый 2 4 2 6 7" xfId="25695" xr:uid="{00000000-0005-0000-0000-0000F75E0000}"/>
    <cellStyle name="Финансовый 2 4 2 6 8" xfId="48828" xr:uid="{00000000-0005-0000-0000-0000F85E0000}"/>
    <cellStyle name="Финансовый 2 4 2 7" xfId="2374" xr:uid="{00000000-0005-0000-0000-0000F95E0000}"/>
    <cellStyle name="Финансовый 2 4 2 7 2" xfId="4019" xr:uid="{00000000-0005-0000-0000-0000FA5E0000}"/>
    <cellStyle name="Финансовый 2 4 2 7 2 2" xfId="11759" xr:uid="{00000000-0005-0000-0000-0000FB5E0000}"/>
    <cellStyle name="Финансовый 2 4 2 7 2 2 2" xfId="23737" xr:uid="{00000000-0005-0000-0000-0000FC5E0000}"/>
    <cellStyle name="Финансовый 2 4 2 7 2 2 2 2" xfId="47692" xr:uid="{00000000-0005-0000-0000-0000FD5E0000}"/>
    <cellStyle name="Финансовый 2 4 2 7 2 2 3" xfId="35714" xr:uid="{00000000-0005-0000-0000-0000FE5E0000}"/>
    <cellStyle name="Финансовый 2 4 2 7 2 3" xfId="15998" xr:uid="{00000000-0005-0000-0000-0000FF5E0000}"/>
    <cellStyle name="Финансовый 2 4 2 7 2 3 2" xfId="39953" xr:uid="{00000000-0005-0000-0000-0000005F0000}"/>
    <cellStyle name="Финансовый 2 4 2 7 2 4" xfId="27976" xr:uid="{00000000-0005-0000-0000-0000015F0000}"/>
    <cellStyle name="Финансовый 2 4 2 7 2 5" xfId="51245" xr:uid="{00000000-0005-0000-0000-0000025F0000}"/>
    <cellStyle name="Финансовый 2 4 2 7 3" xfId="5802" xr:uid="{00000000-0005-0000-0000-0000035F0000}"/>
    <cellStyle name="Финансовый 2 4 2 7 3 2" xfId="17780" xr:uid="{00000000-0005-0000-0000-0000045F0000}"/>
    <cellStyle name="Финансовый 2 4 2 7 3 2 2" xfId="41735" xr:uid="{00000000-0005-0000-0000-0000055F0000}"/>
    <cellStyle name="Финансовый 2 4 2 7 3 3" xfId="29757" xr:uid="{00000000-0005-0000-0000-0000065F0000}"/>
    <cellStyle name="Финансовый 2 4 2 7 4" xfId="8412" xr:uid="{00000000-0005-0000-0000-0000075F0000}"/>
    <cellStyle name="Финансовый 2 4 2 7 4 2" xfId="20390" xr:uid="{00000000-0005-0000-0000-0000085F0000}"/>
    <cellStyle name="Финансовый 2 4 2 7 4 2 2" xfId="44345" xr:uid="{00000000-0005-0000-0000-0000095F0000}"/>
    <cellStyle name="Финансовый 2 4 2 7 4 3" xfId="32367" xr:uid="{00000000-0005-0000-0000-00000A5F0000}"/>
    <cellStyle name="Финансовый 2 4 2 7 5" xfId="10195" xr:uid="{00000000-0005-0000-0000-00000B5F0000}"/>
    <cellStyle name="Финансовый 2 4 2 7 5 2" xfId="22173" xr:uid="{00000000-0005-0000-0000-00000C5F0000}"/>
    <cellStyle name="Финансовый 2 4 2 7 5 2 2" xfId="46128" xr:uid="{00000000-0005-0000-0000-00000D5F0000}"/>
    <cellStyle name="Финансовый 2 4 2 7 5 3" xfId="34150" xr:uid="{00000000-0005-0000-0000-00000E5F0000}"/>
    <cellStyle name="Финансовый 2 4 2 7 6" xfId="14353" xr:uid="{00000000-0005-0000-0000-00000F5F0000}"/>
    <cellStyle name="Финансовый 2 4 2 7 6 2" xfId="38308" xr:uid="{00000000-0005-0000-0000-0000105F0000}"/>
    <cellStyle name="Финансовый 2 4 2 7 7" xfId="26331" xr:uid="{00000000-0005-0000-0000-0000115F0000}"/>
    <cellStyle name="Финансовый 2 4 2 7 8" xfId="49464" xr:uid="{00000000-0005-0000-0000-0000125F0000}"/>
    <cellStyle name="Финансовый 2 4 2 8" xfId="1601" xr:uid="{00000000-0005-0000-0000-0000135F0000}"/>
    <cellStyle name="Финансовый 2 4 2 8 2" xfId="3246" xr:uid="{00000000-0005-0000-0000-0000145F0000}"/>
    <cellStyle name="Финансовый 2 4 2 8 2 2" xfId="11002" xr:uid="{00000000-0005-0000-0000-0000155F0000}"/>
    <cellStyle name="Финансовый 2 4 2 8 2 2 2" xfId="22980" xr:uid="{00000000-0005-0000-0000-0000165F0000}"/>
    <cellStyle name="Финансовый 2 4 2 8 2 2 2 2" xfId="46935" xr:uid="{00000000-0005-0000-0000-0000175F0000}"/>
    <cellStyle name="Финансовый 2 4 2 8 2 2 3" xfId="34957" xr:uid="{00000000-0005-0000-0000-0000185F0000}"/>
    <cellStyle name="Финансовый 2 4 2 8 2 3" xfId="15225" xr:uid="{00000000-0005-0000-0000-0000195F0000}"/>
    <cellStyle name="Финансовый 2 4 2 8 2 3 2" xfId="39180" xr:uid="{00000000-0005-0000-0000-00001A5F0000}"/>
    <cellStyle name="Финансовый 2 4 2 8 2 4" xfId="27203" xr:uid="{00000000-0005-0000-0000-00001B5F0000}"/>
    <cellStyle name="Финансовый 2 4 2 8 2 5" xfId="50472" xr:uid="{00000000-0005-0000-0000-00001C5F0000}"/>
    <cellStyle name="Финансовый 2 4 2 8 3" xfId="5029" xr:uid="{00000000-0005-0000-0000-00001D5F0000}"/>
    <cellStyle name="Финансовый 2 4 2 8 3 2" xfId="17007" xr:uid="{00000000-0005-0000-0000-00001E5F0000}"/>
    <cellStyle name="Финансовый 2 4 2 8 3 2 2" xfId="40962" xr:uid="{00000000-0005-0000-0000-00001F5F0000}"/>
    <cellStyle name="Финансовый 2 4 2 8 3 3" xfId="28984" xr:uid="{00000000-0005-0000-0000-0000205F0000}"/>
    <cellStyle name="Финансовый 2 4 2 8 4" xfId="7639" xr:uid="{00000000-0005-0000-0000-0000215F0000}"/>
    <cellStyle name="Финансовый 2 4 2 8 4 2" xfId="19617" xr:uid="{00000000-0005-0000-0000-0000225F0000}"/>
    <cellStyle name="Финансовый 2 4 2 8 4 2 2" xfId="43572" xr:uid="{00000000-0005-0000-0000-0000235F0000}"/>
    <cellStyle name="Финансовый 2 4 2 8 4 3" xfId="31594" xr:uid="{00000000-0005-0000-0000-0000245F0000}"/>
    <cellStyle name="Финансовый 2 4 2 8 5" xfId="9422" xr:uid="{00000000-0005-0000-0000-0000255F0000}"/>
    <cellStyle name="Финансовый 2 4 2 8 5 2" xfId="21400" xr:uid="{00000000-0005-0000-0000-0000265F0000}"/>
    <cellStyle name="Финансовый 2 4 2 8 5 2 2" xfId="45355" xr:uid="{00000000-0005-0000-0000-0000275F0000}"/>
    <cellStyle name="Финансовый 2 4 2 8 5 3" xfId="33377" xr:uid="{00000000-0005-0000-0000-0000285F0000}"/>
    <cellStyle name="Финансовый 2 4 2 8 6" xfId="13580" xr:uid="{00000000-0005-0000-0000-0000295F0000}"/>
    <cellStyle name="Финансовый 2 4 2 8 6 2" xfId="37535" xr:uid="{00000000-0005-0000-0000-00002A5F0000}"/>
    <cellStyle name="Финансовый 2 4 2 8 7" xfId="25558" xr:uid="{00000000-0005-0000-0000-00002B5F0000}"/>
    <cellStyle name="Финансовый 2 4 2 8 8" xfId="48691" xr:uid="{00000000-0005-0000-0000-00002C5F0000}"/>
    <cellStyle name="Финансовый 2 4 2 9" xfId="887" xr:uid="{00000000-0005-0000-0000-00002D5F0000}"/>
    <cellStyle name="Финансовый 2 4 2 9 2" xfId="6927" xr:uid="{00000000-0005-0000-0000-00002E5F0000}"/>
    <cellStyle name="Финансовый 2 4 2 9 2 2" xfId="18905" xr:uid="{00000000-0005-0000-0000-00002F5F0000}"/>
    <cellStyle name="Финансовый 2 4 2 9 2 2 2" xfId="42860" xr:uid="{00000000-0005-0000-0000-0000305F0000}"/>
    <cellStyle name="Финансовый 2 4 2 9 2 3" xfId="30882" xr:uid="{00000000-0005-0000-0000-0000315F0000}"/>
    <cellStyle name="Финансовый 2 4 2 9 3" xfId="10475" xr:uid="{00000000-0005-0000-0000-0000325F0000}"/>
    <cellStyle name="Финансовый 2 4 2 9 3 2" xfId="22453" xr:uid="{00000000-0005-0000-0000-0000335F0000}"/>
    <cellStyle name="Финансовый 2 4 2 9 3 2 2" xfId="46408" xr:uid="{00000000-0005-0000-0000-0000345F0000}"/>
    <cellStyle name="Финансовый 2 4 2 9 3 3" xfId="34430" xr:uid="{00000000-0005-0000-0000-0000355F0000}"/>
    <cellStyle name="Финансовый 2 4 2 9 4" xfId="12868" xr:uid="{00000000-0005-0000-0000-0000365F0000}"/>
    <cellStyle name="Финансовый 2 4 2 9 4 2" xfId="36823" xr:uid="{00000000-0005-0000-0000-0000375F0000}"/>
    <cellStyle name="Финансовый 2 4 2 9 5" xfId="24846" xr:uid="{00000000-0005-0000-0000-0000385F0000}"/>
    <cellStyle name="Финансовый 2 4 2 9 6" xfId="49744" xr:uid="{00000000-0005-0000-0000-0000395F0000}"/>
    <cellStyle name="Финансовый 2 4 20" xfId="8658" xr:uid="{00000000-0005-0000-0000-00003A5F0000}"/>
    <cellStyle name="Финансовый 2 4 20 2" xfId="20636" xr:uid="{00000000-0005-0000-0000-00003B5F0000}"/>
    <cellStyle name="Финансовый 2 4 20 2 2" xfId="44591" xr:uid="{00000000-0005-0000-0000-00003C5F0000}"/>
    <cellStyle name="Финансовый 2 4 20 3" xfId="32613" xr:uid="{00000000-0005-0000-0000-00003D5F0000}"/>
    <cellStyle name="Финансовый 2 4 21" xfId="11992" xr:uid="{00000000-0005-0000-0000-00003E5F0000}"/>
    <cellStyle name="Финансовый 2 4 21 2" xfId="35947" xr:uid="{00000000-0005-0000-0000-00003F5F0000}"/>
    <cellStyle name="Финансовый 2 4 22" xfId="23970" xr:uid="{00000000-0005-0000-0000-0000405F0000}"/>
    <cellStyle name="Финансовый 2 4 23" xfId="47928" xr:uid="{00000000-0005-0000-0000-0000415F0000}"/>
    <cellStyle name="Финансовый 2 4 3" xfId="114" xr:uid="{00000000-0005-0000-0000-0000425F0000}"/>
    <cellStyle name="Финансовый 2 4 3 10" xfId="2724" xr:uid="{00000000-0005-0000-0000-0000435F0000}"/>
    <cellStyle name="Финансовый 2 4 3 10 2" xfId="14703" xr:uid="{00000000-0005-0000-0000-0000445F0000}"/>
    <cellStyle name="Финансовый 2 4 3 10 2 2" xfId="38658" xr:uid="{00000000-0005-0000-0000-0000455F0000}"/>
    <cellStyle name="Финансовый 2 4 3 10 3" xfId="26681" xr:uid="{00000000-0005-0000-0000-0000465F0000}"/>
    <cellStyle name="Финансовый 2 4 3 11" xfId="4368" xr:uid="{00000000-0005-0000-0000-0000475F0000}"/>
    <cellStyle name="Финансовый 2 4 3 11 2" xfId="16347" xr:uid="{00000000-0005-0000-0000-0000485F0000}"/>
    <cellStyle name="Финансовый 2 4 3 11 2 2" xfId="40302" xr:uid="{00000000-0005-0000-0000-0000495F0000}"/>
    <cellStyle name="Финансовый 2 4 3 11 3" xfId="28325" xr:uid="{00000000-0005-0000-0000-00004A5F0000}"/>
    <cellStyle name="Финансовый 2 4 3 12" xfId="6155" xr:uid="{00000000-0005-0000-0000-00004B5F0000}"/>
    <cellStyle name="Финансовый 2 4 3 12 2" xfId="18133" xr:uid="{00000000-0005-0000-0000-00004C5F0000}"/>
    <cellStyle name="Финансовый 2 4 3 12 2 2" xfId="42088" xr:uid="{00000000-0005-0000-0000-00004D5F0000}"/>
    <cellStyle name="Финансовый 2 4 3 12 3" xfId="30110" xr:uid="{00000000-0005-0000-0000-00004E5F0000}"/>
    <cellStyle name="Финансовый 2 4 3 13" xfId="8762" xr:uid="{00000000-0005-0000-0000-00004F5F0000}"/>
    <cellStyle name="Финансовый 2 4 3 13 2" xfId="20740" xr:uid="{00000000-0005-0000-0000-0000505F0000}"/>
    <cellStyle name="Финансовый 2 4 3 13 2 2" xfId="44695" xr:uid="{00000000-0005-0000-0000-0000515F0000}"/>
    <cellStyle name="Финансовый 2 4 3 13 3" xfId="32717" xr:uid="{00000000-0005-0000-0000-0000525F0000}"/>
    <cellStyle name="Финансовый 2 4 3 14" xfId="12096" xr:uid="{00000000-0005-0000-0000-0000535F0000}"/>
    <cellStyle name="Финансовый 2 4 3 14 2" xfId="36051" xr:uid="{00000000-0005-0000-0000-0000545F0000}"/>
    <cellStyle name="Финансовый 2 4 3 15" xfId="24074" xr:uid="{00000000-0005-0000-0000-0000555F0000}"/>
    <cellStyle name="Финансовый 2 4 3 16" xfId="48032" xr:uid="{00000000-0005-0000-0000-0000565F0000}"/>
    <cellStyle name="Финансовый 2 4 3 2" xfId="250" xr:uid="{00000000-0005-0000-0000-0000575F0000}"/>
    <cellStyle name="Финансовый 2 4 3 2 10" xfId="8898" xr:uid="{00000000-0005-0000-0000-0000585F0000}"/>
    <cellStyle name="Финансовый 2 4 3 2 10 2" xfId="20876" xr:uid="{00000000-0005-0000-0000-0000595F0000}"/>
    <cellStyle name="Финансовый 2 4 3 2 10 2 2" xfId="44831" xr:uid="{00000000-0005-0000-0000-00005A5F0000}"/>
    <cellStyle name="Финансовый 2 4 3 2 10 3" xfId="32853" xr:uid="{00000000-0005-0000-0000-00005B5F0000}"/>
    <cellStyle name="Финансовый 2 4 3 2 11" xfId="12232" xr:uid="{00000000-0005-0000-0000-00005C5F0000}"/>
    <cellStyle name="Финансовый 2 4 3 2 11 2" xfId="36187" xr:uid="{00000000-0005-0000-0000-00005D5F0000}"/>
    <cellStyle name="Финансовый 2 4 3 2 12" xfId="24210" xr:uid="{00000000-0005-0000-0000-00005E5F0000}"/>
    <cellStyle name="Финансовый 2 4 3 2 13" xfId="48168" xr:uid="{00000000-0005-0000-0000-00005F5F0000}"/>
    <cellStyle name="Финансовый 2 4 3 2 2" xfId="1348" xr:uid="{00000000-0005-0000-0000-0000605F0000}"/>
    <cellStyle name="Финансовый 2 4 3 2 2 2" xfId="2306" xr:uid="{00000000-0005-0000-0000-0000615F0000}"/>
    <cellStyle name="Финансовый 2 4 3 2 2 2 2" xfId="3951" xr:uid="{00000000-0005-0000-0000-0000625F0000}"/>
    <cellStyle name="Финансовый 2 4 3 2 2 2 2 2" xfId="11691" xr:uid="{00000000-0005-0000-0000-0000635F0000}"/>
    <cellStyle name="Финансовый 2 4 3 2 2 2 2 2 2" xfId="23669" xr:uid="{00000000-0005-0000-0000-0000645F0000}"/>
    <cellStyle name="Финансовый 2 4 3 2 2 2 2 2 2 2" xfId="47624" xr:uid="{00000000-0005-0000-0000-0000655F0000}"/>
    <cellStyle name="Финансовый 2 4 3 2 2 2 2 2 3" xfId="35646" xr:uid="{00000000-0005-0000-0000-0000665F0000}"/>
    <cellStyle name="Финансовый 2 4 3 2 2 2 2 3" xfId="15930" xr:uid="{00000000-0005-0000-0000-0000675F0000}"/>
    <cellStyle name="Финансовый 2 4 3 2 2 2 2 3 2" xfId="39885" xr:uid="{00000000-0005-0000-0000-0000685F0000}"/>
    <cellStyle name="Финансовый 2 4 3 2 2 2 2 4" xfId="27908" xr:uid="{00000000-0005-0000-0000-0000695F0000}"/>
    <cellStyle name="Финансовый 2 4 3 2 2 2 2 5" xfId="51177" xr:uid="{00000000-0005-0000-0000-00006A5F0000}"/>
    <cellStyle name="Финансовый 2 4 3 2 2 2 3" xfId="5734" xr:uid="{00000000-0005-0000-0000-00006B5F0000}"/>
    <cellStyle name="Финансовый 2 4 3 2 2 2 3 2" xfId="17712" xr:uid="{00000000-0005-0000-0000-00006C5F0000}"/>
    <cellStyle name="Финансовый 2 4 3 2 2 2 3 2 2" xfId="41667" xr:uid="{00000000-0005-0000-0000-00006D5F0000}"/>
    <cellStyle name="Финансовый 2 4 3 2 2 2 3 3" xfId="29689" xr:uid="{00000000-0005-0000-0000-00006E5F0000}"/>
    <cellStyle name="Финансовый 2 4 3 2 2 2 4" xfId="8344" xr:uid="{00000000-0005-0000-0000-00006F5F0000}"/>
    <cellStyle name="Финансовый 2 4 3 2 2 2 4 2" xfId="20322" xr:uid="{00000000-0005-0000-0000-0000705F0000}"/>
    <cellStyle name="Финансовый 2 4 3 2 2 2 4 2 2" xfId="44277" xr:uid="{00000000-0005-0000-0000-0000715F0000}"/>
    <cellStyle name="Финансовый 2 4 3 2 2 2 4 3" xfId="32299" xr:uid="{00000000-0005-0000-0000-0000725F0000}"/>
    <cellStyle name="Финансовый 2 4 3 2 2 2 5" xfId="10127" xr:uid="{00000000-0005-0000-0000-0000735F0000}"/>
    <cellStyle name="Финансовый 2 4 3 2 2 2 5 2" xfId="22105" xr:uid="{00000000-0005-0000-0000-0000745F0000}"/>
    <cellStyle name="Финансовый 2 4 3 2 2 2 5 2 2" xfId="46060" xr:uid="{00000000-0005-0000-0000-0000755F0000}"/>
    <cellStyle name="Финансовый 2 4 3 2 2 2 5 3" xfId="34082" xr:uid="{00000000-0005-0000-0000-0000765F0000}"/>
    <cellStyle name="Финансовый 2 4 3 2 2 2 6" xfId="14285" xr:uid="{00000000-0005-0000-0000-0000775F0000}"/>
    <cellStyle name="Финансовый 2 4 3 2 2 2 6 2" xfId="38240" xr:uid="{00000000-0005-0000-0000-0000785F0000}"/>
    <cellStyle name="Финансовый 2 4 3 2 2 2 7" xfId="26263" xr:uid="{00000000-0005-0000-0000-0000795F0000}"/>
    <cellStyle name="Финансовый 2 4 3 2 2 2 8" xfId="49396" xr:uid="{00000000-0005-0000-0000-00007A5F0000}"/>
    <cellStyle name="Финансовый 2 4 3 2 2 3" xfId="3132" xr:uid="{00000000-0005-0000-0000-00007B5F0000}"/>
    <cellStyle name="Финансовый 2 4 3 2 2 3 2" xfId="10919" xr:uid="{00000000-0005-0000-0000-00007C5F0000}"/>
    <cellStyle name="Финансовый 2 4 3 2 2 3 2 2" xfId="22897" xr:uid="{00000000-0005-0000-0000-00007D5F0000}"/>
    <cellStyle name="Финансовый 2 4 3 2 2 3 2 2 2" xfId="46852" xr:uid="{00000000-0005-0000-0000-00007E5F0000}"/>
    <cellStyle name="Финансовый 2 4 3 2 2 3 2 3" xfId="34874" xr:uid="{00000000-0005-0000-0000-00007F5F0000}"/>
    <cellStyle name="Финансовый 2 4 3 2 2 3 3" xfId="15111" xr:uid="{00000000-0005-0000-0000-0000805F0000}"/>
    <cellStyle name="Финансовый 2 4 3 2 2 3 3 2" xfId="39066" xr:uid="{00000000-0005-0000-0000-0000815F0000}"/>
    <cellStyle name="Финансовый 2 4 3 2 2 3 4" xfId="27089" xr:uid="{00000000-0005-0000-0000-0000825F0000}"/>
    <cellStyle name="Финансовый 2 4 3 2 2 3 5" xfId="50220" xr:uid="{00000000-0005-0000-0000-0000835F0000}"/>
    <cellStyle name="Финансовый 2 4 3 2 2 4" xfId="4776" xr:uid="{00000000-0005-0000-0000-0000845F0000}"/>
    <cellStyle name="Финансовый 2 4 3 2 2 4 2" xfId="16755" xr:uid="{00000000-0005-0000-0000-0000855F0000}"/>
    <cellStyle name="Финансовый 2 4 3 2 2 4 2 2" xfId="40710" xr:uid="{00000000-0005-0000-0000-0000865F0000}"/>
    <cellStyle name="Финансовый 2 4 3 2 2 4 3" xfId="28733" xr:uid="{00000000-0005-0000-0000-0000875F0000}"/>
    <cellStyle name="Финансовый 2 4 3 2 2 5" xfId="7388" xr:uid="{00000000-0005-0000-0000-0000885F0000}"/>
    <cellStyle name="Финансовый 2 4 3 2 2 5 2" xfId="19366" xr:uid="{00000000-0005-0000-0000-0000895F0000}"/>
    <cellStyle name="Финансовый 2 4 3 2 2 5 2 2" xfId="43321" xr:uid="{00000000-0005-0000-0000-00008A5F0000}"/>
    <cellStyle name="Финансовый 2 4 3 2 2 5 3" xfId="31343" xr:uid="{00000000-0005-0000-0000-00008B5F0000}"/>
    <cellStyle name="Финансовый 2 4 3 2 2 6" xfId="9170" xr:uid="{00000000-0005-0000-0000-00008C5F0000}"/>
    <cellStyle name="Финансовый 2 4 3 2 2 6 2" xfId="21148" xr:uid="{00000000-0005-0000-0000-00008D5F0000}"/>
    <cellStyle name="Финансовый 2 4 3 2 2 6 2 2" xfId="45103" xr:uid="{00000000-0005-0000-0000-00008E5F0000}"/>
    <cellStyle name="Финансовый 2 4 3 2 2 6 3" xfId="33125" xr:uid="{00000000-0005-0000-0000-00008F5F0000}"/>
    <cellStyle name="Финансовый 2 4 3 2 2 7" xfId="13329" xr:uid="{00000000-0005-0000-0000-0000905F0000}"/>
    <cellStyle name="Финансовый 2 4 3 2 2 7 2" xfId="37284" xr:uid="{00000000-0005-0000-0000-0000915F0000}"/>
    <cellStyle name="Финансовый 2 4 3 2 2 8" xfId="25307" xr:uid="{00000000-0005-0000-0000-0000925F0000}"/>
    <cellStyle name="Финансовый 2 4 3 2 2 9" xfId="48440" xr:uid="{00000000-0005-0000-0000-0000935F0000}"/>
    <cellStyle name="Финансовый 2 4 3 2 3" xfId="2050" xr:uid="{00000000-0005-0000-0000-0000945F0000}"/>
    <cellStyle name="Финансовый 2 4 3 2 3 2" xfId="3695" xr:uid="{00000000-0005-0000-0000-0000955F0000}"/>
    <cellStyle name="Финансовый 2 4 3 2 3 2 2" xfId="11435" xr:uid="{00000000-0005-0000-0000-0000965F0000}"/>
    <cellStyle name="Финансовый 2 4 3 2 3 2 2 2" xfId="23413" xr:uid="{00000000-0005-0000-0000-0000975F0000}"/>
    <cellStyle name="Финансовый 2 4 3 2 3 2 2 2 2" xfId="47368" xr:uid="{00000000-0005-0000-0000-0000985F0000}"/>
    <cellStyle name="Финансовый 2 4 3 2 3 2 2 3" xfId="35390" xr:uid="{00000000-0005-0000-0000-0000995F0000}"/>
    <cellStyle name="Финансовый 2 4 3 2 3 2 3" xfId="15674" xr:uid="{00000000-0005-0000-0000-00009A5F0000}"/>
    <cellStyle name="Финансовый 2 4 3 2 3 2 3 2" xfId="39629" xr:uid="{00000000-0005-0000-0000-00009B5F0000}"/>
    <cellStyle name="Финансовый 2 4 3 2 3 2 4" xfId="27652" xr:uid="{00000000-0005-0000-0000-00009C5F0000}"/>
    <cellStyle name="Финансовый 2 4 3 2 3 2 5" xfId="50921" xr:uid="{00000000-0005-0000-0000-00009D5F0000}"/>
    <cellStyle name="Финансовый 2 4 3 2 3 3" xfId="5478" xr:uid="{00000000-0005-0000-0000-00009E5F0000}"/>
    <cellStyle name="Финансовый 2 4 3 2 3 3 2" xfId="17456" xr:uid="{00000000-0005-0000-0000-00009F5F0000}"/>
    <cellStyle name="Финансовый 2 4 3 2 3 3 2 2" xfId="41411" xr:uid="{00000000-0005-0000-0000-0000A05F0000}"/>
    <cellStyle name="Финансовый 2 4 3 2 3 3 3" xfId="29433" xr:uid="{00000000-0005-0000-0000-0000A15F0000}"/>
    <cellStyle name="Финансовый 2 4 3 2 3 4" xfId="8088" xr:uid="{00000000-0005-0000-0000-0000A25F0000}"/>
    <cellStyle name="Финансовый 2 4 3 2 3 4 2" xfId="20066" xr:uid="{00000000-0005-0000-0000-0000A35F0000}"/>
    <cellStyle name="Финансовый 2 4 3 2 3 4 2 2" xfId="44021" xr:uid="{00000000-0005-0000-0000-0000A45F0000}"/>
    <cellStyle name="Финансовый 2 4 3 2 3 4 3" xfId="32043" xr:uid="{00000000-0005-0000-0000-0000A55F0000}"/>
    <cellStyle name="Финансовый 2 4 3 2 3 5" xfId="9871" xr:uid="{00000000-0005-0000-0000-0000A65F0000}"/>
    <cellStyle name="Финансовый 2 4 3 2 3 5 2" xfId="21849" xr:uid="{00000000-0005-0000-0000-0000A75F0000}"/>
    <cellStyle name="Финансовый 2 4 3 2 3 5 2 2" xfId="45804" xr:uid="{00000000-0005-0000-0000-0000A85F0000}"/>
    <cellStyle name="Финансовый 2 4 3 2 3 5 3" xfId="33826" xr:uid="{00000000-0005-0000-0000-0000A95F0000}"/>
    <cellStyle name="Финансовый 2 4 3 2 3 6" xfId="14029" xr:uid="{00000000-0005-0000-0000-0000AA5F0000}"/>
    <cellStyle name="Финансовый 2 4 3 2 3 6 2" xfId="37984" xr:uid="{00000000-0005-0000-0000-0000AB5F0000}"/>
    <cellStyle name="Финансовый 2 4 3 2 3 7" xfId="26007" xr:uid="{00000000-0005-0000-0000-0000AC5F0000}"/>
    <cellStyle name="Финансовый 2 4 3 2 3 8" xfId="49140" xr:uid="{00000000-0005-0000-0000-0000AD5F0000}"/>
    <cellStyle name="Финансовый 2 4 3 2 4" xfId="2579" xr:uid="{00000000-0005-0000-0000-0000AE5F0000}"/>
    <cellStyle name="Финансовый 2 4 3 2 4 2" xfId="4224" xr:uid="{00000000-0005-0000-0000-0000AF5F0000}"/>
    <cellStyle name="Финансовый 2 4 3 2 4 2 2" xfId="11948" xr:uid="{00000000-0005-0000-0000-0000B05F0000}"/>
    <cellStyle name="Финансовый 2 4 3 2 4 2 2 2" xfId="23926" xr:uid="{00000000-0005-0000-0000-0000B15F0000}"/>
    <cellStyle name="Финансовый 2 4 3 2 4 2 2 2 2" xfId="47881" xr:uid="{00000000-0005-0000-0000-0000B25F0000}"/>
    <cellStyle name="Финансовый 2 4 3 2 4 2 2 3" xfId="35903" xr:uid="{00000000-0005-0000-0000-0000B35F0000}"/>
    <cellStyle name="Финансовый 2 4 3 2 4 2 3" xfId="16203" xr:uid="{00000000-0005-0000-0000-0000B45F0000}"/>
    <cellStyle name="Финансовый 2 4 3 2 4 2 3 2" xfId="40158" xr:uid="{00000000-0005-0000-0000-0000B55F0000}"/>
    <cellStyle name="Финансовый 2 4 3 2 4 2 4" xfId="28181" xr:uid="{00000000-0005-0000-0000-0000B65F0000}"/>
    <cellStyle name="Финансовый 2 4 3 2 4 2 5" xfId="51450" xr:uid="{00000000-0005-0000-0000-0000B75F0000}"/>
    <cellStyle name="Финансовый 2 4 3 2 4 3" xfId="6007" xr:uid="{00000000-0005-0000-0000-0000B85F0000}"/>
    <cellStyle name="Финансовый 2 4 3 2 4 3 2" xfId="17985" xr:uid="{00000000-0005-0000-0000-0000B95F0000}"/>
    <cellStyle name="Финансовый 2 4 3 2 4 3 2 2" xfId="41940" xr:uid="{00000000-0005-0000-0000-0000BA5F0000}"/>
    <cellStyle name="Финансовый 2 4 3 2 4 3 3" xfId="29962" xr:uid="{00000000-0005-0000-0000-0000BB5F0000}"/>
    <cellStyle name="Финансовый 2 4 3 2 4 4" xfId="8617" xr:uid="{00000000-0005-0000-0000-0000BC5F0000}"/>
    <cellStyle name="Финансовый 2 4 3 2 4 4 2" xfId="20595" xr:uid="{00000000-0005-0000-0000-0000BD5F0000}"/>
    <cellStyle name="Финансовый 2 4 3 2 4 4 2 2" xfId="44550" xr:uid="{00000000-0005-0000-0000-0000BE5F0000}"/>
    <cellStyle name="Финансовый 2 4 3 2 4 4 3" xfId="32572" xr:uid="{00000000-0005-0000-0000-0000BF5F0000}"/>
    <cellStyle name="Финансовый 2 4 3 2 4 5" xfId="10400" xr:uid="{00000000-0005-0000-0000-0000C05F0000}"/>
    <cellStyle name="Финансовый 2 4 3 2 4 5 2" xfId="22378" xr:uid="{00000000-0005-0000-0000-0000C15F0000}"/>
    <cellStyle name="Финансовый 2 4 3 2 4 5 2 2" xfId="46333" xr:uid="{00000000-0005-0000-0000-0000C25F0000}"/>
    <cellStyle name="Финансовый 2 4 3 2 4 5 3" xfId="34355" xr:uid="{00000000-0005-0000-0000-0000C35F0000}"/>
    <cellStyle name="Финансовый 2 4 3 2 4 6" xfId="14558" xr:uid="{00000000-0005-0000-0000-0000C45F0000}"/>
    <cellStyle name="Финансовый 2 4 3 2 4 6 2" xfId="38513" xr:uid="{00000000-0005-0000-0000-0000C55F0000}"/>
    <cellStyle name="Финансовый 2 4 3 2 4 7" xfId="26536" xr:uid="{00000000-0005-0000-0000-0000C65F0000}"/>
    <cellStyle name="Финансовый 2 4 3 2 4 8" xfId="49669" xr:uid="{00000000-0005-0000-0000-0000C75F0000}"/>
    <cellStyle name="Финансовый 2 4 3 2 5" xfId="1083" xr:uid="{00000000-0005-0000-0000-0000C85F0000}"/>
    <cellStyle name="Финансовый 2 4 3 2 5 2" xfId="7123" xr:uid="{00000000-0005-0000-0000-0000C95F0000}"/>
    <cellStyle name="Финансовый 2 4 3 2 5 2 2" xfId="19101" xr:uid="{00000000-0005-0000-0000-0000CA5F0000}"/>
    <cellStyle name="Финансовый 2 4 3 2 5 2 2 2" xfId="43056" xr:uid="{00000000-0005-0000-0000-0000CB5F0000}"/>
    <cellStyle name="Финансовый 2 4 3 2 5 2 3" xfId="31078" xr:uid="{00000000-0005-0000-0000-0000CC5F0000}"/>
    <cellStyle name="Финансовый 2 4 3 2 5 3" xfId="10663" xr:uid="{00000000-0005-0000-0000-0000CD5F0000}"/>
    <cellStyle name="Финансовый 2 4 3 2 5 3 2" xfId="22641" xr:uid="{00000000-0005-0000-0000-0000CE5F0000}"/>
    <cellStyle name="Финансовый 2 4 3 2 5 3 2 2" xfId="46596" xr:uid="{00000000-0005-0000-0000-0000CF5F0000}"/>
    <cellStyle name="Финансовый 2 4 3 2 5 3 3" xfId="34618" xr:uid="{00000000-0005-0000-0000-0000D05F0000}"/>
    <cellStyle name="Финансовый 2 4 3 2 5 4" xfId="13064" xr:uid="{00000000-0005-0000-0000-0000D15F0000}"/>
    <cellStyle name="Финансовый 2 4 3 2 5 4 2" xfId="37019" xr:uid="{00000000-0005-0000-0000-0000D25F0000}"/>
    <cellStyle name="Финансовый 2 4 3 2 5 5" xfId="25042" xr:uid="{00000000-0005-0000-0000-0000D35F0000}"/>
    <cellStyle name="Финансовый 2 4 3 2 5 6" xfId="49948" xr:uid="{00000000-0005-0000-0000-0000D45F0000}"/>
    <cellStyle name="Финансовый 2 4 3 2 6" xfId="671" xr:uid="{00000000-0005-0000-0000-0000D55F0000}"/>
    <cellStyle name="Финансовый 2 4 3 2 6 2" xfId="6711" xr:uid="{00000000-0005-0000-0000-0000D65F0000}"/>
    <cellStyle name="Финансовый 2 4 3 2 6 2 2" xfId="18689" xr:uid="{00000000-0005-0000-0000-0000D75F0000}"/>
    <cellStyle name="Финансовый 2 4 3 2 6 2 2 2" xfId="42644" xr:uid="{00000000-0005-0000-0000-0000D85F0000}"/>
    <cellStyle name="Финансовый 2 4 3 2 6 2 3" xfId="30666" xr:uid="{00000000-0005-0000-0000-0000D95F0000}"/>
    <cellStyle name="Финансовый 2 4 3 2 6 3" xfId="12652" xr:uid="{00000000-0005-0000-0000-0000DA5F0000}"/>
    <cellStyle name="Финансовый 2 4 3 2 6 3 2" xfId="36607" xr:uid="{00000000-0005-0000-0000-0000DB5F0000}"/>
    <cellStyle name="Финансовый 2 4 3 2 6 4" xfId="24630" xr:uid="{00000000-0005-0000-0000-0000DC5F0000}"/>
    <cellStyle name="Финансовый 2 4 3 2 7" xfId="2860" xr:uid="{00000000-0005-0000-0000-0000DD5F0000}"/>
    <cellStyle name="Финансовый 2 4 3 2 7 2" xfId="14839" xr:uid="{00000000-0005-0000-0000-0000DE5F0000}"/>
    <cellStyle name="Финансовый 2 4 3 2 7 2 2" xfId="38794" xr:uid="{00000000-0005-0000-0000-0000DF5F0000}"/>
    <cellStyle name="Финансовый 2 4 3 2 7 3" xfId="26817" xr:uid="{00000000-0005-0000-0000-0000E05F0000}"/>
    <cellStyle name="Финансовый 2 4 3 2 8" xfId="4504" xr:uid="{00000000-0005-0000-0000-0000E15F0000}"/>
    <cellStyle name="Финансовый 2 4 3 2 8 2" xfId="16483" xr:uid="{00000000-0005-0000-0000-0000E25F0000}"/>
    <cellStyle name="Финансовый 2 4 3 2 8 2 2" xfId="40438" xr:uid="{00000000-0005-0000-0000-0000E35F0000}"/>
    <cellStyle name="Финансовый 2 4 3 2 8 3" xfId="28461" xr:uid="{00000000-0005-0000-0000-0000E45F0000}"/>
    <cellStyle name="Финансовый 2 4 3 2 9" xfId="6291" xr:uid="{00000000-0005-0000-0000-0000E55F0000}"/>
    <cellStyle name="Финансовый 2 4 3 2 9 2" xfId="18269" xr:uid="{00000000-0005-0000-0000-0000E65F0000}"/>
    <cellStyle name="Финансовый 2 4 3 2 9 2 2" xfId="42224" xr:uid="{00000000-0005-0000-0000-0000E75F0000}"/>
    <cellStyle name="Финансовый 2 4 3 2 9 3" xfId="30246" xr:uid="{00000000-0005-0000-0000-0000E85F0000}"/>
    <cellStyle name="Финансовый 2 4 3 3" xfId="399" xr:uid="{00000000-0005-0000-0000-0000E95F0000}"/>
    <cellStyle name="Финансовый 2 4 3 3 10" xfId="24358" xr:uid="{00000000-0005-0000-0000-0000EA5F0000}"/>
    <cellStyle name="Финансовый 2 4 3 3 11" xfId="48304" xr:uid="{00000000-0005-0000-0000-0000EB5F0000}"/>
    <cellStyle name="Финансовый 2 4 3 3 2" xfId="2178" xr:uid="{00000000-0005-0000-0000-0000EC5F0000}"/>
    <cellStyle name="Финансовый 2 4 3 3 2 2" xfId="3823" xr:uid="{00000000-0005-0000-0000-0000ED5F0000}"/>
    <cellStyle name="Финансовый 2 4 3 3 2 2 2" xfId="11563" xr:uid="{00000000-0005-0000-0000-0000EE5F0000}"/>
    <cellStyle name="Финансовый 2 4 3 3 2 2 2 2" xfId="23541" xr:uid="{00000000-0005-0000-0000-0000EF5F0000}"/>
    <cellStyle name="Финансовый 2 4 3 3 2 2 2 2 2" xfId="47496" xr:uid="{00000000-0005-0000-0000-0000F05F0000}"/>
    <cellStyle name="Финансовый 2 4 3 3 2 2 2 3" xfId="35518" xr:uid="{00000000-0005-0000-0000-0000F15F0000}"/>
    <cellStyle name="Финансовый 2 4 3 3 2 2 3" xfId="15802" xr:uid="{00000000-0005-0000-0000-0000F25F0000}"/>
    <cellStyle name="Финансовый 2 4 3 3 2 2 3 2" xfId="39757" xr:uid="{00000000-0005-0000-0000-0000F35F0000}"/>
    <cellStyle name="Финансовый 2 4 3 3 2 2 4" xfId="27780" xr:uid="{00000000-0005-0000-0000-0000F45F0000}"/>
    <cellStyle name="Финансовый 2 4 3 3 2 2 5" xfId="51049" xr:uid="{00000000-0005-0000-0000-0000F55F0000}"/>
    <cellStyle name="Финансовый 2 4 3 3 2 3" xfId="5606" xr:uid="{00000000-0005-0000-0000-0000F65F0000}"/>
    <cellStyle name="Финансовый 2 4 3 3 2 3 2" xfId="17584" xr:uid="{00000000-0005-0000-0000-0000F75F0000}"/>
    <cellStyle name="Финансовый 2 4 3 3 2 3 2 2" xfId="41539" xr:uid="{00000000-0005-0000-0000-0000F85F0000}"/>
    <cellStyle name="Финансовый 2 4 3 3 2 3 3" xfId="29561" xr:uid="{00000000-0005-0000-0000-0000F95F0000}"/>
    <cellStyle name="Финансовый 2 4 3 3 2 4" xfId="8216" xr:uid="{00000000-0005-0000-0000-0000FA5F0000}"/>
    <cellStyle name="Финансовый 2 4 3 3 2 4 2" xfId="20194" xr:uid="{00000000-0005-0000-0000-0000FB5F0000}"/>
    <cellStyle name="Финансовый 2 4 3 3 2 4 2 2" xfId="44149" xr:uid="{00000000-0005-0000-0000-0000FC5F0000}"/>
    <cellStyle name="Финансовый 2 4 3 3 2 4 3" xfId="32171" xr:uid="{00000000-0005-0000-0000-0000FD5F0000}"/>
    <cellStyle name="Финансовый 2 4 3 3 2 5" xfId="9999" xr:uid="{00000000-0005-0000-0000-0000FE5F0000}"/>
    <cellStyle name="Финансовый 2 4 3 3 2 5 2" xfId="21977" xr:uid="{00000000-0005-0000-0000-0000FF5F0000}"/>
    <cellStyle name="Финансовый 2 4 3 3 2 5 2 2" xfId="45932" xr:uid="{00000000-0005-0000-0000-000000600000}"/>
    <cellStyle name="Финансовый 2 4 3 3 2 5 3" xfId="33954" xr:uid="{00000000-0005-0000-0000-000001600000}"/>
    <cellStyle name="Финансовый 2 4 3 3 2 6" xfId="14157" xr:uid="{00000000-0005-0000-0000-000002600000}"/>
    <cellStyle name="Финансовый 2 4 3 3 2 6 2" xfId="38112" xr:uid="{00000000-0005-0000-0000-000003600000}"/>
    <cellStyle name="Финансовый 2 4 3 3 2 7" xfId="26135" xr:uid="{00000000-0005-0000-0000-000004600000}"/>
    <cellStyle name="Финансовый 2 4 3 3 2 8" xfId="49268" xr:uid="{00000000-0005-0000-0000-000005600000}"/>
    <cellStyle name="Финансовый 2 4 3 3 3" xfId="1212" xr:uid="{00000000-0005-0000-0000-000006600000}"/>
    <cellStyle name="Финансовый 2 4 3 3 3 2" xfId="7252" xr:uid="{00000000-0005-0000-0000-000007600000}"/>
    <cellStyle name="Финансовый 2 4 3 3 3 2 2" xfId="19230" xr:uid="{00000000-0005-0000-0000-000008600000}"/>
    <cellStyle name="Финансовый 2 4 3 3 3 2 2 2" xfId="43185" xr:uid="{00000000-0005-0000-0000-000009600000}"/>
    <cellStyle name="Финансовый 2 4 3 3 3 2 3" xfId="31207" xr:uid="{00000000-0005-0000-0000-00000A600000}"/>
    <cellStyle name="Финансовый 2 4 3 3 3 3" xfId="10791" xr:uid="{00000000-0005-0000-0000-00000B600000}"/>
    <cellStyle name="Финансовый 2 4 3 3 3 3 2" xfId="22769" xr:uid="{00000000-0005-0000-0000-00000C600000}"/>
    <cellStyle name="Финансовый 2 4 3 3 3 3 2 2" xfId="46724" xr:uid="{00000000-0005-0000-0000-00000D600000}"/>
    <cellStyle name="Финансовый 2 4 3 3 3 3 3" xfId="34746" xr:uid="{00000000-0005-0000-0000-00000E600000}"/>
    <cellStyle name="Финансовый 2 4 3 3 3 4" xfId="13193" xr:uid="{00000000-0005-0000-0000-00000F600000}"/>
    <cellStyle name="Финансовый 2 4 3 3 3 4 2" xfId="37148" xr:uid="{00000000-0005-0000-0000-000010600000}"/>
    <cellStyle name="Финансовый 2 4 3 3 3 5" xfId="25171" xr:uid="{00000000-0005-0000-0000-000011600000}"/>
    <cellStyle name="Финансовый 2 4 3 3 3 6" xfId="50084" xr:uid="{00000000-0005-0000-0000-000012600000}"/>
    <cellStyle name="Финансовый 2 4 3 3 4" xfId="819" xr:uid="{00000000-0005-0000-0000-000013600000}"/>
    <cellStyle name="Финансовый 2 4 3 3 4 2" xfId="6859" xr:uid="{00000000-0005-0000-0000-000014600000}"/>
    <cellStyle name="Финансовый 2 4 3 3 4 2 2" xfId="18837" xr:uid="{00000000-0005-0000-0000-000015600000}"/>
    <cellStyle name="Финансовый 2 4 3 3 4 2 2 2" xfId="42792" xr:uid="{00000000-0005-0000-0000-000016600000}"/>
    <cellStyle name="Финансовый 2 4 3 3 4 2 3" xfId="30814" xr:uid="{00000000-0005-0000-0000-000017600000}"/>
    <cellStyle name="Финансовый 2 4 3 3 4 3" xfId="12800" xr:uid="{00000000-0005-0000-0000-000018600000}"/>
    <cellStyle name="Финансовый 2 4 3 3 4 3 2" xfId="36755" xr:uid="{00000000-0005-0000-0000-000019600000}"/>
    <cellStyle name="Финансовый 2 4 3 3 4 4" xfId="24778" xr:uid="{00000000-0005-0000-0000-00001A600000}"/>
    <cellStyle name="Финансовый 2 4 3 3 5" xfId="2996" xr:uid="{00000000-0005-0000-0000-00001B600000}"/>
    <cellStyle name="Финансовый 2 4 3 3 5 2" xfId="14975" xr:uid="{00000000-0005-0000-0000-00001C600000}"/>
    <cellStyle name="Финансовый 2 4 3 3 5 2 2" xfId="38930" xr:uid="{00000000-0005-0000-0000-00001D600000}"/>
    <cellStyle name="Финансовый 2 4 3 3 5 3" xfId="26953" xr:uid="{00000000-0005-0000-0000-00001E600000}"/>
    <cellStyle name="Финансовый 2 4 3 3 6" xfId="4640" xr:uid="{00000000-0005-0000-0000-00001F600000}"/>
    <cellStyle name="Финансовый 2 4 3 3 6 2" xfId="16619" xr:uid="{00000000-0005-0000-0000-000020600000}"/>
    <cellStyle name="Финансовый 2 4 3 3 6 2 2" xfId="40574" xr:uid="{00000000-0005-0000-0000-000021600000}"/>
    <cellStyle name="Финансовый 2 4 3 3 6 3" xfId="28597" xr:uid="{00000000-0005-0000-0000-000022600000}"/>
    <cellStyle name="Финансовый 2 4 3 3 7" xfId="6439" xr:uid="{00000000-0005-0000-0000-000023600000}"/>
    <cellStyle name="Финансовый 2 4 3 3 7 2" xfId="18417" xr:uid="{00000000-0005-0000-0000-000024600000}"/>
    <cellStyle name="Финансовый 2 4 3 3 7 2 2" xfId="42372" xr:uid="{00000000-0005-0000-0000-000025600000}"/>
    <cellStyle name="Финансовый 2 4 3 3 7 3" xfId="30394" xr:uid="{00000000-0005-0000-0000-000026600000}"/>
    <cellStyle name="Финансовый 2 4 3 3 8" xfId="9034" xr:uid="{00000000-0005-0000-0000-000027600000}"/>
    <cellStyle name="Финансовый 2 4 3 3 8 2" xfId="21012" xr:uid="{00000000-0005-0000-0000-000028600000}"/>
    <cellStyle name="Финансовый 2 4 3 3 8 2 2" xfId="44967" xr:uid="{00000000-0005-0000-0000-000029600000}"/>
    <cellStyle name="Финансовый 2 4 3 3 8 3" xfId="32989" xr:uid="{00000000-0005-0000-0000-00002A600000}"/>
    <cellStyle name="Финансовый 2 4 3 3 9" xfId="12380" xr:uid="{00000000-0005-0000-0000-00002B600000}"/>
    <cellStyle name="Финансовый 2 4 3 3 9 2" xfId="36335" xr:uid="{00000000-0005-0000-0000-00002C600000}"/>
    <cellStyle name="Финансовый 2 4 3 4" xfId="1500" xr:uid="{00000000-0005-0000-0000-00002D600000}"/>
    <cellStyle name="Финансовый 2 4 3 4 2" xfId="1922" xr:uid="{00000000-0005-0000-0000-00002E600000}"/>
    <cellStyle name="Финансовый 2 4 3 4 2 2" xfId="3567" xr:uid="{00000000-0005-0000-0000-00002F600000}"/>
    <cellStyle name="Финансовый 2 4 3 4 2 2 2" xfId="11307" xr:uid="{00000000-0005-0000-0000-000030600000}"/>
    <cellStyle name="Финансовый 2 4 3 4 2 2 2 2" xfId="23285" xr:uid="{00000000-0005-0000-0000-000031600000}"/>
    <cellStyle name="Финансовый 2 4 3 4 2 2 2 2 2" xfId="47240" xr:uid="{00000000-0005-0000-0000-000032600000}"/>
    <cellStyle name="Финансовый 2 4 3 4 2 2 2 3" xfId="35262" xr:uid="{00000000-0005-0000-0000-000033600000}"/>
    <cellStyle name="Финансовый 2 4 3 4 2 2 3" xfId="15546" xr:uid="{00000000-0005-0000-0000-000034600000}"/>
    <cellStyle name="Финансовый 2 4 3 4 2 2 3 2" xfId="39501" xr:uid="{00000000-0005-0000-0000-000035600000}"/>
    <cellStyle name="Финансовый 2 4 3 4 2 2 4" xfId="27524" xr:uid="{00000000-0005-0000-0000-000036600000}"/>
    <cellStyle name="Финансовый 2 4 3 4 2 2 5" xfId="50793" xr:uid="{00000000-0005-0000-0000-000037600000}"/>
    <cellStyle name="Финансовый 2 4 3 4 2 3" xfId="5350" xr:uid="{00000000-0005-0000-0000-000038600000}"/>
    <cellStyle name="Финансовый 2 4 3 4 2 3 2" xfId="17328" xr:uid="{00000000-0005-0000-0000-000039600000}"/>
    <cellStyle name="Финансовый 2 4 3 4 2 3 2 2" xfId="41283" xr:uid="{00000000-0005-0000-0000-00003A600000}"/>
    <cellStyle name="Финансовый 2 4 3 4 2 3 3" xfId="29305" xr:uid="{00000000-0005-0000-0000-00003B600000}"/>
    <cellStyle name="Финансовый 2 4 3 4 2 4" xfId="7960" xr:uid="{00000000-0005-0000-0000-00003C600000}"/>
    <cellStyle name="Финансовый 2 4 3 4 2 4 2" xfId="19938" xr:uid="{00000000-0005-0000-0000-00003D600000}"/>
    <cellStyle name="Финансовый 2 4 3 4 2 4 2 2" xfId="43893" xr:uid="{00000000-0005-0000-0000-00003E600000}"/>
    <cellStyle name="Финансовый 2 4 3 4 2 4 3" xfId="31915" xr:uid="{00000000-0005-0000-0000-00003F600000}"/>
    <cellStyle name="Финансовый 2 4 3 4 2 5" xfId="9743" xr:uid="{00000000-0005-0000-0000-000040600000}"/>
    <cellStyle name="Финансовый 2 4 3 4 2 5 2" xfId="21721" xr:uid="{00000000-0005-0000-0000-000041600000}"/>
    <cellStyle name="Финансовый 2 4 3 4 2 5 2 2" xfId="45676" xr:uid="{00000000-0005-0000-0000-000042600000}"/>
    <cellStyle name="Финансовый 2 4 3 4 2 5 3" xfId="33698" xr:uid="{00000000-0005-0000-0000-000043600000}"/>
    <cellStyle name="Финансовый 2 4 3 4 2 6" xfId="13901" xr:uid="{00000000-0005-0000-0000-000044600000}"/>
    <cellStyle name="Финансовый 2 4 3 4 2 6 2" xfId="37856" xr:uid="{00000000-0005-0000-0000-000045600000}"/>
    <cellStyle name="Финансовый 2 4 3 4 2 7" xfId="25879" xr:uid="{00000000-0005-0000-0000-000046600000}"/>
    <cellStyle name="Финансовый 2 4 3 4 2 8" xfId="49012" xr:uid="{00000000-0005-0000-0000-000047600000}"/>
    <cellStyle name="Финансовый 2 4 3 4 3" xfId="4928" xr:uid="{00000000-0005-0000-0000-000048600000}"/>
    <cellStyle name="Финансовый 2 4 3 4 3 2" xfId="16906" xr:uid="{00000000-0005-0000-0000-000049600000}"/>
    <cellStyle name="Финансовый 2 4 3 4 3 2 2" xfId="40861" xr:uid="{00000000-0005-0000-0000-00004A600000}"/>
    <cellStyle name="Финансовый 2 4 3 4 3 3" xfId="28883" xr:uid="{00000000-0005-0000-0000-00004B600000}"/>
    <cellStyle name="Финансовый 2 4 3 4 3 4" xfId="50371" xr:uid="{00000000-0005-0000-0000-00004C600000}"/>
    <cellStyle name="Финансовый 2 4 3 4 4" xfId="7538" xr:uid="{00000000-0005-0000-0000-00004D600000}"/>
    <cellStyle name="Финансовый 2 4 3 4 4 2" xfId="19516" xr:uid="{00000000-0005-0000-0000-00004E600000}"/>
    <cellStyle name="Финансовый 2 4 3 4 4 2 2" xfId="43471" xr:uid="{00000000-0005-0000-0000-00004F600000}"/>
    <cellStyle name="Финансовый 2 4 3 4 4 3" xfId="31493" xr:uid="{00000000-0005-0000-0000-000050600000}"/>
    <cellStyle name="Финансовый 2 4 3 4 5" xfId="9321" xr:uid="{00000000-0005-0000-0000-000051600000}"/>
    <cellStyle name="Финансовый 2 4 3 4 5 2" xfId="21299" xr:uid="{00000000-0005-0000-0000-000052600000}"/>
    <cellStyle name="Финансовый 2 4 3 4 5 2 2" xfId="45254" xr:uid="{00000000-0005-0000-0000-000053600000}"/>
    <cellStyle name="Финансовый 2 4 3 4 5 3" xfId="33276" xr:uid="{00000000-0005-0000-0000-000054600000}"/>
    <cellStyle name="Финансовый 2 4 3 4 6" xfId="13479" xr:uid="{00000000-0005-0000-0000-000055600000}"/>
    <cellStyle name="Финансовый 2 4 3 4 6 2" xfId="37434" xr:uid="{00000000-0005-0000-0000-000056600000}"/>
    <cellStyle name="Финансовый 2 4 3 4 7" xfId="25457" xr:uid="{00000000-0005-0000-0000-000057600000}"/>
    <cellStyle name="Финансовый 2 4 3 4 8" xfId="48590" xr:uid="{00000000-0005-0000-0000-000058600000}"/>
    <cellStyle name="Финансовый 2 4 3 5" xfId="1798" xr:uid="{00000000-0005-0000-0000-000059600000}"/>
    <cellStyle name="Финансовый 2 4 3 5 2" xfId="3443" xr:uid="{00000000-0005-0000-0000-00005A600000}"/>
    <cellStyle name="Финансовый 2 4 3 5 2 2" xfId="11191" xr:uid="{00000000-0005-0000-0000-00005B600000}"/>
    <cellStyle name="Финансовый 2 4 3 5 2 2 2" xfId="23169" xr:uid="{00000000-0005-0000-0000-00005C600000}"/>
    <cellStyle name="Финансовый 2 4 3 5 2 2 2 2" xfId="47124" xr:uid="{00000000-0005-0000-0000-00005D600000}"/>
    <cellStyle name="Финансовый 2 4 3 5 2 2 3" xfId="35146" xr:uid="{00000000-0005-0000-0000-00005E600000}"/>
    <cellStyle name="Финансовый 2 4 3 5 2 3" xfId="15422" xr:uid="{00000000-0005-0000-0000-00005F600000}"/>
    <cellStyle name="Финансовый 2 4 3 5 2 3 2" xfId="39377" xr:uid="{00000000-0005-0000-0000-000060600000}"/>
    <cellStyle name="Финансовый 2 4 3 5 2 4" xfId="27400" xr:uid="{00000000-0005-0000-0000-000061600000}"/>
    <cellStyle name="Финансовый 2 4 3 5 2 5" xfId="50669" xr:uid="{00000000-0005-0000-0000-000062600000}"/>
    <cellStyle name="Финансовый 2 4 3 5 3" xfId="5226" xr:uid="{00000000-0005-0000-0000-000063600000}"/>
    <cellStyle name="Финансовый 2 4 3 5 3 2" xfId="17204" xr:uid="{00000000-0005-0000-0000-000064600000}"/>
    <cellStyle name="Финансовый 2 4 3 5 3 2 2" xfId="41159" xr:uid="{00000000-0005-0000-0000-000065600000}"/>
    <cellStyle name="Финансовый 2 4 3 5 3 3" xfId="29181" xr:uid="{00000000-0005-0000-0000-000066600000}"/>
    <cellStyle name="Финансовый 2 4 3 5 4" xfId="7836" xr:uid="{00000000-0005-0000-0000-000067600000}"/>
    <cellStyle name="Финансовый 2 4 3 5 4 2" xfId="19814" xr:uid="{00000000-0005-0000-0000-000068600000}"/>
    <cellStyle name="Финансовый 2 4 3 5 4 2 2" xfId="43769" xr:uid="{00000000-0005-0000-0000-000069600000}"/>
    <cellStyle name="Финансовый 2 4 3 5 4 3" xfId="31791" xr:uid="{00000000-0005-0000-0000-00006A600000}"/>
    <cellStyle name="Финансовый 2 4 3 5 5" xfId="9619" xr:uid="{00000000-0005-0000-0000-00006B600000}"/>
    <cellStyle name="Финансовый 2 4 3 5 5 2" xfId="21597" xr:uid="{00000000-0005-0000-0000-00006C600000}"/>
    <cellStyle name="Финансовый 2 4 3 5 5 2 2" xfId="45552" xr:uid="{00000000-0005-0000-0000-00006D600000}"/>
    <cellStyle name="Финансовый 2 4 3 5 5 3" xfId="33574" xr:uid="{00000000-0005-0000-0000-00006E600000}"/>
    <cellStyle name="Финансовый 2 4 3 5 6" xfId="13777" xr:uid="{00000000-0005-0000-0000-00006F600000}"/>
    <cellStyle name="Финансовый 2 4 3 5 6 2" xfId="37732" xr:uid="{00000000-0005-0000-0000-000070600000}"/>
    <cellStyle name="Финансовый 2 4 3 5 7" xfId="25755" xr:uid="{00000000-0005-0000-0000-000071600000}"/>
    <cellStyle name="Финансовый 2 4 3 5 8" xfId="48888" xr:uid="{00000000-0005-0000-0000-000072600000}"/>
    <cellStyle name="Финансовый 2 4 3 6" xfId="2443" xr:uid="{00000000-0005-0000-0000-000073600000}"/>
    <cellStyle name="Финансовый 2 4 3 6 2" xfId="4088" xr:uid="{00000000-0005-0000-0000-000074600000}"/>
    <cellStyle name="Финансовый 2 4 3 6 2 2" xfId="11820" xr:uid="{00000000-0005-0000-0000-000075600000}"/>
    <cellStyle name="Финансовый 2 4 3 6 2 2 2" xfId="23798" xr:uid="{00000000-0005-0000-0000-000076600000}"/>
    <cellStyle name="Финансовый 2 4 3 6 2 2 2 2" xfId="47753" xr:uid="{00000000-0005-0000-0000-000077600000}"/>
    <cellStyle name="Финансовый 2 4 3 6 2 2 3" xfId="35775" xr:uid="{00000000-0005-0000-0000-000078600000}"/>
    <cellStyle name="Финансовый 2 4 3 6 2 3" xfId="16067" xr:uid="{00000000-0005-0000-0000-000079600000}"/>
    <cellStyle name="Финансовый 2 4 3 6 2 3 2" xfId="40022" xr:uid="{00000000-0005-0000-0000-00007A600000}"/>
    <cellStyle name="Финансовый 2 4 3 6 2 4" xfId="28045" xr:uid="{00000000-0005-0000-0000-00007B600000}"/>
    <cellStyle name="Финансовый 2 4 3 6 2 5" xfId="51314" xr:uid="{00000000-0005-0000-0000-00007C600000}"/>
    <cellStyle name="Финансовый 2 4 3 6 3" xfId="5871" xr:uid="{00000000-0005-0000-0000-00007D600000}"/>
    <cellStyle name="Финансовый 2 4 3 6 3 2" xfId="17849" xr:uid="{00000000-0005-0000-0000-00007E600000}"/>
    <cellStyle name="Финансовый 2 4 3 6 3 2 2" xfId="41804" xr:uid="{00000000-0005-0000-0000-00007F600000}"/>
    <cellStyle name="Финансовый 2 4 3 6 3 3" xfId="29826" xr:uid="{00000000-0005-0000-0000-000080600000}"/>
    <cellStyle name="Финансовый 2 4 3 6 4" xfId="8481" xr:uid="{00000000-0005-0000-0000-000081600000}"/>
    <cellStyle name="Финансовый 2 4 3 6 4 2" xfId="20459" xr:uid="{00000000-0005-0000-0000-000082600000}"/>
    <cellStyle name="Финансовый 2 4 3 6 4 2 2" xfId="44414" xr:uid="{00000000-0005-0000-0000-000083600000}"/>
    <cellStyle name="Финансовый 2 4 3 6 4 3" xfId="32436" xr:uid="{00000000-0005-0000-0000-000084600000}"/>
    <cellStyle name="Финансовый 2 4 3 6 5" xfId="10264" xr:uid="{00000000-0005-0000-0000-000085600000}"/>
    <cellStyle name="Финансовый 2 4 3 6 5 2" xfId="22242" xr:uid="{00000000-0005-0000-0000-000086600000}"/>
    <cellStyle name="Финансовый 2 4 3 6 5 2 2" xfId="46197" xr:uid="{00000000-0005-0000-0000-000087600000}"/>
    <cellStyle name="Финансовый 2 4 3 6 5 3" xfId="34219" xr:uid="{00000000-0005-0000-0000-000088600000}"/>
    <cellStyle name="Финансовый 2 4 3 6 6" xfId="14422" xr:uid="{00000000-0005-0000-0000-000089600000}"/>
    <cellStyle name="Финансовый 2 4 3 6 6 2" xfId="38377" xr:uid="{00000000-0005-0000-0000-00008A600000}"/>
    <cellStyle name="Финансовый 2 4 3 6 7" xfId="26400" xr:uid="{00000000-0005-0000-0000-00008B600000}"/>
    <cellStyle name="Финансовый 2 4 3 6 8" xfId="49533" xr:uid="{00000000-0005-0000-0000-00008C600000}"/>
    <cellStyle name="Финансовый 2 4 3 7" xfId="1670" xr:uid="{00000000-0005-0000-0000-00008D600000}"/>
    <cellStyle name="Финансовый 2 4 3 7 2" xfId="3315" xr:uid="{00000000-0005-0000-0000-00008E600000}"/>
    <cellStyle name="Финансовый 2 4 3 7 2 2" xfId="11063" xr:uid="{00000000-0005-0000-0000-00008F600000}"/>
    <cellStyle name="Финансовый 2 4 3 7 2 2 2" xfId="23041" xr:uid="{00000000-0005-0000-0000-000090600000}"/>
    <cellStyle name="Финансовый 2 4 3 7 2 2 2 2" xfId="46996" xr:uid="{00000000-0005-0000-0000-000091600000}"/>
    <cellStyle name="Финансовый 2 4 3 7 2 2 3" xfId="35018" xr:uid="{00000000-0005-0000-0000-000092600000}"/>
    <cellStyle name="Финансовый 2 4 3 7 2 3" xfId="15294" xr:uid="{00000000-0005-0000-0000-000093600000}"/>
    <cellStyle name="Финансовый 2 4 3 7 2 3 2" xfId="39249" xr:uid="{00000000-0005-0000-0000-000094600000}"/>
    <cellStyle name="Финансовый 2 4 3 7 2 4" xfId="27272" xr:uid="{00000000-0005-0000-0000-000095600000}"/>
    <cellStyle name="Финансовый 2 4 3 7 2 5" xfId="50541" xr:uid="{00000000-0005-0000-0000-000096600000}"/>
    <cellStyle name="Финансовый 2 4 3 7 3" xfId="5098" xr:uid="{00000000-0005-0000-0000-000097600000}"/>
    <cellStyle name="Финансовый 2 4 3 7 3 2" xfId="17076" xr:uid="{00000000-0005-0000-0000-000098600000}"/>
    <cellStyle name="Финансовый 2 4 3 7 3 2 2" xfId="41031" xr:uid="{00000000-0005-0000-0000-000099600000}"/>
    <cellStyle name="Финансовый 2 4 3 7 3 3" xfId="29053" xr:uid="{00000000-0005-0000-0000-00009A600000}"/>
    <cellStyle name="Финансовый 2 4 3 7 4" xfId="7708" xr:uid="{00000000-0005-0000-0000-00009B600000}"/>
    <cellStyle name="Финансовый 2 4 3 7 4 2" xfId="19686" xr:uid="{00000000-0005-0000-0000-00009C600000}"/>
    <cellStyle name="Финансовый 2 4 3 7 4 2 2" xfId="43641" xr:uid="{00000000-0005-0000-0000-00009D600000}"/>
    <cellStyle name="Финансовый 2 4 3 7 4 3" xfId="31663" xr:uid="{00000000-0005-0000-0000-00009E600000}"/>
    <cellStyle name="Финансовый 2 4 3 7 5" xfId="9491" xr:uid="{00000000-0005-0000-0000-00009F600000}"/>
    <cellStyle name="Финансовый 2 4 3 7 5 2" xfId="21469" xr:uid="{00000000-0005-0000-0000-0000A0600000}"/>
    <cellStyle name="Финансовый 2 4 3 7 5 2 2" xfId="45424" xr:uid="{00000000-0005-0000-0000-0000A1600000}"/>
    <cellStyle name="Финансовый 2 4 3 7 5 3" xfId="33446" xr:uid="{00000000-0005-0000-0000-0000A2600000}"/>
    <cellStyle name="Финансовый 2 4 3 7 6" xfId="13649" xr:uid="{00000000-0005-0000-0000-0000A3600000}"/>
    <cellStyle name="Финансовый 2 4 3 7 6 2" xfId="37604" xr:uid="{00000000-0005-0000-0000-0000A4600000}"/>
    <cellStyle name="Финансовый 2 4 3 7 7" xfId="25627" xr:uid="{00000000-0005-0000-0000-0000A5600000}"/>
    <cellStyle name="Финансовый 2 4 3 7 8" xfId="48760" xr:uid="{00000000-0005-0000-0000-0000A6600000}"/>
    <cellStyle name="Финансовый 2 4 3 8" xfId="947" xr:uid="{00000000-0005-0000-0000-0000A7600000}"/>
    <cellStyle name="Финансовый 2 4 3 8 2" xfId="6987" xr:uid="{00000000-0005-0000-0000-0000A8600000}"/>
    <cellStyle name="Финансовый 2 4 3 8 2 2" xfId="18965" xr:uid="{00000000-0005-0000-0000-0000A9600000}"/>
    <cellStyle name="Финансовый 2 4 3 8 2 2 2" xfId="42920" xr:uid="{00000000-0005-0000-0000-0000AA600000}"/>
    <cellStyle name="Финансовый 2 4 3 8 2 3" xfId="30942" xr:uid="{00000000-0005-0000-0000-0000AB600000}"/>
    <cellStyle name="Финансовый 2 4 3 8 3" xfId="10535" xr:uid="{00000000-0005-0000-0000-0000AC600000}"/>
    <cellStyle name="Финансовый 2 4 3 8 3 2" xfId="22513" xr:uid="{00000000-0005-0000-0000-0000AD600000}"/>
    <cellStyle name="Финансовый 2 4 3 8 3 2 2" xfId="46468" xr:uid="{00000000-0005-0000-0000-0000AE600000}"/>
    <cellStyle name="Финансовый 2 4 3 8 3 3" xfId="34490" xr:uid="{00000000-0005-0000-0000-0000AF600000}"/>
    <cellStyle name="Финансовый 2 4 3 8 4" xfId="12928" xr:uid="{00000000-0005-0000-0000-0000B0600000}"/>
    <cellStyle name="Финансовый 2 4 3 8 4 2" xfId="36883" xr:uid="{00000000-0005-0000-0000-0000B1600000}"/>
    <cellStyle name="Финансовый 2 4 3 8 5" xfId="24906" xr:uid="{00000000-0005-0000-0000-0000B2600000}"/>
    <cellStyle name="Финансовый 2 4 3 8 6" xfId="49812" xr:uid="{00000000-0005-0000-0000-0000B3600000}"/>
    <cellStyle name="Финансовый 2 4 3 9" xfId="535" xr:uid="{00000000-0005-0000-0000-0000B4600000}"/>
    <cellStyle name="Финансовый 2 4 3 9 2" xfId="6575" xr:uid="{00000000-0005-0000-0000-0000B5600000}"/>
    <cellStyle name="Финансовый 2 4 3 9 2 2" xfId="18553" xr:uid="{00000000-0005-0000-0000-0000B6600000}"/>
    <cellStyle name="Финансовый 2 4 3 9 2 2 2" xfId="42508" xr:uid="{00000000-0005-0000-0000-0000B7600000}"/>
    <cellStyle name="Финансовый 2 4 3 9 2 3" xfId="30530" xr:uid="{00000000-0005-0000-0000-0000B8600000}"/>
    <cellStyle name="Финансовый 2 4 3 9 3" xfId="12516" xr:uid="{00000000-0005-0000-0000-0000B9600000}"/>
    <cellStyle name="Финансовый 2 4 3 9 3 2" xfId="36471" xr:uid="{00000000-0005-0000-0000-0000BA600000}"/>
    <cellStyle name="Финансовый 2 4 3 9 4" xfId="24494" xr:uid="{00000000-0005-0000-0000-0000BB600000}"/>
    <cellStyle name="Финансовый 2 4 4" xfId="78" xr:uid="{00000000-0005-0000-0000-0000BC600000}"/>
    <cellStyle name="Финансовый 2 4 4 10" xfId="2688" xr:uid="{00000000-0005-0000-0000-0000BD600000}"/>
    <cellStyle name="Финансовый 2 4 4 10 2" xfId="14667" xr:uid="{00000000-0005-0000-0000-0000BE600000}"/>
    <cellStyle name="Финансовый 2 4 4 10 2 2" xfId="38622" xr:uid="{00000000-0005-0000-0000-0000BF600000}"/>
    <cellStyle name="Финансовый 2 4 4 10 3" xfId="26645" xr:uid="{00000000-0005-0000-0000-0000C0600000}"/>
    <cellStyle name="Финансовый 2 4 4 11" xfId="4332" xr:uid="{00000000-0005-0000-0000-0000C1600000}"/>
    <cellStyle name="Финансовый 2 4 4 11 2" xfId="16311" xr:uid="{00000000-0005-0000-0000-0000C2600000}"/>
    <cellStyle name="Финансовый 2 4 4 11 2 2" xfId="40266" xr:uid="{00000000-0005-0000-0000-0000C3600000}"/>
    <cellStyle name="Финансовый 2 4 4 11 3" xfId="28289" xr:uid="{00000000-0005-0000-0000-0000C4600000}"/>
    <cellStyle name="Финансовый 2 4 4 12" xfId="6119" xr:uid="{00000000-0005-0000-0000-0000C5600000}"/>
    <cellStyle name="Финансовый 2 4 4 12 2" xfId="18097" xr:uid="{00000000-0005-0000-0000-0000C6600000}"/>
    <cellStyle name="Финансовый 2 4 4 12 2 2" xfId="42052" xr:uid="{00000000-0005-0000-0000-0000C7600000}"/>
    <cellStyle name="Финансовый 2 4 4 12 3" xfId="30074" xr:uid="{00000000-0005-0000-0000-0000C8600000}"/>
    <cellStyle name="Финансовый 2 4 4 13" xfId="8726" xr:uid="{00000000-0005-0000-0000-0000C9600000}"/>
    <cellStyle name="Финансовый 2 4 4 13 2" xfId="20704" xr:uid="{00000000-0005-0000-0000-0000CA600000}"/>
    <cellStyle name="Финансовый 2 4 4 13 2 2" xfId="44659" xr:uid="{00000000-0005-0000-0000-0000CB600000}"/>
    <cellStyle name="Финансовый 2 4 4 13 3" xfId="32681" xr:uid="{00000000-0005-0000-0000-0000CC600000}"/>
    <cellStyle name="Финансовый 2 4 4 14" xfId="12060" xr:uid="{00000000-0005-0000-0000-0000CD600000}"/>
    <cellStyle name="Финансовый 2 4 4 14 2" xfId="36015" xr:uid="{00000000-0005-0000-0000-0000CE600000}"/>
    <cellStyle name="Финансовый 2 4 4 15" xfId="24038" xr:uid="{00000000-0005-0000-0000-0000CF600000}"/>
    <cellStyle name="Финансовый 2 4 4 16" xfId="47996" xr:uid="{00000000-0005-0000-0000-0000D0600000}"/>
    <cellStyle name="Финансовый 2 4 4 2" xfId="214" xr:uid="{00000000-0005-0000-0000-0000D1600000}"/>
    <cellStyle name="Финансовый 2 4 4 2 10" xfId="8862" xr:uid="{00000000-0005-0000-0000-0000D2600000}"/>
    <cellStyle name="Финансовый 2 4 4 2 10 2" xfId="20840" xr:uid="{00000000-0005-0000-0000-0000D3600000}"/>
    <cellStyle name="Финансовый 2 4 4 2 10 2 2" xfId="44795" xr:uid="{00000000-0005-0000-0000-0000D4600000}"/>
    <cellStyle name="Финансовый 2 4 4 2 10 3" xfId="32817" xr:uid="{00000000-0005-0000-0000-0000D5600000}"/>
    <cellStyle name="Финансовый 2 4 4 2 11" xfId="12196" xr:uid="{00000000-0005-0000-0000-0000D6600000}"/>
    <cellStyle name="Финансовый 2 4 4 2 11 2" xfId="36151" xr:uid="{00000000-0005-0000-0000-0000D7600000}"/>
    <cellStyle name="Финансовый 2 4 4 2 12" xfId="24174" xr:uid="{00000000-0005-0000-0000-0000D8600000}"/>
    <cellStyle name="Финансовый 2 4 4 2 13" xfId="48132" xr:uid="{00000000-0005-0000-0000-0000D9600000}"/>
    <cellStyle name="Финансовый 2 4 4 2 2" xfId="1312" xr:uid="{00000000-0005-0000-0000-0000DA600000}"/>
    <cellStyle name="Финансовый 2 4 4 2 2 2" xfId="2270" xr:uid="{00000000-0005-0000-0000-0000DB600000}"/>
    <cellStyle name="Финансовый 2 4 4 2 2 2 2" xfId="3915" xr:uid="{00000000-0005-0000-0000-0000DC600000}"/>
    <cellStyle name="Финансовый 2 4 4 2 2 2 2 2" xfId="11655" xr:uid="{00000000-0005-0000-0000-0000DD600000}"/>
    <cellStyle name="Финансовый 2 4 4 2 2 2 2 2 2" xfId="23633" xr:uid="{00000000-0005-0000-0000-0000DE600000}"/>
    <cellStyle name="Финансовый 2 4 4 2 2 2 2 2 2 2" xfId="47588" xr:uid="{00000000-0005-0000-0000-0000DF600000}"/>
    <cellStyle name="Финансовый 2 4 4 2 2 2 2 2 3" xfId="35610" xr:uid="{00000000-0005-0000-0000-0000E0600000}"/>
    <cellStyle name="Финансовый 2 4 4 2 2 2 2 3" xfId="15894" xr:uid="{00000000-0005-0000-0000-0000E1600000}"/>
    <cellStyle name="Финансовый 2 4 4 2 2 2 2 3 2" xfId="39849" xr:uid="{00000000-0005-0000-0000-0000E2600000}"/>
    <cellStyle name="Финансовый 2 4 4 2 2 2 2 4" xfId="27872" xr:uid="{00000000-0005-0000-0000-0000E3600000}"/>
    <cellStyle name="Финансовый 2 4 4 2 2 2 2 5" xfId="51141" xr:uid="{00000000-0005-0000-0000-0000E4600000}"/>
    <cellStyle name="Финансовый 2 4 4 2 2 2 3" xfId="5698" xr:uid="{00000000-0005-0000-0000-0000E5600000}"/>
    <cellStyle name="Финансовый 2 4 4 2 2 2 3 2" xfId="17676" xr:uid="{00000000-0005-0000-0000-0000E6600000}"/>
    <cellStyle name="Финансовый 2 4 4 2 2 2 3 2 2" xfId="41631" xr:uid="{00000000-0005-0000-0000-0000E7600000}"/>
    <cellStyle name="Финансовый 2 4 4 2 2 2 3 3" xfId="29653" xr:uid="{00000000-0005-0000-0000-0000E8600000}"/>
    <cellStyle name="Финансовый 2 4 4 2 2 2 4" xfId="8308" xr:uid="{00000000-0005-0000-0000-0000E9600000}"/>
    <cellStyle name="Финансовый 2 4 4 2 2 2 4 2" xfId="20286" xr:uid="{00000000-0005-0000-0000-0000EA600000}"/>
    <cellStyle name="Финансовый 2 4 4 2 2 2 4 2 2" xfId="44241" xr:uid="{00000000-0005-0000-0000-0000EB600000}"/>
    <cellStyle name="Финансовый 2 4 4 2 2 2 4 3" xfId="32263" xr:uid="{00000000-0005-0000-0000-0000EC600000}"/>
    <cellStyle name="Финансовый 2 4 4 2 2 2 5" xfId="10091" xr:uid="{00000000-0005-0000-0000-0000ED600000}"/>
    <cellStyle name="Финансовый 2 4 4 2 2 2 5 2" xfId="22069" xr:uid="{00000000-0005-0000-0000-0000EE600000}"/>
    <cellStyle name="Финансовый 2 4 4 2 2 2 5 2 2" xfId="46024" xr:uid="{00000000-0005-0000-0000-0000EF600000}"/>
    <cellStyle name="Финансовый 2 4 4 2 2 2 5 3" xfId="34046" xr:uid="{00000000-0005-0000-0000-0000F0600000}"/>
    <cellStyle name="Финансовый 2 4 4 2 2 2 6" xfId="14249" xr:uid="{00000000-0005-0000-0000-0000F1600000}"/>
    <cellStyle name="Финансовый 2 4 4 2 2 2 6 2" xfId="38204" xr:uid="{00000000-0005-0000-0000-0000F2600000}"/>
    <cellStyle name="Финансовый 2 4 4 2 2 2 7" xfId="26227" xr:uid="{00000000-0005-0000-0000-0000F3600000}"/>
    <cellStyle name="Финансовый 2 4 4 2 2 2 8" xfId="49360" xr:uid="{00000000-0005-0000-0000-0000F4600000}"/>
    <cellStyle name="Финансовый 2 4 4 2 2 3" xfId="3096" xr:uid="{00000000-0005-0000-0000-0000F5600000}"/>
    <cellStyle name="Финансовый 2 4 4 2 2 3 2" xfId="10883" xr:uid="{00000000-0005-0000-0000-0000F6600000}"/>
    <cellStyle name="Финансовый 2 4 4 2 2 3 2 2" xfId="22861" xr:uid="{00000000-0005-0000-0000-0000F7600000}"/>
    <cellStyle name="Финансовый 2 4 4 2 2 3 2 2 2" xfId="46816" xr:uid="{00000000-0005-0000-0000-0000F8600000}"/>
    <cellStyle name="Финансовый 2 4 4 2 2 3 2 3" xfId="34838" xr:uid="{00000000-0005-0000-0000-0000F9600000}"/>
    <cellStyle name="Финансовый 2 4 4 2 2 3 3" xfId="15075" xr:uid="{00000000-0005-0000-0000-0000FA600000}"/>
    <cellStyle name="Финансовый 2 4 4 2 2 3 3 2" xfId="39030" xr:uid="{00000000-0005-0000-0000-0000FB600000}"/>
    <cellStyle name="Финансовый 2 4 4 2 2 3 4" xfId="27053" xr:uid="{00000000-0005-0000-0000-0000FC600000}"/>
    <cellStyle name="Финансовый 2 4 4 2 2 3 5" xfId="50184" xr:uid="{00000000-0005-0000-0000-0000FD600000}"/>
    <cellStyle name="Финансовый 2 4 4 2 2 4" xfId="4740" xr:uid="{00000000-0005-0000-0000-0000FE600000}"/>
    <cellStyle name="Финансовый 2 4 4 2 2 4 2" xfId="16719" xr:uid="{00000000-0005-0000-0000-0000FF600000}"/>
    <cellStyle name="Финансовый 2 4 4 2 2 4 2 2" xfId="40674" xr:uid="{00000000-0005-0000-0000-000000610000}"/>
    <cellStyle name="Финансовый 2 4 4 2 2 4 3" xfId="28697" xr:uid="{00000000-0005-0000-0000-000001610000}"/>
    <cellStyle name="Финансовый 2 4 4 2 2 5" xfId="7352" xr:uid="{00000000-0005-0000-0000-000002610000}"/>
    <cellStyle name="Финансовый 2 4 4 2 2 5 2" xfId="19330" xr:uid="{00000000-0005-0000-0000-000003610000}"/>
    <cellStyle name="Финансовый 2 4 4 2 2 5 2 2" xfId="43285" xr:uid="{00000000-0005-0000-0000-000004610000}"/>
    <cellStyle name="Финансовый 2 4 4 2 2 5 3" xfId="31307" xr:uid="{00000000-0005-0000-0000-000005610000}"/>
    <cellStyle name="Финансовый 2 4 4 2 2 6" xfId="9134" xr:uid="{00000000-0005-0000-0000-000006610000}"/>
    <cellStyle name="Финансовый 2 4 4 2 2 6 2" xfId="21112" xr:uid="{00000000-0005-0000-0000-000007610000}"/>
    <cellStyle name="Финансовый 2 4 4 2 2 6 2 2" xfId="45067" xr:uid="{00000000-0005-0000-0000-000008610000}"/>
    <cellStyle name="Финансовый 2 4 4 2 2 6 3" xfId="33089" xr:uid="{00000000-0005-0000-0000-000009610000}"/>
    <cellStyle name="Финансовый 2 4 4 2 2 7" xfId="13293" xr:uid="{00000000-0005-0000-0000-00000A610000}"/>
    <cellStyle name="Финансовый 2 4 4 2 2 7 2" xfId="37248" xr:uid="{00000000-0005-0000-0000-00000B610000}"/>
    <cellStyle name="Финансовый 2 4 4 2 2 8" xfId="25271" xr:uid="{00000000-0005-0000-0000-00000C610000}"/>
    <cellStyle name="Финансовый 2 4 4 2 2 9" xfId="48404" xr:uid="{00000000-0005-0000-0000-00000D610000}"/>
    <cellStyle name="Финансовый 2 4 4 2 3" xfId="2014" xr:uid="{00000000-0005-0000-0000-00000E610000}"/>
    <cellStyle name="Финансовый 2 4 4 2 3 2" xfId="3659" xr:uid="{00000000-0005-0000-0000-00000F610000}"/>
    <cellStyle name="Финансовый 2 4 4 2 3 2 2" xfId="11399" xr:uid="{00000000-0005-0000-0000-000010610000}"/>
    <cellStyle name="Финансовый 2 4 4 2 3 2 2 2" xfId="23377" xr:uid="{00000000-0005-0000-0000-000011610000}"/>
    <cellStyle name="Финансовый 2 4 4 2 3 2 2 2 2" xfId="47332" xr:uid="{00000000-0005-0000-0000-000012610000}"/>
    <cellStyle name="Финансовый 2 4 4 2 3 2 2 3" xfId="35354" xr:uid="{00000000-0005-0000-0000-000013610000}"/>
    <cellStyle name="Финансовый 2 4 4 2 3 2 3" xfId="15638" xr:uid="{00000000-0005-0000-0000-000014610000}"/>
    <cellStyle name="Финансовый 2 4 4 2 3 2 3 2" xfId="39593" xr:uid="{00000000-0005-0000-0000-000015610000}"/>
    <cellStyle name="Финансовый 2 4 4 2 3 2 4" xfId="27616" xr:uid="{00000000-0005-0000-0000-000016610000}"/>
    <cellStyle name="Финансовый 2 4 4 2 3 2 5" xfId="50885" xr:uid="{00000000-0005-0000-0000-000017610000}"/>
    <cellStyle name="Финансовый 2 4 4 2 3 3" xfId="5442" xr:uid="{00000000-0005-0000-0000-000018610000}"/>
    <cellStyle name="Финансовый 2 4 4 2 3 3 2" xfId="17420" xr:uid="{00000000-0005-0000-0000-000019610000}"/>
    <cellStyle name="Финансовый 2 4 4 2 3 3 2 2" xfId="41375" xr:uid="{00000000-0005-0000-0000-00001A610000}"/>
    <cellStyle name="Финансовый 2 4 4 2 3 3 3" xfId="29397" xr:uid="{00000000-0005-0000-0000-00001B610000}"/>
    <cellStyle name="Финансовый 2 4 4 2 3 4" xfId="8052" xr:uid="{00000000-0005-0000-0000-00001C610000}"/>
    <cellStyle name="Финансовый 2 4 4 2 3 4 2" xfId="20030" xr:uid="{00000000-0005-0000-0000-00001D610000}"/>
    <cellStyle name="Финансовый 2 4 4 2 3 4 2 2" xfId="43985" xr:uid="{00000000-0005-0000-0000-00001E610000}"/>
    <cellStyle name="Финансовый 2 4 4 2 3 4 3" xfId="32007" xr:uid="{00000000-0005-0000-0000-00001F610000}"/>
    <cellStyle name="Финансовый 2 4 4 2 3 5" xfId="9835" xr:uid="{00000000-0005-0000-0000-000020610000}"/>
    <cellStyle name="Финансовый 2 4 4 2 3 5 2" xfId="21813" xr:uid="{00000000-0005-0000-0000-000021610000}"/>
    <cellStyle name="Финансовый 2 4 4 2 3 5 2 2" xfId="45768" xr:uid="{00000000-0005-0000-0000-000022610000}"/>
    <cellStyle name="Финансовый 2 4 4 2 3 5 3" xfId="33790" xr:uid="{00000000-0005-0000-0000-000023610000}"/>
    <cellStyle name="Финансовый 2 4 4 2 3 6" xfId="13993" xr:uid="{00000000-0005-0000-0000-000024610000}"/>
    <cellStyle name="Финансовый 2 4 4 2 3 6 2" xfId="37948" xr:uid="{00000000-0005-0000-0000-000025610000}"/>
    <cellStyle name="Финансовый 2 4 4 2 3 7" xfId="25971" xr:uid="{00000000-0005-0000-0000-000026610000}"/>
    <cellStyle name="Финансовый 2 4 4 2 3 8" xfId="49104" xr:uid="{00000000-0005-0000-0000-000027610000}"/>
    <cellStyle name="Финансовый 2 4 4 2 4" xfId="2543" xr:uid="{00000000-0005-0000-0000-000028610000}"/>
    <cellStyle name="Финансовый 2 4 4 2 4 2" xfId="4188" xr:uid="{00000000-0005-0000-0000-000029610000}"/>
    <cellStyle name="Финансовый 2 4 4 2 4 2 2" xfId="11912" xr:uid="{00000000-0005-0000-0000-00002A610000}"/>
    <cellStyle name="Финансовый 2 4 4 2 4 2 2 2" xfId="23890" xr:uid="{00000000-0005-0000-0000-00002B610000}"/>
    <cellStyle name="Финансовый 2 4 4 2 4 2 2 2 2" xfId="47845" xr:uid="{00000000-0005-0000-0000-00002C610000}"/>
    <cellStyle name="Финансовый 2 4 4 2 4 2 2 3" xfId="35867" xr:uid="{00000000-0005-0000-0000-00002D610000}"/>
    <cellStyle name="Финансовый 2 4 4 2 4 2 3" xfId="16167" xr:uid="{00000000-0005-0000-0000-00002E610000}"/>
    <cellStyle name="Финансовый 2 4 4 2 4 2 3 2" xfId="40122" xr:uid="{00000000-0005-0000-0000-00002F610000}"/>
    <cellStyle name="Финансовый 2 4 4 2 4 2 4" xfId="28145" xr:uid="{00000000-0005-0000-0000-000030610000}"/>
    <cellStyle name="Финансовый 2 4 4 2 4 2 5" xfId="51414" xr:uid="{00000000-0005-0000-0000-000031610000}"/>
    <cellStyle name="Финансовый 2 4 4 2 4 3" xfId="5971" xr:uid="{00000000-0005-0000-0000-000032610000}"/>
    <cellStyle name="Финансовый 2 4 4 2 4 3 2" xfId="17949" xr:uid="{00000000-0005-0000-0000-000033610000}"/>
    <cellStyle name="Финансовый 2 4 4 2 4 3 2 2" xfId="41904" xr:uid="{00000000-0005-0000-0000-000034610000}"/>
    <cellStyle name="Финансовый 2 4 4 2 4 3 3" xfId="29926" xr:uid="{00000000-0005-0000-0000-000035610000}"/>
    <cellStyle name="Финансовый 2 4 4 2 4 4" xfId="8581" xr:uid="{00000000-0005-0000-0000-000036610000}"/>
    <cellStyle name="Финансовый 2 4 4 2 4 4 2" xfId="20559" xr:uid="{00000000-0005-0000-0000-000037610000}"/>
    <cellStyle name="Финансовый 2 4 4 2 4 4 2 2" xfId="44514" xr:uid="{00000000-0005-0000-0000-000038610000}"/>
    <cellStyle name="Финансовый 2 4 4 2 4 4 3" xfId="32536" xr:uid="{00000000-0005-0000-0000-000039610000}"/>
    <cellStyle name="Финансовый 2 4 4 2 4 5" xfId="10364" xr:uid="{00000000-0005-0000-0000-00003A610000}"/>
    <cellStyle name="Финансовый 2 4 4 2 4 5 2" xfId="22342" xr:uid="{00000000-0005-0000-0000-00003B610000}"/>
    <cellStyle name="Финансовый 2 4 4 2 4 5 2 2" xfId="46297" xr:uid="{00000000-0005-0000-0000-00003C610000}"/>
    <cellStyle name="Финансовый 2 4 4 2 4 5 3" xfId="34319" xr:uid="{00000000-0005-0000-0000-00003D610000}"/>
    <cellStyle name="Финансовый 2 4 4 2 4 6" xfId="14522" xr:uid="{00000000-0005-0000-0000-00003E610000}"/>
    <cellStyle name="Финансовый 2 4 4 2 4 6 2" xfId="38477" xr:uid="{00000000-0005-0000-0000-00003F610000}"/>
    <cellStyle name="Финансовый 2 4 4 2 4 7" xfId="26500" xr:uid="{00000000-0005-0000-0000-000040610000}"/>
    <cellStyle name="Финансовый 2 4 4 2 4 8" xfId="49633" xr:uid="{00000000-0005-0000-0000-000041610000}"/>
    <cellStyle name="Финансовый 2 4 4 2 5" xfId="1047" xr:uid="{00000000-0005-0000-0000-000042610000}"/>
    <cellStyle name="Финансовый 2 4 4 2 5 2" xfId="7087" xr:uid="{00000000-0005-0000-0000-000043610000}"/>
    <cellStyle name="Финансовый 2 4 4 2 5 2 2" xfId="19065" xr:uid="{00000000-0005-0000-0000-000044610000}"/>
    <cellStyle name="Финансовый 2 4 4 2 5 2 2 2" xfId="43020" xr:uid="{00000000-0005-0000-0000-000045610000}"/>
    <cellStyle name="Финансовый 2 4 4 2 5 2 3" xfId="31042" xr:uid="{00000000-0005-0000-0000-000046610000}"/>
    <cellStyle name="Финансовый 2 4 4 2 5 3" xfId="10627" xr:uid="{00000000-0005-0000-0000-000047610000}"/>
    <cellStyle name="Финансовый 2 4 4 2 5 3 2" xfId="22605" xr:uid="{00000000-0005-0000-0000-000048610000}"/>
    <cellStyle name="Финансовый 2 4 4 2 5 3 2 2" xfId="46560" xr:uid="{00000000-0005-0000-0000-000049610000}"/>
    <cellStyle name="Финансовый 2 4 4 2 5 3 3" xfId="34582" xr:uid="{00000000-0005-0000-0000-00004A610000}"/>
    <cellStyle name="Финансовый 2 4 4 2 5 4" xfId="13028" xr:uid="{00000000-0005-0000-0000-00004B610000}"/>
    <cellStyle name="Финансовый 2 4 4 2 5 4 2" xfId="36983" xr:uid="{00000000-0005-0000-0000-00004C610000}"/>
    <cellStyle name="Финансовый 2 4 4 2 5 5" xfId="25006" xr:uid="{00000000-0005-0000-0000-00004D610000}"/>
    <cellStyle name="Финансовый 2 4 4 2 5 6" xfId="49912" xr:uid="{00000000-0005-0000-0000-00004E610000}"/>
    <cellStyle name="Финансовый 2 4 4 2 6" xfId="635" xr:uid="{00000000-0005-0000-0000-00004F610000}"/>
    <cellStyle name="Финансовый 2 4 4 2 6 2" xfId="6675" xr:uid="{00000000-0005-0000-0000-000050610000}"/>
    <cellStyle name="Финансовый 2 4 4 2 6 2 2" xfId="18653" xr:uid="{00000000-0005-0000-0000-000051610000}"/>
    <cellStyle name="Финансовый 2 4 4 2 6 2 2 2" xfId="42608" xr:uid="{00000000-0005-0000-0000-000052610000}"/>
    <cellStyle name="Финансовый 2 4 4 2 6 2 3" xfId="30630" xr:uid="{00000000-0005-0000-0000-000053610000}"/>
    <cellStyle name="Финансовый 2 4 4 2 6 3" xfId="12616" xr:uid="{00000000-0005-0000-0000-000054610000}"/>
    <cellStyle name="Финансовый 2 4 4 2 6 3 2" xfId="36571" xr:uid="{00000000-0005-0000-0000-000055610000}"/>
    <cellStyle name="Финансовый 2 4 4 2 6 4" xfId="24594" xr:uid="{00000000-0005-0000-0000-000056610000}"/>
    <cellStyle name="Финансовый 2 4 4 2 7" xfId="2824" xr:uid="{00000000-0005-0000-0000-000057610000}"/>
    <cellStyle name="Финансовый 2 4 4 2 7 2" xfId="14803" xr:uid="{00000000-0005-0000-0000-000058610000}"/>
    <cellStyle name="Финансовый 2 4 4 2 7 2 2" xfId="38758" xr:uid="{00000000-0005-0000-0000-000059610000}"/>
    <cellStyle name="Финансовый 2 4 4 2 7 3" xfId="26781" xr:uid="{00000000-0005-0000-0000-00005A610000}"/>
    <cellStyle name="Финансовый 2 4 4 2 8" xfId="4468" xr:uid="{00000000-0005-0000-0000-00005B610000}"/>
    <cellStyle name="Финансовый 2 4 4 2 8 2" xfId="16447" xr:uid="{00000000-0005-0000-0000-00005C610000}"/>
    <cellStyle name="Финансовый 2 4 4 2 8 2 2" xfId="40402" xr:uid="{00000000-0005-0000-0000-00005D610000}"/>
    <cellStyle name="Финансовый 2 4 4 2 8 3" xfId="28425" xr:uid="{00000000-0005-0000-0000-00005E610000}"/>
    <cellStyle name="Финансовый 2 4 4 2 9" xfId="6255" xr:uid="{00000000-0005-0000-0000-00005F610000}"/>
    <cellStyle name="Финансовый 2 4 4 2 9 2" xfId="18233" xr:uid="{00000000-0005-0000-0000-000060610000}"/>
    <cellStyle name="Финансовый 2 4 4 2 9 2 2" xfId="42188" xr:uid="{00000000-0005-0000-0000-000061610000}"/>
    <cellStyle name="Финансовый 2 4 4 2 9 3" xfId="30210" xr:uid="{00000000-0005-0000-0000-000062610000}"/>
    <cellStyle name="Финансовый 2 4 4 3" xfId="363" xr:uid="{00000000-0005-0000-0000-000063610000}"/>
    <cellStyle name="Финансовый 2 4 4 3 10" xfId="24322" xr:uid="{00000000-0005-0000-0000-000064610000}"/>
    <cellStyle name="Финансовый 2 4 4 3 11" xfId="48268" xr:uid="{00000000-0005-0000-0000-000065610000}"/>
    <cellStyle name="Финансовый 2 4 4 3 2" xfId="2142" xr:uid="{00000000-0005-0000-0000-000066610000}"/>
    <cellStyle name="Финансовый 2 4 4 3 2 2" xfId="3787" xr:uid="{00000000-0005-0000-0000-000067610000}"/>
    <cellStyle name="Финансовый 2 4 4 3 2 2 2" xfId="11527" xr:uid="{00000000-0005-0000-0000-000068610000}"/>
    <cellStyle name="Финансовый 2 4 4 3 2 2 2 2" xfId="23505" xr:uid="{00000000-0005-0000-0000-000069610000}"/>
    <cellStyle name="Финансовый 2 4 4 3 2 2 2 2 2" xfId="47460" xr:uid="{00000000-0005-0000-0000-00006A610000}"/>
    <cellStyle name="Финансовый 2 4 4 3 2 2 2 3" xfId="35482" xr:uid="{00000000-0005-0000-0000-00006B610000}"/>
    <cellStyle name="Финансовый 2 4 4 3 2 2 3" xfId="15766" xr:uid="{00000000-0005-0000-0000-00006C610000}"/>
    <cellStyle name="Финансовый 2 4 4 3 2 2 3 2" xfId="39721" xr:uid="{00000000-0005-0000-0000-00006D610000}"/>
    <cellStyle name="Финансовый 2 4 4 3 2 2 4" xfId="27744" xr:uid="{00000000-0005-0000-0000-00006E610000}"/>
    <cellStyle name="Финансовый 2 4 4 3 2 2 5" xfId="51013" xr:uid="{00000000-0005-0000-0000-00006F610000}"/>
    <cellStyle name="Финансовый 2 4 4 3 2 3" xfId="5570" xr:uid="{00000000-0005-0000-0000-000070610000}"/>
    <cellStyle name="Финансовый 2 4 4 3 2 3 2" xfId="17548" xr:uid="{00000000-0005-0000-0000-000071610000}"/>
    <cellStyle name="Финансовый 2 4 4 3 2 3 2 2" xfId="41503" xr:uid="{00000000-0005-0000-0000-000072610000}"/>
    <cellStyle name="Финансовый 2 4 4 3 2 3 3" xfId="29525" xr:uid="{00000000-0005-0000-0000-000073610000}"/>
    <cellStyle name="Финансовый 2 4 4 3 2 4" xfId="8180" xr:uid="{00000000-0005-0000-0000-000074610000}"/>
    <cellStyle name="Финансовый 2 4 4 3 2 4 2" xfId="20158" xr:uid="{00000000-0005-0000-0000-000075610000}"/>
    <cellStyle name="Финансовый 2 4 4 3 2 4 2 2" xfId="44113" xr:uid="{00000000-0005-0000-0000-000076610000}"/>
    <cellStyle name="Финансовый 2 4 4 3 2 4 3" xfId="32135" xr:uid="{00000000-0005-0000-0000-000077610000}"/>
    <cellStyle name="Финансовый 2 4 4 3 2 5" xfId="9963" xr:uid="{00000000-0005-0000-0000-000078610000}"/>
    <cellStyle name="Финансовый 2 4 4 3 2 5 2" xfId="21941" xr:uid="{00000000-0005-0000-0000-000079610000}"/>
    <cellStyle name="Финансовый 2 4 4 3 2 5 2 2" xfId="45896" xr:uid="{00000000-0005-0000-0000-00007A610000}"/>
    <cellStyle name="Финансовый 2 4 4 3 2 5 3" xfId="33918" xr:uid="{00000000-0005-0000-0000-00007B610000}"/>
    <cellStyle name="Финансовый 2 4 4 3 2 6" xfId="14121" xr:uid="{00000000-0005-0000-0000-00007C610000}"/>
    <cellStyle name="Финансовый 2 4 4 3 2 6 2" xfId="38076" xr:uid="{00000000-0005-0000-0000-00007D610000}"/>
    <cellStyle name="Финансовый 2 4 4 3 2 7" xfId="26099" xr:uid="{00000000-0005-0000-0000-00007E610000}"/>
    <cellStyle name="Финансовый 2 4 4 3 2 8" xfId="49232" xr:uid="{00000000-0005-0000-0000-00007F610000}"/>
    <cellStyle name="Финансовый 2 4 4 3 3" xfId="1176" xr:uid="{00000000-0005-0000-0000-000080610000}"/>
    <cellStyle name="Финансовый 2 4 4 3 3 2" xfId="7216" xr:uid="{00000000-0005-0000-0000-000081610000}"/>
    <cellStyle name="Финансовый 2 4 4 3 3 2 2" xfId="19194" xr:uid="{00000000-0005-0000-0000-000082610000}"/>
    <cellStyle name="Финансовый 2 4 4 3 3 2 2 2" xfId="43149" xr:uid="{00000000-0005-0000-0000-000083610000}"/>
    <cellStyle name="Финансовый 2 4 4 3 3 2 3" xfId="31171" xr:uid="{00000000-0005-0000-0000-000084610000}"/>
    <cellStyle name="Финансовый 2 4 4 3 3 3" xfId="10755" xr:uid="{00000000-0005-0000-0000-000085610000}"/>
    <cellStyle name="Финансовый 2 4 4 3 3 3 2" xfId="22733" xr:uid="{00000000-0005-0000-0000-000086610000}"/>
    <cellStyle name="Финансовый 2 4 4 3 3 3 2 2" xfId="46688" xr:uid="{00000000-0005-0000-0000-000087610000}"/>
    <cellStyle name="Финансовый 2 4 4 3 3 3 3" xfId="34710" xr:uid="{00000000-0005-0000-0000-000088610000}"/>
    <cellStyle name="Финансовый 2 4 4 3 3 4" xfId="13157" xr:uid="{00000000-0005-0000-0000-000089610000}"/>
    <cellStyle name="Финансовый 2 4 4 3 3 4 2" xfId="37112" xr:uid="{00000000-0005-0000-0000-00008A610000}"/>
    <cellStyle name="Финансовый 2 4 4 3 3 5" xfId="25135" xr:uid="{00000000-0005-0000-0000-00008B610000}"/>
    <cellStyle name="Финансовый 2 4 4 3 3 6" xfId="50048" xr:uid="{00000000-0005-0000-0000-00008C610000}"/>
    <cellStyle name="Финансовый 2 4 4 3 4" xfId="783" xr:uid="{00000000-0005-0000-0000-00008D610000}"/>
    <cellStyle name="Финансовый 2 4 4 3 4 2" xfId="6823" xr:uid="{00000000-0005-0000-0000-00008E610000}"/>
    <cellStyle name="Финансовый 2 4 4 3 4 2 2" xfId="18801" xr:uid="{00000000-0005-0000-0000-00008F610000}"/>
    <cellStyle name="Финансовый 2 4 4 3 4 2 2 2" xfId="42756" xr:uid="{00000000-0005-0000-0000-000090610000}"/>
    <cellStyle name="Финансовый 2 4 4 3 4 2 3" xfId="30778" xr:uid="{00000000-0005-0000-0000-000091610000}"/>
    <cellStyle name="Финансовый 2 4 4 3 4 3" xfId="12764" xr:uid="{00000000-0005-0000-0000-000092610000}"/>
    <cellStyle name="Финансовый 2 4 4 3 4 3 2" xfId="36719" xr:uid="{00000000-0005-0000-0000-000093610000}"/>
    <cellStyle name="Финансовый 2 4 4 3 4 4" xfId="24742" xr:uid="{00000000-0005-0000-0000-000094610000}"/>
    <cellStyle name="Финансовый 2 4 4 3 5" xfId="2960" xr:uid="{00000000-0005-0000-0000-000095610000}"/>
    <cellStyle name="Финансовый 2 4 4 3 5 2" xfId="14939" xr:uid="{00000000-0005-0000-0000-000096610000}"/>
    <cellStyle name="Финансовый 2 4 4 3 5 2 2" xfId="38894" xr:uid="{00000000-0005-0000-0000-000097610000}"/>
    <cellStyle name="Финансовый 2 4 4 3 5 3" xfId="26917" xr:uid="{00000000-0005-0000-0000-000098610000}"/>
    <cellStyle name="Финансовый 2 4 4 3 6" xfId="4604" xr:uid="{00000000-0005-0000-0000-000099610000}"/>
    <cellStyle name="Финансовый 2 4 4 3 6 2" xfId="16583" xr:uid="{00000000-0005-0000-0000-00009A610000}"/>
    <cellStyle name="Финансовый 2 4 4 3 6 2 2" xfId="40538" xr:uid="{00000000-0005-0000-0000-00009B610000}"/>
    <cellStyle name="Финансовый 2 4 4 3 6 3" xfId="28561" xr:uid="{00000000-0005-0000-0000-00009C610000}"/>
    <cellStyle name="Финансовый 2 4 4 3 7" xfId="6403" xr:uid="{00000000-0005-0000-0000-00009D610000}"/>
    <cellStyle name="Финансовый 2 4 4 3 7 2" xfId="18381" xr:uid="{00000000-0005-0000-0000-00009E610000}"/>
    <cellStyle name="Финансовый 2 4 4 3 7 2 2" xfId="42336" xr:uid="{00000000-0005-0000-0000-00009F610000}"/>
    <cellStyle name="Финансовый 2 4 4 3 7 3" xfId="30358" xr:uid="{00000000-0005-0000-0000-0000A0610000}"/>
    <cellStyle name="Финансовый 2 4 4 3 8" xfId="8998" xr:uid="{00000000-0005-0000-0000-0000A1610000}"/>
    <cellStyle name="Финансовый 2 4 4 3 8 2" xfId="20976" xr:uid="{00000000-0005-0000-0000-0000A2610000}"/>
    <cellStyle name="Финансовый 2 4 4 3 8 2 2" xfId="44931" xr:uid="{00000000-0005-0000-0000-0000A3610000}"/>
    <cellStyle name="Финансовый 2 4 4 3 8 3" xfId="32953" xr:uid="{00000000-0005-0000-0000-0000A4610000}"/>
    <cellStyle name="Финансовый 2 4 4 3 9" xfId="12344" xr:uid="{00000000-0005-0000-0000-0000A5610000}"/>
    <cellStyle name="Финансовый 2 4 4 3 9 2" xfId="36299" xr:uid="{00000000-0005-0000-0000-0000A6610000}"/>
    <cellStyle name="Финансовый 2 4 4 4" xfId="1501" xr:uid="{00000000-0005-0000-0000-0000A7610000}"/>
    <cellStyle name="Финансовый 2 4 4 4 2" xfId="1886" xr:uid="{00000000-0005-0000-0000-0000A8610000}"/>
    <cellStyle name="Финансовый 2 4 4 4 2 2" xfId="3531" xr:uid="{00000000-0005-0000-0000-0000A9610000}"/>
    <cellStyle name="Финансовый 2 4 4 4 2 2 2" xfId="11271" xr:uid="{00000000-0005-0000-0000-0000AA610000}"/>
    <cellStyle name="Финансовый 2 4 4 4 2 2 2 2" xfId="23249" xr:uid="{00000000-0005-0000-0000-0000AB610000}"/>
    <cellStyle name="Финансовый 2 4 4 4 2 2 2 2 2" xfId="47204" xr:uid="{00000000-0005-0000-0000-0000AC610000}"/>
    <cellStyle name="Финансовый 2 4 4 4 2 2 2 3" xfId="35226" xr:uid="{00000000-0005-0000-0000-0000AD610000}"/>
    <cellStyle name="Финансовый 2 4 4 4 2 2 3" xfId="15510" xr:uid="{00000000-0005-0000-0000-0000AE610000}"/>
    <cellStyle name="Финансовый 2 4 4 4 2 2 3 2" xfId="39465" xr:uid="{00000000-0005-0000-0000-0000AF610000}"/>
    <cellStyle name="Финансовый 2 4 4 4 2 2 4" xfId="27488" xr:uid="{00000000-0005-0000-0000-0000B0610000}"/>
    <cellStyle name="Финансовый 2 4 4 4 2 2 5" xfId="50757" xr:uid="{00000000-0005-0000-0000-0000B1610000}"/>
    <cellStyle name="Финансовый 2 4 4 4 2 3" xfId="5314" xr:uid="{00000000-0005-0000-0000-0000B2610000}"/>
    <cellStyle name="Финансовый 2 4 4 4 2 3 2" xfId="17292" xr:uid="{00000000-0005-0000-0000-0000B3610000}"/>
    <cellStyle name="Финансовый 2 4 4 4 2 3 2 2" xfId="41247" xr:uid="{00000000-0005-0000-0000-0000B4610000}"/>
    <cellStyle name="Финансовый 2 4 4 4 2 3 3" xfId="29269" xr:uid="{00000000-0005-0000-0000-0000B5610000}"/>
    <cellStyle name="Финансовый 2 4 4 4 2 4" xfId="7924" xr:uid="{00000000-0005-0000-0000-0000B6610000}"/>
    <cellStyle name="Финансовый 2 4 4 4 2 4 2" xfId="19902" xr:uid="{00000000-0005-0000-0000-0000B7610000}"/>
    <cellStyle name="Финансовый 2 4 4 4 2 4 2 2" xfId="43857" xr:uid="{00000000-0005-0000-0000-0000B8610000}"/>
    <cellStyle name="Финансовый 2 4 4 4 2 4 3" xfId="31879" xr:uid="{00000000-0005-0000-0000-0000B9610000}"/>
    <cellStyle name="Финансовый 2 4 4 4 2 5" xfId="9707" xr:uid="{00000000-0005-0000-0000-0000BA610000}"/>
    <cellStyle name="Финансовый 2 4 4 4 2 5 2" xfId="21685" xr:uid="{00000000-0005-0000-0000-0000BB610000}"/>
    <cellStyle name="Финансовый 2 4 4 4 2 5 2 2" xfId="45640" xr:uid="{00000000-0005-0000-0000-0000BC610000}"/>
    <cellStyle name="Финансовый 2 4 4 4 2 5 3" xfId="33662" xr:uid="{00000000-0005-0000-0000-0000BD610000}"/>
    <cellStyle name="Финансовый 2 4 4 4 2 6" xfId="13865" xr:uid="{00000000-0005-0000-0000-0000BE610000}"/>
    <cellStyle name="Финансовый 2 4 4 4 2 6 2" xfId="37820" xr:uid="{00000000-0005-0000-0000-0000BF610000}"/>
    <cellStyle name="Финансовый 2 4 4 4 2 7" xfId="25843" xr:uid="{00000000-0005-0000-0000-0000C0610000}"/>
    <cellStyle name="Финансовый 2 4 4 4 2 8" xfId="48976" xr:uid="{00000000-0005-0000-0000-0000C1610000}"/>
    <cellStyle name="Финансовый 2 4 4 4 3" xfId="4929" xr:uid="{00000000-0005-0000-0000-0000C2610000}"/>
    <cellStyle name="Финансовый 2 4 4 4 3 2" xfId="16907" xr:uid="{00000000-0005-0000-0000-0000C3610000}"/>
    <cellStyle name="Финансовый 2 4 4 4 3 2 2" xfId="40862" xr:uid="{00000000-0005-0000-0000-0000C4610000}"/>
    <cellStyle name="Финансовый 2 4 4 4 3 3" xfId="28884" xr:uid="{00000000-0005-0000-0000-0000C5610000}"/>
    <cellStyle name="Финансовый 2 4 4 4 3 4" xfId="50372" xr:uid="{00000000-0005-0000-0000-0000C6610000}"/>
    <cellStyle name="Финансовый 2 4 4 4 4" xfId="7539" xr:uid="{00000000-0005-0000-0000-0000C7610000}"/>
    <cellStyle name="Финансовый 2 4 4 4 4 2" xfId="19517" xr:uid="{00000000-0005-0000-0000-0000C8610000}"/>
    <cellStyle name="Финансовый 2 4 4 4 4 2 2" xfId="43472" xr:uid="{00000000-0005-0000-0000-0000C9610000}"/>
    <cellStyle name="Финансовый 2 4 4 4 4 3" xfId="31494" xr:uid="{00000000-0005-0000-0000-0000CA610000}"/>
    <cellStyle name="Финансовый 2 4 4 4 5" xfId="9322" xr:uid="{00000000-0005-0000-0000-0000CB610000}"/>
    <cellStyle name="Финансовый 2 4 4 4 5 2" xfId="21300" xr:uid="{00000000-0005-0000-0000-0000CC610000}"/>
    <cellStyle name="Финансовый 2 4 4 4 5 2 2" xfId="45255" xr:uid="{00000000-0005-0000-0000-0000CD610000}"/>
    <cellStyle name="Финансовый 2 4 4 4 5 3" xfId="33277" xr:uid="{00000000-0005-0000-0000-0000CE610000}"/>
    <cellStyle name="Финансовый 2 4 4 4 6" xfId="13480" xr:uid="{00000000-0005-0000-0000-0000CF610000}"/>
    <cellStyle name="Финансовый 2 4 4 4 6 2" xfId="37435" xr:uid="{00000000-0005-0000-0000-0000D0610000}"/>
    <cellStyle name="Финансовый 2 4 4 4 7" xfId="25458" xr:uid="{00000000-0005-0000-0000-0000D1610000}"/>
    <cellStyle name="Финансовый 2 4 4 4 8" xfId="48591" xr:uid="{00000000-0005-0000-0000-0000D2610000}"/>
    <cellStyle name="Финансовый 2 4 4 5" xfId="1762" xr:uid="{00000000-0005-0000-0000-0000D3610000}"/>
    <cellStyle name="Финансовый 2 4 4 5 2" xfId="3407" xr:uid="{00000000-0005-0000-0000-0000D4610000}"/>
    <cellStyle name="Финансовый 2 4 4 5 2 2" xfId="11155" xr:uid="{00000000-0005-0000-0000-0000D5610000}"/>
    <cellStyle name="Финансовый 2 4 4 5 2 2 2" xfId="23133" xr:uid="{00000000-0005-0000-0000-0000D6610000}"/>
    <cellStyle name="Финансовый 2 4 4 5 2 2 2 2" xfId="47088" xr:uid="{00000000-0005-0000-0000-0000D7610000}"/>
    <cellStyle name="Финансовый 2 4 4 5 2 2 3" xfId="35110" xr:uid="{00000000-0005-0000-0000-0000D8610000}"/>
    <cellStyle name="Финансовый 2 4 4 5 2 3" xfId="15386" xr:uid="{00000000-0005-0000-0000-0000D9610000}"/>
    <cellStyle name="Финансовый 2 4 4 5 2 3 2" xfId="39341" xr:uid="{00000000-0005-0000-0000-0000DA610000}"/>
    <cellStyle name="Финансовый 2 4 4 5 2 4" xfId="27364" xr:uid="{00000000-0005-0000-0000-0000DB610000}"/>
    <cellStyle name="Финансовый 2 4 4 5 2 5" xfId="50633" xr:uid="{00000000-0005-0000-0000-0000DC610000}"/>
    <cellStyle name="Финансовый 2 4 4 5 3" xfId="5190" xr:uid="{00000000-0005-0000-0000-0000DD610000}"/>
    <cellStyle name="Финансовый 2 4 4 5 3 2" xfId="17168" xr:uid="{00000000-0005-0000-0000-0000DE610000}"/>
    <cellStyle name="Финансовый 2 4 4 5 3 2 2" xfId="41123" xr:uid="{00000000-0005-0000-0000-0000DF610000}"/>
    <cellStyle name="Финансовый 2 4 4 5 3 3" xfId="29145" xr:uid="{00000000-0005-0000-0000-0000E0610000}"/>
    <cellStyle name="Финансовый 2 4 4 5 4" xfId="7800" xr:uid="{00000000-0005-0000-0000-0000E1610000}"/>
    <cellStyle name="Финансовый 2 4 4 5 4 2" xfId="19778" xr:uid="{00000000-0005-0000-0000-0000E2610000}"/>
    <cellStyle name="Финансовый 2 4 4 5 4 2 2" xfId="43733" xr:uid="{00000000-0005-0000-0000-0000E3610000}"/>
    <cellStyle name="Финансовый 2 4 4 5 4 3" xfId="31755" xr:uid="{00000000-0005-0000-0000-0000E4610000}"/>
    <cellStyle name="Финансовый 2 4 4 5 5" xfId="9583" xr:uid="{00000000-0005-0000-0000-0000E5610000}"/>
    <cellStyle name="Финансовый 2 4 4 5 5 2" xfId="21561" xr:uid="{00000000-0005-0000-0000-0000E6610000}"/>
    <cellStyle name="Финансовый 2 4 4 5 5 2 2" xfId="45516" xr:uid="{00000000-0005-0000-0000-0000E7610000}"/>
    <cellStyle name="Финансовый 2 4 4 5 5 3" xfId="33538" xr:uid="{00000000-0005-0000-0000-0000E8610000}"/>
    <cellStyle name="Финансовый 2 4 4 5 6" xfId="13741" xr:uid="{00000000-0005-0000-0000-0000E9610000}"/>
    <cellStyle name="Финансовый 2 4 4 5 6 2" xfId="37696" xr:uid="{00000000-0005-0000-0000-0000EA610000}"/>
    <cellStyle name="Финансовый 2 4 4 5 7" xfId="25719" xr:uid="{00000000-0005-0000-0000-0000EB610000}"/>
    <cellStyle name="Финансовый 2 4 4 5 8" xfId="48852" xr:uid="{00000000-0005-0000-0000-0000EC610000}"/>
    <cellStyle name="Финансовый 2 4 4 6" xfId="2407" xr:uid="{00000000-0005-0000-0000-0000ED610000}"/>
    <cellStyle name="Финансовый 2 4 4 6 2" xfId="4052" xr:uid="{00000000-0005-0000-0000-0000EE610000}"/>
    <cellStyle name="Финансовый 2 4 4 6 2 2" xfId="11784" xr:uid="{00000000-0005-0000-0000-0000EF610000}"/>
    <cellStyle name="Финансовый 2 4 4 6 2 2 2" xfId="23762" xr:uid="{00000000-0005-0000-0000-0000F0610000}"/>
    <cellStyle name="Финансовый 2 4 4 6 2 2 2 2" xfId="47717" xr:uid="{00000000-0005-0000-0000-0000F1610000}"/>
    <cellStyle name="Финансовый 2 4 4 6 2 2 3" xfId="35739" xr:uid="{00000000-0005-0000-0000-0000F2610000}"/>
    <cellStyle name="Финансовый 2 4 4 6 2 3" xfId="16031" xr:uid="{00000000-0005-0000-0000-0000F3610000}"/>
    <cellStyle name="Финансовый 2 4 4 6 2 3 2" xfId="39986" xr:uid="{00000000-0005-0000-0000-0000F4610000}"/>
    <cellStyle name="Финансовый 2 4 4 6 2 4" xfId="28009" xr:uid="{00000000-0005-0000-0000-0000F5610000}"/>
    <cellStyle name="Финансовый 2 4 4 6 2 5" xfId="51278" xr:uid="{00000000-0005-0000-0000-0000F6610000}"/>
    <cellStyle name="Финансовый 2 4 4 6 3" xfId="5835" xr:uid="{00000000-0005-0000-0000-0000F7610000}"/>
    <cellStyle name="Финансовый 2 4 4 6 3 2" xfId="17813" xr:uid="{00000000-0005-0000-0000-0000F8610000}"/>
    <cellStyle name="Финансовый 2 4 4 6 3 2 2" xfId="41768" xr:uid="{00000000-0005-0000-0000-0000F9610000}"/>
    <cellStyle name="Финансовый 2 4 4 6 3 3" xfId="29790" xr:uid="{00000000-0005-0000-0000-0000FA610000}"/>
    <cellStyle name="Финансовый 2 4 4 6 4" xfId="8445" xr:uid="{00000000-0005-0000-0000-0000FB610000}"/>
    <cellStyle name="Финансовый 2 4 4 6 4 2" xfId="20423" xr:uid="{00000000-0005-0000-0000-0000FC610000}"/>
    <cellStyle name="Финансовый 2 4 4 6 4 2 2" xfId="44378" xr:uid="{00000000-0005-0000-0000-0000FD610000}"/>
    <cellStyle name="Финансовый 2 4 4 6 4 3" xfId="32400" xr:uid="{00000000-0005-0000-0000-0000FE610000}"/>
    <cellStyle name="Финансовый 2 4 4 6 5" xfId="10228" xr:uid="{00000000-0005-0000-0000-0000FF610000}"/>
    <cellStyle name="Финансовый 2 4 4 6 5 2" xfId="22206" xr:uid="{00000000-0005-0000-0000-000000620000}"/>
    <cellStyle name="Финансовый 2 4 4 6 5 2 2" xfId="46161" xr:uid="{00000000-0005-0000-0000-000001620000}"/>
    <cellStyle name="Финансовый 2 4 4 6 5 3" xfId="34183" xr:uid="{00000000-0005-0000-0000-000002620000}"/>
    <cellStyle name="Финансовый 2 4 4 6 6" xfId="14386" xr:uid="{00000000-0005-0000-0000-000003620000}"/>
    <cellStyle name="Финансовый 2 4 4 6 6 2" xfId="38341" xr:uid="{00000000-0005-0000-0000-000004620000}"/>
    <cellStyle name="Финансовый 2 4 4 6 7" xfId="26364" xr:uid="{00000000-0005-0000-0000-000005620000}"/>
    <cellStyle name="Финансовый 2 4 4 6 8" xfId="49497" xr:uid="{00000000-0005-0000-0000-000006620000}"/>
    <cellStyle name="Финансовый 2 4 4 7" xfId="1634" xr:uid="{00000000-0005-0000-0000-000007620000}"/>
    <cellStyle name="Финансовый 2 4 4 7 2" xfId="3279" xr:uid="{00000000-0005-0000-0000-000008620000}"/>
    <cellStyle name="Финансовый 2 4 4 7 2 2" xfId="11027" xr:uid="{00000000-0005-0000-0000-000009620000}"/>
    <cellStyle name="Финансовый 2 4 4 7 2 2 2" xfId="23005" xr:uid="{00000000-0005-0000-0000-00000A620000}"/>
    <cellStyle name="Финансовый 2 4 4 7 2 2 2 2" xfId="46960" xr:uid="{00000000-0005-0000-0000-00000B620000}"/>
    <cellStyle name="Финансовый 2 4 4 7 2 2 3" xfId="34982" xr:uid="{00000000-0005-0000-0000-00000C620000}"/>
    <cellStyle name="Финансовый 2 4 4 7 2 3" xfId="15258" xr:uid="{00000000-0005-0000-0000-00000D620000}"/>
    <cellStyle name="Финансовый 2 4 4 7 2 3 2" xfId="39213" xr:uid="{00000000-0005-0000-0000-00000E620000}"/>
    <cellStyle name="Финансовый 2 4 4 7 2 4" xfId="27236" xr:uid="{00000000-0005-0000-0000-00000F620000}"/>
    <cellStyle name="Финансовый 2 4 4 7 2 5" xfId="50505" xr:uid="{00000000-0005-0000-0000-000010620000}"/>
    <cellStyle name="Финансовый 2 4 4 7 3" xfId="5062" xr:uid="{00000000-0005-0000-0000-000011620000}"/>
    <cellStyle name="Финансовый 2 4 4 7 3 2" xfId="17040" xr:uid="{00000000-0005-0000-0000-000012620000}"/>
    <cellStyle name="Финансовый 2 4 4 7 3 2 2" xfId="40995" xr:uid="{00000000-0005-0000-0000-000013620000}"/>
    <cellStyle name="Финансовый 2 4 4 7 3 3" xfId="29017" xr:uid="{00000000-0005-0000-0000-000014620000}"/>
    <cellStyle name="Финансовый 2 4 4 7 4" xfId="7672" xr:uid="{00000000-0005-0000-0000-000015620000}"/>
    <cellStyle name="Финансовый 2 4 4 7 4 2" xfId="19650" xr:uid="{00000000-0005-0000-0000-000016620000}"/>
    <cellStyle name="Финансовый 2 4 4 7 4 2 2" xfId="43605" xr:uid="{00000000-0005-0000-0000-000017620000}"/>
    <cellStyle name="Финансовый 2 4 4 7 4 3" xfId="31627" xr:uid="{00000000-0005-0000-0000-000018620000}"/>
    <cellStyle name="Финансовый 2 4 4 7 5" xfId="9455" xr:uid="{00000000-0005-0000-0000-000019620000}"/>
    <cellStyle name="Финансовый 2 4 4 7 5 2" xfId="21433" xr:uid="{00000000-0005-0000-0000-00001A620000}"/>
    <cellStyle name="Финансовый 2 4 4 7 5 2 2" xfId="45388" xr:uid="{00000000-0005-0000-0000-00001B620000}"/>
    <cellStyle name="Финансовый 2 4 4 7 5 3" xfId="33410" xr:uid="{00000000-0005-0000-0000-00001C620000}"/>
    <cellStyle name="Финансовый 2 4 4 7 6" xfId="13613" xr:uid="{00000000-0005-0000-0000-00001D620000}"/>
    <cellStyle name="Финансовый 2 4 4 7 6 2" xfId="37568" xr:uid="{00000000-0005-0000-0000-00001E620000}"/>
    <cellStyle name="Финансовый 2 4 4 7 7" xfId="25591" xr:uid="{00000000-0005-0000-0000-00001F620000}"/>
    <cellStyle name="Финансовый 2 4 4 7 8" xfId="48724" xr:uid="{00000000-0005-0000-0000-000020620000}"/>
    <cellStyle name="Финансовый 2 4 4 8" xfId="911" xr:uid="{00000000-0005-0000-0000-000021620000}"/>
    <cellStyle name="Финансовый 2 4 4 8 2" xfId="6951" xr:uid="{00000000-0005-0000-0000-000022620000}"/>
    <cellStyle name="Финансовый 2 4 4 8 2 2" xfId="18929" xr:uid="{00000000-0005-0000-0000-000023620000}"/>
    <cellStyle name="Финансовый 2 4 4 8 2 2 2" xfId="42884" xr:uid="{00000000-0005-0000-0000-000024620000}"/>
    <cellStyle name="Финансовый 2 4 4 8 2 3" xfId="30906" xr:uid="{00000000-0005-0000-0000-000025620000}"/>
    <cellStyle name="Финансовый 2 4 4 8 3" xfId="10499" xr:uid="{00000000-0005-0000-0000-000026620000}"/>
    <cellStyle name="Финансовый 2 4 4 8 3 2" xfId="22477" xr:uid="{00000000-0005-0000-0000-000027620000}"/>
    <cellStyle name="Финансовый 2 4 4 8 3 2 2" xfId="46432" xr:uid="{00000000-0005-0000-0000-000028620000}"/>
    <cellStyle name="Финансовый 2 4 4 8 3 3" xfId="34454" xr:uid="{00000000-0005-0000-0000-000029620000}"/>
    <cellStyle name="Финансовый 2 4 4 8 4" xfId="12892" xr:uid="{00000000-0005-0000-0000-00002A620000}"/>
    <cellStyle name="Финансовый 2 4 4 8 4 2" xfId="36847" xr:uid="{00000000-0005-0000-0000-00002B620000}"/>
    <cellStyle name="Финансовый 2 4 4 8 5" xfId="24870" xr:uid="{00000000-0005-0000-0000-00002C620000}"/>
    <cellStyle name="Финансовый 2 4 4 8 6" xfId="49776" xr:uid="{00000000-0005-0000-0000-00002D620000}"/>
    <cellStyle name="Финансовый 2 4 4 9" xfId="499" xr:uid="{00000000-0005-0000-0000-00002E620000}"/>
    <cellStyle name="Финансовый 2 4 4 9 2" xfId="6539" xr:uid="{00000000-0005-0000-0000-00002F620000}"/>
    <cellStyle name="Финансовый 2 4 4 9 2 2" xfId="18517" xr:uid="{00000000-0005-0000-0000-000030620000}"/>
    <cellStyle name="Финансовый 2 4 4 9 2 2 2" xfId="42472" xr:uid="{00000000-0005-0000-0000-000031620000}"/>
    <cellStyle name="Финансовый 2 4 4 9 2 3" xfId="30494" xr:uid="{00000000-0005-0000-0000-000032620000}"/>
    <cellStyle name="Финансовый 2 4 4 9 3" xfId="12480" xr:uid="{00000000-0005-0000-0000-000033620000}"/>
    <cellStyle name="Финансовый 2 4 4 9 3 2" xfId="36435" xr:uid="{00000000-0005-0000-0000-000034620000}"/>
    <cellStyle name="Финансовый 2 4 4 9 4" xfId="24458" xr:uid="{00000000-0005-0000-0000-000035620000}"/>
    <cellStyle name="Финансовый 2 4 5" xfId="56" xr:uid="{00000000-0005-0000-0000-000036620000}"/>
    <cellStyle name="Финансовый 2 4 5 10" xfId="2668" xr:uid="{00000000-0005-0000-0000-000037620000}"/>
    <cellStyle name="Финансовый 2 4 5 10 2" xfId="14647" xr:uid="{00000000-0005-0000-0000-000038620000}"/>
    <cellStyle name="Финансовый 2 4 5 10 2 2" xfId="38602" xr:uid="{00000000-0005-0000-0000-000039620000}"/>
    <cellStyle name="Финансовый 2 4 5 10 3" xfId="26625" xr:uid="{00000000-0005-0000-0000-00003A620000}"/>
    <cellStyle name="Финансовый 2 4 5 11" xfId="4311" xr:uid="{00000000-0005-0000-0000-00003B620000}"/>
    <cellStyle name="Финансовый 2 4 5 11 2" xfId="16290" xr:uid="{00000000-0005-0000-0000-00003C620000}"/>
    <cellStyle name="Финансовый 2 4 5 11 2 2" xfId="40245" xr:uid="{00000000-0005-0000-0000-00003D620000}"/>
    <cellStyle name="Финансовый 2 4 5 11 3" xfId="28268" xr:uid="{00000000-0005-0000-0000-00003E620000}"/>
    <cellStyle name="Финансовый 2 4 5 12" xfId="6099" xr:uid="{00000000-0005-0000-0000-00003F620000}"/>
    <cellStyle name="Финансовый 2 4 5 12 2" xfId="18077" xr:uid="{00000000-0005-0000-0000-000040620000}"/>
    <cellStyle name="Финансовый 2 4 5 12 2 2" xfId="42032" xr:uid="{00000000-0005-0000-0000-000041620000}"/>
    <cellStyle name="Финансовый 2 4 5 12 3" xfId="30054" xr:uid="{00000000-0005-0000-0000-000042620000}"/>
    <cellStyle name="Финансовый 2 4 5 13" xfId="8706" xr:uid="{00000000-0005-0000-0000-000043620000}"/>
    <cellStyle name="Финансовый 2 4 5 13 2" xfId="20684" xr:uid="{00000000-0005-0000-0000-000044620000}"/>
    <cellStyle name="Финансовый 2 4 5 13 2 2" xfId="44639" xr:uid="{00000000-0005-0000-0000-000045620000}"/>
    <cellStyle name="Финансовый 2 4 5 13 3" xfId="32661" xr:uid="{00000000-0005-0000-0000-000046620000}"/>
    <cellStyle name="Финансовый 2 4 5 14" xfId="12040" xr:uid="{00000000-0005-0000-0000-000047620000}"/>
    <cellStyle name="Финансовый 2 4 5 14 2" xfId="35995" xr:uid="{00000000-0005-0000-0000-000048620000}"/>
    <cellStyle name="Финансовый 2 4 5 15" xfId="24018" xr:uid="{00000000-0005-0000-0000-000049620000}"/>
    <cellStyle name="Финансовый 2 4 5 16" xfId="47976" xr:uid="{00000000-0005-0000-0000-00004A620000}"/>
    <cellStyle name="Финансовый 2 4 5 2" xfId="194" xr:uid="{00000000-0005-0000-0000-00004B620000}"/>
    <cellStyle name="Финансовый 2 4 5 2 10" xfId="8842" xr:uid="{00000000-0005-0000-0000-00004C620000}"/>
    <cellStyle name="Финансовый 2 4 5 2 10 2" xfId="20820" xr:uid="{00000000-0005-0000-0000-00004D620000}"/>
    <cellStyle name="Финансовый 2 4 5 2 10 2 2" xfId="44775" xr:uid="{00000000-0005-0000-0000-00004E620000}"/>
    <cellStyle name="Финансовый 2 4 5 2 10 3" xfId="32797" xr:uid="{00000000-0005-0000-0000-00004F620000}"/>
    <cellStyle name="Финансовый 2 4 5 2 11" xfId="12176" xr:uid="{00000000-0005-0000-0000-000050620000}"/>
    <cellStyle name="Финансовый 2 4 5 2 11 2" xfId="36131" xr:uid="{00000000-0005-0000-0000-000051620000}"/>
    <cellStyle name="Финансовый 2 4 5 2 12" xfId="24154" xr:uid="{00000000-0005-0000-0000-000052620000}"/>
    <cellStyle name="Финансовый 2 4 5 2 13" xfId="48112" xr:uid="{00000000-0005-0000-0000-000053620000}"/>
    <cellStyle name="Финансовый 2 4 5 2 2" xfId="1292" xr:uid="{00000000-0005-0000-0000-000054620000}"/>
    <cellStyle name="Финансовый 2 4 5 2 2 2" xfId="2258" xr:uid="{00000000-0005-0000-0000-000055620000}"/>
    <cellStyle name="Финансовый 2 4 5 2 2 2 2" xfId="3903" xr:uid="{00000000-0005-0000-0000-000056620000}"/>
    <cellStyle name="Финансовый 2 4 5 2 2 2 2 2" xfId="11643" xr:uid="{00000000-0005-0000-0000-000057620000}"/>
    <cellStyle name="Финансовый 2 4 5 2 2 2 2 2 2" xfId="23621" xr:uid="{00000000-0005-0000-0000-000058620000}"/>
    <cellStyle name="Финансовый 2 4 5 2 2 2 2 2 2 2" xfId="47576" xr:uid="{00000000-0005-0000-0000-000059620000}"/>
    <cellStyle name="Финансовый 2 4 5 2 2 2 2 2 3" xfId="35598" xr:uid="{00000000-0005-0000-0000-00005A620000}"/>
    <cellStyle name="Финансовый 2 4 5 2 2 2 2 3" xfId="15882" xr:uid="{00000000-0005-0000-0000-00005B620000}"/>
    <cellStyle name="Финансовый 2 4 5 2 2 2 2 3 2" xfId="39837" xr:uid="{00000000-0005-0000-0000-00005C620000}"/>
    <cellStyle name="Финансовый 2 4 5 2 2 2 2 4" xfId="27860" xr:uid="{00000000-0005-0000-0000-00005D620000}"/>
    <cellStyle name="Финансовый 2 4 5 2 2 2 2 5" xfId="51129" xr:uid="{00000000-0005-0000-0000-00005E620000}"/>
    <cellStyle name="Финансовый 2 4 5 2 2 2 3" xfId="5686" xr:uid="{00000000-0005-0000-0000-00005F620000}"/>
    <cellStyle name="Финансовый 2 4 5 2 2 2 3 2" xfId="17664" xr:uid="{00000000-0005-0000-0000-000060620000}"/>
    <cellStyle name="Финансовый 2 4 5 2 2 2 3 2 2" xfId="41619" xr:uid="{00000000-0005-0000-0000-000061620000}"/>
    <cellStyle name="Финансовый 2 4 5 2 2 2 3 3" xfId="29641" xr:uid="{00000000-0005-0000-0000-000062620000}"/>
    <cellStyle name="Финансовый 2 4 5 2 2 2 4" xfId="8296" xr:uid="{00000000-0005-0000-0000-000063620000}"/>
    <cellStyle name="Финансовый 2 4 5 2 2 2 4 2" xfId="20274" xr:uid="{00000000-0005-0000-0000-000064620000}"/>
    <cellStyle name="Финансовый 2 4 5 2 2 2 4 2 2" xfId="44229" xr:uid="{00000000-0005-0000-0000-000065620000}"/>
    <cellStyle name="Финансовый 2 4 5 2 2 2 4 3" xfId="32251" xr:uid="{00000000-0005-0000-0000-000066620000}"/>
    <cellStyle name="Финансовый 2 4 5 2 2 2 5" xfId="10079" xr:uid="{00000000-0005-0000-0000-000067620000}"/>
    <cellStyle name="Финансовый 2 4 5 2 2 2 5 2" xfId="22057" xr:uid="{00000000-0005-0000-0000-000068620000}"/>
    <cellStyle name="Финансовый 2 4 5 2 2 2 5 2 2" xfId="46012" xr:uid="{00000000-0005-0000-0000-000069620000}"/>
    <cellStyle name="Финансовый 2 4 5 2 2 2 5 3" xfId="34034" xr:uid="{00000000-0005-0000-0000-00006A620000}"/>
    <cellStyle name="Финансовый 2 4 5 2 2 2 6" xfId="14237" xr:uid="{00000000-0005-0000-0000-00006B620000}"/>
    <cellStyle name="Финансовый 2 4 5 2 2 2 6 2" xfId="38192" xr:uid="{00000000-0005-0000-0000-00006C620000}"/>
    <cellStyle name="Финансовый 2 4 5 2 2 2 7" xfId="26215" xr:uid="{00000000-0005-0000-0000-00006D620000}"/>
    <cellStyle name="Финансовый 2 4 5 2 2 2 8" xfId="49348" xr:uid="{00000000-0005-0000-0000-00006E620000}"/>
    <cellStyle name="Финансовый 2 4 5 2 2 3" xfId="3076" xr:uid="{00000000-0005-0000-0000-00006F620000}"/>
    <cellStyle name="Финансовый 2 4 5 2 2 3 2" xfId="10871" xr:uid="{00000000-0005-0000-0000-000070620000}"/>
    <cellStyle name="Финансовый 2 4 5 2 2 3 2 2" xfId="22849" xr:uid="{00000000-0005-0000-0000-000071620000}"/>
    <cellStyle name="Финансовый 2 4 5 2 2 3 2 2 2" xfId="46804" xr:uid="{00000000-0005-0000-0000-000072620000}"/>
    <cellStyle name="Финансовый 2 4 5 2 2 3 2 3" xfId="34826" xr:uid="{00000000-0005-0000-0000-000073620000}"/>
    <cellStyle name="Финансовый 2 4 5 2 2 3 3" xfId="15055" xr:uid="{00000000-0005-0000-0000-000074620000}"/>
    <cellStyle name="Финансовый 2 4 5 2 2 3 3 2" xfId="39010" xr:uid="{00000000-0005-0000-0000-000075620000}"/>
    <cellStyle name="Финансовый 2 4 5 2 2 3 4" xfId="27033" xr:uid="{00000000-0005-0000-0000-000076620000}"/>
    <cellStyle name="Финансовый 2 4 5 2 2 3 5" xfId="50164" xr:uid="{00000000-0005-0000-0000-000077620000}"/>
    <cellStyle name="Финансовый 2 4 5 2 2 4" xfId="4720" xr:uid="{00000000-0005-0000-0000-000078620000}"/>
    <cellStyle name="Финансовый 2 4 5 2 2 4 2" xfId="16699" xr:uid="{00000000-0005-0000-0000-000079620000}"/>
    <cellStyle name="Финансовый 2 4 5 2 2 4 2 2" xfId="40654" xr:uid="{00000000-0005-0000-0000-00007A620000}"/>
    <cellStyle name="Финансовый 2 4 5 2 2 4 3" xfId="28677" xr:uid="{00000000-0005-0000-0000-00007B620000}"/>
    <cellStyle name="Финансовый 2 4 5 2 2 5" xfId="7332" xr:uid="{00000000-0005-0000-0000-00007C620000}"/>
    <cellStyle name="Финансовый 2 4 5 2 2 5 2" xfId="19310" xr:uid="{00000000-0005-0000-0000-00007D620000}"/>
    <cellStyle name="Финансовый 2 4 5 2 2 5 2 2" xfId="43265" xr:uid="{00000000-0005-0000-0000-00007E620000}"/>
    <cellStyle name="Финансовый 2 4 5 2 2 5 3" xfId="31287" xr:uid="{00000000-0005-0000-0000-00007F620000}"/>
    <cellStyle name="Финансовый 2 4 5 2 2 6" xfId="9114" xr:uid="{00000000-0005-0000-0000-000080620000}"/>
    <cellStyle name="Финансовый 2 4 5 2 2 6 2" xfId="21092" xr:uid="{00000000-0005-0000-0000-000081620000}"/>
    <cellStyle name="Финансовый 2 4 5 2 2 6 2 2" xfId="45047" xr:uid="{00000000-0005-0000-0000-000082620000}"/>
    <cellStyle name="Финансовый 2 4 5 2 2 6 3" xfId="33069" xr:uid="{00000000-0005-0000-0000-000083620000}"/>
    <cellStyle name="Финансовый 2 4 5 2 2 7" xfId="13273" xr:uid="{00000000-0005-0000-0000-000084620000}"/>
    <cellStyle name="Финансовый 2 4 5 2 2 7 2" xfId="37228" xr:uid="{00000000-0005-0000-0000-000085620000}"/>
    <cellStyle name="Финансовый 2 4 5 2 2 8" xfId="25251" xr:uid="{00000000-0005-0000-0000-000086620000}"/>
    <cellStyle name="Финансовый 2 4 5 2 2 9" xfId="48384" xr:uid="{00000000-0005-0000-0000-000087620000}"/>
    <cellStyle name="Финансовый 2 4 5 2 3" xfId="2002" xr:uid="{00000000-0005-0000-0000-000088620000}"/>
    <cellStyle name="Финансовый 2 4 5 2 3 2" xfId="3647" xr:uid="{00000000-0005-0000-0000-000089620000}"/>
    <cellStyle name="Финансовый 2 4 5 2 3 2 2" xfId="11387" xr:uid="{00000000-0005-0000-0000-00008A620000}"/>
    <cellStyle name="Финансовый 2 4 5 2 3 2 2 2" xfId="23365" xr:uid="{00000000-0005-0000-0000-00008B620000}"/>
    <cellStyle name="Финансовый 2 4 5 2 3 2 2 2 2" xfId="47320" xr:uid="{00000000-0005-0000-0000-00008C620000}"/>
    <cellStyle name="Финансовый 2 4 5 2 3 2 2 3" xfId="35342" xr:uid="{00000000-0005-0000-0000-00008D620000}"/>
    <cellStyle name="Финансовый 2 4 5 2 3 2 3" xfId="15626" xr:uid="{00000000-0005-0000-0000-00008E620000}"/>
    <cellStyle name="Финансовый 2 4 5 2 3 2 3 2" xfId="39581" xr:uid="{00000000-0005-0000-0000-00008F620000}"/>
    <cellStyle name="Финансовый 2 4 5 2 3 2 4" xfId="27604" xr:uid="{00000000-0005-0000-0000-000090620000}"/>
    <cellStyle name="Финансовый 2 4 5 2 3 2 5" xfId="50873" xr:uid="{00000000-0005-0000-0000-000091620000}"/>
    <cellStyle name="Финансовый 2 4 5 2 3 3" xfId="5430" xr:uid="{00000000-0005-0000-0000-000092620000}"/>
    <cellStyle name="Финансовый 2 4 5 2 3 3 2" xfId="17408" xr:uid="{00000000-0005-0000-0000-000093620000}"/>
    <cellStyle name="Финансовый 2 4 5 2 3 3 2 2" xfId="41363" xr:uid="{00000000-0005-0000-0000-000094620000}"/>
    <cellStyle name="Финансовый 2 4 5 2 3 3 3" xfId="29385" xr:uid="{00000000-0005-0000-0000-000095620000}"/>
    <cellStyle name="Финансовый 2 4 5 2 3 4" xfId="8040" xr:uid="{00000000-0005-0000-0000-000096620000}"/>
    <cellStyle name="Финансовый 2 4 5 2 3 4 2" xfId="20018" xr:uid="{00000000-0005-0000-0000-000097620000}"/>
    <cellStyle name="Финансовый 2 4 5 2 3 4 2 2" xfId="43973" xr:uid="{00000000-0005-0000-0000-000098620000}"/>
    <cellStyle name="Финансовый 2 4 5 2 3 4 3" xfId="31995" xr:uid="{00000000-0005-0000-0000-000099620000}"/>
    <cellStyle name="Финансовый 2 4 5 2 3 5" xfId="9823" xr:uid="{00000000-0005-0000-0000-00009A620000}"/>
    <cellStyle name="Финансовый 2 4 5 2 3 5 2" xfId="21801" xr:uid="{00000000-0005-0000-0000-00009B620000}"/>
    <cellStyle name="Финансовый 2 4 5 2 3 5 2 2" xfId="45756" xr:uid="{00000000-0005-0000-0000-00009C620000}"/>
    <cellStyle name="Финансовый 2 4 5 2 3 5 3" xfId="33778" xr:uid="{00000000-0005-0000-0000-00009D620000}"/>
    <cellStyle name="Финансовый 2 4 5 2 3 6" xfId="13981" xr:uid="{00000000-0005-0000-0000-00009E620000}"/>
    <cellStyle name="Финансовый 2 4 5 2 3 6 2" xfId="37936" xr:uid="{00000000-0005-0000-0000-00009F620000}"/>
    <cellStyle name="Финансовый 2 4 5 2 3 7" xfId="25959" xr:uid="{00000000-0005-0000-0000-0000A0620000}"/>
    <cellStyle name="Финансовый 2 4 5 2 3 8" xfId="49092" xr:uid="{00000000-0005-0000-0000-0000A1620000}"/>
    <cellStyle name="Финансовый 2 4 5 2 4" xfId="2523" xr:uid="{00000000-0005-0000-0000-0000A2620000}"/>
    <cellStyle name="Финансовый 2 4 5 2 4 2" xfId="4168" xr:uid="{00000000-0005-0000-0000-0000A3620000}"/>
    <cellStyle name="Финансовый 2 4 5 2 4 2 2" xfId="11900" xr:uid="{00000000-0005-0000-0000-0000A4620000}"/>
    <cellStyle name="Финансовый 2 4 5 2 4 2 2 2" xfId="23878" xr:uid="{00000000-0005-0000-0000-0000A5620000}"/>
    <cellStyle name="Финансовый 2 4 5 2 4 2 2 2 2" xfId="47833" xr:uid="{00000000-0005-0000-0000-0000A6620000}"/>
    <cellStyle name="Финансовый 2 4 5 2 4 2 2 3" xfId="35855" xr:uid="{00000000-0005-0000-0000-0000A7620000}"/>
    <cellStyle name="Финансовый 2 4 5 2 4 2 3" xfId="16147" xr:uid="{00000000-0005-0000-0000-0000A8620000}"/>
    <cellStyle name="Финансовый 2 4 5 2 4 2 3 2" xfId="40102" xr:uid="{00000000-0005-0000-0000-0000A9620000}"/>
    <cellStyle name="Финансовый 2 4 5 2 4 2 4" xfId="28125" xr:uid="{00000000-0005-0000-0000-0000AA620000}"/>
    <cellStyle name="Финансовый 2 4 5 2 4 2 5" xfId="51394" xr:uid="{00000000-0005-0000-0000-0000AB620000}"/>
    <cellStyle name="Финансовый 2 4 5 2 4 3" xfId="5951" xr:uid="{00000000-0005-0000-0000-0000AC620000}"/>
    <cellStyle name="Финансовый 2 4 5 2 4 3 2" xfId="17929" xr:uid="{00000000-0005-0000-0000-0000AD620000}"/>
    <cellStyle name="Финансовый 2 4 5 2 4 3 2 2" xfId="41884" xr:uid="{00000000-0005-0000-0000-0000AE620000}"/>
    <cellStyle name="Финансовый 2 4 5 2 4 3 3" xfId="29906" xr:uid="{00000000-0005-0000-0000-0000AF620000}"/>
    <cellStyle name="Финансовый 2 4 5 2 4 4" xfId="8561" xr:uid="{00000000-0005-0000-0000-0000B0620000}"/>
    <cellStyle name="Финансовый 2 4 5 2 4 4 2" xfId="20539" xr:uid="{00000000-0005-0000-0000-0000B1620000}"/>
    <cellStyle name="Финансовый 2 4 5 2 4 4 2 2" xfId="44494" xr:uid="{00000000-0005-0000-0000-0000B2620000}"/>
    <cellStyle name="Финансовый 2 4 5 2 4 4 3" xfId="32516" xr:uid="{00000000-0005-0000-0000-0000B3620000}"/>
    <cellStyle name="Финансовый 2 4 5 2 4 5" xfId="10344" xr:uid="{00000000-0005-0000-0000-0000B4620000}"/>
    <cellStyle name="Финансовый 2 4 5 2 4 5 2" xfId="22322" xr:uid="{00000000-0005-0000-0000-0000B5620000}"/>
    <cellStyle name="Финансовый 2 4 5 2 4 5 2 2" xfId="46277" xr:uid="{00000000-0005-0000-0000-0000B6620000}"/>
    <cellStyle name="Финансовый 2 4 5 2 4 5 3" xfId="34299" xr:uid="{00000000-0005-0000-0000-0000B7620000}"/>
    <cellStyle name="Финансовый 2 4 5 2 4 6" xfId="14502" xr:uid="{00000000-0005-0000-0000-0000B8620000}"/>
    <cellStyle name="Финансовый 2 4 5 2 4 6 2" xfId="38457" xr:uid="{00000000-0005-0000-0000-0000B9620000}"/>
    <cellStyle name="Финансовый 2 4 5 2 4 7" xfId="26480" xr:uid="{00000000-0005-0000-0000-0000BA620000}"/>
    <cellStyle name="Финансовый 2 4 5 2 4 8" xfId="49613" xr:uid="{00000000-0005-0000-0000-0000BB620000}"/>
    <cellStyle name="Финансовый 2 4 5 2 5" xfId="1027" xr:uid="{00000000-0005-0000-0000-0000BC620000}"/>
    <cellStyle name="Финансовый 2 4 5 2 5 2" xfId="7067" xr:uid="{00000000-0005-0000-0000-0000BD620000}"/>
    <cellStyle name="Финансовый 2 4 5 2 5 2 2" xfId="19045" xr:uid="{00000000-0005-0000-0000-0000BE620000}"/>
    <cellStyle name="Финансовый 2 4 5 2 5 2 2 2" xfId="43000" xr:uid="{00000000-0005-0000-0000-0000BF620000}"/>
    <cellStyle name="Финансовый 2 4 5 2 5 2 3" xfId="31022" xr:uid="{00000000-0005-0000-0000-0000C0620000}"/>
    <cellStyle name="Финансовый 2 4 5 2 5 3" xfId="10615" xr:uid="{00000000-0005-0000-0000-0000C1620000}"/>
    <cellStyle name="Финансовый 2 4 5 2 5 3 2" xfId="22593" xr:uid="{00000000-0005-0000-0000-0000C2620000}"/>
    <cellStyle name="Финансовый 2 4 5 2 5 3 2 2" xfId="46548" xr:uid="{00000000-0005-0000-0000-0000C3620000}"/>
    <cellStyle name="Финансовый 2 4 5 2 5 3 3" xfId="34570" xr:uid="{00000000-0005-0000-0000-0000C4620000}"/>
    <cellStyle name="Финансовый 2 4 5 2 5 4" xfId="13008" xr:uid="{00000000-0005-0000-0000-0000C5620000}"/>
    <cellStyle name="Финансовый 2 4 5 2 5 4 2" xfId="36963" xr:uid="{00000000-0005-0000-0000-0000C6620000}"/>
    <cellStyle name="Финансовый 2 4 5 2 5 5" xfId="24986" xr:uid="{00000000-0005-0000-0000-0000C7620000}"/>
    <cellStyle name="Финансовый 2 4 5 2 5 6" xfId="49892" xr:uid="{00000000-0005-0000-0000-0000C8620000}"/>
    <cellStyle name="Финансовый 2 4 5 2 6" xfId="615" xr:uid="{00000000-0005-0000-0000-0000C9620000}"/>
    <cellStyle name="Финансовый 2 4 5 2 6 2" xfId="6655" xr:uid="{00000000-0005-0000-0000-0000CA620000}"/>
    <cellStyle name="Финансовый 2 4 5 2 6 2 2" xfId="18633" xr:uid="{00000000-0005-0000-0000-0000CB620000}"/>
    <cellStyle name="Финансовый 2 4 5 2 6 2 2 2" xfId="42588" xr:uid="{00000000-0005-0000-0000-0000CC620000}"/>
    <cellStyle name="Финансовый 2 4 5 2 6 2 3" xfId="30610" xr:uid="{00000000-0005-0000-0000-0000CD620000}"/>
    <cellStyle name="Финансовый 2 4 5 2 6 3" xfId="12596" xr:uid="{00000000-0005-0000-0000-0000CE620000}"/>
    <cellStyle name="Финансовый 2 4 5 2 6 3 2" xfId="36551" xr:uid="{00000000-0005-0000-0000-0000CF620000}"/>
    <cellStyle name="Финансовый 2 4 5 2 6 4" xfId="24574" xr:uid="{00000000-0005-0000-0000-0000D0620000}"/>
    <cellStyle name="Финансовый 2 4 5 2 7" xfId="2804" xr:uid="{00000000-0005-0000-0000-0000D1620000}"/>
    <cellStyle name="Финансовый 2 4 5 2 7 2" xfId="14783" xr:uid="{00000000-0005-0000-0000-0000D2620000}"/>
    <cellStyle name="Финансовый 2 4 5 2 7 2 2" xfId="38738" xr:uid="{00000000-0005-0000-0000-0000D3620000}"/>
    <cellStyle name="Финансовый 2 4 5 2 7 3" xfId="26761" xr:uid="{00000000-0005-0000-0000-0000D4620000}"/>
    <cellStyle name="Финансовый 2 4 5 2 8" xfId="4448" xr:uid="{00000000-0005-0000-0000-0000D5620000}"/>
    <cellStyle name="Финансовый 2 4 5 2 8 2" xfId="16427" xr:uid="{00000000-0005-0000-0000-0000D6620000}"/>
    <cellStyle name="Финансовый 2 4 5 2 8 2 2" xfId="40382" xr:uid="{00000000-0005-0000-0000-0000D7620000}"/>
    <cellStyle name="Финансовый 2 4 5 2 8 3" xfId="28405" xr:uid="{00000000-0005-0000-0000-0000D8620000}"/>
    <cellStyle name="Финансовый 2 4 5 2 9" xfId="6235" xr:uid="{00000000-0005-0000-0000-0000D9620000}"/>
    <cellStyle name="Финансовый 2 4 5 2 9 2" xfId="18213" xr:uid="{00000000-0005-0000-0000-0000DA620000}"/>
    <cellStyle name="Финансовый 2 4 5 2 9 2 2" xfId="42168" xr:uid="{00000000-0005-0000-0000-0000DB620000}"/>
    <cellStyle name="Финансовый 2 4 5 2 9 3" xfId="30190" xr:uid="{00000000-0005-0000-0000-0000DC620000}"/>
    <cellStyle name="Финансовый 2 4 5 3" xfId="343" xr:uid="{00000000-0005-0000-0000-0000DD620000}"/>
    <cellStyle name="Финансовый 2 4 5 3 10" xfId="24302" xr:uid="{00000000-0005-0000-0000-0000DE620000}"/>
    <cellStyle name="Финансовый 2 4 5 3 11" xfId="48248" xr:uid="{00000000-0005-0000-0000-0000DF620000}"/>
    <cellStyle name="Финансовый 2 4 5 3 2" xfId="2130" xr:uid="{00000000-0005-0000-0000-0000E0620000}"/>
    <cellStyle name="Финансовый 2 4 5 3 2 2" xfId="3775" xr:uid="{00000000-0005-0000-0000-0000E1620000}"/>
    <cellStyle name="Финансовый 2 4 5 3 2 2 2" xfId="11515" xr:uid="{00000000-0005-0000-0000-0000E2620000}"/>
    <cellStyle name="Финансовый 2 4 5 3 2 2 2 2" xfId="23493" xr:uid="{00000000-0005-0000-0000-0000E3620000}"/>
    <cellStyle name="Финансовый 2 4 5 3 2 2 2 2 2" xfId="47448" xr:uid="{00000000-0005-0000-0000-0000E4620000}"/>
    <cellStyle name="Финансовый 2 4 5 3 2 2 2 3" xfId="35470" xr:uid="{00000000-0005-0000-0000-0000E5620000}"/>
    <cellStyle name="Финансовый 2 4 5 3 2 2 3" xfId="15754" xr:uid="{00000000-0005-0000-0000-0000E6620000}"/>
    <cellStyle name="Финансовый 2 4 5 3 2 2 3 2" xfId="39709" xr:uid="{00000000-0005-0000-0000-0000E7620000}"/>
    <cellStyle name="Финансовый 2 4 5 3 2 2 4" xfId="27732" xr:uid="{00000000-0005-0000-0000-0000E8620000}"/>
    <cellStyle name="Финансовый 2 4 5 3 2 2 5" xfId="51001" xr:uid="{00000000-0005-0000-0000-0000E9620000}"/>
    <cellStyle name="Финансовый 2 4 5 3 2 3" xfId="5558" xr:uid="{00000000-0005-0000-0000-0000EA620000}"/>
    <cellStyle name="Финансовый 2 4 5 3 2 3 2" xfId="17536" xr:uid="{00000000-0005-0000-0000-0000EB620000}"/>
    <cellStyle name="Финансовый 2 4 5 3 2 3 2 2" xfId="41491" xr:uid="{00000000-0005-0000-0000-0000EC620000}"/>
    <cellStyle name="Финансовый 2 4 5 3 2 3 3" xfId="29513" xr:uid="{00000000-0005-0000-0000-0000ED620000}"/>
    <cellStyle name="Финансовый 2 4 5 3 2 4" xfId="8168" xr:uid="{00000000-0005-0000-0000-0000EE620000}"/>
    <cellStyle name="Финансовый 2 4 5 3 2 4 2" xfId="20146" xr:uid="{00000000-0005-0000-0000-0000EF620000}"/>
    <cellStyle name="Финансовый 2 4 5 3 2 4 2 2" xfId="44101" xr:uid="{00000000-0005-0000-0000-0000F0620000}"/>
    <cellStyle name="Финансовый 2 4 5 3 2 4 3" xfId="32123" xr:uid="{00000000-0005-0000-0000-0000F1620000}"/>
    <cellStyle name="Финансовый 2 4 5 3 2 5" xfId="9951" xr:uid="{00000000-0005-0000-0000-0000F2620000}"/>
    <cellStyle name="Финансовый 2 4 5 3 2 5 2" xfId="21929" xr:uid="{00000000-0005-0000-0000-0000F3620000}"/>
    <cellStyle name="Финансовый 2 4 5 3 2 5 2 2" xfId="45884" xr:uid="{00000000-0005-0000-0000-0000F4620000}"/>
    <cellStyle name="Финансовый 2 4 5 3 2 5 3" xfId="33906" xr:uid="{00000000-0005-0000-0000-0000F5620000}"/>
    <cellStyle name="Финансовый 2 4 5 3 2 6" xfId="14109" xr:uid="{00000000-0005-0000-0000-0000F6620000}"/>
    <cellStyle name="Финансовый 2 4 5 3 2 6 2" xfId="38064" xr:uid="{00000000-0005-0000-0000-0000F7620000}"/>
    <cellStyle name="Финансовый 2 4 5 3 2 7" xfId="26087" xr:uid="{00000000-0005-0000-0000-0000F8620000}"/>
    <cellStyle name="Финансовый 2 4 5 3 2 8" xfId="49220" xr:uid="{00000000-0005-0000-0000-0000F9620000}"/>
    <cellStyle name="Финансовый 2 4 5 3 3" xfId="1163" xr:uid="{00000000-0005-0000-0000-0000FA620000}"/>
    <cellStyle name="Финансовый 2 4 5 3 3 2" xfId="7203" xr:uid="{00000000-0005-0000-0000-0000FB620000}"/>
    <cellStyle name="Финансовый 2 4 5 3 3 2 2" xfId="19181" xr:uid="{00000000-0005-0000-0000-0000FC620000}"/>
    <cellStyle name="Финансовый 2 4 5 3 3 2 2 2" xfId="43136" xr:uid="{00000000-0005-0000-0000-0000FD620000}"/>
    <cellStyle name="Финансовый 2 4 5 3 3 2 3" xfId="31158" xr:uid="{00000000-0005-0000-0000-0000FE620000}"/>
    <cellStyle name="Финансовый 2 4 5 3 3 3" xfId="10743" xr:uid="{00000000-0005-0000-0000-0000FF620000}"/>
    <cellStyle name="Финансовый 2 4 5 3 3 3 2" xfId="22721" xr:uid="{00000000-0005-0000-0000-000000630000}"/>
    <cellStyle name="Финансовый 2 4 5 3 3 3 2 2" xfId="46676" xr:uid="{00000000-0005-0000-0000-000001630000}"/>
    <cellStyle name="Финансовый 2 4 5 3 3 3 3" xfId="34698" xr:uid="{00000000-0005-0000-0000-000002630000}"/>
    <cellStyle name="Финансовый 2 4 5 3 3 4" xfId="13144" xr:uid="{00000000-0005-0000-0000-000003630000}"/>
    <cellStyle name="Финансовый 2 4 5 3 3 4 2" xfId="37099" xr:uid="{00000000-0005-0000-0000-000004630000}"/>
    <cellStyle name="Финансовый 2 4 5 3 3 5" xfId="25122" xr:uid="{00000000-0005-0000-0000-000005630000}"/>
    <cellStyle name="Финансовый 2 4 5 3 3 6" xfId="50028" xr:uid="{00000000-0005-0000-0000-000006630000}"/>
    <cellStyle name="Финансовый 2 4 5 3 4" xfId="763" xr:uid="{00000000-0005-0000-0000-000007630000}"/>
    <cellStyle name="Финансовый 2 4 5 3 4 2" xfId="6803" xr:uid="{00000000-0005-0000-0000-000008630000}"/>
    <cellStyle name="Финансовый 2 4 5 3 4 2 2" xfId="18781" xr:uid="{00000000-0005-0000-0000-000009630000}"/>
    <cellStyle name="Финансовый 2 4 5 3 4 2 2 2" xfId="42736" xr:uid="{00000000-0005-0000-0000-00000A630000}"/>
    <cellStyle name="Финансовый 2 4 5 3 4 2 3" xfId="30758" xr:uid="{00000000-0005-0000-0000-00000B630000}"/>
    <cellStyle name="Финансовый 2 4 5 3 4 3" xfId="12744" xr:uid="{00000000-0005-0000-0000-00000C630000}"/>
    <cellStyle name="Финансовый 2 4 5 3 4 3 2" xfId="36699" xr:uid="{00000000-0005-0000-0000-00000D630000}"/>
    <cellStyle name="Финансовый 2 4 5 3 4 4" xfId="24722" xr:uid="{00000000-0005-0000-0000-00000E630000}"/>
    <cellStyle name="Финансовый 2 4 5 3 5" xfId="2940" xr:uid="{00000000-0005-0000-0000-00000F630000}"/>
    <cellStyle name="Финансовый 2 4 5 3 5 2" xfId="14919" xr:uid="{00000000-0005-0000-0000-000010630000}"/>
    <cellStyle name="Финансовый 2 4 5 3 5 2 2" xfId="38874" xr:uid="{00000000-0005-0000-0000-000011630000}"/>
    <cellStyle name="Финансовый 2 4 5 3 5 3" xfId="26897" xr:uid="{00000000-0005-0000-0000-000012630000}"/>
    <cellStyle name="Финансовый 2 4 5 3 6" xfId="4584" xr:uid="{00000000-0005-0000-0000-000013630000}"/>
    <cellStyle name="Финансовый 2 4 5 3 6 2" xfId="16563" xr:uid="{00000000-0005-0000-0000-000014630000}"/>
    <cellStyle name="Финансовый 2 4 5 3 6 2 2" xfId="40518" xr:uid="{00000000-0005-0000-0000-000015630000}"/>
    <cellStyle name="Финансовый 2 4 5 3 6 3" xfId="28541" xr:uid="{00000000-0005-0000-0000-000016630000}"/>
    <cellStyle name="Финансовый 2 4 5 3 7" xfId="6383" xr:uid="{00000000-0005-0000-0000-000017630000}"/>
    <cellStyle name="Финансовый 2 4 5 3 7 2" xfId="18361" xr:uid="{00000000-0005-0000-0000-000018630000}"/>
    <cellStyle name="Финансовый 2 4 5 3 7 2 2" xfId="42316" xr:uid="{00000000-0005-0000-0000-000019630000}"/>
    <cellStyle name="Финансовый 2 4 5 3 7 3" xfId="30338" xr:uid="{00000000-0005-0000-0000-00001A630000}"/>
    <cellStyle name="Финансовый 2 4 5 3 8" xfId="8978" xr:uid="{00000000-0005-0000-0000-00001B630000}"/>
    <cellStyle name="Финансовый 2 4 5 3 8 2" xfId="20956" xr:uid="{00000000-0005-0000-0000-00001C630000}"/>
    <cellStyle name="Финансовый 2 4 5 3 8 2 2" xfId="44911" xr:uid="{00000000-0005-0000-0000-00001D630000}"/>
    <cellStyle name="Финансовый 2 4 5 3 8 3" xfId="32933" xr:uid="{00000000-0005-0000-0000-00001E630000}"/>
    <cellStyle name="Финансовый 2 4 5 3 9" xfId="12324" xr:uid="{00000000-0005-0000-0000-00001F630000}"/>
    <cellStyle name="Финансовый 2 4 5 3 9 2" xfId="36279" xr:uid="{00000000-0005-0000-0000-000020630000}"/>
    <cellStyle name="Финансовый 2 4 5 4" xfId="1502" xr:uid="{00000000-0005-0000-0000-000021630000}"/>
    <cellStyle name="Финансовый 2 4 5 4 2" xfId="1866" xr:uid="{00000000-0005-0000-0000-000022630000}"/>
    <cellStyle name="Финансовый 2 4 5 4 2 2" xfId="3511" xr:uid="{00000000-0005-0000-0000-000023630000}"/>
    <cellStyle name="Финансовый 2 4 5 4 2 2 2" xfId="11259" xr:uid="{00000000-0005-0000-0000-000024630000}"/>
    <cellStyle name="Финансовый 2 4 5 4 2 2 2 2" xfId="23237" xr:uid="{00000000-0005-0000-0000-000025630000}"/>
    <cellStyle name="Финансовый 2 4 5 4 2 2 2 2 2" xfId="47192" xr:uid="{00000000-0005-0000-0000-000026630000}"/>
    <cellStyle name="Финансовый 2 4 5 4 2 2 2 3" xfId="35214" xr:uid="{00000000-0005-0000-0000-000027630000}"/>
    <cellStyle name="Финансовый 2 4 5 4 2 2 3" xfId="15490" xr:uid="{00000000-0005-0000-0000-000028630000}"/>
    <cellStyle name="Финансовый 2 4 5 4 2 2 3 2" xfId="39445" xr:uid="{00000000-0005-0000-0000-000029630000}"/>
    <cellStyle name="Финансовый 2 4 5 4 2 2 4" xfId="27468" xr:uid="{00000000-0005-0000-0000-00002A630000}"/>
    <cellStyle name="Финансовый 2 4 5 4 2 2 5" xfId="50737" xr:uid="{00000000-0005-0000-0000-00002B630000}"/>
    <cellStyle name="Финансовый 2 4 5 4 2 3" xfId="5294" xr:uid="{00000000-0005-0000-0000-00002C630000}"/>
    <cellStyle name="Финансовый 2 4 5 4 2 3 2" xfId="17272" xr:uid="{00000000-0005-0000-0000-00002D630000}"/>
    <cellStyle name="Финансовый 2 4 5 4 2 3 2 2" xfId="41227" xr:uid="{00000000-0005-0000-0000-00002E630000}"/>
    <cellStyle name="Финансовый 2 4 5 4 2 3 3" xfId="29249" xr:uid="{00000000-0005-0000-0000-00002F630000}"/>
    <cellStyle name="Финансовый 2 4 5 4 2 4" xfId="7904" xr:uid="{00000000-0005-0000-0000-000030630000}"/>
    <cellStyle name="Финансовый 2 4 5 4 2 4 2" xfId="19882" xr:uid="{00000000-0005-0000-0000-000031630000}"/>
    <cellStyle name="Финансовый 2 4 5 4 2 4 2 2" xfId="43837" xr:uid="{00000000-0005-0000-0000-000032630000}"/>
    <cellStyle name="Финансовый 2 4 5 4 2 4 3" xfId="31859" xr:uid="{00000000-0005-0000-0000-000033630000}"/>
    <cellStyle name="Финансовый 2 4 5 4 2 5" xfId="9687" xr:uid="{00000000-0005-0000-0000-000034630000}"/>
    <cellStyle name="Финансовый 2 4 5 4 2 5 2" xfId="21665" xr:uid="{00000000-0005-0000-0000-000035630000}"/>
    <cellStyle name="Финансовый 2 4 5 4 2 5 2 2" xfId="45620" xr:uid="{00000000-0005-0000-0000-000036630000}"/>
    <cellStyle name="Финансовый 2 4 5 4 2 5 3" xfId="33642" xr:uid="{00000000-0005-0000-0000-000037630000}"/>
    <cellStyle name="Финансовый 2 4 5 4 2 6" xfId="13845" xr:uid="{00000000-0005-0000-0000-000038630000}"/>
    <cellStyle name="Финансовый 2 4 5 4 2 6 2" xfId="37800" xr:uid="{00000000-0005-0000-0000-000039630000}"/>
    <cellStyle name="Финансовый 2 4 5 4 2 7" xfId="25823" xr:uid="{00000000-0005-0000-0000-00003A630000}"/>
    <cellStyle name="Финансовый 2 4 5 4 2 8" xfId="48956" xr:uid="{00000000-0005-0000-0000-00003B630000}"/>
    <cellStyle name="Финансовый 2 4 5 4 3" xfId="4930" xr:uid="{00000000-0005-0000-0000-00003C630000}"/>
    <cellStyle name="Финансовый 2 4 5 4 3 2" xfId="16908" xr:uid="{00000000-0005-0000-0000-00003D630000}"/>
    <cellStyle name="Финансовый 2 4 5 4 3 2 2" xfId="40863" xr:uid="{00000000-0005-0000-0000-00003E630000}"/>
    <cellStyle name="Финансовый 2 4 5 4 3 3" xfId="28885" xr:uid="{00000000-0005-0000-0000-00003F630000}"/>
    <cellStyle name="Финансовый 2 4 5 4 3 4" xfId="50373" xr:uid="{00000000-0005-0000-0000-000040630000}"/>
    <cellStyle name="Финансовый 2 4 5 4 4" xfId="7540" xr:uid="{00000000-0005-0000-0000-000041630000}"/>
    <cellStyle name="Финансовый 2 4 5 4 4 2" xfId="19518" xr:uid="{00000000-0005-0000-0000-000042630000}"/>
    <cellStyle name="Финансовый 2 4 5 4 4 2 2" xfId="43473" xr:uid="{00000000-0005-0000-0000-000043630000}"/>
    <cellStyle name="Финансовый 2 4 5 4 4 3" xfId="31495" xr:uid="{00000000-0005-0000-0000-000044630000}"/>
    <cellStyle name="Финансовый 2 4 5 4 5" xfId="9323" xr:uid="{00000000-0005-0000-0000-000045630000}"/>
    <cellStyle name="Финансовый 2 4 5 4 5 2" xfId="21301" xr:uid="{00000000-0005-0000-0000-000046630000}"/>
    <cellStyle name="Финансовый 2 4 5 4 5 2 2" xfId="45256" xr:uid="{00000000-0005-0000-0000-000047630000}"/>
    <cellStyle name="Финансовый 2 4 5 4 5 3" xfId="33278" xr:uid="{00000000-0005-0000-0000-000048630000}"/>
    <cellStyle name="Финансовый 2 4 5 4 6" xfId="13481" xr:uid="{00000000-0005-0000-0000-000049630000}"/>
    <cellStyle name="Финансовый 2 4 5 4 6 2" xfId="37436" xr:uid="{00000000-0005-0000-0000-00004A630000}"/>
    <cellStyle name="Финансовый 2 4 5 4 7" xfId="25459" xr:uid="{00000000-0005-0000-0000-00004B630000}"/>
    <cellStyle name="Финансовый 2 4 5 4 8" xfId="48592" xr:uid="{00000000-0005-0000-0000-00004C630000}"/>
    <cellStyle name="Финансовый 2 4 5 5" xfId="1750" xr:uid="{00000000-0005-0000-0000-00004D630000}"/>
    <cellStyle name="Финансовый 2 4 5 5 2" xfId="3395" xr:uid="{00000000-0005-0000-0000-00004E630000}"/>
    <cellStyle name="Финансовый 2 4 5 5 2 2" xfId="11143" xr:uid="{00000000-0005-0000-0000-00004F630000}"/>
    <cellStyle name="Финансовый 2 4 5 5 2 2 2" xfId="23121" xr:uid="{00000000-0005-0000-0000-000050630000}"/>
    <cellStyle name="Финансовый 2 4 5 5 2 2 2 2" xfId="47076" xr:uid="{00000000-0005-0000-0000-000051630000}"/>
    <cellStyle name="Финансовый 2 4 5 5 2 2 3" xfId="35098" xr:uid="{00000000-0005-0000-0000-000052630000}"/>
    <cellStyle name="Финансовый 2 4 5 5 2 3" xfId="15374" xr:uid="{00000000-0005-0000-0000-000053630000}"/>
    <cellStyle name="Финансовый 2 4 5 5 2 3 2" xfId="39329" xr:uid="{00000000-0005-0000-0000-000054630000}"/>
    <cellStyle name="Финансовый 2 4 5 5 2 4" xfId="27352" xr:uid="{00000000-0005-0000-0000-000055630000}"/>
    <cellStyle name="Финансовый 2 4 5 5 2 5" xfId="50621" xr:uid="{00000000-0005-0000-0000-000056630000}"/>
    <cellStyle name="Финансовый 2 4 5 5 3" xfId="5178" xr:uid="{00000000-0005-0000-0000-000057630000}"/>
    <cellStyle name="Финансовый 2 4 5 5 3 2" xfId="17156" xr:uid="{00000000-0005-0000-0000-000058630000}"/>
    <cellStyle name="Финансовый 2 4 5 5 3 2 2" xfId="41111" xr:uid="{00000000-0005-0000-0000-000059630000}"/>
    <cellStyle name="Финансовый 2 4 5 5 3 3" xfId="29133" xr:uid="{00000000-0005-0000-0000-00005A630000}"/>
    <cellStyle name="Финансовый 2 4 5 5 4" xfId="7788" xr:uid="{00000000-0005-0000-0000-00005B630000}"/>
    <cellStyle name="Финансовый 2 4 5 5 4 2" xfId="19766" xr:uid="{00000000-0005-0000-0000-00005C630000}"/>
    <cellStyle name="Финансовый 2 4 5 5 4 2 2" xfId="43721" xr:uid="{00000000-0005-0000-0000-00005D630000}"/>
    <cellStyle name="Финансовый 2 4 5 5 4 3" xfId="31743" xr:uid="{00000000-0005-0000-0000-00005E630000}"/>
    <cellStyle name="Финансовый 2 4 5 5 5" xfId="9571" xr:uid="{00000000-0005-0000-0000-00005F630000}"/>
    <cellStyle name="Финансовый 2 4 5 5 5 2" xfId="21549" xr:uid="{00000000-0005-0000-0000-000060630000}"/>
    <cellStyle name="Финансовый 2 4 5 5 5 2 2" xfId="45504" xr:uid="{00000000-0005-0000-0000-000061630000}"/>
    <cellStyle name="Финансовый 2 4 5 5 5 3" xfId="33526" xr:uid="{00000000-0005-0000-0000-000062630000}"/>
    <cellStyle name="Финансовый 2 4 5 5 6" xfId="13729" xr:uid="{00000000-0005-0000-0000-000063630000}"/>
    <cellStyle name="Финансовый 2 4 5 5 6 2" xfId="37684" xr:uid="{00000000-0005-0000-0000-000064630000}"/>
    <cellStyle name="Финансовый 2 4 5 5 7" xfId="25707" xr:uid="{00000000-0005-0000-0000-000065630000}"/>
    <cellStyle name="Финансовый 2 4 5 5 8" xfId="48840" xr:uid="{00000000-0005-0000-0000-000066630000}"/>
    <cellStyle name="Финансовый 2 4 5 6" xfId="2386" xr:uid="{00000000-0005-0000-0000-000067630000}"/>
    <cellStyle name="Финансовый 2 4 5 6 2" xfId="4031" xr:uid="{00000000-0005-0000-0000-000068630000}"/>
    <cellStyle name="Финансовый 2 4 5 6 2 2" xfId="11771" xr:uid="{00000000-0005-0000-0000-000069630000}"/>
    <cellStyle name="Финансовый 2 4 5 6 2 2 2" xfId="23749" xr:uid="{00000000-0005-0000-0000-00006A630000}"/>
    <cellStyle name="Финансовый 2 4 5 6 2 2 2 2" xfId="47704" xr:uid="{00000000-0005-0000-0000-00006B630000}"/>
    <cellStyle name="Финансовый 2 4 5 6 2 2 3" xfId="35726" xr:uid="{00000000-0005-0000-0000-00006C630000}"/>
    <cellStyle name="Финансовый 2 4 5 6 2 3" xfId="16010" xr:uid="{00000000-0005-0000-0000-00006D630000}"/>
    <cellStyle name="Финансовый 2 4 5 6 2 3 2" xfId="39965" xr:uid="{00000000-0005-0000-0000-00006E630000}"/>
    <cellStyle name="Финансовый 2 4 5 6 2 4" xfId="27988" xr:uid="{00000000-0005-0000-0000-00006F630000}"/>
    <cellStyle name="Финансовый 2 4 5 6 2 5" xfId="51257" xr:uid="{00000000-0005-0000-0000-000070630000}"/>
    <cellStyle name="Финансовый 2 4 5 6 3" xfId="5814" xr:uid="{00000000-0005-0000-0000-000071630000}"/>
    <cellStyle name="Финансовый 2 4 5 6 3 2" xfId="17792" xr:uid="{00000000-0005-0000-0000-000072630000}"/>
    <cellStyle name="Финансовый 2 4 5 6 3 2 2" xfId="41747" xr:uid="{00000000-0005-0000-0000-000073630000}"/>
    <cellStyle name="Финансовый 2 4 5 6 3 3" xfId="29769" xr:uid="{00000000-0005-0000-0000-000074630000}"/>
    <cellStyle name="Финансовый 2 4 5 6 4" xfId="8424" xr:uid="{00000000-0005-0000-0000-000075630000}"/>
    <cellStyle name="Финансовый 2 4 5 6 4 2" xfId="20402" xr:uid="{00000000-0005-0000-0000-000076630000}"/>
    <cellStyle name="Финансовый 2 4 5 6 4 2 2" xfId="44357" xr:uid="{00000000-0005-0000-0000-000077630000}"/>
    <cellStyle name="Финансовый 2 4 5 6 4 3" xfId="32379" xr:uid="{00000000-0005-0000-0000-000078630000}"/>
    <cellStyle name="Финансовый 2 4 5 6 5" xfId="10207" xr:uid="{00000000-0005-0000-0000-000079630000}"/>
    <cellStyle name="Финансовый 2 4 5 6 5 2" xfId="22185" xr:uid="{00000000-0005-0000-0000-00007A630000}"/>
    <cellStyle name="Финансовый 2 4 5 6 5 2 2" xfId="46140" xr:uid="{00000000-0005-0000-0000-00007B630000}"/>
    <cellStyle name="Финансовый 2 4 5 6 5 3" xfId="34162" xr:uid="{00000000-0005-0000-0000-00007C630000}"/>
    <cellStyle name="Финансовый 2 4 5 6 6" xfId="14365" xr:uid="{00000000-0005-0000-0000-00007D630000}"/>
    <cellStyle name="Финансовый 2 4 5 6 6 2" xfId="38320" xr:uid="{00000000-0005-0000-0000-00007E630000}"/>
    <cellStyle name="Финансовый 2 4 5 6 7" xfId="26343" xr:uid="{00000000-0005-0000-0000-00007F630000}"/>
    <cellStyle name="Финансовый 2 4 5 6 8" xfId="49476" xr:uid="{00000000-0005-0000-0000-000080630000}"/>
    <cellStyle name="Финансовый 2 4 5 7" xfId="1613" xr:uid="{00000000-0005-0000-0000-000081630000}"/>
    <cellStyle name="Финансовый 2 4 5 7 2" xfId="3258" xr:uid="{00000000-0005-0000-0000-000082630000}"/>
    <cellStyle name="Финансовый 2 4 5 7 2 2" xfId="11014" xr:uid="{00000000-0005-0000-0000-000083630000}"/>
    <cellStyle name="Финансовый 2 4 5 7 2 2 2" xfId="22992" xr:uid="{00000000-0005-0000-0000-000084630000}"/>
    <cellStyle name="Финансовый 2 4 5 7 2 2 2 2" xfId="46947" xr:uid="{00000000-0005-0000-0000-000085630000}"/>
    <cellStyle name="Финансовый 2 4 5 7 2 2 3" xfId="34969" xr:uid="{00000000-0005-0000-0000-000086630000}"/>
    <cellStyle name="Финансовый 2 4 5 7 2 3" xfId="15237" xr:uid="{00000000-0005-0000-0000-000087630000}"/>
    <cellStyle name="Финансовый 2 4 5 7 2 3 2" xfId="39192" xr:uid="{00000000-0005-0000-0000-000088630000}"/>
    <cellStyle name="Финансовый 2 4 5 7 2 4" xfId="27215" xr:uid="{00000000-0005-0000-0000-000089630000}"/>
    <cellStyle name="Финансовый 2 4 5 7 2 5" xfId="50484" xr:uid="{00000000-0005-0000-0000-00008A630000}"/>
    <cellStyle name="Финансовый 2 4 5 7 3" xfId="5041" xr:uid="{00000000-0005-0000-0000-00008B630000}"/>
    <cellStyle name="Финансовый 2 4 5 7 3 2" xfId="17019" xr:uid="{00000000-0005-0000-0000-00008C630000}"/>
    <cellStyle name="Финансовый 2 4 5 7 3 2 2" xfId="40974" xr:uid="{00000000-0005-0000-0000-00008D630000}"/>
    <cellStyle name="Финансовый 2 4 5 7 3 3" xfId="28996" xr:uid="{00000000-0005-0000-0000-00008E630000}"/>
    <cellStyle name="Финансовый 2 4 5 7 4" xfId="7651" xr:uid="{00000000-0005-0000-0000-00008F630000}"/>
    <cellStyle name="Финансовый 2 4 5 7 4 2" xfId="19629" xr:uid="{00000000-0005-0000-0000-000090630000}"/>
    <cellStyle name="Финансовый 2 4 5 7 4 2 2" xfId="43584" xr:uid="{00000000-0005-0000-0000-000091630000}"/>
    <cellStyle name="Финансовый 2 4 5 7 4 3" xfId="31606" xr:uid="{00000000-0005-0000-0000-000092630000}"/>
    <cellStyle name="Финансовый 2 4 5 7 5" xfId="9434" xr:uid="{00000000-0005-0000-0000-000093630000}"/>
    <cellStyle name="Финансовый 2 4 5 7 5 2" xfId="21412" xr:uid="{00000000-0005-0000-0000-000094630000}"/>
    <cellStyle name="Финансовый 2 4 5 7 5 2 2" xfId="45367" xr:uid="{00000000-0005-0000-0000-000095630000}"/>
    <cellStyle name="Финансовый 2 4 5 7 5 3" xfId="33389" xr:uid="{00000000-0005-0000-0000-000096630000}"/>
    <cellStyle name="Финансовый 2 4 5 7 6" xfId="13592" xr:uid="{00000000-0005-0000-0000-000097630000}"/>
    <cellStyle name="Финансовый 2 4 5 7 6 2" xfId="37547" xr:uid="{00000000-0005-0000-0000-000098630000}"/>
    <cellStyle name="Финансовый 2 4 5 7 7" xfId="25570" xr:uid="{00000000-0005-0000-0000-000099630000}"/>
    <cellStyle name="Финансовый 2 4 5 7 8" xfId="48703" xr:uid="{00000000-0005-0000-0000-00009A630000}"/>
    <cellStyle name="Финансовый 2 4 5 8" xfId="899" xr:uid="{00000000-0005-0000-0000-00009B630000}"/>
    <cellStyle name="Финансовый 2 4 5 8 2" xfId="6939" xr:uid="{00000000-0005-0000-0000-00009C630000}"/>
    <cellStyle name="Финансовый 2 4 5 8 2 2" xfId="18917" xr:uid="{00000000-0005-0000-0000-00009D630000}"/>
    <cellStyle name="Финансовый 2 4 5 8 2 2 2" xfId="42872" xr:uid="{00000000-0005-0000-0000-00009E630000}"/>
    <cellStyle name="Финансовый 2 4 5 8 2 3" xfId="30894" xr:uid="{00000000-0005-0000-0000-00009F630000}"/>
    <cellStyle name="Финансовый 2 4 5 8 3" xfId="10487" xr:uid="{00000000-0005-0000-0000-0000A0630000}"/>
    <cellStyle name="Финансовый 2 4 5 8 3 2" xfId="22465" xr:uid="{00000000-0005-0000-0000-0000A1630000}"/>
    <cellStyle name="Финансовый 2 4 5 8 3 2 2" xfId="46420" xr:uid="{00000000-0005-0000-0000-0000A2630000}"/>
    <cellStyle name="Финансовый 2 4 5 8 3 3" xfId="34442" xr:uid="{00000000-0005-0000-0000-0000A3630000}"/>
    <cellStyle name="Финансовый 2 4 5 8 4" xfId="12880" xr:uid="{00000000-0005-0000-0000-0000A4630000}"/>
    <cellStyle name="Финансовый 2 4 5 8 4 2" xfId="36835" xr:uid="{00000000-0005-0000-0000-0000A5630000}"/>
    <cellStyle name="Финансовый 2 4 5 8 5" xfId="24858" xr:uid="{00000000-0005-0000-0000-0000A6630000}"/>
    <cellStyle name="Финансовый 2 4 5 8 6" xfId="49756" xr:uid="{00000000-0005-0000-0000-0000A7630000}"/>
    <cellStyle name="Финансовый 2 4 5 9" xfId="479" xr:uid="{00000000-0005-0000-0000-0000A8630000}"/>
    <cellStyle name="Финансовый 2 4 5 9 2" xfId="6519" xr:uid="{00000000-0005-0000-0000-0000A9630000}"/>
    <cellStyle name="Финансовый 2 4 5 9 2 2" xfId="18497" xr:uid="{00000000-0005-0000-0000-0000AA630000}"/>
    <cellStyle name="Финансовый 2 4 5 9 2 2 2" xfId="42452" xr:uid="{00000000-0005-0000-0000-0000AB630000}"/>
    <cellStyle name="Финансовый 2 4 5 9 2 3" xfId="30474" xr:uid="{00000000-0005-0000-0000-0000AC630000}"/>
    <cellStyle name="Финансовый 2 4 5 9 3" xfId="12460" xr:uid="{00000000-0005-0000-0000-0000AD630000}"/>
    <cellStyle name="Финансовый 2 4 5 9 3 2" xfId="36415" xr:uid="{00000000-0005-0000-0000-0000AE630000}"/>
    <cellStyle name="Финансовый 2 4 5 9 4" xfId="24438" xr:uid="{00000000-0005-0000-0000-0000AF630000}"/>
    <cellStyle name="Финансовый 2 4 6" xfId="134" xr:uid="{00000000-0005-0000-0000-0000B0630000}"/>
    <cellStyle name="Финансовый 2 4 6 10" xfId="2744" xr:uid="{00000000-0005-0000-0000-0000B1630000}"/>
    <cellStyle name="Финансовый 2 4 6 10 2" xfId="14723" xr:uid="{00000000-0005-0000-0000-0000B2630000}"/>
    <cellStyle name="Финансовый 2 4 6 10 2 2" xfId="38678" xr:uid="{00000000-0005-0000-0000-0000B3630000}"/>
    <cellStyle name="Финансовый 2 4 6 10 3" xfId="26701" xr:uid="{00000000-0005-0000-0000-0000B4630000}"/>
    <cellStyle name="Финансовый 2 4 6 11" xfId="4388" xr:uid="{00000000-0005-0000-0000-0000B5630000}"/>
    <cellStyle name="Финансовый 2 4 6 11 2" xfId="16367" xr:uid="{00000000-0005-0000-0000-0000B6630000}"/>
    <cellStyle name="Финансовый 2 4 6 11 2 2" xfId="40322" xr:uid="{00000000-0005-0000-0000-0000B7630000}"/>
    <cellStyle name="Финансовый 2 4 6 11 3" xfId="28345" xr:uid="{00000000-0005-0000-0000-0000B8630000}"/>
    <cellStyle name="Финансовый 2 4 6 12" xfId="6175" xr:uid="{00000000-0005-0000-0000-0000B9630000}"/>
    <cellStyle name="Финансовый 2 4 6 12 2" xfId="18153" xr:uid="{00000000-0005-0000-0000-0000BA630000}"/>
    <cellStyle name="Финансовый 2 4 6 12 2 2" xfId="42108" xr:uid="{00000000-0005-0000-0000-0000BB630000}"/>
    <cellStyle name="Финансовый 2 4 6 12 3" xfId="30130" xr:uid="{00000000-0005-0000-0000-0000BC630000}"/>
    <cellStyle name="Финансовый 2 4 6 13" xfId="8782" xr:uid="{00000000-0005-0000-0000-0000BD630000}"/>
    <cellStyle name="Финансовый 2 4 6 13 2" xfId="20760" xr:uid="{00000000-0005-0000-0000-0000BE630000}"/>
    <cellStyle name="Финансовый 2 4 6 13 2 2" xfId="44715" xr:uid="{00000000-0005-0000-0000-0000BF630000}"/>
    <cellStyle name="Финансовый 2 4 6 13 3" xfId="32737" xr:uid="{00000000-0005-0000-0000-0000C0630000}"/>
    <cellStyle name="Финансовый 2 4 6 14" xfId="12116" xr:uid="{00000000-0005-0000-0000-0000C1630000}"/>
    <cellStyle name="Финансовый 2 4 6 14 2" xfId="36071" xr:uid="{00000000-0005-0000-0000-0000C2630000}"/>
    <cellStyle name="Финансовый 2 4 6 15" xfId="24094" xr:uid="{00000000-0005-0000-0000-0000C3630000}"/>
    <cellStyle name="Финансовый 2 4 6 16" xfId="48052" xr:uid="{00000000-0005-0000-0000-0000C4630000}"/>
    <cellStyle name="Финансовый 2 4 6 2" xfId="270" xr:uid="{00000000-0005-0000-0000-0000C5630000}"/>
    <cellStyle name="Финансовый 2 4 6 2 10" xfId="8918" xr:uid="{00000000-0005-0000-0000-0000C6630000}"/>
    <cellStyle name="Финансовый 2 4 6 2 10 2" xfId="20896" xr:uid="{00000000-0005-0000-0000-0000C7630000}"/>
    <cellStyle name="Финансовый 2 4 6 2 10 2 2" xfId="44851" xr:uid="{00000000-0005-0000-0000-0000C8630000}"/>
    <cellStyle name="Финансовый 2 4 6 2 10 3" xfId="32873" xr:uid="{00000000-0005-0000-0000-0000C9630000}"/>
    <cellStyle name="Финансовый 2 4 6 2 11" xfId="12252" xr:uid="{00000000-0005-0000-0000-0000CA630000}"/>
    <cellStyle name="Финансовый 2 4 6 2 11 2" xfId="36207" xr:uid="{00000000-0005-0000-0000-0000CB630000}"/>
    <cellStyle name="Финансовый 2 4 6 2 12" xfId="24230" xr:uid="{00000000-0005-0000-0000-0000CC630000}"/>
    <cellStyle name="Финансовый 2 4 6 2 13" xfId="48188" xr:uid="{00000000-0005-0000-0000-0000CD630000}"/>
    <cellStyle name="Финансовый 2 4 6 2 2" xfId="1368" xr:uid="{00000000-0005-0000-0000-0000CE630000}"/>
    <cellStyle name="Финансовый 2 4 6 2 2 2" xfId="2326" xr:uid="{00000000-0005-0000-0000-0000CF630000}"/>
    <cellStyle name="Финансовый 2 4 6 2 2 2 2" xfId="3971" xr:uid="{00000000-0005-0000-0000-0000D0630000}"/>
    <cellStyle name="Финансовый 2 4 6 2 2 2 2 2" xfId="11711" xr:uid="{00000000-0005-0000-0000-0000D1630000}"/>
    <cellStyle name="Финансовый 2 4 6 2 2 2 2 2 2" xfId="23689" xr:uid="{00000000-0005-0000-0000-0000D2630000}"/>
    <cellStyle name="Финансовый 2 4 6 2 2 2 2 2 2 2" xfId="47644" xr:uid="{00000000-0005-0000-0000-0000D3630000}"/>
    <cellStyle name="Финансовый 2 4 6 2 2 2 2 2 3" xfId="35666" xr:uid="{00000000-0005-0000-0000-0000D4630000}"/>
    <cellStyle name="Финансовый 2 4 6 2 2 2 2 3" xfId="15950" xr:uid="{00000000-0005-0000-0000-0000D5630000}"/>
    <cellStyle name="Финансовый 2 4 6 2 2 2 2 3 2" xfId="39905" xr:uid="{00000000-0005-0000-0000-0000D6630000}"/>
    <cellStyle name="Финансовый 2 4 6 2 2 2 2 4" xfId="27928" xr:uid="{00000000-0005-0000-0000-0000D7630000}"/>
    <cellStyle name="Финансовый 2 4 6 2 2 2 2 5" xfId="51197" xr:uid="{00000000-0005-0000-0000-0000D8630000}"/>
    <cellStyle name="Финансовый 2 4 6 2 2 2 3" xfId="5754" xr:uid="{00000000-0005-0000-0000-0000D9630000}"/>
    <cellStyle name="Финансовый 2 4 6 2 2 2 3 2" xfId="17732" xr:uid="{00000000-0005-0000-0000-0000DA630000}"/>
    <cellStyle name="Финансовый 2 4 6 2 2 2 3 2 2" xfId="41687" xr:uid="{00000000-0005-0000-0000-0000DB630000}"/>
    <cellStyle name="Финансовый 2 4 6 2 2 2 3 3" xfId="29709" xr:uid="{00000000-0005-0000-0000-0000DC630000}"/>
    <cellStyle name="Финансовый 2 4 6 2 2 2 4" xfId="8364" xr:uid="{00000000-0005-0000-0000-0000DD630000}"/>
    <cellStyle name="Финансовый 2 4 6 2 2 2 4 2" xfId="20342" xr:uid="{00000000-0005-0000-0000-0000DE630000}"/>
    <cellStyle name="Финансовый 2 4 6 2 2 2 4 2 2" xfId="44297" xr:uid="{00000000-0005-0000-0000-0000DF630000}"/>
    <cellStyle name="Финансовый 2 4 6 2 2 2 4 3" xfId="32319" xr:uid="{00000000-0005-0000-0000-0000E0630000}"/>
    <cellStyle name="Финансовый 2 4 6 2 2 2 5" xfId="10147" xr:uid="{00000000-0005-0000-0000-0000E1630000}"/>
    <cellStyle name="Финансовый 2 4 6 2 2 2 5 2" xfId="22125" xr:uid="{00000000-0005-0000-0000-0000E2630000}"/>
    <cellStyle name="Финансовый 2 4 6 2 2 2 5 2 2" xfId="46080" xr:uid="{00000000-0005-0000-0000-0000E3630000}"/>
    <cellStyle name="Финансовый 2 4 6 2 2 2 5 3" xfId="34102" xr:uid="{00000000-0005-0000-0000-0000E4630000}"/>
    <cellStyle name="Финансовый 2 4 6 2 2 2 6" xfId="14305" xr:uid="{00000000-0005-0000-0000-0000E5630000}"/>
    <cellStyle name="Финансовый 2 4 6 2 2 2 6 2" xfId="38260" xr:uid="{00000000-0005-0000-0000-0000E6630000}"/>
    <cellStyle name="Финансовый 2 4 6 2 2 2 7" xfId="26283" xr:uid="{00000000-0005-0000-0000-0000E7630000}"/>
    <cellStyle name="Финансовый 2 4 6 2 2 2 8" xfId="49416" xr:uid="{00000000-0005-0000-0000-0000E8630000}"/>
    <cellStyle name="Финансовый 2 4 6 2 2 3" xfId="3152" xr:uid="{00000000-0005-0000-0000-0000E9630000}"/>
    <cellStyle name="Финансовый 2 4 6 2 2 3 2" xfId="10939" xr:uid="{00000000-0005-0000-0000-0000EA630000}"/>
    <cellStyle name="Финансовый 2 4 6 2 2 3 2 2" xfId="22917" xr:uid="{00000000-0005-0000-0000-0000EB630000}"/>
    <cellStyle name="Финансовый 2 4 6 2 2 3 2 2 2" xfId="46872" xr:uid="{00000000-0005-0000-0000-0000EC630000}"/>
    <cellStyle name="Финансовый 2 4 6 2 2 3 2 3" xfId="34894" xr:uid="{00000000-0005-0000-0000-0000ED630000}"/>
    <cellStyle name="Финансовый 2 4 6 2 2 3 3" xfId="15131" xr:uid="{00000000-0005-0000-0000-0000EE630000}"/>
    <cellStyle name="Финансовый 2 4 6 2 2 3 3 2" xfId="39086" xr:uid="{00000000-0005-0000-0000-0000EF630000}"/>
    <cellStyle name="Финансовый 2 4 6 2 2 3 4" xfId="27109" xr:uid="{00000000-0005-0000-0000-0000F0630000}"/>
    <cellStyle name="Финансовый 2 4 6 2 2 3 5" xfId="50240" xr:uid="{00000000-0005-0000-0000-0000F1630000}"/>
    <cellStyle name="Финансовый 2 4 6 2 2 4" xfId="4796" xr:uid="{00000000-0005-0000-0000-0000F2630000}"/>
    <cellStyle name="Финансовый 2 4 6 2 2 4 2" xfId="16775" xr:uid="{00000000-0005-0000-0000-0000F3630000}"/>
    <cellStyle name="Финансовый 2 4 6 2 2 4 2 2" xfId="40730" xr:uid="{00000000-0005-0000-0000-0000F4630000}"/>
    <cellStyle name="Финансовый 2 4 6 2 2 4 3" xfId="28753" xr:uid="{00000000-0005-0000-0000-0000F5630000}"/>
    <cellStyle name="Финансовый 2 4 6 2 2 5" xfId="7408" xr:uid="{00000000-0005-0000-0000-0000F6630000}"/>
    <cellStyle name="Финансовый 2 4 6 2 2 5 2" xfId="19386" xr:uid="{00000000-0005-0000-0000-0000F7630000}"/>
    <cellStyle name="Финансовый 2 4 6 2 2 5 2 2" xfId="43341" xr:uid="{00000000-0005-0000-0000-0000F8630000}"/>
    <cellStyle name="Финансовый 2 4 6 2 2 5 3" xfId="31363" xr:uid="{00000000-0005-0000-0000-0000F9630000}"/>
    <cellStyle name="Финансовый 2 4 6 2 2 6" xfId="9190" xr:uid="{00000000-0005-0000-0000-0000FA630000}"/>
    <cellStyle name="Финансовый 2 4 6 2 2 6 2" xfId="21168" xr:uid="{00000000-0005-0000-0000-0000FB630000}"/>
    <cellStyle name="Финансовый 2 4 6 2 2 6 2 2" xfId="45123" xr:uid="{00000000-0005-0000-0000-0000FC630000}"/>
    <cellStyle name="Финансовый 2 4 6 2 2 6 3" xfId="33145" xr:uid="{00000000-0005-0000-0000-0000FD630000}"/>
    <cellStyle name="Финансовый 2 4 6 2 2 7" xfId="13349" xr:uid="{00000000-0005-0000-0000-0000FE630000}"/>
    <cellStyle name="Финансовый 2 4 6 2 2 7 2" xfId="37304" xr:uid="{00000000-0005-0000-0000-0000FF630000}"/>
    <cellStyle name="Финансовый 2 4 6 2 2 8" xfId="25327" xr:uid="{00000000-0005-0000-0000-000000640000}"/>
    <cellStyle name="Финансовый 2 4 6 2 2 9" xfId="48460" xr:uid="{00000000-0005-0000-0000-000001640000}"/>
    <cellStyle name="Финансовый 2 4 6 2 3" xfId="2070" xr:uid="{00000000-0005-0000-0000-000002640000}"/>
    <cellStyle name="Финансовый 2 4 6 2 3 2" xfId="3715" xr:uid="{00000000-0005-0000-0000-000003640000}"/>
    <cellStyle name="Финансовый 2 4 6 2 3 2 2" xfId="11455" xr:uid="{00000000-0005-0000-0000-000004640000}"/>
    <cellStyle name="Финансовый 2 4 6 2 3 2 2 2" xfId="23433" xr:uid="{00000000-0005-0000-0000-000005640000}"/>
    <cellStyle name="Финансовый 2 4 6 2 3 2 2 2 2" xfId="47388" xr:uid="{00000000-0005-0000-0000-000006640000}"/>
    <cellStyle name="Финансовый 2 4 6 2 3 2 2 3" xfId="35410" xr:uid="{00000000-0005-0000-0000-000007640000}"/>
    <cellStyle name="Финансовый 2 4 6 2 3 2 3" xfId="15694" xr:uid="{00000000-0005-0000-0000-000008640000}"/>
    <cellStyle name="Финансовый 2 4 6 2 3 2 3 2" xfId="39649" xr:uid="{00000000-0005-0000-0000-000009640000}"/>
    <cellStyle name="Финансовый 2 4 6 2 3 2 4" xfId="27672" xr:uid="{00000000-0005-0000-0000-00000A640000}"/>
    <cellStyle name="Финансовый 2 4 6 2 3 2 5" xfId="50941" xr:uid="{00000000-0005-0000-0000-00000B640000}"/>
    <cellStyle name="Финансовый 2 4 6 2 3 3" xfId="5498" xr:uid="{00000000-0005-0000-0000-00000C640000}"/>
    <cellStyle name="Финансовый 2 4 6 2 3 3 2" xfId="17476" xr:uid="{00000000-0005-0000-0000-00000D640000}"/>
    <cellStyle name="Финансовый 2 4 6 2 3 3 2 2" xfId="41431" xr:uid="{00000000-0005-0000-0000-00000E640000}"/>
    <cellStyle name="Финансовый 2 4 6 2 3 3 3" xfId="29453" xr:uid="{00000000-0005-0000-0000-00000F640000}"/>
    <cellStyle name="Финансовый 2 4 6 2 3 4" xfId="8108" xr:uid="{00000000-0005-0000-0000-000010640000}"/>
    <cellStyle name="Финансовый 2 4 6 2 3 4 2" xfId="20086" xr:uid="{00000000-0005-0000-0000-000011640000}"/>
    <cellStyle name="Финансовый 2 4 6 2 3 4 2 2" xfId="44041" xr:uid="{00000000-0005-0000-0000-000012640000}"/>
    <cellStyle name="Финансовый 2 4 6 2 3 4 3" xfId="32063" xr:uid="{00000000-0005-0000-0000-000013640000}"/>
    <cellStyle name="Финансовый 2 4 6 2 3 5" xfId="9891" xr:uid="{00000000-0005-0000-0000-000014640000}"/>
    <cellStyle name="Финансовый 2 4 6 2 3 5 2" xfId="21869" xr:uid="{00000000-0005-0000-0000-000015640000}"/>
    <cellStyle name="Финансовый 2 4 6 2 3 5 2 2" xfId="45824" xr:uid="{00000000-0005-0000-0000-000016640000}"/>
    <cellStyle name="Финансовый 2 4 6 2 3 5 3" xfId="33846" xr:uid="{00000000-0005-0000-0000-000017640000}"/>
    <cellStyle name="Финансовый 2 4 6 2 3 6" xfId="14049" xr:uid="{00000000-0005-0000-0000-000018640000}"/>
    <cellStyle name="Финансовый 2 4 6 2 3 6 2" xfId="38004" xr:uid="{00000000-0005-0000-0000-000019640000}"/>
    <cellStyle name="Финансовый 2 4 6 2 3 7" xfId="26027" xr:uid="{00000000-0005-0000-0000-00001A640000}"/>
    <cellStyle name="Финансовый 2 4 6 2 3 8" xfId="49160" xr:uid="{00000000-0005-0000-0000-00001B640000}"/>
    <cellStyle name="Финансовый 2 4 6 2 4" xfId="2599" xr:uid="{00000000-0005-0000-0000-00001C640000}"/>
    <cellStyle name="Финансовый 2 4 6 2 4 2" xfId="4244" xr:uid="{00000000-0005-0000-0000-00001D640000}"/>
    <cellStyle name="Финансовый 2 4 6 2 4 2 2" xfId="11968" xr:uid="{00000000-0005-0000-0000-00001E640000}"/>
    <cellStyle name="Финансовый 2 4 6 2 4 2 2 2" xfId="23946" xr:uid="{00000000-0005-0000-0000-00001F640000}"/>
    <cellStyle name="Финансовый 2 4 6 2 4 2 2 2 2" xfId="47901" xr:uid="{00000000-0005-0000-0000-000020640000}"/>
    <cellStyle name="Финансовый 2 4 6 2 4 2 2 3" xfId="35923" xr:uid="{00000000-0005-0000-0000-000021640000}"/>
    <cellStyle name="Финансовый 2 4 6 2 4 2 3" xfId="16223" xr:uid="{00000000-0005-0000-0000-000022640000}"/>
    <cellStyle name="Финансовый 2 4 6 2 4 2 3 2" xfId="40178" xr:uid="{00000000-0005-0000-0000-000023640000}"/>
    <cellStyle name="Финансовый 2 4 6 2 4 2 4" xfId="28201" xr:uid="{00000000-0005-0000-0000-000024640000}"/>
    <cellStyle name="Финансовый 2 4 6 2 4 2 5" xfId="51470" xr:uid="{00000000-0005-0000-0000-000025640000}"/>
    <cellStyle name="Финансовый 2 4 6 2 4 3" xfId="6027" xr:uid="{00000000-0005-0000-0000-000026640000}"/>
    <cellStyle name="Финансовый 2 4 6 2 4 3 2" xfId="18005" xr:uid="{00000000-0005-0000-0000-000027640000}"/>
    <cellStyle name="Финансовый 2 4 6 2 4 3 2 2" xfId="41960" xr:uid="{00000000-0005-0000-0000-000028640000}"/>
    <cellStyle name="Финансовый 2 4 6 2 4 3 3" xfId="29982" xr:uid="{00000000-0005-0000-0000-000029640000}"/>
    <cellStyle name="Финансовый 2 4 6 2 4 4" xfId="8637" xr:uid="{00000000-0005-0000-0000-00002A640000}"/>
    <cellStyle name="Финансовый 2 4 6 2 4 4 2" xfId="20615" xr:uid="{00000000-0005-0000-0000-00002B640000}"/>
    <cellStyle name="Финансовый 2 4 6 2 4 4 2 2" xfId="44570" xr:uid="{00000000-0005-0000-0000-00002C640000}"/>
    <cellStyle name="Финансовый 2 4 6 2 4 4 3" xfId="32592" xr:uid="{00000000-0005-0000-0000-00002D640000}"/>
    <cellStyle name="Финансовый 2 4 6 2 4 5" xfId="10420" xr:uid="{00000000-0005-0000-0000-00002E640000}"/>
    <cellStyle name="Финансовый 2 4 6 2 4 5 2" xfId="22398" xr:uid="{00000000-0005-0000-0000-00002F640000}"/>
    <cellStyle name="Финансовый 2 4 6 2 4 5 2 2" xfId="46353" xr:uid="{00000000-0005-0000-0000-000030640000}"/>
    <cellStyle name="Финансовый 2 4 6 2 4 5 3" xfId="34375" xr:uid="{00000000-0005-0000-0000-000031640000}"/>
    <cellStyle name="Финансовый 2 4 6 2 4 6" xfId="14578" xr:uid="{00000000-0005-0000-0000-000032640000}"/>
    <cellStyle name="Финансовый 2 4 6 2 4 6 2" xfId="38533" xr:uid="{00000000-0005-0000-0000-000033640000}"/>
    <cellStyle name="Финансовый 2 4 6 2 4 7" xfId="26556" xr:uid="{00000000-0005-0000-0000-000034640000}"/>
    <cellStyle name="Финансовый 2 4 6 2 4 8" xfId="49689" xr:uid="{00000000-0005-0000-0000-000035640000}"/>
    <cellStyle name="Финансовый 2 4 6 2 5" xfId="1103" xr:uid="{00000000-0005-0000-0000-000036640000}"/>
    <cellStyle name="Финансовый 2 4 6 2 5 2" xfId="7143" xr:uid="{00000000-0005-0000-0000-000037640000}"/>
    <cellStyle name="Финансовый 2 4 6 2 5 2 2" xfId="19121" xr:uid="{00000000-0005-0000-0000-000038640000}"/>
    <cellStyle name="Финансовый 2 4 6 2 5 2 2 2" xfId="43076" xr:uid="{00000000-0005-0000-0000-000039640000}"/>
    <cellStyle name="Финансовый 2 4 6 2 5 2 3" xfId="31098" xr:uid="{00000000-0005-0000-0000-00003A640000}"/>
    <cellStyle name="Финансовый 2 4 6 2 5 3" xfId="10683" xr:uid="{00000000-0005-0000-0000-00003B640000}"/>
    <cellStyle name="Финансовый 2 4 6 2 5 3 2" xfId="22661" xr:uid="{00000000-0005-0000-0000-00003C640000}"/>
    <cellStyle name="Финансовый 2 4 6 2 5 3 2 2" xfId="46616" xr:uid="{00000000-0005-0000-0000-00003D640000}"/>
    <cellStyle name="Финансовый 2 4 6 2 5 3 3" xfId="34638" xr:uid="{00000000-0005-0000-0000-00003E640000}"/>
    <cellStyle name="Финансовый 2 4 6 2 5 4" xfId="13084" xr:uid="{00000000-0005-0000-0000-00003F640000}"/>
    <cellStyle name="Финансовый 2 4 6 2 5 4 2" xfId="37039" xr:uid="{00000000-0005-0000-0000-000040640000}"/>
    <cellStyle name="Финансовый 2 4 6 2 5 5" xfId="25062" xr:uid="{00000000-0005-0000-0000-000041640000}"/>
    <cellStyle name="Финансовый 2 4 6 2 5 6" xfId="49968" xr:uid="{00000000-0005-0000-0000-000042640000}"/>
    <cellStyle name="Финансовый 2 4 6 2 6" xfId="691" xr:uid="{00000000-0005-0000-0000-000043640000}"/>
    <cellStyle name="Финансовый 2 4 6 2 6 2" xfId="6731" xr:uid="{00000000-0005-0000-0000-000044640000}"/>
    <cellStyle name="Финансовый 2 4 6 2 6 2 2" xfId="18709" xr:uid="{00000000-0005-0000-0000-000045640000}"/>
    <cellStyle name="Финансовый 2 4 6 2 6 2 2 2" xfId="42664" xr:uid="{00000000-0005-0000-0000-000046640000}"/>
    <cellStyle name="Финансовый 2 4 6 2 6 2 3" xfId="30686" xr:uid="{00000000-0005-0000-0000-000047640000}"/>
    <cellStyle name="Финансовый 2 4 6 2 6 3" xfId="12672" xr:uid="{00000000-0005-0000-0000-000048640000}"/>
    <cellStyle name="Финансовый 2 4 6 2 6 3 2" xfId="36627" xr:uid="{00000000-0005-0000-0000-000049640000}"/>
    <cellStyle name="Финансовый 2 4 6 2 6 4" xfId="24650" xr:uid="{00000000-0005-0000-0000-00004A640000}"/>
    <cellStyle name="Финансовый 2 4 6 2 7" xfId="2880" xr:uid="{00000000-0005-0000-0000-00004B640000}"/>
    <cellStyle name="Финансовый 2 4 6 2 7 2" xfId="14859" xr:uid="{00000000-0005-0000-0000-00004C640000}"/>
    <cellStyle name="Финансовый 2 4 6 2 7 2 2" xfId="38814" xr:uid="{00000000-0005-0000-0000-00004D640000}"/>
    <cellStyle name="Финансовый 2 4 6 2 7 3" xfId="26837" xr:uid="{00000000-0005-0000-0000-00004E640000}"/>
    <cellStyle name="Финансовый 2 4 6 2 8" xfId="4524" xr:uid="{00000000-0005-0000-0000-00004F640000}"/>
    <cellStyle name="Финансовый 2 4 6 2 8 2" xfId="16503" xr:uid="{00000000-0005-0000-0000-000050640000}"/>
    <cellStyle name="Финансовый 2 4 6 2 8 2 2" xfId="40458" xr:uid="{00000000-0005-0000-0000-000051640000}"/>
    <cellStyle name="Финансовый 2 4 6 2 8 3" xfId="28481" xr:uid="{00000000-0005-0000-0000-000052640000}"/>
    <cellStyle name="Финансовый 2 4 6 2 9" xfId="6311" xr:uid="{00000000-0005-0000-0000-000053640000}"/>
    <cellStyle name="Финансовый 2 4 6 2 9 2" xfId="18289" xr:uid="{00000000-0005-0000-0000-000054640000}"/>
    <cellStyle name="Финансовый 2 4 6 2 9 2 2" xfId="42244" xr:uid="{00000000-0005-0000-0000-000055640000}"/>
    <cellStyle name="Финансовый 2 4 6 2 9 3" xfId="30266" xr:uid="{00000000-0005-0000-0000-000056640000}"/>
    <cellStyle name="Финансовый 2 4 6 3" xfId="419" xr:uid="{00000000-0005-0000-0000-000057640000}"/>
    <cellStyle name="Финансовый 2 4 6 3 10" xfId="24378" xr:uid="{00000000-0005-0000-0000-000058640000}"/>
    <cellStyle name="Финансовый 2 4 6 3 11" xfId="48324" xr:uid="{00000000-0005-0000-0000-000059640000}"/>
    <cellStyle name="Финансовый 2 4 6 3 2" xfId="2198" xr:uid="{00000000-0005-0000-0000-00005A640000}"/>
    <cellStyle name="Финансовый 2 4 6 3 2 2" xfId="3843" xr:uid="{00000000-0005-0000-0000-00005B640000}"/>
    <cellStyle name="Финансовый 2 4 6 3 2 2 2" xfId="11583" xr:uid="{00000000-0005-0000-0000-00005C640000}"/>
    <cellStyle name="Финансовый 2 4 6 3 2 2 2 2" xfId="23561" xr:uid="{00000000-0005-0000-0000-00005D640000}"/>
    <cellStyle name="Финансовый 2 4 6 3 2 2 2 2 2" xfId="47516" xr:uid="{00000000-0005-0000-0000-00005E640000}"/>
    <cellStyle name="Финансовый 2 4 6 3 2 2 2 3" xfId="35538" xr:uid="{00000000-0005-0000-0000-00005F640000}"/>
    <cellStyle name="Финансовый 2 4 6 3 2 2 3" xfId="15822" xr:uid="{00000000-0005-0000-0000-000060640000}"/>
    <cellStyle name="Финансовый 2 4 6 3 2 2 3 2" xfId="39777" xr:uid="{00000000-0005-0000-0000-000061640000}"/>
    <cellStyle name="Финансовый 2 4 6 3 2 2 4" xfId="27800" xr:uid="{00000000-0005-0000-0000-000062640000}"/>
    <cellStyle name="Финансовый 2 4 6 3 2 2 5" xfId="51069" xr:uid="{00000000-0005-0000-0000-000063640000}"/>
    <cellStyle name="Финансовый 2 4 6 3 2 3" xfId="5626" xr:uid="{00000000-0005-0000-0000-000064640000}"/>
    <cellStyle name="Финансовый 2 4 6 3 2 3 2" xfId="17604" xr:uid="{00000000-0005-0000-0000-000065640000}"/>
    <cellStyle name="Финансовый 2 4 6 3 2 3 2 2" xfId="41559" xr:uid="{00000000-0005-0000-0000-000066640000}"/>
    <cellStyle name="Финансовый 2 4 6 3 2 3 3" xfId="29581" xr:uid="{00000000-0005-0000-0000-000067640000}"/>
    <cellStyle name="Финансовый 2 4 6 3 2 4" xfId="8236" xr:uid="{00000000-0005-0000-0000-000068640000}"/>
    <cellStyle name="Финансовый 2 4 6 3 2 4 2" xfId="20214" xr:uid="{00000000-0005-0000-0000-000069640000}"/>
    <cellStyle name="Финансовый 2 4 6 3 2 4 2 2" xfId="44169" xr:uid="{00000000-0005-0000-0000-00006A640000}"/>
    <cellStyle name="Финансовый 2 4 6 3 2 4 3" xfId="32191" xr:uid="{00000000-0005-0000-0000-00006B640000}"/>
    <cellStyle name="Финансовый 2 4 6 3 2 5" xfId="10019" xr:uid="{00000000-0005-0000-0000-00006C640000}"/>
    <cellStyle name="Финансовый 2 4 6 3 2 5 2" xfId="21997" xr:uid="{00000000-0005-0000-0000-00006D640000}"/>
    <cellStyle name="Финансовый 2 4 6 3 2 5 2 2" xfId="45952" xr:uid="{00000000-0005-0000-0000-00006E640000}"/>
    <cellStyle name="Финансовый 2 4 6 3 2 5 3" xfId="33974" xr:uid="{00000000-0005-0000-0000-00006F640000}"/>
    <cellStyle name="Финансовый 2 4 6 3 2 6" xfId="14177" xr:uid="{00000000-0005-0000-0000-000070640000}"/>
    <cellStyle name="Финансовый 2 4 6 3 2 6 2" xfId="38132" xr:uid="{00000000-0005-0000-0000-000071640000}"/>
    <cellStyle name="Финансовый 2 4 6 3 2 7" xfId="26155" xr:uid="{00000000-0005-0000-0000-000072640000}"/>
    <cellStyle name="Финансовый 2 4 6 3 2 8" xfId="49288" xr:uid="{00000000-0005-0000-0000-000073640000}"/>
    <cellStyle name="Финансовый 2 4 6 3 3" xfId="1232" xr:uid="{00000000-0005-0000-0000-000074640000}"/>
    <cellStyle name="Финансовый 2 4 6 3 3 2" xfId="7272" xr:uid="{00000000-0005-0000-0000-000075640000}"/>
    <cellStyle name="Финансовый 2 4 6 3 3 2 2" xfId="19250" xr:uid="{00000000-0005-0000-0000-000076640000}"/>
    <cellStyle name="Финансовый 2 4 6 3 3 2 2 2" xfId="43205" xr:uid="{00000000-0005-0000-0000-000077640000}"/>
    <cellStyle name="Финансовый 2 4 6 3 3 2 3" xfId="31227" xr:uid="{00000000-0005-0000-0000-000078640000}"/>
    <cellStyle name="Финансовый 2 4 6 3 3 3" xfId="10811" xr:uid="{00000000-0005-0000-0000-000079640000}"/>
    <cellStyle name="Финансовый 2 4 6 3 3 3 2" xfId="22789" xr:uid="{00000000-0005-0000-0000-00007A640000}"/>
    <cellStyle name="Финансовый 2 4 6 3 3 3 2 2" xfId="46744" xr:uid="{00000000-0005-0000-0000-00007B640000}"/>
    <cellStyle name="Финансовый 2 4 6 3 3 3 3" xfId="34766" xr:uid="{00000000-0005-0000-0000-00007C640000}"/>
    <cellStyle name="Финансовый 2 4 6 3 3 4" xfId="13213" xr:uid="{00000000-0005-0000-0000-00007D640000}"/>
    <cellStyle name="Финансовый 2 4 6 3 3 4 2" xfId="37168" xr:uid="{00000000-0005-0000-0000-00007E640000}"/>
    <cellStyle name="Финансовый 2 4 6 3 3 5" xfId="25191" xr:uid="{00000000-0005-0000-0000-00007F640000}"/>
    <cellStyle name="Финансовый 2 4 6 3 3 6" xfId="50104" xr:uid="{00000000-0005-0000-0000-000080640000}"/>
    <cellStyle name="Финансовый 2 4 6 3 4" xfId="839" xr:uid="{00000000-0005-0000-0000-000081640000}"/>
    <cellStyle name="Финансовый 2 4 6 3 4 2" xfId="6879" xr:uid="{00000000-0005-0000-0000-000082640000}"/>
    <cellStyle name="Финансовый 2 4 6 3 4 2 2" xfId="18857" xr:uid="{00000000-0005-0000-0000-000083640000}"/>
    <cellStyle name="Финансовый 2 4 6 3 4 2 2 2" xfId="42812" xr:uid="{00000000-0005-0000-0000-000084640000}"/>
    <cellStyle name="Финансовый 2 4 6 3 4 2 3" xfId="30834" xr:uid="{00000000-0005-0000-0000-000085640000}"/>
    <cellStyle name="Финансовый 2 4 6 3 4 3" xfId="12820" xr:uid="{00000000-0005-0000-0000-000086640000}"/>
    <cellStyle name="Финансовый 2 4 6 3 4 3 2" xfId="36775" xr:uid="{00000000-0005-0000-0000-000087640000}"/>
    <cellStyle name="Финансовый 2 4 6 3 4 4" xfId="24798" xr:uid="{00000000-0005-0000-0000-000088640000}"/>
    <cellStyle name="Финансовый 2 4 6 3 5" xfId="3016" xr:uid="{00000000-0005-0000-0000-000089640000}"/>
    <cellStyle name="Финансовый 2 4 6 3 5 2" xfId="14995" xr:uid="{00000000-0005-0000-0000-00008A640000}"/>
    <cellStyle name="Финансовый 2 4 6 3 5 2 2" xfId="38950" xr:uid="{00000000-0005-0000-0000-00008B640000}"/>
    <cellStyle name="Финансовый 2 4 6 3 5 3" xfId="26973" xr:uid="{00000000-0005-0000-0000-00008C640000}"/>
    <cellStyle name="Финансовый 2 4 6 3 6" xfId="4660" xr:uid="{00000000-0005-0000-0000-00008D640000}"/>
    <cellStyle name="Финансовый 2 4 6 3 6 2" xfId="16639" xr:uid="{00000000-0005-0000-0000-00008E640000}"/>
    <cellStyle name="Финансовый 2 4 6 3 6 2 2" xfId="40594" xr:uid="{00000000-0005-0000-0000-00008F640000}"/>
    <cellStyle name="Финансовый 2 4 6 3 6 3" xfId="28617" xr:uid="{00000000-0005-0000-0000-000090640000}"/>
    <cellStyle name="Финансовый 2 4 6 3 7" xfId="6459" xr:uid="{00000000-0005-0000-0000-000091640000}"/>
    <cellStyle name="Финансовый 2 4 6 3 7 2" xfId="18437" xr:uid="{00000000-0005-0000-0000-000092640000}"/>
    <cellStyle name="Финансовый 2 4 6 3 7 2 2" xfId="42392" xr:uid="{00000000-0005-0000-0000-000093640000}"/>
    <cellStyle name="Финансовый 2 4 6 3 7 3" xfId="30414" xr:uid="{00000000-0005-0000-0000-000094640000}"/>
    <cellStyle name="Финансовый 2 4 6 3 8" xfId="9054" xr:uid="{00000000-0005-0000-0000-000095640000}"/>
    <cellStyle name="Финансовый 2 4 6 3 8 2" xfId="21032" xr:uid="{00000000-0005-0000-0000-000096640000}"/>
    <cellStyle name="Финансовый 2 4 6 3 8 2 2" xfId="44987" xr:uid="{00000000-0005-0000-0000-000097640000}"/>
    <cellStyle name="Финансовый 2 4 6 3 8 3" xfId="33009" xr:uid="{00000000-0005-0000-0000-000098640000}"/>
    <cellStyle name="Финансовый 2 4 6 3 9" xfId="12400" xr:uid="{00000000-0005-0000-0000-000099640000}"/>
    <cellStyle name="Финансовый 2 4 6 3 9 2" xfId="36355" xr:uid="{00000000-0005-0000-0000-00009A640000}"/>
    <cellStyle name="Финансовый 2 4 6 4" xfId="1503" xr:uid="{00000000-0005-0000-0000-00009B640000}"/>
    <cellStyle name="Финансовый 2 4 6 4 2" xfId="1942" xr:uid="{00000000-0005-0000-0000-00009C640000}"/>
    <cellStyle name="Финансовый 2 4 6 4 2 2" xfId="3587" xr:uid="{00000000-0005-0000-0000-00009D640000}"/>
    <cellStyle name="Финансовый 2 4 6 4 2 2 2" xfId="11327" xr:uid="{00000000-0005-0000-0000-00009E640000}"/>
    <cellStyle name="Финансовый 2 4 6 4 2 2 2 2" xfId="23305" xr:uid="{00000000-0005-0000-0000-00009F640000}"/>
    <cellStyle name="Финансовый 2 4 6 4 2 2 2 2 2" xfId="47260" xr:uid="{00000000-0005-0000-0000-0000A0640000}"/>
    <cellStyle name="Финансовый 2 4 6 4 2 2 2 3" xfId="35282" xr:uid="{00000000-0005-0000-0000-0000A1640000}"/>
    <cellStyle name="Финансовый 2 4 6 4 2 2 3" xfId="15566" xr:uid="{00000000-0005-0000-0000-0000A2640000}"/>
    <cellStyle name="Финансовый 2 4 6 4 2 2 3 2" xfId="39521" xr:uid="{00000000-0005-0000-0000-0000A3640000}"/>
    <cellStyle name="Финансовый 2 4 6 4 2 2 4" xfId="27544" xr:uid="{00000000-0005-0000-0000-0000A4640000}"/>
    <cellStyle name="Финансовый 2 4 6 4 2 2 5" xfId="50813" xr:uid="{00000000-0005-0000-0000-0000A5640000}"/>
    <cellStyle name="Финансовый 2 4 6 4 2 3" xfId="5370" xr:uid="{00000000-0005-0000-0000-0000A6640000}"/>
    <cellStyle name="Финансовый 2 4 6 4 2 3 2" xfId="17348" xr:uid="{00000000-0005-0000-0000-0000A7640000}"/>
    <cellStyle name="Финансовый 2 4 6 4 2 3 2 2" xfId="41303" xr:uid="{00000000-0005-0000-0000-0000A8640000}"/>
    <cellStyle name="Финансовый 2 4 6 4 2 3 3" xfId="29325" xr:uid="{00000000-0005-0000-0000-0000A9640000}"/>
    <cellStyle name="Финансовый 2 4 6 4 2 4" xfId="7980" xr:uid="{00000000-0005-0000-0000-0000AA640000}"/>
    <cellStyle name="Финансовый 2 4 6 4 2 4 2" xfId="19958" xr:uid="{00000000-0005-0000-0000-0000AB640000}"/>
    <cellStyle name="Финансовый 2 4 6 4 2 4 2 2" xfId="43913" xr:uid="{00000000-0005-0000-0000-0000AC640000}"/>
    <cellStyle name="Финансовый 2 4 6 4 2 4 3" xfId="31935" xr:uid="{00000000-0005-0000-0000-0000AD640000}"/>
    <cellStyle name="Финансовый 2 4 6 4 2 5" xfId="9763" xr:uid="{00000000-0005-0000-0000-0000AE640000}"/>
    <cellStyle name="Финансовый 2 4 6 4 2 5 2" xfId="21741" xr:uid="{00000000-0005-0000-0000-0000AF640000}"/>
    <cellStyle name="Финансовый 2 4 6 4 2 5 2 2" xfId="45696" xr:uid="{00000000-0005-0000-0000-0000B0640000}"/>
    <cellStyle name="Финансовый 2 4 6 4 2 5 3" xfId="33718" xr:uid="{00000000-0005-0000-0000-0000B1640000}"/>
    <cellStyle name="Финансовый 2 4 6 4 2 6" xfId="13921" xr:uid="{00000000-0005-0000-0000-0000B2640000}"/>
    <cellStyle name="Финансовый 2 4 6 4 2 6 2" xfId="37876" xr:uid="{00000000-0005-0000-0000-0000B3640000}"/>
    <cellStyle name="Финансовый 2 4 6 4 2 7" xfId="25899" xr:uid="{00000000-0005-0000-0000-0000B4640000}"/>
    <cellStyle name="Финансовый 2 4 6 4 2 8" xfId="49032" xr:uid="{00000000-0005-0000-0000-0000B5640000}"/>
    <cellStyle name="Финансовый 2 4 6 4 3" xfId="4931" xr:uid="{00000000-0005-0000-0000-0000B6640000}"/>
    <cellStyle name="Финансовый 2 4 6 4 3 2" xfId="16909" xr:uid="{00000000-0005-0000-0000-0000B7640000}"/>
    <cellStyle name="Финансовый 2 4 6 4 3 2 2" xfId="40864" xr:uid="{00000000-0005-0000-0000-0000B8640000}"/>
    <cellStyle name="Финансовый 2 4 6 4 3 3" xfId="28886" xr:uid="{00000000-0005-0000-0000-0000B9640000}"/>
    <cellStyle name="Финансовый 2 4 6 4 3 4" xfId="50374" xr:uid="{00000000-0005-0000-0000-0000BA640000}"/>
    <cellStyle name="Финансовый 2 4 6 4 4" xfId="7541" xr:uid="{00000000-0005-0000-0000-0000BB640000}"/>
    <cellStyle name="Финансовый 2 4 6 4 4 2" xfId="19519" xr:uid="{00000000-0005-0000-0000-0000BC640000}"/>
    <cellStyle name="Финансовый 2 4 6 4 4 2 2" xfId="43474" xr:uid="{00000000-0005-0000-0000-0000BD640000}"/>
    <cellStyle name="Финансовый 2 4 6 4 4 3" xfId="31496" xr:uid="{00000000-0005-0000-0000-0000BE640000}"/>
    <cellStyle name="Финансовый 2 4 6 4 5" xfId="9324" xr:uid="{00000000-0005-0000-0000-0000BF640000}"/>
    <cellStyle name="Финансовый 2 4 6 4 5 2" xfId="21302" xr:uid="{00000000-0005-0000-0000-0000C0640000}"/>
    <cellStyle name="Финансовый 2 4 6 4 5 2 2" xfId="45257" xr:uid="{00000000-0005-0000-0000-0000C1640000}"/>
    <cellStyle name="Финансовый 2 4 6 4 5 3" xfId="33279" xr:uid="{00000000-0005-0000-0000-0000C2640000}"/>
    <cellStyle name="Финансовый 2 4 6 4 6" xfId="13482" xr:uid="{00000000-0005-0000-0000-0000C3640000}"/>
    <cellStyle name="Финансовый 2 4 6 4 6 2" xfId="37437" xr:uid="{00000000-0005-0000-0000-0000C4640000}"/>
    <cellStyle name="Финансовый 2 4 6 4 7" xfId="25460" xr:uid="{00000000-0005-0000-0000-0000C5640000}"/>
    <cellStyle name="Финансовый 2 4 6 4 8" xfId="48593" xr:uid="{00000000-0005-0000-0000-0000C6640000}"/>
    <cellStyle name="Финансовый 2 4 6 5" xfId="1818" xr:uid="{00000000-0005-0000-0000-0000C7640000}"/>
    <cellStyle name="Финансовый 2 4 6 5 2" xfId="3463" xr:uid="{00000000-0005-0000-0000-0000C8640000}"/>
    <cellStyle name="Финансовый 2 4 6 5 2 2" xfId="11211" xr:uid="{00000000-0005-0000-0000-0000C9640000}"/>
    <cellStyle name="Финансовый 2 4 6 5 2 2 2" xfId="23189" xr:uid="{00000000-0005-0000-0000-0000CA640000}"/>
    <cellStyle name="Финансовый 2 4 6 5 2 2 2 2" xfId="47144" xr:uid="{00000000-0005-0000-0000-0000CB640000}"/>
    <cellStyle name="Финансовый 2 4 6 5 2 2 3" xfId="35166" xr:uid="{00000000-0005-0000-0000-0000CC640000}"/>
    <cellStyle name="Финансовый 2 4 6 5 2 3" xfId="15442" xr:uid="{00000000-0005-0000-0000-0000CD640000}"/>
    <cellStyle name="Финансовый 2 4 6 5 2 3 2" xfId="39397" xr:uid="{00000000-0005-0000-0000-0000CE640000}"/>
    <cellStyle name="Финансовый 2 4 6 5 2 4" xfId="27420" xr:uid="{00000000-0005-0000-0000-0000CF640000}"/>
    <cellStyle name="Финансовый 2 4 6 5 2 5" xfId="50689" xr:uid="{00000000-0005-0000-0000-0000D0640000}"/>
    <cellStyle name="Финансовый 2 4 6 5 3" xfId="5246" xr:uid="{00000000-0005-0000-0000-0000D1640000}"/>
    <cellStyle name="Финансовый 2 4 6 5 3 2" xfId="17224" xr:uid="{00000000-0005-0000-0000-0000D2640000}"/>
    <cellStyle name="Финансовый 2 4 6 5 3 2 2" xfId="41179" xr:uid="{00000000-0005-0000-0000-0000D3640000}"/>
    <cellStyle name="Финансовый 2 4 6 5 3 3" xfId="29201" xr:uid="{00000000-0005-0000-0000-0000D4640000}"/>
    <cellStyle name="Финансовый 2 4 6 5 4" xfId="7856" xr:uid="{00000000-0005-0000-0000-0000D5640000}"/>
    <cellStyle name="Финансовый 2 4 6 5 4 2" xfId="19834" xr:uid="{00000000-0005-0000-0000-0000D6640000}"/>
    <cellStyle name="Финансовый 2 4 6 5 4 2 2" xfId="43789" xr:uid="{00000000-0005-0000-0000-0000D7640000}"/>
    <cellStyle name="Финансовый 2 4 6 5 4 3" xfId="31811" xr:uid="{00000000-0005-0000-0000-0000D8640000}"/>
    <cellStyle name="Финансовый 2 4 6 5 5" xfId="9639" xr:uid="{00000000-0005-0000-0000-0000D9640000}"/>
    <cellStyle name="Финансовый 2 4 6 5 5 2" xfId="21617" xr:uid="{00000000-0005-0000-0000-0000DA640000}"/>
    <cellStyle name="Финансовый 2 4 6 5 5 2 2" xfId="45572" xr:uid="{00000000-0005-0000-0000-0000DB640000}"/>
    <cellStyle name="Финансовый 2 4 6 5 5 3" xfId="33594" xr:uid="{00000000-0005-0000-0000-0000DC640000}"/>
    <cellStyle name="Финансовый 2 4 6 5 6" xfId="13797" xr:uid="{00000000-0005-0000-0000-0000DD640000}"/>
    <cellStyle name="Финансовый 2 4 6 5 6 2" xfId="37752" xr:uid="{00000000-0005-0000-0000-0000DE640000}"/>
    <cellStyle name="Финансовый 2 4 6 5 7" xfId="25775" xr:uid="{00000000-0005-0000-0000-0000DF640000}"/>
    <cellStyle name="Финансовый 2 4 6 5 8" xfId="48908" xr:uid="{00000000-0005-0000-0000-0000E0640000}"/>
    <cellStyle name="Финансовый 2 4 6 6" xfId="2463" xr:uid="{00000000-0005-0000-0000-0000E1640000}"/>
    <cellStyle name="Финансовый 2 4 6 6 2" xfId="4108" xr:uid="{00000000-0005-0000-0000-0000E2640000}"/>
    <cellStyle name="Финансовый 2 4 6 6 2 2" xfId="11840" xr:uid="{00000000-0005-0000-0000-0000E3640000}"/>
    <cellStyle name="Финансовый 2 4 6 6 2 2 2" xfId="23818" xr:uid="{00000000-0005-0000-0000-0000E4640000}"/>
    <cellStyle name="Финансовый 2 4 6 6 2 2 2 2" xfId="47773" xr:uid="{00000000-0005-0000-0000-0000E5640000}"/>
    <cellStyle name="Финансовый 2 4 6 6 2 2 3" xfId="35795" xr:uid="{00000000-0005-0000-0000-0000E6640000}"/>
    <cellStyle name="Финансовый 2 4 6 6 2 3" xfId="16087" xr:uid="{00000000-0005-0000-0000-0000E7640000}"/>
    <cellStyle name="Финансовый 2 4 6 6 2 3 2" xfId="40042" xr:uid="{00000000-0005-0000-0000-0000E8640000}"/>
    <cellStyle name="Финансовый 2 4 6 6 2 4" xfId="28065" xr:uid="{00000000-0005-0000-0000-0000E9640000}"/>
    <cellStyle name="Финансовый 2 4 6 6 2 5" xfId="51334" xr:uid="{00000000-0005-0000-0000-0000EA640000}"/>
    <cellStyle name="Финансовый 2 4 6 6 3" xfId="5891" xr:uid="{00000000-0005-0000-0000-0000EB640000}"/>
    <cellStyle name="Финансовый 2 4 6 6 3 2" xfId="17869" xr:uid="{00000000-0005-0000-0000-0000EC640000}"/>
    <cellStyle name="Финансовый 2 4 6 6 3 2 2" xfId="41824" xr:uid="{00000000-0005-0000-0000-0000ED640000}"/>
    <cellStyle name="Финансовый 2 4 6 6 3 3" xfId="29846" xr:uid="{00000000-0005-0000-0000-0000EE640000}"/>
    <cellStyle name="Финансовый 2 4 6 6 4" xfId="8501" xr:uid="{00000000-0005-0000-0000-0000EF640000}"/>
    <cellStyle name="Финансовый 2 4 6 6 4 2" xfId="20479" xr:uid="{00000000-0005-0000-0000-0000F0640000}"/>
    <cellStyle name="Финансовый 2 4 6 6 4 2 2" xfId="44434" xr:uid="{00000000-0005-0000-0000-0000F1640000}"/>
    <cellStyle name="Финансовый 2 4 6 6 4 3" xfId="32456" xr:uid="{00000000-0005-0000-0000-0000F2640000}"/>
    <cellStyle name="Финансовый 2 4 6 6 5" xfId="10284" xr:uid="{00000000-0005-0000-0000-0000F3640000}"/>
    <cellStyle name="Финансовый 2 4 6 6 5 2" xfId="22262" xr:uid="{00000000-0005-0000-0000-0000F4640000}"/>
    <cellStyle name="Финансовый 2 4 6 6 5 2 2" xfId="46217" xr:uid="{00000000-0005-0000-0000-0000F5640000}"/>
    <cellStyle name="Финансовый 2 4 6 6 5 3" xfId="34239" xr:uid="{00000000-0005-0000-0000-0000F6640000}"/>
    <cellStyle name="Финансовый 2 4 6 6 6" xfId="14442" xr:uid="{00000000-0005-0000-0000-0000F7640000}"/>
    <cellStyle name="Финансовый 2 4 6 6 6 2" xfId="38397" xr:uid="{00000000-0005-0000-0000-0000F8640000}"/>
    <cellStyle name="Финансовый 2 4 6 6 7" xfId="26420" xr:uid="{00000000-0005-0000-0000-0000F9640000}"/>
    <cellStyle name="Финансовый 2 4 6 6 8" xfId="49553" xr:uid="{00000000-0005-0000-0000-0000FA640000}"/>
    <cellStyle name="Финансовый 2 4 6 7" xfId="1690" xr:uid="{00000000-0005-0000-0000-0000FB640000}"/>
    <cellStyle name="Финансовый 2 4 6 7 2" xfId="3335" xr:uid="{00000000-0005-0000-0000-0000FC640000}"/>
    <cellStyle name="Финансовый 2 4 6 7 2 2" xfId="11083" xr:uid="{00000000-0005-0000-0000-0000FD640000}"/>
    <cellStyle name="Финансовый 2 4 6 7 2 2 2" xfId="23061" xr:uid="{00000000-0005-0000-0000-0000FE640000}"/>
    <cellStyle name="Финансовый 2 4 6 7 2 2 2 2" xfId="47016" xr:uid="{00000000-0005-0000-0000-0000FF640000}"/>
    <cellStyle name="Финансовый 2 4 6 7 2 2 3" xfId="35038" xr:uid="{00000000-0005-0000-0000-000000650000}"/>
    <cellStyle name="Финансовый 2 4 6 7 2 3" xfId="15314" xr:uid="{00000000-0005-0000-0000-000001650000}"/>
    <cellStyle name="Финансовый 2 4 6 7 2 3 2" xfId="39269" xr:uid="{00000000-0005-0000-0000-000002650000}"/>
    <cellStyle name="Финансовый 2 4 6 7 2 4" xfId="27292" xr:uid="{00000000-0005-0000-0000-000003650000}"/>
    <cellStyle name="Финансовый 2 4 6 7 2 5" xfId="50561" xr:uid="{00000000-0005-0000-0000-000004650000}"/>
    <cellStyle name="Финансовый 2 4 6 7 3" xfId="5118" xr:uid="{00000000-0005-0000-0000-000005650000}"/>
    <cellStyle name="Финансовый 2 4 6 7 3 2" xfId="17096" xr:uid="{00000000-0005-0000-0000-000006650000}"/>
    <cellStyle name="Финансовый 2 4 6 7 3 2 2" xfId="41051" xr:uid="{00000000-0005-0000-0000-000007650000}"/>
    <cellStyle name="Финансовый 2 4 6 7 3 3" xfId="29073" xr:uid="{00000000-0005-0000-0000-000008650000}"/>
    <cellStyle name="Финансовый 2 4 6 7 4" xfId="7728" xr:uid="{00000000-0005-0000-0000-000009650000}"/>
    <cellStyle name="Финансовый 2 4 6 7 4 2" xfId="19706" xr:uid="{00000000-0005-0000-0000-00000A650000}"/>
    <cellStyle name="Финансовый 2 4 6 7 4 2 2" xfId="43661" xr:uid="{00000000-0005-0000-0000-00000B650000}"/>
    <cellStyle name="Финансовый 2 4 6 7 4 3" xfId="31683" xr:uid="{00000000-0005-0000-0000-00000C650000}"/>
    <cellStyle name="Финансовый 2 4 6 7 5" xfId="9511" xr:uid="{00000000-0005-0000-0000-00000D650000}"/>
    <cellStyle name="Финансовый 2 4 6 7 5 2" xfId="21489" xr:uid="{00000000-0005-0000-0000-00000E650000}"/>
    <cellStyle name="Финансовый 2 4 6 7 5 2 2" xfId="45444" xr:uid="{00000000-0005-0000-0000-00000F650000}"/>
    <cellStyle name="Финансовый 2 4 6 7 5 3" xfId="33466" xr:uid="{00000000-0005-0000-0000-000010650000}"/>
    <cellStyle name="Финансовый 2 4 6 7 6" xfId="13669" xr:uid="{00000000-0005-0000-0000-000011650000}"/>
    <cellStyle name="Финансовый 2 4 6 7 6 2" xfId="37624" xr:uid="{00000000-0005-0000-0000-000012650000}"/>
    <cellStyle name="Финансовый 2 4 6 7 7" xfId="25647" xr:uid="{00000000-0005-0000-0000-000013650000}"/>
    <cellStyle name="Финансовый 2 4 6 7 8" xfId="48780" xr:uid="{00000000-0005-0000-0000-000014650000}"/>
    <cellStyle name="Финансовый 2 4 6 8" xfId="967" xr:uid="{00000000-0005-0000-0000-000015650000}"/>
    <cellStyle name="Финансовый 2 4 6 8 2" xfId="7007" xr:uid="{00000000-0005-0000-0000-000016650000}"/>
    <cellStyle name="Финансовый 2 4 6 8 2 2" xfId="18985" xr:uid="{00000000-0005-0000-0000-000017650000}"/>
    <cellStyle name="Финансовый 2 4 6 8 2 2 2" xfId="42940" xr:uid="{00000000-0005-0000-0000-000018650000}"/>
    <cellStyle name="Финансовый 2 4 6 8 2 3" xfId="30962" xr:uid="{00000000-0005-0000-0000-000019650000}"/>
    <cellStyle name="Финансовый 2 4 6 8 3" xfId="10555" xr:uid="{00000000-0005-0000-0000-00001A650000}"/>
    <cellStyle name="Финансовый 2 4 6 8 3 2" xfId="22533" xr:uid="{00000000-0005-0000-0000-00001B650000}"/>
    <cellStyle name="Финансовый 2 4 6 8 3 2 2" xfId="46488" xr:uid="{00000000-0005-0000-0000-00001C650000}"/>
    <cellStyle name="Финансовый 2 4 6 8 3 3" xfId="34510" xr:uid="{00000000-0005-0000-0000-00001D650000}"/>
    <cellStyle name="Финансовый 2 4 6 8 4" xfId="12948" xr:uid="{00000000-0005-0000-0000-00001E650000}"/>
    <cellStyle name="Финансовый 2 4 6 8 4 2" xfId="36903" xr:uid="{00000000-0005-0000-0000-00001F650000}"/>
    <cellStyle name="Финансовый 2 4 6 8 5" xfId="24926" xr:uid="{00000000-0005-0000-0000-000020650000}"/>
    <cellStyle name="Финансовый 2 4 6 8 6" xfId="49832" xr:uid="{00000000-0005-0000-0000-000021650000}"/>
    <cellStyle name="Финансовый 2 4 6 9" xfId="555" xr:uid="{00000000-0005-0000-0000-000022650000}"/>
    <cellStyle name="Финансовый 2 4 6 9 2" xfId="6595" xr:uid="{00000000-0005-0000-0000-000023650000}"/>
    <cellStyle name="Финансовый 2 4 6 9 2 2" xfId="18573" xr:uid="{00000000-0005-0000-0000-000024650000}"/>
    <cellStyle name="Финансовый 2 4 6 9 2 2 2" xfId="42528" xr:uid="{00000000-0005-0000-0000-000025650000}"/>
    <cellStyle name="Финансовый 2 4 6 9 2 3" xfId="30550" xr:uid="{00000000-0005-0000-0000-000026650000}"/>
    <cellStyle name="Финансовый 2 4 6 9 3" xfId="12536" xr:uid="{00000000-0005-0000-0000-000027650000}"/>
    <cellStyle name="Финансовый 2 4 6 9 3 2" xfId="36491" xr:uid="{00000000-0005-0000-0000-000028650000}"/>
    <cellStyle name="Финансовый 2 4 6 9 4" xfId="24514" xr:uid="{00000000-0005-0000-0000-000029650000}"/>
    <cellStyle name="Финансовый 2 4 7" xfId="32" xr:uid="{00000000-0005-0000-0000-00002A650000}"/>
    <cellStyle name="Финансовый 2 4 7 10" xfId="2644" xr:uid="{00000000-0005-0000-0000-00002B650000}"/>
    <cellStyle name="Финансовый 2 4 7 10 2" xfId="14623" xr:uid="{00000000-0005-0000-0000-00002C650000}"/>
    <cellStyle name="Финансовый 2 4 7 10 2 2" xfId="38578" xr:uid="{00000000-0005-0000-0000-00002D650000}"/>
    <cellStyle name="Финансовый 2 4 7 10 3" xfId="26601" xr:uid="{00000000-0005-0000-0000-00002E650000}"/>
    <cellStyle name="Финансовый 2 4 7 11" xfId="4287" xr:uid="{00000000-0005-0000-0000-00002F650000}"/>
    <cellStyle name="Финансовый 2 4 7 11 2" xfId="16266" xr:uid="{00000000-0005-0000-0000-000030650000}"/>
    <cellStyle name="Финансовый 2 4 7 11 2 2" xfId="40221" xr:uid="{00000000-0005-0000-0000-000031650000}"/>
    <cellStyle name="Финансовый 2 4 7 11 3" xfId="28244" xr:uid="{00000000-0005-0000-0000-000032650000}"/>
    <cellStyle name="Финансовый 2 4 7 12" xfId="6075" xr:uid="{00000000-0005-0000-0000-000033650000}"/>
    <cellStyle name="Финансовый 2 4 7 12 2" xfId="18053" xr:uid="{00000000-0005-0000-0000-000034650000}"/>
    <cellStyle name="Финансовый 2 4 7 12 2 2" xfId="42008" xr:uid="{00000000-0005-0000-0000-000035650000}"/>
    <cellStyle name="Финансовый 2 4 7 12 3" xfId="30030" xr:uid="{00000000-0005-0000-0000-000036650000}"/>
    <cellStyle name="Финансовый 2 4 7 13" xfId="8682" xr:uid="{00000000-0005-0000-0000-000037650000}"/>
    <cellStyle name="Финансовый 2 4 7 13 2" xfId="20660" xr:uid="{00000000-0005-0000-0000-000038650000}"/>
    <cellStyle name="Финансовый 2 4 7 13 2 2" xfId="44615" xr:uid="{00000000-0005-0000-0000-000039650000}"/>
    <cellStyle name="Финансовый 2 4 7 13 3" xfId="32637" xr:uid="{00000000-0005-0000-0000-00003A650000}"/>
    <cellStyle name="Финансовый 2 4 7 14" xfId="12016" xr:uid="{00000000-0005-0000-0000-00003B650000}"/>
    <cellStyle name="Финансовый 2 4 7 14 2" xfId="35971" xr:uid="{00000000-0005-0000-0000-00003C650000}"/>
    <cellStyle name="Финансовый 2 4 7 15" xfId="23994" xr:uid="{00000000-0005-0000-0000-00003D650000}"/>
    <cellStyle name="Финансовый 2 4 7 16" xfId="47952" xr:uid="{00000000-0005-0000-0000-00003E650000}"/>
    <cellStyle name="Финансовый 2 4 7 2" xfId="170" xr:uid="{00000000-0005-0000-0000-00003F650000}"/>
    <cellStyle name="Финансовый 2 4 7 2 10" xfId="8818" xr:uid="{00000000-0005-0000-0000-000040650000}"/>
    <cellStyle name="Финансовый 2 4 7 2 10 2" xfId="20796" xr:uid="{00000000-0005-0000-0000-000041650000}"/>
    <cellStyle name="Финансовый 2 4 7 2 10 2 2" xfId="44751" xr:uid="{00000000-0005-0000-0000-000042650000}"/>
    <cellStyle name="Финансовый 2 4 7 2 10 3" xfId="32773" xr:uid="{00000000-0005-0000-0000-000043650000}"/>
    <cellStyle name="Финансовый 2 4 7 2 11" xfId="12152" xr:uid="{00000000-0005-0000-0000-000044650000}"/>
    <cellStyle name="Финансовый 2 4 7 2 11 2" xfId="36107" xr:uid="{00000000-0005-0000-0000-000045650000}"/>
    <cellStyle name="Финансовый 2 4 7 2 12" xfId="24130" xr:uid="{00000000-0005-0000-0000-000046650000}"/>
    <cellStyle name="Финансовый 2 4 7 2 13" xfId="48088" xr:uid="{00000000-0005-0000-0000-000047650000}"/>
    <cellStyle name="Финансовый 2 4 7 2 2" xfId="1268" xr:uid="{00000000-0005-0000-0000-000048650000}"/>
    <cellStyle name="Финансовый 2 4 7 2 2 2" xfId="2234" xr:uid="{00000000-0005-0000-0000-000049650000}"/>
    <cellStyle name="Финансовый 2 4 7 2 2 2 2" xfId="3879" xr:uid="{00000000-0005-0000-0000-00004A650000}"/>
    <cellStyle name="Финансовый 2 4 7 2 2 2 2 2" xfId="11619" xr:uid="{00000000-0005-0000-0000-00004B650000}"/>
    <cellStyle name="Финансовый 2 4 7 2 2 2 2 2 2" xfId="23597" xr:uid="{00000000-0005-0000-0000-00004C650000}"/>
    <cellStyle name="Финансовый 2 4 7 2 2 2 2 2 2 2" xfId="47552" xr:uid="{00000000-0005-0000-0000-00004D650000}"/>
    <cellStyle name="Финансовый 2 4 7 2 2 2 2 2 3" xfId="35574" xr:uid="{00000000-0005-0000-0000-00004E650000}"/>
    <cellStyle name="Финансовый 2 4 7 2 2 2 2 3" xfId="15858" xr:uid="{00000000-0005-0000-0000-00004F650000}"/>
    <cellStyle name="Финансовый 2 4 7 2 2 2 2 3 2" xfId="39813" xr:uid="{00000000-0005-0000-0000-000050650000}"/>
    <cellStyle name="Финансовый 2 4 7 2 2 2 2 4" xfId="27836" xr:uid="{00000000-0005-0000-0000-000051650000}"/>
    <cellStyle name="Финансовый 2 4 7 2 2 2 2 5" xfId="51105" xr:uid="{00000000-0005-0000-0000-000052650000}"/>
    <cellStyle name="Финансовый 2 4 7 2 2 2 3" xfId="5662" xr:uid="{00000000-0005-0000-0000-000053650000}"/>
    <cellStyle name="Финансовый 2 4 7 2 2 2 3 2" xfId="17640" xr:uid="{00000000-0005-0000-0000-000054650000}"/>
    <cellStyle name="Финансовый 2 4 7 2 2 2 3 2 2" xfId="41595" xr:uid="{00000000-0005-0000-0000-000055650000}"/>
    <cellStyle name="Финансовый 2 4 7 2 2 2 3 3" xfId="29617" xr:uid="{00000000-0005-0000-0000-000056650000}"/>
    <cellStyle name="Финансовый 2 4 7 2 2 2 4" xfId="8272" xr:uid="{00000000-0005-0000-0000-000057650000}"/>
    <cellStyle name="Финансовый 2 4 7 2 2 2 4 2" xfId="20250" xr:uid="{00000000-0005-0000-0000-000058650000}"/>
    <cellStyle name="Финансовый 2 4 7 2 2 2 4 2 2" xfId="44205" xr:uid="{00000000-0005-0000-0000-000059650000}"/>
    <cellStyle name="Финансовый 2 4 7 2 2 2 4 3" xfId="32227" xr:uid="{00000000-0005-0000-0000-00005A650000}"/>
    <cellStyle name="Финансовый 2 4 7 2 2 2 5" xfId="10055" xr:uid="{00000000-0005-0000-0000-00005B650000}"/>
    <cellStyle name="Финансовый 2 4 7 2 2 2 5 2" xfId="22033" xr:uid="{00000000-0005-0000-0000-00005C650000}"/>
    <cellStyle name="Финансовый 2 4 7 2 2 2 5 2 2" xfId="45988" xr:uid="{00000000-0005-0000-0000-00005D650000}"/>
    <cellStyle name="Финансовый 2 4 7 2 2 2 5 3" xfId="34010" xr:uid="{00000000-0005-0000-0000-00005E650000}"/>
    <cellStyle name="Финансовый 2 4 7 2 2 2 6" xfId="14213" xr:uid="{00000000-0005-0000-0000-00005F650000}"/>
    <cellStyle name="Финансовый 2 4 7 2 2 2 6 2" xfId="38168" xr:uid="{00000000-0005-0000-0000-000060650000}"/>
    <cellStyle name="Финансовый 2 4 7 2 2 2 7" xfId="26191" xr:uid="{00000000-0005-0000-0000-000061650000}"/>
    <cellStyle name="Финансовый 2 4 7 2 2 2 8" xfId="49324" xr:uid="{00000000-0005-0000-0000-000062650000}"/>
    <cellStyle name="Финансовый 2 4 7 2 2 3" xfId="3052" xr:uid="{00000000-0005-0000-0000-000063650000}"/>
    <cellStyle name="Финансовый 2 4 7 2 2 3 2" xfId="10847" xr:uid="{00000000-0005-0000-0000-000064650000}"/>
    <cellStyle name="Финансовый 2 4 7 2 2 3 2 2" xfId="22825" xr:uid="{00000000-0005-0000-0000-000065650000}"/>
    <cellStyle name="Финансовый 2 4 7 2 2 3 2 2 2" xfId="46780" xr:uid="{00000000-0005-0000-0000-000066650000}"/>
    <cellStyle name="Финансовый 2 4 7 2 2 3 2 3" xfId="34802" xr:uid="{00000000-0005-0000-0000-000067650000}"/>
    <cellStyle name="Финансовый 2 4 7 2 2 3 3" xfId="15031" xr:uid="{00000000-0005-0000-0000-000068650000}"/>
    <cellStyle name="Финансовый 2 4 7 2 2 3 3 2" xfId="38986" xr:uid="{00000000-0005-0000-0000-000069650000}"/>
    <cellStyle name="Финансовый 2 4 7 2 2 3 4" xfId="27009" xr:uid="{00000000-0005-0000-0000-00006A650000}"/>
    <cellStyle name="Финансовый 2 4 7 2 2 3 5" xfId="50140" xr:uid="{00000000-0005-0000-0000-00006B650000}"/>
    <cellStyle name="Финансовый 2 4 7 2 2 4" xfId="4696" xr:uid="{00000000-0005-0000-0000-00006C650000}"/>
    <cellStyle name="Финансовый 2 4 7 2 2 4 2" xfId="16675" xr:uid="{00000000-0005-0000-0000-00006D650000}"/>
    <cellStyle name="Финансовый 2 4 7 2 2 4 2 2" xfId="40630" xr:uid="{00000000-0005-0000-0000-00006E650000}"/>
    <cellStyle name="Финансовый 2 4 7 2 2 4 3" xfId="28653" xr:uid="{00000000-0005-0000-0000-00006F650000}"/>
    <cellStyle name="Финансовый 2 4 7 2 2 5" xfId="7308" xr:uid="{00000000-0005-0000-0000-000070650000}"/>
    <cellStyle name="Финансовый 2 4 7 2 2 5 2" xfId="19286" xr:uid="{00000000-0005-0000-0000-000071650000}"/>
    <cellStyle name="Финансовый 2 4 7 2 2 5 2 2" xfId="43241" xr:uid="{00000000-0005-0000-0000-000072650000}"/>
    <cellStyle name="Финансовый 2 4 7 2 2 5 3" xfId="31263" xr:uid="{00000000-0005-0000-0000-000073650000}"/>
    <cellStyle name="Финансовый 2 4 7 2 2 6" xfId="9090" xr:uid="{00000000-0005-0000-0000-000074650000}"/>
    <cellStyle name="Финансовый 2 4 7 2 2 6 2" xfId="21068" xr:uid="{00000000-0005-0000-0000-000075650000}"/>
    <cellStyle name="Финансовый 2 4 7 2 2 6 2 2" xfId="45023" xr:uid="{00000000-0005-0000-0000-000076650000}"/>
    <cellStyle name="Финансовый 2 4 7 2 2 6 3" xfId="33045" xr:uid="{00000000-0005-0000-0000-000077650000}"/>
    <cellStyle name="Финансовый 2 4 7 2 2 7" xfId="13249" xr:uid="{00000000-0005-0000-0000-000078650000}"/>
    <cellStyle name="Финансовый 2 4 7 2 2 7 2" xfId="37204" xr:uid="{00000000-0005-0000-0000-000079650000}"/>
    <cellStyle name="Финансовый 2 4 7 2 2 8" xfId="25227" xr:uid="{00000000-0005-0000-0000-00007A650000}"/>
    <cellStyle name="Финансовый 2 4 7 2 2 9" xfId="48360" xr:uid="{00000000-0005-0000-0000-00007B650000}"/>
    <cellStyle name="Финансовый 2 4 7 2 3" xfId="1978" xr:uid="{00000000-0005-0000-0000-00007C650000}"/>
    <cellStyle name="Финансовый 2 4 7 2 3 2" xfId="3623" xr:uid="{00000000-0005-0000-0000-00007D650000}"/>
    <cellStyle name="Финансовый 2 4 7 2 3 2 2" xfId="11363" xr:uid="{00000000-0005-0000-0000-00007E650000}"/>
    <cellStyle name="Финансовый 2 4 7 2 3 2 2 2" xfId="23341" xr:uid="{00000000-0005-0000-0000-00007F650000}"/>
    <cellStyle name="Финансовый 2 4 7 2 3 2 2 2 2" xfId="47296" xr:uid="{00000000-0005-0000-0000-000080650000}"/>
    <cellStyle name="Финансовый 2 4 7 2 3 2 2 3" xfId="35318" xr:uid="{00000000-0005-0000-0000-000081650000}"/>
    <cellStyle name="Финансовый 2 4 7 2 3 2 3" xfId="15602" xr:uid="{00000000-0005-0000-0000-000082650000}"/>
    <cellStyle name="Финансовый 2 4 7 2 3 2 3 2" xfId="39557" xr:uid="{00000000-0005-0000-0000-000083650000}"/>
    <cellStyle name="Финансовый 2 4 7 2 3 2 4" xfId="27580" xr:uid="{00000000-0005-0000-0000-000084650000}"/>
    <cellStyle name="Финансовый 2 4 7 2 3 2 5" xfId="50849" xr:uid="{00000000-0005-0000-0000-000085650000}"/>
    <cellStyle name="Финансовый 2 4 7 2 3 3" xfId="5406" xr:uid="{00000000-0005-0000-0000-000086650000}"/>
    <cellStyle name="Финансовый 2 4 7 2 3 3 2" xfId="17384" xr:uid="{00000000-0005-0000-0000-000087650000}"/>
    <cellStyle name="Финансовый 2 4 7 2 3 3 2 2" xfId="41339" xr:uid="{00000000-0005-0000-0000-000088650000}"/>
    <cellStyle name="Финансовый 2 4 7 2 3 3 3" xfId="29361" xr:uid="{00000000-0005-0000-0000-000089650000}"/>
    <cellStyle name="Финансовый 2 4 7 2 3 4" xfId="8016" xr:uid="{00000000-0005-0000-0000-00008A650000}"/>
    <cellStyle name="Финансовый 2 4 7 2 3 4 2" xfId="19994" xr:uid="{00000000-0005-0000-0000-00008B650000}"/>
    <cellStyle name="Финансовый 2 4 7 2 3 4 2 2" xfId="43949" xr:uid="{00000000-0005-0000-0000-00008C650000}"/>
    <cellStyle name="Финансовый 2 4 7 2 3 4 3" xfId="31971" xr:uid="{00000000-0005-0000-0000-00008D650000}"/>
    <cellStyle name="Финансовый 2 4 7 2 3 5" xfId="9799" xr:uid="{00000000-0005-0000-0000-00008E650000}"/>
    <cellStyle name="Финансовый 2 4 7 2 3 5 2" xfId="21777" xr:uid="{00000000-0005-0000-0000-00008F650000}"/>
    <cellStyle name="Финансовый 2 4 7 2 3 5 2 2" xfId="45732" xr:uid="{00000000-0005-0000-0000-000090650000}"/>
    <cellStyle name="Финансовый 2 4 7 2 3 5 3" xfId="33754" xr:uid="{00000000-0005-0000-0000-000091650000}"/>
    <cellStyle name="Финансовый 2 4 7 2 3 6" xfId="13957" xr:uid="{00000000-0005-0000-0000-000092650000}"/>
    <cellStyle name="Финансовый 2 4 7 2 3 6 2" xfId="37912" xr:uid="{00000000-0005-0000-0000-000093650000}"/>
    <cellStyle name="Финансовый 2 4 7 2 3 7" xfId="25935" xr:uid="{00000000-0005-0000-0000-000094650000}"/>
    <cellStyle name="Финансовый 2 4 7 2 3 8" xfId="49068" xr:uid="{00000000-0005-0000-0000-000095650000}"/>
    <cellStyle name="Финансовый 2 4 7 2 4" xfId="2499" xr:uid="{00000000-0005-0000-0000-000096650000}"/>
    <cellStyle name="Финансовый 2 4 7 2 4 2" xfId="4144" xr:uid="{00000000-0005-0000-0000-000097650000}"/>
    <cellStyle name="Финансовый 2 4 7 2 4 2 2" xfId="11876" xr:uid="{00000000-0005-0000-0000-000098650000}"/>
    <cellStyle name="Финансовый 2 4 7 2 4 2 2 2" xfId="23854" xr:uid="{00000000-0005-0000-0000-000099650000}"/>
    <cellStyle name="Финансовый 2 4 7 2 4 2 2 2 2" xfId="47809" xr:uid="{00000000-0005-0000-0000-00009A650000}"/>
    <cellStyle name="Финансовый 2 4 7 2 4 2 2 3" xfId="35831" xr:uid="{00000000-0005-0000-0000-00009B650000}"/>
    <cellStyle name="Финансовый 2 4 7 2 4 2 3" xfId="16123" xr:uid="{00000000-0005-0000-0000-00009C650000}"/>
    <cellStyle name="Финансовый 2 4 7 2 4 2 3 2" xfId="40078" xr:uid="{00000000-0005-0000-0000-00009D650000}"/>
    <cellStyle name="Финансовый 2 4 7 2 4 2 4" xfId="28101" xr:uid="{00000000-0005-0000-0000-00009E650000}"/>
    <cellStyle name="Финансовый 2 4 7 2 4 2 5" xfId="51370" xr:uid="{00000000-0005-0000-0000-00009F650000}"/>
    <cellStyle name="Финансовый 2 4 7 2 4 3" xfId="5927" xr:uid="{00000000-0005-0000-0000-0000A0650000}"/>
    <cellStyle name="Финансовый 2 4 7 2 4 3 2" xfId="17905" xr:uid="{00000000-0005-0000-0000-0000A1650000}"/>
    <cellStyle name="Финансовый 2 4 7 2 4 3 2 2" xfId="41860" xr:uid="{00000000-0005-0000-0000-0000A2650000}"/>
    <cellStyle name="Финансовый 2 4 7 2 4 3 3" xfId="29882" xr:uid="{00000000-0005-0000-0000-0000A3650000}"/>
    <cellStyle name="Финансовый 2 4 7 2 4 4" xfId="8537" xr:uid="{00000000-0005-0000-0000-0000A4650000}"/>
    <cellStyle name="Финансовый 2 4 7 2 4 4 2" xfId="20515" xr:uid="{00000000-0005-0000-0000-0000A5650000}"/>
    <cellStyle name="Финансовый 2 4 7 2 4 4 2 2" xfId="44470" xr:uid="{00000000-0005-0000-0000-0000A6650000}"/>
    <cellStyle name="Финансовый 2 4 7 2 4 4 3" xfId="32492" xr:uid="{00000000-0005-0000-0000-0000A7650000}"/>
    <cellStyle name="Финансовый 2 4 7 2 4 5" xfId="10320" xr:uid="{00000000-0005-0000-0000-0000A8650000}"/>
    <cellStyle name="Финансовый 2 4 7 2 4 5 2" xfId="22298" xr:uid="{00000000-0005-0000-0000-0000A9650000}"/>
    <cellStyle name="Финансовый 2 4 7 2 4 5 2 2" xfId="46253" xr:uid="{00000000-0005-0000-0000-0000AA650000}"/>
    <cellStyle name="Финансовый 2 4 7 2 4 5 3" xfId="34275" xr:uid="{00000000-0005-0000-0000-0000AB650000}"/>
    <cellStyle name="Финансовый 2 4 7 2 4 6" xfId="14478" xr:uid="{00000000-0005-0000-0000-0000AC650000}"/>
    <cellStyle name="Финансовый 2 4 7 2 4 6 2" xfId="38433" xr:uid="{00000000-0005-0000-0000-0000AD650000}"/>
    <cellStyle name="Финансовый 2 4 7 2 4 7" xfId="26456" xr:uid="{00000000-0005-0000-0000-0000AE650000}"/>
    <cellStyle name="Финансовый 2 4 7 2 4 8" xfId="49589" xr:uid="{00000000-0005-0000-0000-0000AF650000}"/>
    <cellStyle name="Финансовый 2 4 7 2 5" xfId="1003" xr:uid="{00000000-0005-0000-0000-0000B0650000}"/>
    <cellStyle name="Финансовый 2 4 7 2 5 2" xfId="7043" xr:uid="{00000000-0005-0000-0000-0000B1650000}"/>
    <cellStyle name="Финансовый 2 4 7 2 5 2 2" xfId="19021" xr:uid="{00000000-0005-0000-0000-0000B2650000}"/>
    <cellStyle name="Финансовый 2 4 7 2 5 2 2 2" xfId="42976" xr:uid="{00000000-0005-0000-0000-0000B3650000}"/>
    <cellStyle name="Финансовый 2 4 7 2 5 2 3" xfId="30998" xr:uid="{00000000-0005-0000-0000-0000B4650000}"/>
    <cellStyle name="Финансовый 2 4 7 2 5 3" xfId="10591" xr:uid="{00000000-0005-0000-0000-0000B5650000}"/>
    <cellStyle name="Финансовый 2 4 7 2 5 3 2" xfId="22569" xr:uid="{00000000-0005-0000-0000-0000B6650000}"/>
    <cellStyle name="Финансовый 2 4 7 2 5 3 2 2" xfId="46524" xr:uid="{00000000-0005-0000-0000-0000B7650000}"/>
    <cellStyle name="Финансовый 2 4 7 2 5 3 3" xfId="34546" xr:uid="{00000000-0005-0000-0000-0000B8650000}"/>
    <cellStyle name="Финансовый 2 4 7 2 5 4" xfId="12984" xr:uid="{00000000-0005-0000-0000-0000B9650000}"/>
    <cellStyle name="Финансовый 2 4 7 2 5 4 2" xfId="36939" xr:uid="{00000000-0005-0000-0000-0000BA650000}"/>
    <cellStyle name="Финансовый 2 4 7 2 5 5" xfId="24962" xr:uid="{00000000-0005-0000-0000-0000BB650000}"/>
    <cellStyle name="Финансовый 2 4 7 2 5 6" xfId="49868" xr:uid="{00000000-0005-0000-0000-0000BC650000}"/>
    <cellStyle name="Финансовый 2 4 7 2 6" xfId="591" xr:uid="{00000000-0005-0000-0000-0000BD650000}"/>
    <cellStyle name="Финансовый 2 4 7 2 6 2" xfId="6631" xr:uid="{00000000-0005-0000-0000-0000BE650000}"/>
    <cellStyle name="Финансовый 2 4 7 2 6 2 2" xfId="18609" xr:uid="{00000000-0005-0000-0000-0000BF650000}"/>
    <cellStyle name="Финансовый 2 4 7 2 6 2 2 2" xfId="42564" xr:uid="{00000000-0005-0000-0000-0000C0650000}"/>
    <cellStyle name="Финансовый 2 4 7 2 6 2 3" xfId="30586" xr:uid="{00000000-0005-0000-0000-0000C1650000}"/>
    <cellStyle name="Финансовый 2 4 7 2 6 3" xfId="12572" xr:uid="{00000000-0005-0000-0000-0000C2650000}"/>
    <cellStyle name="Финансовый 2 4 7 2 6 3 2" xfId="36527" xr:uid="{00000000-0005-0000-0000-0000C3650000}"/>
    <cellStyle name="Финансовый 2 4 7 2 6 4" xfId="24550" xr:uid="{00000000-0005-0000-0000-0000C4650000}"/>
    <cellStyle name="Финансовый 2 4 7 2 7" xfId="2780" xr:uid="{00000000-0005-0000-0000-0000C5650000}"/>
    <cellStyle name="Финансовый 2 4 7 2 7 2" xfId="14759" xr:uid="{00000000-0005-0000-0000-0000C6650000}"/>
    <cellStyle name="Финансовый 2 4 7 2 7 2 2" xfId="38714" xr:uid="{00000000-0005-0000-0000-0000C7650000}"/>
    <cellStyle name="Финансовый 2 4 7 2 7 3" xfId="26737" xr:uid="{00000000-0005-0000-0000-0000C8650000}"/>
    <cellStyle name="Финансовый 2 4 7 2 8" xfId="4424" xr:uid="{00000000-0005-0000-0000-0000C9650000}"/>
    <cellStyle name="Финансовый 2 4 7 2 8 2" xfId="16403" xr:uid="{00000000-0005-0000-0000-0000CA650000}"/>
    <cellStyle name="Финансовый 2 4 7 2 8 2 2" xfId="40358" xr:uid="{00000000-0005-0000-0000-0000CB650000}"/>
    <cellStyle name="Финансовый 2 4 7 2 8 3" xfId="28381" xr:uid="{00000000-0005-0000-0000-0000CC650000}"/>
    <cellStyle name="Финансовый 2 4 7 2 9" xfId="6211" xr:uid="{00000000-0005-0000-0000-0000CD650000}"/>
    <cellStyle name="Финансовый 2 4 7 2 9 2" xfId="18189" xr:uid="{00000000-0005-0000-0000-0000CE650000}"/>
    <cellStyle name="Финансовый 2 4 7 2 9 2 2" xfId="42144" xr:uid="{00000000-0005-0000-0000-0000CF650000}"/>
    <cellStyle name="Финансовый 2 4 7 2 9 3" xfId="30166" xr:uid="{00000000-0005-0000-0000-0000D0650000}"/>
    <cellStyle name="Финансовый 2 4 7 3" xfId="319" xr:uid="{00000000-0005-0000-0000-0000D1650000}"/>
    <cellStyle name="Финансовый 2 4 7 3 10" xfId="24278" xr:uid="{00000000-0005-0000-0000-0000D2650000}"/>
    <cellStyle name="Финансовый 2 4 7 3 11" xfId="48224" xr:uid="{00000000-0005-0000-0000-0000D3650000}"/>
    <cellStyle name="Финансовый 2 4 7 3 2" xfId="2106" xr:uid="{00000000-0005-0000-0000-0000D4650000}"/>
    <cellStyle name="Финансовый 2 4 7 3 2 2" xfId="3751" xr:uid="{00000000-0005-0000-0000-0000D5650000}"/>
    <cellStyle name="Финансовый 2 4 7 3 2 2 2" xfId="11491" xr:uid="{00000000-0005-0000-0000-0000D6650000}"/>
    <cellStyle name="Финансовый 2 4 7 3 2 2 2 2" xfId="23469" xr:uid="{00000000-0005-0000-0000-0000D7650000}"/>
    <cellStyle name="Финансовый 2 4 7 3 2 2 2 2 2" xfId="47424" xr:uid="{00000000-0005-0000-0000-0000D8650000}"/>
    <cellStyle name="Финансовый 2 4 7 3 2 2 2 3" xfId="35446" xr:uid="{00000000-0005-0000-0000-0000D9650000}"/>
    <cellStyle name="Финансовый 2 4 7 3 2 2 3" xfId="15730" xr:uid="{00000000-0005-0000-0000-0000DA650000}"/>
    <cellStyle name="Финансовый 2 4 7 3 2 2 3 2" xfId="39685" xr:uid="{00000000-0005-0000-0000-0000DB650000}"/>
    <cellStyle name="Финансовый 2 4 7 3 2 2 4" xfId="27708" xr:uid="{00000000-0005-0000-0000-0000DC650000}"/>
    <cellStyle name="Финансовый 2 4 7 3 2 2 5" xfId="50977" xr:uid="{00000000-0005-0000-0000-0000DD650000}"/>
    <cellStyle name="Финансовый 2 4 7 3 2 3" xfId="5534" xr:uid="{00000000-0005-0000-0000-0000DE650000}"/>
    <cellStyle name="Финансовый 2 4 7 3 2 3 2" xfId="17512" xr:uid="{00000000-0005-0000-0000-0000DF650000}"/>
    <cellStyle name="Финансовый 2 4 7 3 2 3 2 2" xfId="41467" xr:uid="{00000000-0005-0000-0000-0000E0650000}"/>
    <cellStyle name="Финансовый 2 4 7 3 2 3 3" xfId="29489" xr:uid="{00000000-0005-0000-0000-0000E1650000}"/>
    <cellStyle name="Финансовый 2 4 7 3 2 4" xfId="8144" xr:uid="{00000000-0005-0000-0000-0000E2650000}"/>
    <cellStyle name="Финансовый 2 4 7 3 2 4 2" xfId="20122" xr:uid="{00000000-0005-0000-0000-0000E3650000}"/>
    <cellStyle name="Финансовый 2 4 7 3 2 4 2 2" xfId="44077" xr:uid="{00000000-0005-0000-0000-0000E4650000}"/>
    <cellStyle name="Финансовый 2 4 7 3 2 4 3" xfId="32099" xr:uid="{00000000-0005-0000-0000-0000E5650000}"/>
    <cellStyle name="Финансовый 2 4 7 3 2 5" xfId="9927" xr:uid="{00000000-0005-0000-0000-0000E6650000}"/>
    <cellStyle name="Финансовый 2 4 7 3 2 5 2" xfId="21905" xr:uid="{00000000-0005-0000-0000-0000E7650000}"/>
    <cellStyle name="Финансовый 2 4 7 3 2 5 2 2" xfId="45860" xr:uid="{00000000-0005-0000-0000-0000E8650000}"/>
    <cellStyle name="Финансовый 2 4 7 3 2 5 3" xfId="33882" xr:uid="{00000000-0005-0000-0000-0000E9650000}"/>
    <cellStyle name="Финансовый 2 4 7 3 2 6" xfId="14085" xr:uid="{00000000-0005-0000-0000-0000EA650000}"/>
    <cellStyle name="Финансовый 2 4 7 3 2 6 2" xfId="38040" xr:uid="{00000000-0005-0000-0000-0000EB650000}"/>
    <cellStyle name="Финансовый 2 4 7 3 2 7" xfId="26063" xr:uid="{00000000-0005-0000-0000-0000EC650000}"/>
    <cellStyle name="Финансовый 2 4 7 3 2 8" xfId="49196" xr:uid="{00000000-0005-0000-0000-0000ED650000}"/>
    <cellStyle name="Финансовый 2 4 7 3 3" xfId="1139" xr:uid="{00000000-0005-0000-0000-0000EE650000}"/>
    <cellStyle name="Финансовый 2 4 7 3 3 2" xfId="7179" xr:uid="{00000000-0005-0000-0000-0000EF650000}"/>
    <cellStyle name="Финансовый 2 4 7 3 3 2 2" xfId="19157" xr:uid="{00000000-0005-0000-0000-0000F0650000}"/>
    <cellStyle name="Финансовый 2 4 7 3 3 2 2 2" xfId="43112" xr:uid="{00000000-0005-0000-0000-0000F1650000}"/>
    <cellStyle name="Финансовый 2 4 7 3 3 2 3" xfId="31134" xr:uid="{00000000-0005-0000-0000-0000F2650000}"/>
    <cellStyle name="Финансовый 2 4 7 3 3 3" xfId="10719" xr:uid="{00000000-0005-0000-0000-0000F3650000}"/>
    <cellStyle name="Финансовый 2 4 7 3 3 3 2" xfId="22697" xr:uid="{00000000-0005-0000-0000-0000F4650000}"/>
    <cellStyle name="Финансовый 2 4 7 3 3 3 2 2" xfId="46652" xr:uid="{00000000-0005-0000-0000-0000F5650000}"/>
    <cellStyle name="Финансовый 2 4 7 3 3 3 3" xfId="34674" xr:uid="{00000000-0005-0000-0000-0000F6650000}"/>
    <cellStyle name="Финансовый 2 4 7 3 3 4" xfId="13120" xr:uid="{00000000-0005-0000-0000-0000F7650000}"/>
    <cellStyle name="Финансовый 2 4 7 3 3 4 2" xfId="37075" xr:uid="{00000000-0005-0000-0000-0000F8650000}"/>
    <cellStyle name="Финансовый 2 4 7 3 3 5" xfId="25098" xr:uid="{00000000-0005-0000-0000-0000F9650000}"/>
    <cellStyle name="Финансовый 2 4 7 3 3 6" xfId="50004" xr:uid="{00000000-0005-0000-0000-0000FA650000}"/>
    <cellStyle name="Финансовый 2 4 7 3 4" xfId="739" xr:uid="{00000000-0005-0000-0000-0000FB650000}"/>
    <cellStyle name="Финансовый 2 4 7 3 4 2" xfId="6779" xr:uid="{00000000-0005-0000-0000-0000FC650000}"/>
    <cellStyle name="Финансовый 2 4 7 3 4 2 2" xfId="18757" xr:uid="{00000000-0005-0000-0000-0000FD650000}"/>
    <cellStyle name="Финансовый 2 4 7 3 4 2 2 2" xfId="42712" xr:uid="{00000000-0005-0000-0000-0000FE650000}"/>
    <cellStyle name="Финансовый 2 4 7 3 4 2 3" xfId="30734" xr:uid="{00000000-0005-0000-0000-0000FF650000}"/>
    <cellStyle name="Финансовый 2 4 7 3 4 3" xfId="12720" xr:uid="{00000000-0005-0000-0000-000000660000}"/>
    <cellStyle name="Финансовый 2 4 7 3 4 3 2" xfId="36675" xr:uid="{00000000-0005-0000-0000-000001660000}"/>
    <cellStyle name="Финансовый 2 4 7 3 4 4" xfId="24698" xr:uid="{00000000-0005-0000-0000-000002660000}"/>
    <cellStyle name="Финансовый 2 4 7 3 5" xfId="2916" xr:uid="{00000000-0005-0000-0000-000003660000}"/>
    <cellStyle name="Финансовый 2 4 7 3 5 2" xfId="14895" xr:uid="{00000000-0005-0000-0000-000004660000}"/>
    <cellStyle name="Финансовый 2 4 7 3 5 2 2" xfId="38850" xr:uid="{00000000-0005-0000-0000-000005660000}"/>
    <cellStyle name="Финансовый 2 4 7 3 5 3" xfId="26873" xr:uid="{00000000-0005-0000-0000-000006660000}"/>
    <cellStyle name="Финансовый 2 4 7 3 6" xfId="4560" xr:uid="{00000000-0005-0000-0000-000007660000}"/>
    <cellStyle name="Финансовый 2 4 7 3 6 2" xfId="16539" xr:uid="{00000000-0005-0000-0000-000008660000}"/>
    <cellStyle name="Финансовый 2 4 7 3 6 2 2" xfId="40494" xr:uid="{00000000-0005-0000-0000-000009660000}"/>
    <cellStyle name="Финансовый 2 4 7 3 6 3" xfId="28517" xr:uid="{00000000-0005-0000-0000-00000A660000}"/>
    <cellStyle name="Финансовый 2 4 7 3 7" xfId="6359" xr:uid="{00000000-0005-0000-0000-00000B660000}"/>
    <cellStyle name="Финансовый 2 4 7 3 7 2" xfId="18337" xr:uid="{00000000-0005-0000-0000-00000C660000}"/>
    <cellStyle name="Финансовый 2 4 7 3 7 2 2" xfId="42292" xr:uid="{00000000-0005-0000-0000-00000D660000}"/>
    <cellStyle name="Финансовый 2 4 7 3 7 3" xfId="30314" xr:uid="{00000000-0005-0000-0000-00000E660000}"/>
    <cellStyle name="Финансовый 2 4 7 3 8" xfId="8954" xr:uid="{00000000-0005-0000-0000-00000F660000}"/>
    <cellStyle name="Финансовый 2 4 7 3 8 2" xfId="20932" xr:uid="{00000000-0005-0000-0000-000010660000}"/>
    <cellStyle name="Финансовый 2 4 7 3 8 2 2" xfId="44887" xr:uid="{00000000-0005-0000-0000-000011660000}"/>
    <cellStyle name="Финансовый 2 4 7 3 8 3" xfId="32909" xr:uid="{00000000-0005-0000-0000-000012660000}"/>
    <cellStyle name="Финансовый 2 4 7 3 9" xfId="12300" xr:uid="{00000000-0005-0000-0000-000013660000}"/>
    <cellStyle name="Финансовый 2 4 7 3 9 2" xfId="36255" xr:uid="{00000000-0005-0000-0000-000014660000}"/>
    <cellStyle name="Финансовый 2 4 7 4" xfId="1504" xr:uid="{00000000-0005-0000-0000-000015660000}"/>
    <cellStyle name="Финансовый 2 4 7 4 2" xfId="1842" xr:uid="{00000000-0005-0000-0000-000016660000}"/>
    <cellStyle name="Финансовый 2 4 7 4 2 2" xfId="3487" xr:uid="{00000000-0005-0000-0000-000017660000}"/>
    <cellStyle name="Финансовый 2 4 7 4 2 2 2" xfId="11235" xr:uid="{00000000-0005-0000-0000-000018660000}"/>
    <cellStyle name="Финансовый 2 4 7 4 2 2 2 2" xfId="23213" xr:uid="{00000000-0005-0000-0000-000019660000}"/>
    <cellStyle name="Финансовый 2 4 7 4 2 2 2 2 2" xfId="47168" xr:uid="{00000000-0005-0000-0000-00001A660000}"/>
    <cellStyle name="Финансовый 2 4 7 4 2 2 2 3" xfId="35190" xr:uid="{00000000-0005-0000-0000-00001B660000}"/>
    <cellStyle name="Финансовый 2 4 7 4 2 2 3" xfId="15466" xr:uid="{00000000-0005-0000-0000-00001C660000}"/>
    <cellStyle name="Финансовый 2 4 7 4 2 2 3 2" xfId="39421" xr:uid="{00000000-0005-0000-0000-00001D660000}"/>
    <cellStyle name="Финансовый 2 4 7 4 2 2 4" xfId="27444" xr:uid="{00000000-0005-0000-0000-00001E660000}"/>
    <cellStyle name="Финансовый 2 4 7 4 2 2 5" xfId="50713" xr:uid="{00000000-0005-0000-0000-00001F660000}"/>
    <cellStyle name="Финансовый 2 4 7 4 2 3" xfId="5270" xr:uid="{00000000-0005-0000-0000-000020660000}"/>
    <cellStyle name="Финансовый 2 4 7 4 2 3 2" xfId="17248" xr:uid="{00000000-0005-0000-0000-000021660000}"/>
    <cellStyle name="Финансовый 2 4 7 4 2 3 2 2" xfId="41203" xr:uid="{00000000-0005-0000-0000-000022660000}"/>
    <cellStyle name="Финансовый 2 4 7 4 2 3 3" xfId="29225" xr:uid="{00000000-0005-0000-0000-000023660000}"/>
    <cellStyle name="Финансовый 2 4 7 4 2 4" xfId="7880" xr:uid="{00000000-0005-0000-0000-000024660000}"/>
    <cellStyle name="Финансовый 2 4 7 4 2 4 2" xfId="19858" xr:uid="{00000000-0005-0000-0000-000025660000}"/>
    <cellStyle name="Финансовый 2 4 7 4 2 4 2 2" xfId="43813" xr:uid="{00000000-0005-0000-0000-000026660000}"/>
    <cellStyle name="Финансовый 2 4 7 4 2 4 3" xfId="31835" xr:uid="{00000000-0005-0000-0000-000027660000}"/>
    <cellStyle name="Финансовый 2 4 7 4 2 5" xfId="9663" xr:uid="{00000000-0005-0000-0000-000028660000}"/>
    <cellStyle name="Финансовый 2 4 7 4 2 5 2" xfId="21641" xr:uid="{00000000-0005-0000-0000-000029660000}"/>
    <cellStyle name="Финансовый 2 4 7 4 2 5 2 2" xfId="45596" xr:uid="{00000000-0005-0000-0000-00002A660000}"/>
    <cellStyle name="Финансовый 2 4 7 4 2 5 3" xfId="33618" xr:uid="{00000000-0005-0000-0000-00002B660000}"/>
    <cellStyle name="Финансовый 2 4 7 4 2 6" xfId="13821" xr:uid="{00000000-0005-0000-0000-00002C660000}"/>
    <cellStyle name="Финансовый 2 4 7 4 2 6 2" xfId="37776" xr:uid="{00000000-0005-0000-0000-00002D660000}"/>
    <cellStyle name="Финансовый 2 4 7 4 2 7" xfId="25799" xr:uid="{00000000-0005-0000-0000-00002E660000}"/>
    <cellStyle name="Финансовый 2 4 7 4 2 8" xfId="48932" xr:uid="{00000000-0005-0000-0000-00002F660000}"/>
    <cellStyle name="Финансовый 2 4 7 4 3" xfId="4932" xr:uid="{00000000-0005-0000-0000-000030660000}"/>
    <cellStyle name="Финансовый 2 4 7 4 3 2" xfId="16910" xr:uid="{00000000-0005-0000-0000-000031660000}"/>
    <cellStyle name="Финансовый 2 4 7 4 3 2 2" xfId="40865" xr:uid="{00000000-0005-0000-0000-000032660000}"/>
    <cellStyle name="Финансовый 2 4 7 4 3 3" xfId="28887" xr:uid="{00000000-0005-0000-0000-000033660000}"/>
    <cellStyle name="Финансовый 2 4 7 4 3 4" xfId="50375" xr:uid="{00000000-0005-0000-0000-000034660000}"/>
    <cellStyle name="Финансовый 2 4 7 4 4" xfId="7542" xr:uid="{00000000-0005-0000-0000-000035660000}"/>
    <cellStyle name="Финансовый 2 4 7 4 4 2" xfId="19520" xr:uid="{00000000-0005-0000-0000-000036660000}"/>
    <cellStyle name="Финансовый 2 4 7 4 4 2 2" xfId="43475" xr:uid="{00000000-0005-0000-0000-000037660000}"/>
    <cellStyle name="Финансовый 2 4 7 4 4 3" xfId="31497" xr:uid="{00000000-0005-0000-0000-000038660000}"/>
    <cellStyle name="Финансовый 2 4 7 4 5" xfId="9325" xr:uid="{00000000-0005-0000-0000-000039660000}"/>
    <cellStyle name="Финансовый 2 4 7 4 5 2" xfId="21303" xr:uid="{00000000-0005-0000-0000-00003A660000}"/>
    <cellStyle name="Финансовый 2 4 7 4 5 2 2" xfId="45258" xr:uid="{00000000-0005-0000-0000-00003B660000}"/>
    <cellStyle name="Финансовый 2 4 7 4 5 3" xfId="33280" xr:uid="{00000000-0005-0000-0000-00003C660000}"/>
    <cellStyle name="Финансовый 2 4 7 4 6" xfId="13483" xr:uid="{00000000-0005-0000-0000-00003D660000}"/>
    <cellStyle name="Финансовый 2 4 7 4 6 2" xfId="37438" xr:uid="{00000000-0005-0000-0000-00003E660000}"/>
    <cellStyle name="Финансовый 2 4 7 4 7" xfId="25461" xr:uid="{00000000-0005-0000-0000-00003F660000}"/>
    <cellStyle name="Финансовый 2 4 7 4 8" xfId="48594" xr:uid="{00000000-0005-0000-0000-000040660000}"/>
    <cellStyle name="Финансовый 2 4 7 5" xfId="1726" xr:uid="{00000000-0005-0000-0000-000041660000}"/>
    <cellStyle name="Финансовый 2 4 7 5 2" xfId="3371" xr:uid="{00000000-0005-0000-0000-000042660000}"/>
    <cellStyle name="Финансовый 2 4 7 5 2 2" xfId="11119" xr:uid="{00000000-0005-0000-0000-000043660000}"/>
    <cellStyle name="Финансовый 2 4 7 5 2 2 2" xfId="23097" xr:uid="{00000000-0005-0000-0000-000044660000}"/>
    <cellStyle name="Финансовый 2 4 7 5 2 2 2 2" xfId="47052" xr:uid="{00000000-0005-0000-0000-000045660000}"/>
    <cellStyle name="Финансовый 2 4 7 5 2 2 3" xfId="35074" xr:uid="{00000000-0005-0000-0000-000046660000}"/>
    <cellStyle name="Финансовый 2 4 7 5 2 3" xfId="15350" xr:uid="{00000000-0005-0000-0000-000047660000}"/>
    <cellStyle name="Финансовый 2 4 7 5 2 3 2" xfId="39305" xr:uid="{00000000-0005-0000-0000-000048660000}"/>
    <cellStyle name="Финансовый 2 4 7 5 2 4" xfId="27328" xr:uid="{00000000-0005-0000-0000-000049660000}"/>
    <cellStyle name="Финансовый 2 4 7 5 2 5" xfId="50597" xr:uid="{00000000-0005-0000-0000-00004A660000}"/>
    <cellStyle name="Финансовый 2 4 7 5 3" xfId="5154" xr:uid="{00000000-0005-0000-0000-00004B660000}"/>
    <cellStyle name="Финансовый 2 4 7 5 3 2" xfId="17132" xr:uid="{00000000-0005-0000-0000-00004C660000}"/>
    <cellStyle name="Финансовый 2 4 7 5 3 2 2" xfId="41087" xr:uid="{00000000-0005-0000-0000-00004D660000}"/>
    <cellStyle name="Финансовый 2 4 7 5 3 3" xfId="29109" xr:uid="{00000000-0005-0000-0000-00004E660000}"/>
    <cellStyle name="Финансовый 2 4 7 5 4" xfId="7764" xr:uid="{00000000-0005-0000-0000-00004F660000}"/>
    <cellStyle name="Финансовый 2 4 7 5 4 2" xfId="19742" xr:uid="{00000000-0005-0000-0000-000050660000}"/>
    <cellStyle name="Финансовый 2 4 7 5 4 2 2" xfId="43697" xr:uid="{00000000-0005-0000-0000-000051660000}"/>
    <cellStyle name="Финансовый 2 4 7 5 4 3" xfId="31719" xr:uid="{00000000-0005-0000-0000-000052660000}"/>
    <cellStyle name="Финансовый 2 4 7 5 5" xfId="9547" xr:uid="{00000000-0005-0000-0000-000053660000}"/>
    <cellStyle name="Финансовый 2 4 7 5 5 2" xfId="21525" xr:uid="{00000000-0005-0000-0000-000054660000}"/>
    <cellStyle name="Финансовый 2 4 7 5 5 2 2" xfId="45480" xr:uid="{00000000-0005-0000-0000-000055660000}"/>
    <cellStyle name="Финансовый 2 4 7 5 5 3" xfId="33502" xr:uid="{00000000-0005-0000-0000-000056660000}"/>
    <cellStyle name="Финансовый 2 4 7 5 6" xfId="13705" xr:uid="{00000000-0005-0000-0000-000057660000}"/>
    <cellStyle name="Финансовый 2 4 7 5 6 2" xfId="37660" xr:uid="{00000000-0005-0000-0000-000058660000}"/>
    <cellStyle name="Финансовый 2 4 7 5 7" xfId="25683" xr:uid="{00000000-0005-0000-0000-000059660000}"/>
    <cellStyle name="Финансовый 2 4 7 5 8" xfId="48816" xr:uid="{00000000-0005-0000-0000-00005A660000}"/>
    <cellStyle name="Финансовый 2 4 7 6" xfId="2362" xr:uid="{00000000-0005-0000-0000-00005B660000}"/>
    <cellStyle name="Финансовый 2 4 7 6 2" xfId="4007" xr:uid="{00000000-0005-0000-0000-00005C660000}"/>
    <cellStyle name="Финансовый 2 4 7 6 2 2" xfId="11747" xr:uid="{00000000-0005-0000-0000-00005D660000}"/>
    <cellStyle name="Финансовый 2 4 7 6 2 2 2" xfId="23725" xr:uid="{00000000-0005-0000-0000-00005E660000}"/>
    <cellStyle name="Финансовый 2 4 7 6 2 2 2 2" xfId="47680" xr:uid="{00000000-0005-0000-0000-00005F660000}"/>
    <cellStyle name="Финансовый 2 4 7 6 2 2 3" xfId="35702" xr:uid="{00000000-0005-0000-0000-000060660000}"/>
    <cellStyle name="Финансовый 2 4 7 6 2 3" xfId="15986" xr:uid="{00000000-0005-0000-0000-000061660000}"/>
    <cellStyle name="Финансовый 2 4 7 6 2 3 2" xfId="39941" xr:uid="{00000000-0005-0000-0000-000062660000}"/>
    <cellStyle name="Финансовый 2 4 7 6 2 4" xfId="27964" xr:uid="{00000000-0005-0000-0000-000063660000}"/>
    <cellStyle name="Финансовый 2 4 7 6 2 5" xfId="51233" xr:uid="{00000000-0005-0000-0000-000064660000}"/>
    <cellStyle name="Финансовый 2 4 7 6 3" xfId="5790" xr:uid="{00000000-0005-0000-0000-000065660000}"/>
    <cellStyle name="Финансовый 2 4 7 6 3 2" xfId="17768" xr:uid="{00000000-0005-0000-0000-000066660000}"/>
    <cellStyle name="Финансовый 2 4 7 6 3 2 2" xfId="41723" xr:uid="{00000000-0005-0000-0000-000067660000}"/>
    <cellStyle name="Финансовый 2 4 7 6 3 3" xfId="29745" xr:uid="{00000000-0005-0000-0000-000068660000}"/>
    <cellStyle name="Финансовый 2 4 7 6 4" xfId="8400" xr:uid="{00000000-0005-0000-0000-000069660000}"/>
    <cellStyle name="Финансовый 2 4 7 6 4 2" xfId="20378" xr:uid="{00000000-0005-0000-0000-00006A660000}"/>
    <cellStyle name="Финансовый 2 4 7 6 4 2 2" xfId="44333" xr:uid="{00000000-0005-0000-0000-00006B660000}"/>
    <cellStyle name="Финансовый 2 4 7 6 4 3" xfId="32355" xr:uid="{00000000-0005-0000-0000-00006C660000}"/>
    <cellStyle name="Финансовый 2 4 7 6 5" xfId="10183" xr:uid="{00000000-0005-0000-0000-00006D660000}"/>
    <cellStyle name="Финансовый 2 4 7 6 5 2" xfId="22161" xr:uid="{00000000-0005-0000-0000-00006E660000}"/>
    <cellStyle name="Финансовый 2 4 7 6 5 2 2" xfId="46116" xr:uid="{00000000-0005-0000-0000-00006F660000}"/>
    <cellStyle name="Финансовый 2 4 7 6 5 3" xfId="34138" xr:uid="{00000000-0005-0000-0000-000070660000}"/>
    <cellStyle name="Финансовый 2 4 7 6 6" xfId="14341" xr:uid="{00000000-0005-0000-0000-000071660000}"/>
    <cellStyle name="Финансовый 2 4 7 6 6 2" xfId="38296" xr:uid="{00000000-0005-0000-0000-000072660000}"/>
    <cellStyle name="Финансовый 2 4 7 6 7" xfId="26319" xr:uid="{00000000-0005-0000-0000-000073660000}"/>
    <cellStyle name="Финансовый 2 4 7 6 8" xfId="49452" xr:uid="{00000000-0005-0000-0000-000074660000}"/>
    <cellStyle name="Финансовый 2 4 7 7" xfId="1589" xr:uid="{00000000-0005-0000-0000-000075660000}"/>
    <cellStyle name="Финансовый 2 4 7 7 2" xfId="3234" xr:uid="{00000000-0005-0000-0000-000076660000}"/>
    <cellStyle name="Финансовый 2 4 7 7 2 2" xfId="10990" xr:uid="{00000000-0005-0000-0000-000077660000}"/>
    <cellStyle name="Финансовый 2 4 7 7 2 2 2" xfId="22968" xr:uid="{00000000-0005-0000-0000-000078660000}"/>
    <cellStyle name="Финансовый 2 4 7 7 2 2 2 2" xfId="46923" xr:uid="{00000000-0005-0000-0000-000079660000}"/>
    <cellStyle name="Финансовый 2 4 7 7 2 2 3" xfId="34945" xr:uid="{00000000-0005-0000-0000-00007A660000}"/>
    <cellStyle name="Финансовый 2 4 7 7 2 3" xfId="15213" xr:uid="{00000000-0005-0000-0000-00007B660000}"/>
    <cellStyle name="Финансовый 2 4 7 7 2 3 2" xfId="39168" xr:uid="{00000000-0005-0000-0000-00007C660000}"/>
    <cellStyle name="Финансовый 2 4 7 7 2 4" xfId="27191" xr:uid="{00000000-0005-0000-0000-00007D660000}"/>
    <cellStyle name="Финансовый 2 4 7 7 2 5" xfId="50460" xr:uid="{00000000-0005-0000-0000-00007E660000}"/>
    <cellStyle name="Финансовый 2 4 7 7 3" xfId="5017" xr:uid="{00000000-0005-0000-0000-00007F660000}"/>
    <cellStyle name="Финансовый 2 4 7 7 3 2" xfId="16995" xr:uid="{00000000-0005-0000-0000-000080660000}"/>
    <cellStyle name="Финансовый 2 4 7 7 3 2 2" xfId="40950" xr:uid="{00000000-0005-0000-0000-000081660000}"/>
    <cellStyle name="Финансовый 2 4 7 7 3 3" xfId="28972" xr:uid="{00000000-0005-0000-0000-000082660000}"/>
    <cellStyle name="Финансовый 2 4 7 7 4" xfId="7627" xr:uid="{00000000-0005-0000-0000-000083660000}"/>
    <cellStyle name="Финансовый 2 4 7 7 4 2" xfId="19605" xr:uid="{00000000-0005-0000-0000-000084660000}"/>
    <cellStyle name="Финансовый 2 4 7 7 4 2 2" xfId="43560" xr:uid="{00000000-0005-0000-0000-000085660000}"/>
    <cellStyle name="Финансовый 2 4 7 7 4 3" xfId="31582" xr:uid="{00000000-0005-0000-0000-000086660000}"/>
    <cellStyle name="Финансовый 2 4 7 7 5" xfId="9410" xr:uid="{00000000-0005-0000-0000-000087660000}"/>
    <cellStyle name="Финансовый 2 4 7 7 5 2" xfId="21388" xr:uid="{00000000-0005-0000-0000-000088660000}"/>
    <cellStyle name="Финансовый 2 4 7 7 5 2 2" xfId="45343" xr:uid="{00000000-0005-0000-0000-000089660000}"/>
    <cellStyle name="Финансовый 2 4 7 7 5 3" xfId="33365" xr:uid="{00000000-0005-0000-0000-00008A660000}"/>
    <cellStyle name="Финансовый 2 4 7 7 6" xfId="13568" xr:uid="{00000000-0005-0000-0000-00008B660000}"/>
    <cellStyle name="Финансовый 2 4 7 7 6 2" xfId="37523" xr:uid="{00000000-0005-0000-0000-00008C660000}"/>
    <cellStyle name="Финансовый 2 4 7 7 7" xfId="25546" xr:uid="{00000000-0005-0000-0000-00008D660000}"/>
    <cellStyle name="Финансовый 2 4 7 7 8" xfId="48679" xr:uid="{00000000-0005-0000-0000-00008E660000}"/>
    <cellStyle name="Финансовый 2 4 7 8" xfId="875" xr:uid="{00000000-0005-0000-0000-00008F660000}"/>
    <cellStyle name="Финансовый 2 4 7 8 2" xfId="6915" xr:uid="{00000000-0005-0000-0000-000090660000}"/>
    <cellStyle name="Финансовый 2 4 7 8 2 2" xfId="18893" xr:uid="{00000000-0005-0000-0000-000091660000}"/>
    <cellStyle name="Финансовый 2 4 7 8 2 2 2" xfId="42848" xr:uid="{00000000-0005-0000-0000-000092660000}"/>
    <cellStyle name="Финансовый 2 4 7 8 2 3" xfId="30870" xr:uid="{00000000-0005-0000-0000-000093660000}"/>
    <cellStyle name="Финансовый 2 4 7 8 3" xfId="10463" xr:uid="{00000000-0005-0000-0000-000094660000}"/>
    <cellStyle name="Финансовый 2 4 7 8 3 2" xfId="22441" xr:uid="{00000000-0005-0000-0000-000095660000}"/>
    <cellStyle name="Финансовый 2 4 7 8 3 2 2" xfId="46396" xr:uid="{00000000-0005-0000-0000-000096660000}"/>
    <cellStyle name="Финансовый 2 4 7 8 3 3" xfId="34418" xr:uid="{00000000-0005-0000-0000-000097660000}"/>
    <cellStyle name="Финансовый 2 4 7 8 4" xfId="12856" xr:uid="{00000000-0005-0000-0000-000098660000}"/>
    <cellStyle name="Финансовый 2 4 7 8 4 2" xfId="36811" xr:uid="{00000000-0005-0000-0000-000099660000}"/>
    <cellStyle name="Финансовый 2 4 7 8 5" xfId="24834" xr:uid="{00000000-0005-0000-0000-00009A660000}"/>
    <cellStyle name="Финансовый 2 4 7 8 6" xfId="49732" xr:uid="{00000000-0005-0000-0000-00009B660000}"/>
    <cellStyle name="Финансовый 2 4 7 9" xfId="455" xr:uid="{00000000-0005-0000-0000-00009C660000}"/>
    <cellStyle name="Финансовый 2 4 7 9 2" xfId="6495" xr:uid="{00000000-0005-0000-0000-00009D660000}"/>
    <cellStyle name="Финансовый 2 4 7 9 2 2" xfId="18473" xr:uid="{00000000-0005-0000-0000-00009E660000}"/>
    <cellStyle name="Финансовый 2 4 7 9 2 2 2" xfId="42428" xr:uid="{00000000-0005-0000-0000-00009F660000}"/>
    <cellStyle name="Финансовый 2 4 7 9 2 3" xfId="30450" xr:uid="{00000000-0005-0000-0000-0000A0660000}"/>
    <cellStyle name="Финансовый 2 4 7 9 3" xfId="12436" xr:uid="{00000000-0005-0000-0000-0000A1660000}"/>
    <cellStyle name="Финансовый 2 4 7 9 3 2" xfId="36391" xr:uid="{00000000-0005-0000-0000-0000A2660000}"/>
    <cellStyle name="Финансовый 2 4 7 9 4" xfId="24414" xr:uid="{00000000-0005-0000-0000-0000A3660000}"/>
    <cellStyle name="Финансовый 2 4 8" xfId="20" xr:uid="{00000000-0005-0000-0000-0000A4660000}"/>
    <cellStyle name="Финансовый 2 4 8 10" xfId="2632" xr:uid="{00000000-0005-0000-0000-0000A5660000}"/>
    <cellStyle name="Финансовый 2 4 8 10 2" xfId="14611" xr:uid="{00000000-0005-0000-0000-0000A6660000}"/>
    <cellStyle name="Финансовый 2 4 8 10 2 2" xfId="38566" xr:uid="{00000000-0005-0000-0000-0000A7660000}"/>
    <cellStyle name="Финансовый 2 4 8 10 3" xfId="26589" xr:uid="{00000000-0005-0000-0000-0000A8660000}"/>
    <cellStyle name="Финансовый 2 4 8 11" xfId="4275" xr:uid="{00000000-0005-0000-0000-0000A9660000}"/>
    <cellStyle name="Финансовый 2 4 8 11 2" xfId="16254" xr:uid="{00000000-0005-0000-0000-0000AA660000}"/>
    <cellStyle name="Финансовый 2 4 8 11 2 2" xfId="40209" xr:uid="{00000000-0005-0000-0000-0000AB660000}"/>
    <cellStyle name="Финансовый 2 4 8 11 3" xfId="28232" xr:uid="{00000000-0005-0000-0000-0000AC660000}"/>
    <cellStyle name="Финансовый 2 4 8 12" xfId="6063" xr:uid="{00000000-0005-0000-0000-0000AD660000}"/>
    <cellStyle name="Финансовый 2 4 8 12 2" xfId="18041" xr:uid="{00000000-0005-0000-0000-0000AE660000}"/>
    <cellStyle name="Финансовый 2 4 8 12 2 2" xfId="41996" xr:uid="{00000000-0005-0000-0000-0000AF660000}"/>
    <cellStyle name="Финансовый 2 4 8 12 3" xfId="30018" xr:uid="{00000000-0005-0000-0000-0000B0660000}"/>
    <cellStyle name="Финансовый 2 4 8 13" xfId="8670" xr:uid="{00000000-0005-0000-0000-0000B1660000}"/>
    <cellStyle name="Финансовый 2 4 8 13 2" xfId="20648" xr:uid="{00000000-0005-0000-0000-0000B2660000}"/>
    <cellStyle name="Финансовый 2 4 8 13 2 2" xfId="44603" xr:uid="{00000000-0005-0000-0000-0000B3660000}"/>
    <cellStyle name="Финансовый 2 4 8 13 3" xfId="32625" xr:uid="{00000000-0005-0000-0000-0000B4660000}"/>
    <cellStyle name="Финансовый 2 4 8 14" xfId="12004" xr:uid="{00000000-0005-0000-0000-0000B5660000}"/>
    <cellStyle name="Финансовый 2 4 8 14 2" xfId="35959" xr:uid="{00000000-0005-0000-0000-0000B6660000}"/>
    <cellStyle name="Финансовый 2 4 8 15" xfId="23982" xr:uid="{00000000-0005-0000-0000-0000B7660000}"/>
    <cellStyle name="Финансовый 2 4 8 16" xfId="47940" xr:uid="{00000000-0005-0000-0000-0000B8660000}"/>
    <cellStyle name="Финансовый 2 4 8 2" xfId="158" xr:uid="{00000000-0005-0000-0000-0000B9660000}"/>
    <cellStyle name="Финансовый 2 4 8 2 10" xfId="8806" xr:uid="{00000000-0005-0000-0000-0000BA660000}"/>
    <cellStyle name="Финансовый 2 4 8 2 10 2" xfId="20784" xr:uid="{00000000-0005-0000-0000-0000BB660000}"/>
    <cellStyle name="Финансовый 2 4 8 2 10 2 2" xfId="44739" xr:uid="{00000000-0005-0000-0000-0000BC660000}"/>
    <cellStyle name="Финансовый 2 4 8 2 10 3" xfId="32761" xr:uid="{00000000-0005-0000-0000-0000BD660000}"/>
    <cellStyle name="Финансовый 2 4 8 2 11" xfId="12140" xr:uid="{00000000-0005-0000-0000-0000BE660000}"/>
    <cellStyle name="Финансовый 2 4 8 2 11 2" xfId="36095" xr:uid="{00000000-0005-0000-0000-0000BF660000}"/>
    <cellStyle name="Финансовый 2 4 8 2 12" xfId="24118" xr:uid="{00000000-0005-0000-0000-0000C0660000}"/>
    <cellStyle name="Финансовый 2 4 8 2 13" xfId="48076" xr:uid="{00000000-0005-0000-0000-0000C1660000}"/>
    <cellStyle name="Финансовый 2 4 8 2 2" xfId="1256" xr:uid="{00000000-0005-0000-0000-0000C2660000}"/>
    <cellStyle name="Финансовый 2 4 8 2 2 2" xfId="2222" xr:uid="{00000000-0005-0000-0000-0000C3660000}"/>
    <cellStyle name="Финансовый 2 4 8 2 2 2 2" xfId="3867" xr:uid="{00000000-0005-0000-0000-0000C4660000}"/>
    <cellStyle name="Финансовый 2 4 8 2 2 2 2 2" xfId="11607" xr:uid="{00000000-0005-0000-0000-0000C5660000}"/>
    <cellStyle name="Финансовый 2 4 8 2 2 2 2 2 2" xfId="23585" xr:uid="{00000000-0005-0000-0000-0000C6660000}"/>
    <cellStyle name="Финансовый 2 4 8 2 2 2 2 2 2 2" xfId="47540" xr:uid="{00000000-0005-0000-0000-0000C7660000}"/>
    <cellStyle name="Финансовый 2 4 8 2 2 2 2 2 3" xfId="35562" xr:uid="{00000000-0005-0000-0000-0000C8660000}"/>
    <cellStyle name="Финансовый 2 4 8 2 2 2 2 3" xfId="15846" xr:uid="{00000000-0005-0000-0000-0000C9660000}"/>
    <cellStyle name="Финансовый 2 4 8 2 2 2 2 3 2" xfId="39801" xr:uid="{00000000-0005-0000-0000-0000CA660000}"/>
    <cellStyle name="Финансовый 2 4 8 2 2 2 2 4" xfId="27824" xr:uid="{00000000-0005-0000-0000-0000CB660000}"/>
    <cellStyle name="Финансовый 2 4 8 2 2 2 2 5" xfId="51093" xr:uid="{00000000-0005-0000-0000-0000CC660000}"/>
    <cellStyle name="Финансовый 2 4 8 2 2 2 3" xfId="5650" xr:uid="{00000000-0005-0000-0000-0000CD660000}"/>
    <cellStyle name="Финансовый 2 4 8 2 2 2 3 2" xfId="17628" xr:uid="{00000000-0005-0000-0000-0000CE660000}"/>
    <cellStyle name="Финансовый 2 4 8 2 2 2 3 2 2" xfId="41583" xr:uid="{00000000-0005-0000-0000-0000CF660000}"/>
    <cellStyle name="Финансовый 2 4 8 2 2 2 3 3" xfId="29605" xr:uid="{00000000-0005-0000-0000-0000D0660000}"/>
    <cellStyle name="Финансовый 2 4 8 2 2 2 4" xfId="8260" xr:uid="{00000000-0005-0000-0000-0000D1660000}"/>
    <cellStyle name="Финансовый 2 4 8 2 2 2 4 2" xfId="20238" xr:uid="{00000000-0005-0000-0000-0000D2660000}"/>
    <cellStyle name="Финансовый 2 4 8 2 2 2 4 2 2" xfId="44193" xr:uid="{00000000-0005-0000-0000-0000D3660000}"/>
    <cellStyle name="Финансовый 2 4 8 2 2 2 4 3" xfId="32215" xr:uid="{00000000-0005-0000-0000-0000D4660000}"/>
    <cellStyle name="Финансовый 2 4 8 2 2 2 5" xfId="10043" xr:uid="{00000000-0005-0000-0000-0000D5660000}"/>
    <cellStyle name="Финансовый 2 4 8 2 2 2 5 2" xfId="22021" xr:uid="{00000000-0005-0000-0000-0000D6660000}"/>
    <cellStyle name="Финансовый 2 4 8 2 2 2 5 2 2" xfId="45976" xr:uid="{00000000-0005-0000-0000-0000D7660000}"/>
    <cellStyle name="Финансовый 2 4 8 2 2 2 5 3" xfId="33998" xr:uid="{00000000-0005-0000-0000-0000D8660000}"/>
    <cellStyle name="Финансовый 2 4 8 2 2 2 6" xfId="14201" xr:uid="{00000000-0005-0000-0000-0000D9660000}"/>
    <cellStyle name="Финансовый 2 4 8 2 2 2 6 2" xfId="38156" xr:uid="{00000000-0005-0000-0000-0000DA660000}"/>
    <cellStyle name="Финансовый 2 4 8 2 2 2 7" xfId="26179" xr:uid="{00000000-0005-0000-0000-0000DB660000}"/>
    <cellStyle name="Финансовый 2 4 8 2 2 2 8" xfId="49312" xr:uid="{00000000-0005-0000-0000-0000DC660000}"/>
    <cellStyle name="Финансовый 2 4 8 2 2 3" xfId="3040" xr:uid="{00000000-0005-0000-0000-0000DD660000}"/>
    <cellStyle name="Финансовый 2 4 8 2 2 3 2" xfId="10835" xr:uid="{00000000-0005-0000-0000-0000DE660000}"/>
    <cellStyle name="Финансовый 2 4 8 2 2 3 2 2" xfId="22813" xr:uid="{00000000-0005-0000-0000-0000DF660000}"/>
    <cellStyle name="Финансовый 2 4 8 2 2 3 2 2 2" xfId="46768" xr:uid="{00000000-0005-0000-0000-0000E0660000}"/>
    <cellStyle name="Финансовый 2 4 8 2 2 3 2 3" xfId="34790" xr:uid="{00000000-0005-0000-0000-0000E1660000}"/>
    <cellStyle name="Финансовый 2 4 8 2 2 3 3" xfId="15019" xr:uid="{00000000-0005-0000-0000-0000E2660000}"/>
    <cellStyle name="Финансовый 2 4 8 2 2 3 3 2" xfId="38974" xr:uid="{00000000-0005-0000-0000-0000E3660000}"/>
    <cellStyle name="Финансовый 2 4 8 2 2 3 4" xfId="26997" xr:uid="{00000000-0005-0000-0000-0000E4660000}"/>
    <cellStyle name="Финансовый 2 4 8 2 2 3 5" xfId="50128" xr:uid="{00000000-0005-0000-0000-0000E5660000}"/>
    <cellStyle name="Финансовый 2 4 8 2 2 4" xfId="4684" xr:uid="{00000000-0005-0000-0000-0000E6660000}"/>
    <cellStyle name="Финансовый 2 4 8 2 2 4 2" xfId="16663" xr:uid="{00000000-0005-0000-0000-0000E7660000}"/>
    <cellStyle name="Финансовый 2 4 8 2 2 4 2 2" xfId="40618" xr:uid="{00000000-0005-0000-0000-0000E8660000}"/>
    <cellStyle name="Финансовый 2 4 8 2 2 4 3" xfId="28641" xr:uid="{00000000-0005-0000-0000-0000E9660000}"/>
    <cellStyle name="Финансовый 2 4 8 2 2 5" xfId="7296" xr:uid="{00000000-0005-0000-0000-0000EA660000}"/>
    <cellStyle name="Финансовый 2 4 8 2 2 5 2" xfId="19274" xr:uid="{00000000-0005-0000-0000-0000EB660000}"/>
    <cellStyle name="Финансовый 2 4 8 2 2 5 2 2" xfId="43229" xr:uid="{00000000-0005-0000-0000-0000EC660000}"/>
    <cellStyle name="Финансовый 2 4 8 2 2 5 3" xfId="31251" xr:uid="{00000000-0005-0000-0000-0000ED660000}"/>
    <cellStyle name="Финансовый 2 4 8 2 2 6" xfId="9078" xr:uid="{00000000-0005-0000-0000-0000EE660000}"/>
    <cellStyle name="Финансовый 2 4 8 2 2 6 2" xfId="21056" xr:uid="{00000000-0005-0000-0000-0000EF660000}"/>
    <cellStyle name="Финансовый 2 4 8 2 2 6 2 2" xfId="45011" xr:uid="{00000000-0005-0000-0000-0000F0660000}"/>
    <cellStyle name="Финансовый 2 4 8 2 2 6 3" xfId="33033" xr:uid="{00000000-0005-0000-0000-0000F1660000}"/>
    <cellStyle name="Финансовый 2 4 8 2 2 7" xfId="13237" xr:uid="{00000000-0005-0000-0000-0000F2660000}"/>
    <cellStyle name="Финансовый 2 4 8 2 2 7 2" xfId="37192" xr:uid="{00000000-0005-0000-0000-0000F3660000}"/>
    <cellStyle name="Финансовый 2 4 8 2 2 8" xfId="25215" xr:uid="{00000000-0005-0000-0000-0000F4660000}"/>
    <cellStyle name="Финансовый 2 4 8 2 2 9" xfId="48348" xr:uid="{00000000-0005-0000-0000-0000F5660000}"/>
    <cellStyle name="Финансовый 2 4 8 2 3" xfId="1966" xr:uid="{00000000-0005-0000-0000-0000F6660000}"/>
    <cellStyle name="Финансовый 2 4 8 2 3 2" xfId="3611" xr:uid="{00000000-0005-0000-0000-0000F7660000}"/>
    <cellStyle name="Финансовый 2 4 8 2 3 2 2" xfId="11351" xr:uid="{00000000-0005-0000-0000-0000F8660000}"/>
    <cellStyle name="Финансовый 2 4 8 2 3 2 2 2" xfId="23329" xr:uid="{00000000-0005-0000-0000-0000F9660000}"/>
    <cellStyle name="Финансовый 2 4 8 2 3 2 2 2 2" xfId="47284" xr:uid="{00000000-0005-0000-0000-0000FA660000}"/>
    <cellStyle name="Финансовый 2 4 8 2 3 2 2 3" xfId="35306" xr:uid="{00000000-0005-0000-0000-0000FB660000}"/>
    <cellStyle name="Финансовый 2 4 8 2 3 2 3" xfId="15590" xr:uid="{00000000-0005-0000-0000-0000FC660000}"/>
    <cellStyle name="Финансовый 2 4 8 2 3 2 3 2" xfId="39545" xr:uid="{00000000-0005-0000-0000-0000FD660000}"/>
    <cellStyle name="Финансовый 2 4 8 2 3 2 4" xfId="27568" xr:uid="{00000000-0005-0000-0000-0000FE660000}"/>
    <cellStyle name="Финансовый 2 4 8 2 3 2 5" xfId="50837" xr:uid="{00000000-0005-0000-0000-0000FF660000}"/>
    <cellStyle name="Финансовый 2 4 8 2 3 3" xfId="5394" xr:uid="{00000000-0005-0000-0000-000000670000}"/>
    <cellStyle name="Финансовый 2 4 8 2 3 3 2" xfId="17372" xr:uid="{00000000-0005-0000-0000-000001670000}"/>
    <cellStyle name="Финансовый 2 4 8 2 3 3 2 2" xfId="41327" xr:uid="{00000000-0005-0000-0000-000002670000}"/>
    <cellStyle name="Финансовый 2 4 8 2 3 3 3" xfId="29349" xr:uid="{00000000-0005-0000-0000-000003670000}"/>
    <cellStyle name="Финансовый 2 4 8 2 3 4" xfId="8004" xr:uid="{00000000-0005-0000-0000-000004670000}"/>
    <cellStyle name="Финансовый 2 4 8 2 3 4 2" xfId="19982" xr:uid="{00000000-0005-0000-0000-000005670000}"/>
    <cellStyle name="Финансовый 2 4 8 2 3 4 2 2" xfId="43937" xr:uid="{00000000-0005-0000-0000-000006670000}"/>
    <cellStyle name="Финансовый 2 4 8 2 3 4 3" xfId="31959" xr:uid="{00000000-0005-0000-0000-000007670000}"/>
    <cellStyle name="Финансовый 2 4 8 2 3 5" xfId="9787" xr:uid="{00000000-0005-0000-0000-000008670000}"/>
    <cellStyle name="Финансовый 2 4 8 2 3 5 2" xfId="21765" xr:uid="{00000000-0005-0000-0000-000009670000}"/>
    <cellStyle name="Финансовый 2 4 8 2 3 5 2 2" xfId="45720" xr:uid="{00000000-0005-0000-0000-00000A670000}"/>
    <cellStyle name="Финансовый 2 4 8 2 3 5 3" xfId="33742" xr:uid="{00000000-0005-0000-0000-00000B670000}"/>
    <cellStyle name="Финансовый 2 4 8 2 3 6" xfId="13945" xr:uid="{00000000-0005-0000-0000-00000C670000}"/>
    <cellStyle name="Финансовый 2 4 8 2 3 6 2" xfId="37900" xr:uid="{00000000-0005-0000-0000-00000D670000}"/>
    <cellStyle name="Финансовый 2 4 8 2 3 7" xfId="25923" xr:uid="{00000000-0005-0000-0000-00000E670000}"/>
    <cellStyle name="Финансовый 2 4 8 2 3 8" xfId="49056" xr:uid="{00000000-0005-0000-0000-00000F670000}"/>
    <cellStyle name="Финансовый 2 4 8 2 4" xfId="2487" xr:uid="{00000000-0005-0000-0000-000010670000}"/>
    <cellStyle name="Финансовый 2 4 8 2 4 2" xfId="4132" xr:uid="{00000000-0005-0000-0000-000011670000}"/>
    <cellStyle name="Финансовый 2 4 8 2 4 2 2" xfId="11864" xr:uid="{00000000-0005-0000-0000-000012670000}"/>
    <cellStyle name="Финансовый 2 4 8 2 4 2 2 2" xfId="23842" xr:uid="{00000000-0005-0000-0000-000013670000}"/>
    <cellStyle name="Финансовый 2 4 8 2 4 2 2 2 2" xfId="47797" xr:uid="{00000000-0005-0000-0000-000014670000}"/>
    <cellStyle name="Финансовый 2 4 8 2 4 2 2 3" xfId="35819" xr:uid="{00000000-0005-0000-0000-000015670000}"/>
    <cellStyle name="Финансовый 2 4 8 2 4 2 3" xfId="16111" xr:uid="{00000000-0005-0000-0000-000016670000}"/>
    <cellStyle name="Финансовый 2 4 8 2 4 2 3 2" xfId="40066" xr:uid="{00000000-0005-0000-0000-000017670000}"/>
    <cellStyle name="Финансовый 2 4 8 2 4 2 4" xfId="28089" xr:uid="{00000000-0005-0000-0000-000018670000}"/>
    <cellStyle name="Финансовый 2 4 8 2 4 2 5" xfId="51358" xr:uid="{00000000-0005-0000-0000-000019670000}"/>
    <cellStyle name="Финансовый 2 4 8 2 4 3" xfId="5915" xr:uid="{00000000-0005-0000-0000-00001A670000}"/>
    <cellStyle name="Финансовый 2 4 8 2 4 3 2" xfId="17893" xr:uid="{00000000-0005-0000-0000-00001B670000}"/>
    <cellStyle name="Финансовый 2 4 8 2 4 3 2 2" xfId="41848" xr:uid="{00000000-0005-0000-0000-00001C670000}"/>
    <cellStyle name="Финансовый 2 4 8 2 4 3 3" xfId="29870" xr:uid="{00000000-0005-0000-0000-00001D670000}"/>
    <cellStyle name="Финансовый 2 4 8 2 4 4" xfId="8525" xr:uid="{00000000-0005-0000-0000-00001E670000}"/>
    <cellStyle name="Финансовый 2 4 8 2 4 4 2" xfId="20503" xr:uid="{00000000-0005-0000-0000-00001F670000}"/>
    <cellStyle name="Финансовый 2 4 8 2 4 4 2 2" xfId="44458" xr:uid="{00000000-0005-0000-0000-000020670000}"/>
    <cellStyle name="Финансовый 2 4 8 2 4 4 3" xfId="32480" xr:uid="{00000000-0005-0000-0000-000021670000}"/>
    <cellStyle name="Финансовый 2 4 8 2 4 5" xfId="10308" xr:uid="{00000000-0005-0000-0000-000022670000}"/>
    <cellStyle name="Финансовый 2 4 8 2 4 5 2" xfId="22286" xr:uid="{00000000-0005-0000-0000-000023670000}"/>
    <cellStyle name="Финансовый 2 4 8 2 4 5 2 2" xfId="46241" xr:uid="{00000000-0005-0000-0000-000024670000}"/>
    <cellStyle name="Финансовый 2 4 8 2 4 5 3" xfId="34263" xr:uid="{00000000-0005-0000-0000-000025670000}"/>
    <cellStyle name="Финансовый 2 4 8 2 4 6" xfId="14466" xr:uid="{00000000-0005-0000-0000-000026670000}"/>
    <cellStyle name="Финансовый 2 4 8 2 4 6 2" xfId="38421" xr:uid="{00000000-0005-0000-0000-000027670000}"/>
    <cellStyle name="Финансовый 2 4 8 2 4 7" xfId="26444" xr:uid="{00000000-0005-0000-0000-000028670000}"/>
    <cellStyle name="Финансовый 2 4 8 2 4 8" xfId="49577" xr:uid="{00000000-0005-0000-0000-000029670000}"/>
    <cellStyle name="Финансовый 2 4 8 2 5" xfId="991" xr:uid="{00000000-0005-0000-0000-00002A670000}"/>
    <cellStyle name="Финансовый 2 4 8 2 5 2" xfId="7031" xr:uid="{00000000-0005-0000-0000-00002B670000}"/>
    <cellStyle name="Финансовый 2 4 8 2 5 2 2" xfId="19009" xr:uid="{00000000-0005-0000-0000-00002C670000}"/>
    <cellStyle name="Финансовый 2 4 8 2 5 2 2 2" xfId="42964" xr:uid="{00000000-0005-0000-0000-00002D670000}"/>
    <cellStyle name="Финансовый 2 4 8 2 5 2 3" xfId="30986" xr:uid="{00000000-0005-0000-0000-00002E670000}"/>
    <cellStyle name="Финансовый 2 4 8 2 5 3" xfId="10579" xr:uid="{00000000-0005-0000-0000-00002F670000}"/>
    <cellStyle name="Финансовый 2 4 8 2 5 3 2" xfId="22557" xr:uid="{00000000-0005-0000-0000-000030670000}"/>
    <cellStyle name="Финансовый 2 4 8 2 5 3 2 2" xfId="46512" xr:uid="{00000000-0005-0000-0000-000031670000}"/>
    <cellStyle name="Финансовый 2 4 8 2 5 3 3" xfId="34534" xr:uid="{00000000-0005-0000-0000-000032670000}"/>
    <cellStyle name="Финансовый 2 4 8 2 5 4" xfId="12972" xr:uid="{00000000-0005-0000-0000-000033670000}"/>
    <cellStyle name="Финансовый 2 4 8 2 5 4 2" xfId="36927" xr:uid="{00000000-0005-0000-0000-000034670000}"/>
    <cellStyle name="Финансовый 2 4 8 2 5 5" xfId="24950" xr:uid="{00000000-0005-0000-0000-000035670000}"/>
    <cellStyle name="Финансовый 2 4 8 2 5 6" xfId="49856" xr:uid="{00000000-0005-0000-0000-000036670000}"/>
    <cellStyle name="Финансовый 2 4 8 2 6" xfId="579" xr:uid="{00000000-0005-0000-0000-000037670000}"/>
    <cellStyle name="Финансовый 2 4 8 2 6 2" xfId="6619" xr:uid="{00000000-0005-0000-0000-000038670000}"/>
    <cellStyle name="Финансовый 2 4 8 2 6 2 2" xfId="18597" xr:uid="{00000000-0005-0000-0000-000039670000}"/>
    <cellStyle name="Финансовый 2 4 8 2 6 2 2 2" xfId="42552" xr:uid="{00000000-0005-0000-0000-00003A670000}"/>
    <cellStyle name="Финансовый 2 4 8 2 6 2 3" xfId="30574" xr:uid="{00000000-0005-0000-0000-00003B670000}"/>
    <cellStyle name="Финансовый 2 4 8 2 6 3" xfId="12560" xr:uid="{00000000-0005-0000-0000-00003C670000}"/>
    <cellStyle name="Финансовый 2 4 8 2 6 3 2" xfId="36515" xr:uid="{00000000-0005-0000-0000-00003D670000}"/>
    <cellStyle name="Финансовый 2 4 8 2 6 4" xfId="24538" xr:uid="{00000000-0005-0000-0000-00003E670000}"/>
    <cellStyle name="Финансовый 2 4 8 2 7" xfId="2768" xr:uid="{00000000-0005-0000-0000-00003F670000}"/>
    <cellStyle name="Финансовый 2 4 8 2 7 2" xfId="14747" xr:uid="{00000000-0005-0000-0000-000040670000}"/>
    <cellStyle name="Финансовый 2 4 8 2 7 2 2" xfId="38702" xr:uid="{00000000-0005-0000-0000-000041670000}"/>
    <cellStyle name="Финансовый 2 4 8 2 7 3" xfId="26725" xr:uid="{00000000-0005-0000-0000-000042670000}"/>
    <cellStyle name="Финансовый 2 4 8 2 8" xfId="4412" xr:uid="{00000000-0005-0000-0000-000043670000}"/>
    <cellStyle name="Финансовый 2 4 8 2 8 2" xfId="16391" xr:uid="{00000000-0005-0000-0000-000044670000}"/>
    <cellStyle name="Финансовый 2 4 8 2 8 2 2" xfId="40346" xr:uid="{00000000-0005-0000-0000-000045670000}"/>
    <cellStyle name="Финансовый 2 4 8 2 8 3" xfId="28369" xr:uid="{00000000-0005-0000-0000-000046670000}"/>
    <cellStyle name="Финансовый 2 4 8 2 9" xfId="6199" xr:uid="{00000000-0005-0000-0000-000047670000}"/>
    <cellStyle name="Финансовый 2 4 8 2 9 2" xfId="18177" xr:uid="{00000000-0005-0000-0000-000048670000}"/>
    <cellStyle name="Финансовый 2 4 8 2 9 2 2" xfId="42132" xr:uid="{00000000-0005-0000-0000-000049670000}"/>
    <cellStyle name="Финансовый 2 4 8 2 9 3" xfId="30154" xr:uid="{00000000-0005-0000-0000-00004A670000}"/>
    <cellStyle name="Финансовый 2 4 8 3" xfId="307" xr:uid="{00000000-0005-0000-0000-00004B670000}"/>
    <cellStyle name="Финансовый 2 4 8 3 10" xfId="24266" xr:uid="{00000000-0005-0000-0000-00004C670000}"/>
    <cellStyle name="Финансовый 2 4 8 3 11" xfId="48212" xr:uid="{00000000-0005-0000-0000-00004D670000}"/>
    <cellStyle name="Финансовый 2 4 8 3 2" xfId="2094" xr:uid="{00000000-0005-0000-0000-00004E670000}"/>
    <cellStyle name="Финансовый 2 4 8 3 2 2" xfId="3739" xr:uid="{00000000-0005-0000-0000-00004F670000}"/>
    <cellStyle name="Финансовый 2 4 8 3 2 2 2" xfId="11479" xr:uid="{00000000-0005-0000-0000-000050670000}"/>
    <cellStyle name="Финансовый 2 4 8 3 2 2 2 2" xfId="23457" xr:uid="{00000000-0005-0000-0000-000051670000}"/>
    <cellStyle name="Финансовый 2 4 8 3 2 2 2 2 2" xfId="47412" xr:uid="{00000000-0005-0000-0000-000052670000}"/>
    <cellStyle name="Финансовый 2 4 8 3 2 2 2 3" xfId="35434" xr:uid="{00000000-0005-0000-0000-000053670000}"/>
    <cellStyle name="Финансовый 2 4 8 3 2 2 3" xfId="15718" xr:uid="{00000000-0005-0000-0000-000054670000}"/>
    <cellStyle name="Финансовый 2 4 8 3 2 2 3 2" xfId="39673" xr:uid="{00000000-0005-0000-0000-000055670000}"/>
    <cellStyle name="Финансовый 2 4 8 3 2 2 4" xfId="27696" xr:uid="{00000000-0005-0000-0000-000056670000}"/>
    <cellStyle name="Финансовый 2 4 8 3 2 2 5" xfId="50965" xr:uid="{00000000-0005-0000-0000-000057670000}"/>
    <cellStyle name="Финансовый 2 4 8 3 2 3" xfId="5522" xr:uid="{00000000-0005-0000-0000-000058670000}"/>
    <cellStyle name="Финансовый 2 4 8 3 2 3 2" xfId="17500" xr:uid="{00000000-0005-0000-0000-000059670000}"/>
    <cellStyle name="Финансовый 2 4 8 3 2 3 2 2" xfId="41455" xr:uid="{00000000-0005-0000-0000-00005A670000}"/>
    <cellStyle name="Финансовый 2 4 8 3 2 3 3" xfId="29477" xr:uid="{00000000-0005-0000-0000-00005B670000}"/>
    <cellStyle name="Финансовый 2 4 8 3 2 4" xfId="8132" xr:uid="{00000000-0005-0000-0000-00005C670000}"/>
    <cellStyle name="Финансовый 2 4 8 3 2 4 2" xfId="20110" xr:uid="{00000000-0005-0000-0000-00005D670000}"/>
    <cellStyle name="Финансовый 2 4 8 3 2 4 2 2" xfId="44065" xr:uid="{00000000-0005-0000-0000-00005E670000}"/>
    <cellStyle name="Финансовый 2 4 8 3 2 4 3" xfId="32087" xr:uid="{00000000-0005-0000-0000-00005F670000}"/>
    <cellStyle name="Финансовый 2 4 8 3 2 5" xfId="9915" xr:uid="{00000000-0005-0000-0000-000060670000}"/>
    <cellStyle name="Финансовый 2 4 8 3 2 5 2" xfId="21893" xr:uid="{00000000-0005-0000-0000-000061670000}"/>
    <cellStyle name="Финансовый 2 4 8 3 2 5 2 2" xfId="45848" xr:uid="{00000000-0005-0000-0000-000062670000}"/>
    <cellStyle name="Финансовый 2 4 8 3 2 5 3" xfId="33870" xr:uid="{00000000-0005-0000-0000-000063670000}"/>
    <cellStyle name="Финансовый 2 4 8 3 2 6" xfId="14073" xr:uid="{00000000-0005-0000-0000-000064670000}"/>
    <cellStyle name="Финансовый 2 4 8 3 2 6 2" xfId="38028" xr:uid="{00000000-0005-0000-0000-000065670000}"/>
    <cellStyle name="Финансовый 2 4 8 3 2 7" xfId="26051" xr:uid="{00000000-0005-0000-0000-000066670000}"/>
    <cellStyle name="Финансовый 2 4 8 3 2 8" xfId="49184" xr:uid="{00000000-0005-0000-0000-000067670000}"/>
    <cellStyle name="Финансовый 2 4 8 3 3" xfId="1127" xr:uid="{00000000-0005-0000-0000-000068670000}"/>
    <cellStyle name="Финансовый 2 4 8 3 3 2" xfId="7167" xr:uid="{00000000-0005-0000-0000-000069670000}"/>
    <cellStyle name="Финансовый 2 4 8 3 3 2 2" xfId="19145" xr:uid="{00000000-0005-0000-0000-00006A670000}"/>
    <cellStyle name="Финансовый 2 4 8 3 3 2 2 2" xfId="43100" xr:uid="{00000000-0005-0000-0000-00006B670000}"/>
    <cellStyle name="Финансовый 2 4 8 3 3 2 3" xfId="31122" xr:uid="{00000000-0005-0000-0000-00006C670000}"/>
    <cellStyle name="Финансовый 2 4 8 3 3 3" xfId="10707" xr:uid="{00000000-0005-0000-0000-00006D670000}"/>
    <cellStyle name="Финансовый 2 4 8 3 3 3 2" xfId="22685" xr:uid="{00000000-0005-0000-0000-00006E670000}"/>
    <cellStyle name="Финансовый 2 4 8 3 3 3 2 2" xfId="46640" xr:uid="{00000000-0005-0000-0000-00006F670000}"/>
    <cellStyle name="Финансовый 2 4 8 3 3 3 3" xfId="34662" xr:uid="{00000000-0005-0000-0000-000070670000}"/>
    <cellStyle name="Финансовый 2 4 8 3 3 4" xfId="13108" xr:uid="{00000000-0005-0000-0000-000071670000}"/>
    <cellStyle name="Финансовый 2 4 8 3 3 4 2" xfId="37063" xr:uid="{00000000-0005-0000-0000-000072670000}"/>
    <cellStyle name="Финансовый 2 4 8 3 3 5" xfId="25086" xr:uid="{00000000-0005-0000-0000-000073670000}"/>
    <cellStyle name="Финансовый 2 4 8 3 3 6" xfId="49992" xr:uid="{00000000-0005-0000-0000-000074670000}"/>
    <cellStyle name="Финансовый 2 4 8 3 4" xfId="727" xr:uid="{00000000-0005-0000-0000-000075670000}"/>
    <cellStyle name="Финансовый 2 4 8 3 4 2" xfId="6767" xr:uid="{00000000-0005-0000-0000-000076670000}"/>
    <cellStyle name="Финансовый 2 4 8 3 4 2 2" xfId="18745" xr:uid="{00000000-0005-0000-0000-000077670000}"/>
    <cellStyle name="Финансовый 2 4 8 3 4 2 2 2" xfId="42700" xr:uid="{00000000-0005-0000-0000-000078670000}"/>
    <cellStyle name="Финансовый 2 4 8 3 4 2 3" xfId="30722" xr:uid="{00000000-0005-0000-0000-000079670000}"/>
    <cellStyle name="Финансовый 2 4 8 3 4 3" xfId="12708" xr:uid="{00000000-0005-0000-0000-00007A670000}"/>
    <cellStyle name="Финансовый 2 4 8 3 4 3 2" xfId="36663" xr:uid="{00000000-0005-0000-0000-00007B670000}"/>
    <cellStyle name="Финансовый 2 4 8 3 4 4" xfId="24686" xr:uid="{00000000-0005-0000-0000-00007C670000}"/>
    <cellStyle name="Финансовый 2 4 8 3 5" xfId="2904" xr:uid="{00000000-0005-0000-0000-00007D670000}"/>
    <cellStyle name="Финансовый 2 4 8 3 5 2" xfId="14883" xr:uid="{00000000-0005-0000-0000-00007E670000}"/>
    <cellStyle name="Финансовый 2 4 8 3 5 2 2" xfId="38838" xr:uid="{00000000-0005-0000-0000-00007F670000}"/>
    <cellStyle name="Финансовый 2 4 8 3 5 3" xfId="26861" xr:uid="{00000000-0005-0000-0000-000080670000}"/>
    <cellStyle name="Финансовый 2 4 8 3 6" xfId="4548" xr:uid="{00000000-0005-0000-0000-000081670000}"/>
    <cellStyle name="Финансовый 2 4 8 3 6 2" xfId="16527" xr:uid="{00000000-0005-0000-0000-000082670000}"/>
    <cellStyle name="Финансовый 2 4 8 3 6 2 2" xfId="40482" xr:uid="{00000000-0005-0000-0000-000083670000}"/>
    <cellStyle name="Финансовый 2 4 8 3 6 3" xfId="28505" xr:uid="{00000000-0005-0000-0000-000084670000}"/>
    <cellStyle name="Финансовый 2 4 8 3 7" xfId="6347" xr:uid="{00000000-0005-0000-0000-000085670000}"/>
    <cellStyle name="Финансовый 2 4 8 3 7 2" xfId="18325" xr:uid="{00000000-0005-0000-0000-000086670000}"/>
    <cellStyle name="Финансовый 2 4 8 3 7 2 2" xfId="42280" xr:uid="{00000000-0005-0000-0000-000087670000}"/>
    <cellStyle name="Финансовый 2 4 8 3 7 3" xfId="30302" xr:uid="{00000000-0005-0000-0000-000088670000}"/>
    <cellStyle name="Финансовый 2 4 8 3 8" xfId="8942" xr:uid="{00000000-0005-0000-0000-000089670000}"/>
    <cellStyle name="Финансовый 2 4 8 3 8 2" xfId="20920" xr:uid="{00000000-0005-0000-0000-00008A670000}"/>
    <cellStyle name="Финансовый 2 4 8 3 8 2 2" xfId="44875" xr:uid="{00000000-0005-0000-0000-00008B670000}"/>
    <cellStyle name="Финансовый 2 4 8 3 8 3" xfId="32897" xr:uid="{00000000-0005-0000-0000-00008C670000}"/>
    <cellStyle name="Финансовый 2 4 8 3 9" xfId="12288" xr:uid="{00000000-0005-0000-0000-00008D670000}"/>
    <cellStyle name="Финансовый 2 4 8 3 9 2" xfId="36243" xr:uid="{00000000-0005-0000-0000-00008E670000}"/>
    <cellStyle name="Финансовый 2 4 8 4" xfId="1505" xr:uid="{00000000-0005-0000-0000-00008F670000}"/>
    <cellStyle name="Финансовый 2 4 8 4 2" xfId="1830" xr:uid="{00000000-0005-0000-0000-000090670000}"/>
    <cellStyle name="Финансовый 2 4 8 4 2 2" xfId="3475" xr:uid="{00000000-0005-0000-0000-000091670000}"/>
    <cellStyle name="Финансовый 2 4 8 4 2 2 2" xfId="11223" xr:uid="{00000000-0005-0000-0000-000092670000}"/>
    <cellStyle name="Финансовый 2 4 8 4 2 2 2 2" xfId="23201" xr:uid="{00000000-0005-0000-0000-000093670000}"/>
    <cellStyle name="Финансовый 2 4 8 4 2 2 2 2 2" xfId="47156" xr:uid="{00000000-0005-0000-0000-000094670000}"/>
    <cellStyle name="Финансовый 2 4 8 4 2 2 2 3" xfId="35178" xr:uid="{00000000-0005-0000-0000-000095670000}"/>
    <cellStyle name="Финансовый 2 4 8 4 2 2 3" xfId="15454" xr:uid="{00000000-0005-0000-0000-000096670000}"/>
    <cellStyle name="Финансовый 2 4 8 4 2 2 3 2" xfId="39409" xr:uid="{00000000-0005-0000-0000-000097670000}"/>
    <cellStyle name="Финансовый 2 4 8 4 2 2 4" xfId="27432" xr:uid="{00000000-0005-0000-0000-000098670000}"/>
    <cellStyle name="Финансовый 2 4 8 4 2 2 5" xfId="50701" xr:uid="{00000000-0005-0000-0000-000099670000}"/>
    <cellStyle name="Финансовый 2 4 8 4 2 3" xfId="5258" xr:uid="{00000000-0005-0000-0000-00009A670000}"/>
    <cellStyle name="Финансовый 2 4 8 4 2 3 2" xfId="17236" xr:uid="{00000000-0005-0000-0000-00009B670000}"/>
    <cellStyle name="Финансовый 2 4 8 4 2 3 2 2" xfId="41191" xr:uid="{00000000-0005-0000-0000-00009C670000}"/>
    <cellStyle name="Финансовый 2 4 8 4 2 3 3" xfId="29213" xr:uid="{00000000-0005-0000-0000-00009D670000}"/>
    <cellStyle name="Финансовый 2 4 8 4 2 4" xfId="7868" xr:uid="{00000000-0005-0000-0000-00009E670000}"/>
    <cellStyle name="Финансовый 2 4 8 4 2 4 2" xfId="19846" xr:uid="{00000000-0005-0000-0000-00009F670000}"/>
    <cellStyle name="Финансовый 2 4 8 4 2 4 2 2" xfId="43801" xr:uid="{00000000-0005-0000-0000-0000A0670000}"/>
    <cellStyle name="Финансовый 2 4 8 4 2 4 3" xfId="31823" xr:uid="{00000000-0005-0000-0000-0000A1670000}"/>
    <cellStyle name="Финансовый 2 4 8 4 2 5" xfId="9651" xr:uid="{00000000-0005-0000-0000-0000A2670000}"/>
    <cellStyle name="Финансовый 2 4 8 4 2 5 2" xfId="21629" xr:uid="{00000000-0005-0000-0000-0000A3670000}"/>
    <cellStyle name="Финансовый 2 4 8 4 2 5 2 2" xfId="45584" xr:uid="{00000000-0005-0000-0000-0000A4670000}"/>
    <cellStyle name="Финансовый 2 4 8 4 2 5 3" xfId="33606" xr:uid="{00000000-0005-0000-0000-0000A5670000}"/>
    <cellStyle name="Финансовый 2 4 8 4 2 6" xfId="13809" xr:uid="{00000000-0005-0000-0000-0000A6670000}"/>
    <cellStyle name="Финансовый 2 4 8 4 2 6 2" xfId="37764" xr:uid="{00000000-0005-0000-0000-0000A7670000}"/>
    <cellStyle name="Финансовый 2 4 8 4 2 7" xfId="25787" xr:uid="{00000000-0005-0000-0000-0000A8670000}"/>
    <cellStyle name="Финансовый 2 4 8 4 2 8" xfId="48920" xr:uid="{00000000-0005-0000-0000-0000A9670000}"/>
    <cellStyle name="Финансовый 2 4 8 4 3" xfId="4933" xr:uid="{00000000-0005-0000-0000-0000AA670000}"/>
    <cellStyle name="Финансовый 2 4 8 4 3 2" xfId="16911" xr:uid="{00000000-0005-0000-0000-0000AB670000}"/>
    <cellStyle name="Финансовый 2 4 8 4 3 2 2" xfId="40866" xr:uid="{00000000-0005-0000-0000-0000AC670000}"/>
    <cellStyle name="Финансовый 2 4 8 4 3 3" xfId="28888" xr:uid="{00000000-0005-0000-0000-0000AD670000}"/>
    <cellStyle name="Финансовый 2 4 8 4 3 4" xfId="50376" xr:uid="{00000000-0005-0000-0000-0000AE670000}"/>
    <cellStyle name="Финансовый 2 4 8 4 4" xfId="7543" xr:uid="{00000000-0005-0000-0000-0000AF670000}"/>
    <cellStyle name="Финансовый 2 4 8 4 4 2" xfId="19521" xr:uid="{00000000-0005-0000-0000-0000B0670000}"/>
    <cellStyle name="Финансовый 2 4 8 4 4 2 2" xfId="43476" xr:uid="{00000000-0005-0000-0000-0000B1670000}"/>
    <cellStyle name="Финансовый 2 4 8 4 4 3" xfId="31498" xr:uid="{00000000-0005-0000-0000-0000B2670000}"/>
    <cellStyle name="Финансовый 2 4 8 4 5" xfId="9326" xr:uid="{00000000-0005-0000-0000-0000B3670000}"/>
    <cellStyle name="Финансовый 2 4 8 4 5 2" xfId="21304" xr:uid="{00000000-0005-0000-0000-0000B4670000}"/>
    <cellStyle name="Финансовый 2 4 8 4 5 2 2" xfId="45259" xr:uid="{00000000-0005-0000-0000-0000B5670000}"/>
    <cellStyle name="Финансовый 2 4 8 4 5 3" xfId="33281" xr:uid="{00000000-0005-0000-0000-0000B6670000}"/>
    <cellStyle name="Финансовый 2 4 8 4 6" xfId="13484" xr:uid="{00000000-0005-0000-0000-0000B7670000}"/>
    <cellStyle name="Финансовый 2 4 8 4 6 2" xfId="37439" xr:uid="{00000000-0005-0000-0000-0000B8670000}"/>
    <cellStyle name="Финансовый 2 4 8 4 7" xfId="25462" xr:uid="{00000000-0005-0000-0000-0000B9670000}"/>
    <cellStyle name="Финансовый 2 4 8 4 8" xfId="48595" xr:uid="{00000000-0005-0000-0000-0000BA670000}"/>
    <cellStyle name="Финансовый 2 4 8 5" xfId="1714" xr:uid="{00000000-0005-0000-0000-0000BB670000}"/>
    <cellStyle name="Финансовый 2 4 8 5 2" xfId="3359" xr:uid="{00000000-0005-0000-0000-0000BC670000}"/>
    <cellStyle name="Финансовый 2 4 8 5 2 2" xfId="11107" xr:uid="{00000000-0005-0000-0000-0000BD670000}"/>
    <cellStyle name="Финансовый 2 4 8 5 2 2 2" xfId="23085" xr:uid="{00000000-0005-0000-0000-0000BE670000}"/>
    <cellStyle name="Финансовый 2 4 8 5 2 2 2 2" xfId="47040" xr:uid="{00000000-0005-0000-0000-0000BF670000}"/>
    <cellStyle name="Финансовый 2 4 8 5 2 2 3" xfId="35062" xr:uid="{00000000-0005-0000-0000-0000C0670000}"/>
    <cellStyle name="Финансовый 2 4 8 5 2 3" xfId="15338" xr:uid="{00000000-0005-0000-0000-0000C1670000}"/>
    <cellStyle name="Финансовый 2 4 8 5 2 3 2" xfId="39293" xr:uid="{00000000-0005-0000-0000-0000C2670000}"/>
    <cellStyle name="Финансовый 2 4 8 5 2 4" xfId="27316" xr:uid="{00000000-0005-0000-0000-0000C3670000}"/>
    <cellStyle name="Финансовый 2 4 8 5 2 5" xfId="50585" xr:uid="{00000000-0005-0000-0000-0000C4670000}"/>
    <cellStyle name="Финансовый 2 4 8 5 3" xfId="5142" xr:uid="{00000000-0005-0000-0000-0000C5670000}"/>
    <cellStyle name="Финансовый 2 4 8 5 3 2" xfId="17120" xr:uid="{00000000-0005-0000-0000-0000C6670000}"/>
    <cellStyle name="Финансовый 2 4 8 5 3 2 2" xfId="41075" xr:uid="{00000000-0005-0000-0000-0000C7670000}"/>
    <cellStyle name="Финансовый 2 4 8 5 3 3" xfId="29097" xr:uid="{00000000-0005-0000-0000-0000C8670000}"/>
    <cellStyle name="Финансовый 2 4 8 5 4" xfId="7752" xr:uid="{00000000-0005-0000-0000-0000C9670000}"/>
    <cellStyle name="Финансовый 2 4 8 5 4 2" xfId="19730" xr:uid="{00000000-0005-0000-0000-0000CA670000}"/>
    <cellStyle name="Финансовый 2 4 8 5 4 2 2" xfId="43685" xr:uid="{00000000-0005-0000-0000-0000CB670000}"/>
    <cellStyle name="Финансовый 2 4 8 5 4 3" xfId="31707" xr:uid="{00000000-0005-0000-0000-0000CC670000}"/>
    <cellStyle name="Финансовый 2 4 8 5 5" xfId="9535" xr:uid="{00000000-0005-0000-0000-0000CD670000}"/>
    <cellStyle name="Финансовый 2 4 8 5 5 2" xfId="21513" xr:uid="{00000000-0005-0000-0000-0000CE670000}"/>
    <cellStyle name="Финансовый 2 4 8 5 5 2 2" xfId="45468" xr:uid="{00000000-0005-0000-0000-0000CF670000}"/>
    <cellStyle name="Финансовый 2 4 8 5 5 3" xfId="33490" xr:uid="{00000000-0005-0000-0000-0000D0670000}"/>
    <cellStyle name="Финансовый 2 4 8 5 6" xfId="13693" xr:uid="{00000000-0005-0000-0000-0000D1670000}"/>
    <cellStyle name="Финансовый 2 4 8 5 6 2" xfId="37648" xr:uid="{00000000-0005-0000-0000-0000D2670000}"/>
    <cellStyle name="Финансовый 2 4 8 5 7" xfId="25671" xr:uid="{00000000-0005-0000-0000-0000D3670000}"/>
    <cellStyle name="Финансовый 2 4 8 5 8" xfId="48804" xr:uid="{00000000-0005-0000-0000-0000D4670000}"/>
    <cellStyle name="Финансовый 2 4 8 6" xfId="2350" xr:uid="{00000000-0005-0000-0000-0000D5670000}"/>
    <cellStyle name="Финансовый 2 4 8 6 2" xfId="3995" xr:uid="{00000000-0005-0000-0000-0000D6670000}"/>
    <cellStyle name="Финансовый 2 4 8 6 2 2" xfId="11735" xr:uid="{00000000-0005-0000-0000-0000D7670000}"/>
    <cellStyle name="Финансовый 2 4 8 6 2 2 2" xfId="23713" xr:uid="{00000000-0005-0000-0000-0000D8670000}"/>
    <cellStyle name="Финансовый 2 4 8 6 2 2 2 2" xfId="47668" xr:uid="{00000000-0005-0000-0000-0000D9670000}"/>
    <cellStyle name="Финансовый 2 4 8 6 2 2 3" xfId="35690" xr:uid="{00000000-0005-0000-0000-0000DA670000}"/>
    <cellStyle name="Финансовый 2 4 8 6 2 3" xfId="15974" xr:uid="{00000000-0005-0000-0000-0000DB670000}"/>
    <cellStyle name="Финансовый 2 4 8 6 2 3 2" xfId="39929" xr:uid="{00000000-0005-0000-0000-0000DC670000}"/>
    <cellStyle name="Финансовый 2 4 8 6 2 4" xfId="27952" xr:uid="{00000000-0005-0000-0000-0000DD670000}"/>
    <cellStyle name="Финансовый 2 4 8 6 2 5" xfId="51221" xr:uid="{00000000-0005-0000-0000-0000DE670000}"/>
    <cellStyle name="Финансовый 2 4 8 6 3" xfId="5778" xr:uid="{00000000-0005-0000-0000-0000DF670000}"/>
    <cellStyle name="Финансовый 2 4 8 6 3 2" xfId="17756" xr:uid="{00000000-0005-0000-0000-0000E0670000}"/>
    <cellStyle name="Финансовый 2 4 8 6 3 2 2" xfId="41711" xr:uid="{00000000-0005-0000-0000-0000E1670000}"/>
    <cellStyle name="Финансовый 2 4 8 6 3 3" xfId="29733" xr:uid="{00000000-0005-0000-0000-0000E2670000}"/>
    <cellStyle name="Финансовый 2 4 8 6 4" xfId="8388" xr:uid="{00000000-0005-0000-0000-0000E3670000}"/>
    <cellStyle name="Финансовый 2 4 8 6 4 2" xfId="20366" xr:uid="{00000000-0005-0000-0000-0000E4670000}"/>
    <cellStyle name="Финансовый 2 4 8 6 4 2 2" xfId="44321" xr:uid="{00000000-0005-0000-0000-0000E5670000}"/>
    <cellStyle name="Финансовый 2 4 8 6 4 3" xfId="32343" xr:uid="{00000000-0005-0000-0000-0000E6670000}"/>
    <cellStyle name="Финансовый 2 4 8 6 5" xfId="10171" xr:uid="{00000000-0005-0000-0000-0000E7670000}"/>
    <cellStyle name="Финансовый 2 4 8 6 5 2" xfId="22149" xr:uid="{00000000-0005-0000-0000-0000E8670000}"/>
    <cellStyle name="Финансовый 2 4 8 6 5 2 2" xfId="46104" xr:uid="{00000000-0005-0000-0000-0000E9670000}"/>
    <cellStyle name="Финансовый 2 4 8 6 5 3" xfId="34126" xr:uid="{00000000-0005-0000-0000-0000EA670000}"/>
    <cellStyle name="Финансовый 2 4 8 6 6" xfId="14329" xr:uid="{00000000-0005-0000-0000-0000EB670000}"/>
    <cellStyle name="Финансовый 2 4 8 6 6 2" xfId="38284" xr:uid="{00000000-0005-0000-0000-0000EC670000}"/>
    <cellStyle name="Финансовый 2 4 8 6 7" xfId="26307" xr:uid="{00000000-0005-0000-0000-0000ED670000}"/>
    <cellStyle name="Финансовый 2 4 8 6 8" xfId="49440" xr:uid="{00000000-0005-0000-0000-0000EE670000}"/>
    <cellStyle name="Финансовый 2 4 8 7" xfId="1577" xr:uid="{00000000-0005-0000-0000-0000EF670000}"/>
    <cellStyle name="Финансовый 2 4 8 7 2" xfId="3222" xr:uid="{00000000-0005-0000-0000-0000F0670000}"/>
    <cellStyle name="Финансовый 2 4 8 7 2 2" xfId="10978" xr:uid="{00000000-0005-0000-0000-0000F1670000}"/>
    <cellStyle name="Финансовый 2 4 8 7 2 2 2" xfId="22956" xr:uid="{00000000-0005-0000-0000-0000F2670000}"/>
    <cellStyle name="Финансовый 2 4 8 7 2 2 2 2" xfId="46911" xr:uid="{00000000-0005-0000-0000-0000F3670000}"/>
    <cellStyle name="Финансовый 2 4 8 7 2 2 3" xfId="34933" xr:uid="{00000000-0005-0000-0000-0000F4670000}"/>
    <cellStyle name="Финансовый 2 4 8 7 2 3" xfId="15201" xr:uid="{00000000-0005-0000-0000-0000F5670000}"/>
    <cellStyle name="Финансовый 2 4 8 7 2 3 2" xfId="39156" xr:uid="{00000000-0005-0000-0000-0000F6670000}"/>
    <cellStyle name="Финансовый 2 4 8 7 2 4" xfId="27179" xr:uid="{00000000-0005-0000-0000-0000F7670000}"/>
    <cellStyle name="Финансовый 2 4 8 7 2 5" xfId="50448" xr:uid="{00000000-0005-0000-0000-0000F8670000}"/>
    <cellStyle name="Финансовый 2 4 8 7 3" xfId="5005" xr:uid="{00000000-0005-0000-0000-0000F9670000}"/>
    <cellStyle name="Финансовый 2 4 8 7 3 2" xfId="16983" xr:uid="{00000000-0005-0000-0000-0000FA670000}"/>
    <cellStyle name="Финансовый 2 4 8 7 3 2 2" xfId="40938" xr:uid="{00000000-0005-0000-0000-0000FB670000}"/>
    <cellStyle name="Финансовый 2 4 8 7 3 3" xfId="28960" xr:uid="{00000000-0005-0000-0000-0000FC670000}"/>
    <cellStyle name="Финансовый 2 4 8 7 4" xfId="7615" xr:uid="{00000000-0005-0000-0000-0000FD670000}"/>
    <cellStyle name="Финансовый 2 4 8 7 4 2" xfId="19593" xr:uid="{00000000-0005-0000-0000-0000FE670000}"/>
    <cellStyle name="Финансовый 2 4 8 7 4 2 2" xfId="43548" xr:uid="{00000000-0005-0000-0000-0000FF670000}"/>
    <cellStyle name="Финансовый 2 4 8 7 4 3" xfId="31570" xr:uid="{00000000-0005-0000-0000-000000680000}"/>
    <cellStyle name="Финансовый 2 4 8 7 5" xfId="9398" xr:uid="{00000000-0005-0000-0000-000001680000}"/>
    <cellStyle name="Финансовый 2 4 8 7 5 2" xfId="21376" xr:uid="{00000000-0005-0000-0000-000002680000}"/>
    <cellStyle name="Финансовый 2 4 8 7 5 2 2" xfId="45331" xr:uid="{00000000-0005-0000-0000-000003680000}"/>
    <cellStyle name="Финансовый 2 4 8 7 5 3" xfId="33353" xr:uid="{00000000-0005-0000-0000-000004680000}"/>
    <cellStyle name="Финансовый 2 4 8 7 6" xfId="13556" xr:uid="{00000000-0005-0000-0000-000005680000}"/>
    <cellStyle name="Финансовый 2 4 8 7 6 2" xfId="37511" xr:uid="{00000000-0005-0000-0000-000006680000}"/>
    <cellStyle name="Финансовый 2 4 8 7 7" xfId="25534" xr:uid="{00000000-0005-0000-0000-000007680000}"/>
    <cellStyle name="Финансовый 2 4 8 7 8" xfId="48667" xr:uid="{00000000-0005-0000-0000-000008680000}"/>
    <cellStyle name="Финансовый 2 4 8 8" xfId="863" xr:uid="{00000000-0005-0000-0000-000009680000}"/>
    <cellStyle name="Финансовый 2 4 8 8 2" xfId="6903" xr:uid="{00000000-0005-0000-0000-00000A680000}"/>
    <cellStyle name="Финансовый 2 4 8 8 2 2" xfId="18881" xr:uid="{00000000-0005-0000-0000-00000B680000}"/>
    <cellStyle name="Финансовый 2 4 8 8 2 2 2" xfId="42836" xr:uid="{00000000-0005-0000-0000-00000C680000}"/>
    <cellStyle name="Финансовый 2 4 8 8 2 3" xfId="30858" xr:uid="{00000000-0005-0000-0000-00000D680000}"/>
    <cellStyle name="Финансовый 2 4 8 8 3" xfId="10451" xr:uid="{00000000-0005-0000-0000-00000E680000}"/>
    <cellStyle name="Финансовый 2 4 8 8 3 2" xfId="22429" xr:uid="{00000000-0005-0000-0000-00000F680000}"/>
    <cellStyle name="Финансовый 2 4 8 8 3 2 2" xfId="46384" xr:uid="{00000000-0005-0000-0000-000010680000}"/>
    <cellStyle name="Финансовый 2 4 8 8 3 3" xfId="34406" xr:uid="{00000000-0005-0000-0000-000011680000}"/>
    <cellStyle name="Финансовый 2 4 8 8 4" xfId="12844" xr:uid="{00000000-0005-0000-0000-000012680000}"/>
    <cellStyle name="Финансовый 2 4 8 8 4 2" xfId="36799" xr:uid="{00000000-0005-0000-0000-000013680000}"/>
    <cellStyle name="Финансовый 2 4 8 8 5" xfId="24822" xr:uid="{00000000-0005-0000-0000-000014680000}"/>
    <cellStyle name="Финансовый 2 4 8 8 6" xfId="49720" xr:uid="{00000000-0005-0000-0000-000015680000}"/>
    <cellStyle name="Финансовый 2 4 8 9" xfId="443" xr:uid="{00000000-0005-0000-0000-000016680000}"/>
    <cellStyle name="Финансовый 2 4 8 9 2" xfId="6483" xr:uid="{00000000-0005-0000-0000-000017680000}"/>
    <cellStyle name="Финансовый 2 4 8 9 2 2" xfId="18461" xr:uid="{00000000-0005-0000-0000-000018680000}"/>
    <cellStyle name="Финансовый 2 4 8 9 2 2 2" xfId="42416" xr:uid="{00000000-0005-0000-0000-000019680000}"/>
    <cellStyle name="Финансовый 2 4 8 9 2 3" xfId="30438" xr:uid="{00000000-0005-0000-0000-00001A680000}"/>
    <cellStyle name="Финансовый 2 4 8 9 3" xfId="12424" xr:uid="{00000000-0005-0000-0000-00001B680000}"/>
    <cellStyle name="Финансовый 2 4 8 9 3 2" xfId="36379" xr:uid="{00000000-0005-0000-0000-00001C680000}"/>
    <cellStyle name="Финансовый 2 4 8 9 4" xfId="24402" xr:uid="{00000000-0005-0000-0000-00001D680000}"/>
    <cellStyle name="Финансовый 2 4 9" xfId="146" xr:uid="{00000000-0005-0000-0000-00001E680000}"/>
    <cellStyle name="Финансовый 2 4 9 10" xfId="8794" xr:uid="{00000000-0005-0000-0000-00001F680000}"/>
    <cellStyle name="Финансовый 2 4 9 10 2" xfId="20772" xr:uid="{00000000-0005-0000-0000-000020680000}"/>
    <cellStyle name="Финансовый 2 4 9 10 2 2" xfId="44727" xr:uid="{00000000-0005-0000-0000-000021680000}"/>
    <cellStyle name="Финансовый 2 4 9 10 3" xfId="32749" xr:uid="{00000000-0005-0000-0000-000022680000}"/>
    <cellStyle name="Финансовый 2 4 9 11" xfId="12128" xr:uid="{00000000-0005-0000-0000-000023680000}"/>
    <cellStyle name="Финансовый 2 4 9 11 2" xfId="36083" xr:uid="{00000000-0005-0000-0000-000024680000}"/>
    <cellStyle name="Финансовый 2 4 9 12" xfId="24106" xr:uid="{00000000-0005-0000-0000-000025680000}"/>
    <cellStyle name="Финансовый 2 4 9 13" xfId="48064" xr:uid="{00000000-0005-0000-0000-000026680000}"/>
    <cellStyle name="Финансовый 2 4 9 2" xfId="1244" xr:uid="{00000000-0005-0000-0000-000027680000}"/>
    <cellStyle name="Финансовый 2 4 9 2 2" xfId="2210" xr:uid="{00000000-0005-0000-0000-000028680000}"/>
    <cellStyle name="Финансовый 2 4 9 2 2 2" xfId="3855" xr:uid="{00000000-0005-0000-0000-000029680000}"/>
    <cellStyle name="Финансовый 2 4 9 2 2 2 2" xfId="11595" xr:uid="{00000000-0005-0000-0000-00002A680000}"/>
    <cellStyle name="Финансовый 2 4 9 2 2 2 2 2" xfId="23573" xr:uid="{00000000-0005-0000-0000-00002B680000}"/>
    <cellStyle name="Финансовый 2 4 9 2 2 2 2 2 2" xfId="47528" xr:uid="{00000000-0005-0000-0000-00002C680000}"/>
    <cellStyle name="Финансовый 2 4 9 2 2 2 2 3" xfId="35550" xr:uid="{00000000-0005-0000-0000-00002D680000}"/>
    <cellStyle name="Финансовый 2 4 9 2 2 2 3" xfId="15834" xr:uid="{00000000-0005-0000-0000-00002E680000}"/>
    <cellStyle name="Финансовый 2 4 9 2 2 2 3 2" xfId="39789" xr:uid="{00000000-0005-0000-0000-00002F680000}"/>
    <cellStyle name="Финансовый 2 4 9 2 2 2 4" xfId="27812" xr:uid="{00000000-0005-0000-0000-000030680000}"/>
    <cellStyle name="Финансовый 2 4 9 2 2 2 5" xfId="51081" xr:uid="{00000000-0005-0000-0000-000031680000}"/>
    <cellStyle name="Финансовый 2 4 9 2 2 3" xfId="5638" xr:uid="{00000000-0005-0000-0000-000032680000}"/>
    <cellStyle name="Финансовый 2 4 9 2 2 3 2" xfId="17616" xr:uid="{00000000-0005-0000-0000-000033680000}"/>
    <cellStyle name="Финансовый 2 4 9 2 2 3 2 2" xfId="41571" xr:uid="{00000000-0005-0000-0000-000034680000}"/>
    <cellStyle name="Финансовый 2 4 9 2 2 3 3" xfId="29593" xr:uid="{00000000-0005-0000-0000-000035680000}"/>
    <cellStyle name="Финансовый 2 4 9 2 2 4" xfId="8248" xr:uid="{00000000-0005-0000-0000-000036680000}"/>
    <cellStyle name="Финансовый 2 4 9 2 2 4 2" xfId="20226" xr:uid="{00000000-0005-0000-0000-000037680000}"/>
    <cellStyle name="Финансовый 2 4 9 2 2 4 2 2" xfId="44181" xr:uid="{00000000-0005-0000-0000-000038680000}"/>
    <cellStyle name="Финансовый 2 4 9 2 2 4 3" xfId="32203" xr:uid="{00000000-0005-0000-0000-000039680000}"/>
    <cellStyle name="Финансовый 2 4 9 2 2 5" xfId="10031" xr:uid="{00000000-0005-0000-0000-00003A680000}"/>
    <cellStyle name="Финансовый 2 4 9 2 2 5 2" xfId="22009" xr:uid="{00000000-0005-0000-0000-00003B680000}"/>
    <cellStyle name="Финансовый 2 4 9 2 2 5 2 2" xfId="45964" xr:uid="{00000000-0005-0000-0000-00003C680000}"/>
    <cellStyle name="Финансовый 2 4 9 2 2 5 3" xfId="33986" xr:uid="{00000000-0005-0000-0000-00003D680000}"/>
    <cellStyle name="Финансовый 2 4 9 2 2 6" xfId="14189" xr:uid="{00000000-0005-0000-0000-00003E680000}"/>
    <cellStyle name="Финансовый 2 4 9 2 2 6 2" xfId="38144" xr:uid="{00000000-0005-0000-0000-00003F680000}"/>
    <cellStyle name="Финансовый 2 4 9 2 2 7" xfId="26167" xr:uid="{00000000-0005-0000-0000-000040680000}"/>
    <cellStyle name="Финансовый 2 4 9 2 2 8" xfId="49300" xr:uid="{00000000-0005-0000-0000-000041680000}"/>
    <cellStyle name="Финансовый 2 4 9 2 3" xfId="3028" xr:uid="{00000000-0005-0000-0000-000042680000}"/>
    <cellStyle name="Финансовый 2 4 9 2 3 2" xfId="10823" xr:uid="{00000000-0005-0000-0000-000043680000}"/>
    <cellStyle name="Финансовый 2 4 9 2 3 2 2" xfId="22801" xr:uid="{00000000-0005-0000-0000-000044680000}"/>
    <cellStyle name="Финансовый 2 4 9 2 3 2 2 2" xfId="46756" xr:uid="{00000000-0005-0000-0000-000045680000}"/>
    <cellStyle name="Финансовый 2 4 9 2 3 2 3" xfId="34778" xr:uid="{00000000-0005-0000-0000-000046680000}"/>
    <cellStyle name="Финансовый 2 4 9 2 3 3" xfId="15007" xr:uid="{00000000-0005-0000-0000-000047680000}"/>
    <cellStyle name="Финансовый 2 4 9 2 3 3 2" xfId="38962" xr:uid="{00000000-0005-0000-0000-000048680000}"/>
    <cellStyle name="Финансовый 2 4 9 2 3 4" xfId="26985" xr:uid="{00000000-0005-0000-0000-000049680000}"/>
    <cellStyle name="Финансовый 2 4 9 2 3 5" xfId="50116" xr:uid="{00000000-0005-0000-0000-00004A680000}"/>
    <cellStyle name="Финансовый 2 4 9 2 4" xfId="4672" xr:uid="{00000000-0005-0000-0000-00004B680000}"/>
    <cellStyle name="Финансовый 2 4 9 2 4 2" xfId="16651" xr:uid="{00000000-0005-0000-0000-00004C680000}"/>
    <cellStyle name="Финансовый 2 4 9 2 4 2 2" xfId="40606" xr:uid="{00000000-0005-0000-0000-00004D680000}"/>
    <cellStyle name="Финансовый 2 4 9 2 4 3" xfId="28629" xr:uid="{00000000-0005-0000-0000-00004E680000}"/>
    <cellStyle name="Финансовый 2 4 9 2 5" xfId="7284" xr:uid="{00000000-0005-0000-0000-00004F680000}"/>
    <cellStyle name="Финансовый 2 4 9 2 5 2" xfId="19262" xr:uid="{00000000-0005-0000-0000-000050680000}"/>
    <cellStyle name="Финансовый 2 4 9 2 5 2 2" xfId="43217" xr:uid="{00000000-0005-0000-0000-000051680000}"/>
    <cellStyle name="Финансовый 2 4 9 2 5 3" xfId="31239" xr:uid="{00000000-0005-0000-0000-000052680000}"/>
    <cellStyle name="Финансовый 2 4 9 2 6" xfId="9066" xr:uid="{00000000-0005-0000-0000-000053680000}"/>
    <cellStyle name="Финансовый 2 4 9 2 6 2" xfId="21044" xr:uid="{00000000-0005-0000-0000-000054680000}"/>
    <cellStyle name="Финансовый 2 4 9 2 6 2 2" xfId="44999" xr:uid="{00000000-0005-0000-0000-000055680000}"/>
    <cellStyle name="Финансовый 2 4 9 2 6 3" xfId="33021" xr:uid="{00000000-0005-0000-0000-000056680000}"/>
    <cellStyle name="Финансовый 2 4 9 2 7" xfId="13225" xr:uid="{00000000-0005-0000-0000-000057680000}"/>
    <cellStyle name="Финансовый 2 4 9 2 7 2" xfId="37180" xr:uid="{00000000-0005-0000-0000-000058680000}"/>
    <cellStyle name="Финансовый 2 4 9 2 8" xfId="25203" xr:uid="{00000000-0005-0000-0000-000059680000}"/>
    <cellStyle name="Финансовый 2 4 9 2 9" xfId="48336" xr:uid="{00000000-0005-0000-0000-00005A680000}"/>
    <cellStyle name="Финансовый 2 4 9 3" xfId="1954" xr:uid="{00000000-0005-0000-0000-00005B680000}"/>
    <cellStyle name="Финансовый 2 4 9 3 2" xfId="3599" xr:uid="{00000000-0005-0000-0000-00005C680000}"/>
    <cellStyle name="Финансовый 2 4 9 3 2 2" xfId="11339" xr:uid="{00000000-0005-0000-0000-00005D680000}"/>
    <cellStyle name="Финансовый 2 4 9 3 2 2 2" xfId="23317" xr:uid="{00000000-0005-0000-0000-00005E680000}"/>
    <cellStyle name="Финансовый 2 4 9 3 2 2 2 2" xfId="47272" xr:uid="{00000000-0005-0000-0000-00005F680000}"/>
    <cellStyle name="Финансовый 2 4 9 3 2 2 3" xfId="35294" xr:uid="{00000000-0005-0000-0000-000060680000}"/>
    <cellStyle name="Финансовый 2 4 9 3 2 3" xfId="15578" xr:uid="{00000000-0005-0000-0000-000061680000}"/>
    <cellStyle name="Финансовый 2 4 9 3 2 3 2" xfId="39533" xr:uid="{00000000-0005-0000-0000-000062680000}"/>
    <cellStyle name="Финансовый 2 4 9 3 2 4" xfId="27556" xr:uid="{00000000-0005-0000-0000-000063680000}"/>
    <cellStyle name="Финансовый 2 4 9 3 2 5" xfId="50825" xr:uid="{00000000-0005-0000-0000-000064680000}"/>
    <cellStyle name="Финансовый 2 4 9 3 3" xfId="5382" xr:uid="{00000000-0005-0000-0000-000065680000}"/>
    <cellStyle name="Финансовый 2 4 9 3 3 2" xfId="17360" xr:uid="{00000000-0005-0000-0000-000066680000}"/>
    <cellStyle name="Финансовый 2 4 9 3 3 2 2" xfId="41315" xr:uid="{00000000-0005-0000-0000-000067680000}"/>
    <cellStyle name="Финансовый 2 4 9 3 3 3" xfId="29337" xr:uid="{00000000-0005-0000-0000-000068680000}"/>
    <cellStyle name="Финансовый 2 4 9 3 4" xfId="7992" xr:uid="{00000000-0005-0000-0000-000069680000}"/>
    <cellStyle name="Финансовый 2 4 9 3 4 2" xfId="19970" xr:uid="{00000000-0005-0000-0000-00006A680000}"/>
    <cellStyle name="Финансовый 2 4 9 3 4 2 2" xfId="43925" xr:uid="{00000000-0005-0000-0000-00006B680000}"/>
    <cellStyle name="Финансовый 2 4 9 3 4 3" xfId="31947" xr:uid="{00000000-0005-0000-0000-00006C680000}"/>
    <cellStyle name="Финансовый 2 4 9 3 5" xfId="9775" xr:uid="{00000000-0005-0000-0000-00006D680000}"/>
    <cellStyle name="Финансовый 2 4 9 3 5 2" xfId="21753" xr:uid="{00000000-0005-0000-0000-00006E680000}"/>
    <cellStyle name="Финансовый 2 4 9 3 5 2 2" xfId="45708" xr:uid="{00000000-0005-0000-0000-00006F680000}"/>
    <cellStyle name="Финансовый 2 4 9 3 5 3" xfId="33730" xr:uid="{00000000-0005-0000-0000-000070680000}"/>
    <cellStyle name="Финансовый 2 4 9 3 6" xfId="13933" xr:uid="{00000000-0005-0000-0000-000071680000}"/>
    <cellStyle name="Финансовый 2 4 9 3 6 2" xfId="37888" xr:uid="{00000000-0005-0000-0000-000072680000}"/>
    <cellStyle name="Финансовый 2 4 9 3 7" xfId="25911" xr:uid="{00000000-0005-0000-0000-000073680000}"/>
    <cellStyle name="Финансовый 2 4 9 3 8" xfId="49044" xr:uid="{00000000-0005-0000-0000-000074680000}"/>
    <cellStyle name="Финансовый 2 4 9 4" xfId="2475" xr:uid="{00000000-0005-0000-0000-000075680000}"/>
    <cellStyle name="Финансовый 2 4 9 4 2" xfId="4120" xr:uid="{00000000-0005-0000-0000-000076680000}"/>
    <cellStyle name="Финансовый 2 4 9 4 2 2" xfId="11852" xr:uid="{00000000-0005-0000-0000-000077680000}"/>
    <cellStyle name="Финансовый 2 4 9 4 2 2 2" xfId="23830" xr:uid="{00000000-0005-0000-0000-000078680000}"/>
    <cellStyle name="Финансовый 2 4 9 4 2 2 2 2" xfId="47785" xr:uid="{00000000-0005-0000-0000-000079680000}"/>
    <cellStyle name="Финансовый 2 4 9 4 2 2 3" xfId="35807" xr:uid="{00000000-0005-0000-0000-00007A680000}"/>
    <cellStyle name="Финансовый 2 4 9 4 2 3" xfId="16099" xr:uid="{00000000-0005-0000-0000-00007B680000}"/>
    <cellStyle name="Финансовый 2 4 9 4 2 3 2" xfId="40054" xr:uid="{00000000-0005-0000-0000-00007C680000}"/>
    <cellStyle name="Финансовый 2 4 9 4 2 4" xfId="28077" xr:uid="{00000000-0005-0000-0000-00007D680000}"/>
    <cellStyle name="Финансовый 2 4 9 4 2 5" xfId="51346" xr:uid="{00000000-0005-0000-0000-00007E680000}"/>
    <cellStyle name="Финансовый 2 4 9 4 3" xfId="5903" xr:uid="{00000000-0005-0000-0000-00007F680000}"/>
    <cellStyle name="Финансовый 2 4 9 4 3 2" xfId="17881" xr:uid="{00000000-0005-0000-0000-000080680000}"/>
    <cellStyle name="Финансовый 2 4 9 4 3 2 2" xfId="41836" xr:uid="{00000000-0005-0000-0000-000081680000}"/>
    <cellStyle name="Финансовый 2 4 9 4 3 3" xfId="29858" xr:uid="{00000000-0005-0000-0000-000082680000}"/>
    <cellStyle name="Финансовый 2 4 9 4 4" xfId="8513" xr:uid="{00000000-0005-0000-0000-000083680000}"/>
    <cellStyle name="Финансовый 2 4 9 4 4 2" xfId="20491" xr:uid="{00000000-0005-0000-0000-000084680000}"/>
    <cellStyle name="Финансовый 2 4 9 4 4 2 2" xfId="44446" xr:uid="{00000000-0005-0000-0000-000085680000}"/>
    <cellStyle name="Финансовый 2 4 9 4 4 3" xfId="32468" xr:uid="{00000000-0005-0000-0000-000086680000}"/>
    <cellStyle name="Финансовый 2 4 9 4 5" xfId="10296" xr:uid="{00000000-0005-0000-0000-000087680000}"/>
    <cellStyle name="Финансовый 2 4 9 4 5 2" xfId="22274" xr:uid="{00000000-0005-0000-0000-000088680000}"/>
    <cellStyle name="Финансовый 2 4 9 4 5 2 2" xfId="46229" xr:uid="{00000000-0005-0000-0000-000089680000}"/>
    <cellStyle name="Финансовый 2 4 9 4 5 3" xfId="34251" xr:uid="{00000000-0005-0000-0000-00008A680000}"/>
    <cellStyle name="Финансовый 2 4 9 4 6" xfId="14454" xr:uid="{00000000-0005-0000-0000-00008B680000}"/>
    <cellStyle name="Финансовый 2 4 9 4 6 2" xfId="38409" xr:uid="{00000000-0005-0000-0000-00008C680000}"/>
    <cellStyle name="Финансовый 2 4 9 4 7" xfId="26432" xr:uid="{00000000-0005-0000-0000-00008D680000}"/>
    <cellStyle name="Финансовый 2 4 9 4 8" xfId="49565" xr:uid="{00000000-0005-0000-0000-00008E680000}"/>
    <cellStyle name="Финансовый 2 4 9 5" xfId="979" xr:uid="{00000000-0005-0000-0000-00008F680000}"/>
    <cellStyle name="Финансовый 2 4 9 5 2" xfId="7019" xr:uid="{00000000-0005-0000-0000-000090680000}"/>
    <cellStyle name="Финансовый 2 4 9 5 2 2" xfId="18997" xr:uid="{00000000-0005-0000-0000-000091680000}"/>
    <cellStyle name="Финансовый 2 4 9 5 2 2 2" xfId="42952" xr:uid="{00000000-0005-0000-0000-000092680000}"/>
    <cellStyle name="Финансовый 2 4 9 5 2 3" xfId="30974" xr:uid="{00000000-0005-0000-0000-000093680000}"/>
    <cellStyle name="Финансовый 2 4 9 5 3" xfId="10567" xr:uid="{00000000-0005-0000-0000-000094680000}"/>
    <cellStyle name="Финансовый 2 4 9 5 3 2" xfId="22545" xr:uid="{00000000-0005-0000-0000-000095680000}"/>
    <cellStyle name="Финансовый 2 4 9 5 3 2 2" xfId="46500" xr:uid="{00000000-0005-0000-0000-000096680000}"/>
    <cellStyle name="Финансовый 2 4 9 5 3 3" xfId="34522" xr:uid="{00000000-0005-0000-0000-000097680000}"/>
    <cellStyle name="Финансовый 2 4 9 5 4" xfId="12960" xr:uid="{00000000-0005-0000-0000-000098680000}"/>
    <cellStyle name="Финансовый 2 4 9 5 4 2" xfId="36915" xr:uid="{00000000-0005-0000-0000-000099680000}"/>
    <cellStyle name="Финансовый 2 4 9 5 5" xfId="24938" xr:uid="{00000000-0005-0000-0000-00009A680000}"/>
    <cellStyle name="Финансовый 2 4 9 5 6" xfId="49844" xr:uid="{00000000-0005-0000-0000-00009B680000}"/>
    <cellStyle name="Финансовый 2 4 9 6" xfId="567" xr:uid="{00000000-0005-0000-0000-00009C680000}"/>
    <cellStyle name="Финансовый 2 4 9 6 2" xfId="6607" xr:uid="{00000000-0005-0000-0000-00009D680000}"/>
    <cellStyle name="Финансовый 2 4 9 6 2 2" xfId="18585" xr:uid="{00000000-0005-0000-0000-00009E680000}"/>
    <cellStyle name="Финансовый 2 4 9 6 2 2 2" xfId="42540" xr:uid="{00000000-0005-0000-0000-00009F680000}"/>
    <cellStyle name="Финансовый 2 4 9 6 2 3" xfId="30562" xr:uid="{00000000-0005-0000-0000-0000A0680000}"/>
    <cellStyle name="Финансовый 2 4 9 6 3" xfId="12548" xr:uid="{00000000-0005-0000-0000-0000A1680000}"/>
    <cellStyle name="Финансовый 2 4 9 6 3 2" xfId="36503" xr:uid="{00000000-0005-0000-0000-0000A2680000}"/>
    <cellStyle name="Финансовый 2 4 9 6 4" xfId="24526" xr:uid="{00000000-0005-0000-0000-0000A3680000}"/>
    <cellStyle name="Финансовый 2 4 9 7" xfId="2756" xr:uid="{00000000-0005-0000-0000-0000A4680000}"/>
    <cellStyle name="Финансовый 2 4 9 7 2" xfId="14735" xr:uid="{00000000-0005-0000-0000-0000A5680000}"/>
    <cellStyle name="Финансовый 2 4 9 7 2 2" xfId="38690" xr:uid="{00000000-0005-0000-0000-0000A6680000}"/>
    <cellStyle name="Финансовый 2 4 9 7 3" xfId="26713" xr:uid="{00000000-0005-0000-0000-0000A7680000}"/>
    <cellStyle name="Финансовый 2 4 9 8" xfId="4400" xr:uid="{00000000-0005-0000-0000-0000A8680000}"/>
    <cellStyle name="Финансовый 2 4 9 8 2" xfId="16379" xr:uid="{00000000-0005-0000-0000-0000A9680000}"/>
    <cellStyle name="Финансовый 2 4 9 8 2 2" xfId="40334" xr:uid="{00000000-0005-0000-0000-0000AA680000}"/>
    <cellStyle name="Финансовый 2 4 9 8 3" xfId="28357" xr:uid="{00000000-0005-0000-0000-0000AB680000}"/>
    <cellStyle name="Финансовый 2 4 9 9" xfId="6187" xr:uid="{00000000-0005-0000-0000-0000AC680000}"/>
    <cellStyle name="Финансовый 2 4 9 9 2" xfId="18165" xr:uid="{00000000-0005-0000-0000-0000AD680000}"/>
    <cellStyle name="Финансовый 2 4 9 9 2 2" xfId="42120" xr:uid="{00000000-0005-0000-0000-0000AE680000}"/>
    <cellStyle name="Финансовый 2 4 9 9 3" xfId="30142" xr:uid="{00000000-0005-0000-0000-0000AF680000}"/>
    <cellStyle name="Финансовый 2 5" xfId="38" xr:uid="{00000000-0005-0000-0000-0000B0680000}"/>
    <cellStyle name="Финансовый 2 5 10" xfId="881" xr:uid="{00000000-0005-0000-0000-0000B1680000}"/>
    <cellStyle name="Финансовый 2 5 10 2" xfId="6921" xr:uid="{00000000-0005-0000-0000-0000B2680000}"/>
    <cellStyle name="Финансовый 2 5 10 2 2" xfId="18899" xr:uid="{00000000-0005-0000-0000-0000B3680000}"/>
    <cellStyle name="Финансовый 2 5 10 2 2 2" xfId="42854" xr:uid="{00000000-0005-0000-0000-0000B4680000}"/>
    <cellStyle name="Финансовый 2 5 10 2 3" xfId="30876" xr:uid="{00000000-0005-0000-0000-0000B5680000}"/>
    <cellStyle name="Финансовый 2 5 10 3" xfId="10469" xr:uid="{00000000-0005-0000-0000-0000B6680000}"/>
    <cellStyle name="Финансовый 2 5 10 3 2" xfId="22447" xr:uid="{00000000-0005-0000-0000-0000B7680000}"/>
    <cellStyle name="Финансовый 2 5 10 3 2 2" xfId="46402" xr:uid="{00000000-0005-0000-0000-0000B8680000}"/>
    <cellStyle name="Финансовый 2 5 10 3 3" xfId="34424" xr:uid="{00000000-0005-0000-0000-0000B9680000}"/>
    <cellStyle name="Финансовый 2 5 10 4" xfId="12862" xr:uid="{00000000-0005-0000-0000-0000BA680000}"/>
    <cellStyle name="Финансовый 2 5 10 4 2" xfId="36817" xr:uid="{00000000-0005-0000-0000-0000BB680000}"/>
    <cellStyle name="Финансовый 2 5 10 5" xfId="24840" xr:uid="{00000000-0005-0000-0000-0000BC680000}"/>
    <cellStyle name="Финансовый 2 5 10 6" xfId="49738" xr:uid="{00000000-0005-0000-0000-0000BD680000}"/>
    <cellStyle name="Финансовый 2 5 11" xfId="461" xr:uid="{00000000-0005-0000-0000-0000BE680000}"/>
    <cellStyle name="Финансовый 2 5 11 2" xfId="6501" xr:uid="{00000000-0005-0000-0000-0000BF680000}"/>
    <cellStyle name="Финансовый 2 5 11 2 2" xfId="18479" xr:uid="{00000000-0005-0000-0000-0000C0680000}"/>
    <cellStyle name="Финансовый 2 5 11 2 2 2" xfId="42434" xr:uid="{00000000-0005-0000-0000-0000C1680000}"/>
    <cellStyle name="Финансовый 2 5 11 2 3" xfId="30456" xr:uid="{00000000-0005-0000-0000-0000C2680000}"/>
    <cellStyle name="Финансовый 2 5 11 3" xfId="12442" xr:uid="{00000000-0005-0000-0000-0000C3680000}"/>
    <cellStyle name="Финансовый 2 5 11 3 2" xfId="36397" xr:uid="{00000000-0005-0000-0000-0000C4680000}"/>
    <cellStyle name="Финансовый 2 5 11 4" xfId="24420" xr:uid="{00000000-0005-0000-0000-0000C5680000}"/>
    <cellStyle name="Финансовый 2 5 12" xfId="2650" xr:uid="{00000000-0005-0000-0000-0000C6680000}"/>
    <cellStyle name="Финансовый 2 5 12 2" xfId="14629" xr:uid="{00000000-0005-0000-0000-0000C7680000}"/>
    <cellStyle name="Финансовый 2 5 12 2 2" xfId="38584" xr:uid="{00000000-0005-0000-0000-0000C8680000}"/>
    <cellStyle name="Финансовый 2 5 12 3" xfId="26607" xr:uid="{00000000-0005-0000-0000-0000C9680000}"/>
    <cellStyle name="Финансовый 2 5 13" xfId="4293" xr:uid="{00000000-0005-0000-0000-0000CA680000}"/>
    <cellStyle name="Финансовый 2 5 13 2" xfId="16272" xr:uid="{00000000-0005-0000-0000-0000CB680000}"/>
    <cellStyle name="Финансовый 2 5 13 2 2" xfId="40227" xr:uid="{00000000-0005-0000-0000-0000CC680000}"/>
    <cellStyle name="Финансовый 2 5 13 3" xfId="28250" xr:uid="{00000000-0005-0000-0000-0000CD680000}"/>
    <cellStyle name="Финансовый 2 5 14" xfId="6081" xr:uid="{00000000-0005-0000-0000-0000CE680000}"/>
    <cellStyle name="Финансовый 2 5 14 2" xfId="18059" xr:uid="{00000000-0005-0000-0000-0000CF680000}"/>
    <cellStyle name="Финансовый 2 5 14 2 2" xfId="42014" xr:uid="{00000000-0005-0000-0000-0000D0680000}"/>
    <cellStyle name="Финансовый 2 5 14 3" xfId="30036" xr:uid="{00000000-0005-0000-0000-0000D1680000}"/>
    <cellStyle name="Финансовый 2 5 15" xfId="8688" xr:uid="{00000000-0005-0000-0000-0000D2680000}"/>
    <cellStyle name="Финансовый 2 5 15 2" xfId="20666" xr:uid="{00000000-0005-0000-0000-0000D3680000}"/>
    <cellStyle name="Финансовый 2 5 15 2 2" xfId="44621" xr:uid="{00000000-0005-0000-0000-0000D4680000}"/>
    <cellStyle name="Финансовый 2 5 15 3" xfId="32643" xr:uid="{00000000-0005-0000-0000-0000D5680000}"/>
    <cellStyle name="Финансовый 2 5 16" xfId="12022" xr:uid="{00000000-0005-0000-0000-0000D6680000}"/>
    <cellStyle name="Финансовый 2 5 16 2" xfId="35977" xr:uid="{00000000-0005-0000-0000-0000D7680000}"/>
    <cellStyle name="Финансовый 2 5 17" xfId="24000" xr:uid="{00000000-0005-0000-0000-0000D8680000}"/>
    <cellStyle name="Финансовый 2 5 18" xfId="47958" xr:uid="{00000000-0005-0000-0000-0000D9680000}"/>
    <cellStyle name="Финансовый 2 5 2" xfId="120" xr:uid="{00000000-0005-0000-0000-0000DA680000}"/>
    <cellStyle name="Финансовый 2 5 2 10" xfId="2730" xr:uid="{00000000-0005-0000-0000-0000DB680000}"/>
    <cellStyle name="Финансовый 2 5 2 10 2" xfId="14709" xr:uid="{00000000-0005-0000-0000-0000DC680000}"/>
    <cellStyle name="Финансовый 2 5 2 10 2 2" xfId="38664" xr:uid="{00000000-0005-0000-0000-0000DD680000}"/>
    <cellStyle name="Финансовый 2 5 2 10 3" xfId="26687" xr:uid="{00000000-0005-0000-0000-0000DE680000}"/>
    <cellStyle name="Финансовый 2 5 2 11" xfId="4374" xr:uid="{00000000-0005-0000-0000-0000DF680000}"/>
    <cellStyle name="Финансовый 2 5 2 11 2" xfId="16353" xr:uid="{00000000-0005-0000-0000-0000E0680000}"/>
    <cellStyle name="Финансовый 2 5 2 11 2 2" xfId="40308" xr:uid="{00000000-0005-0000-0000-0000E1680000}"/>
    <cellStyle name="Финансовый 2 5 2 11 3" xfId="28331" xr:uid="{00000000-0005-0000-0000-0000E2680000}"/>
    <cellStyle name="Финансовый 2 5 2 12" xfId="6161" xr:uid="{00000000-0005-0000-0000-0000E3680000}"/>
    <cellStyle name="Финансовый 2 5 2 12 2" xfId="18139" xr:uid="{00000000-0005-0000-0000-0000E4680000}"/>
    <cellStyle name="Финансовый 2 5 2 12 2 2" xfId="42094" xr:uid="{00000000-0005-0000-0000-0000E5680000}"/>
    <cellStyle name="Финансовый 2 5 2 12 3" xfId="30116" xr:uid="{00000000-0005-0000-0000-0000E6680000}"/>
    <cellStyle name="Финансовый 2 5 2 13" xfId="8768" xr:uid="{00000000-0005-0000-0000-0000E7680000}"/>
    <cellStyle name="Финансовый 2 5 2 13 2" xfId="20746" xr:uid="{00000000-0005-0000-0000-0000E8680000}"/>
    <cellStyle name="Финансовый 2 5 2 13 2 2" xfId="44701" xr:uid="{00000000-0005-0000-0000-0000E9680000}"/>
    <cellStyle name="Финансовый 2 5 2 13 3" xfId="32723" xr:uid="{00000000-0005-0000-0000-0000EA680000}"/>
    <cellStyle name="Финансовый 2 5 2 14" xfId="12102" xr:uid="{00000000-0005-0000-0000-0000EB680000}"/>
    <cellStyle name="Финансовый 2 5 2 14 2" xfId="36057" xr:uid="{00000000-0005-0000-0000-0000EC680000}"/>
    <cellStyle name="Финансовый 2 5 2 15" xfId="24080" xr:uid="{00000000-0005-0000-0000-0000ED680000}"/>
    <cellStyle name="Финансовый 2 5 2 16" xfId="48038" xr:uid="{00000000-0005-0000-0000-0000EE680000}"/>
    <cellStyle name="Финансовый 2 5 2 2" xfId="256" xr:uid="{00000000-0005-0000-0000-0000EF680000}"/>
    <cellStyle name="Финансовый 2 5 2 2 10" xfId="8904" xr:uid="{00000000-0005-0000-0000-0000F0680000}"/>
    <cellStyle name="Финансовый 2 5 2 2 10 2" xfId="20882" xr:uid="{00000000-0005-0000-0000-0000F1680000}"/>
    <cellStyle name="Финансовый 2 5 2 2 10 2 2" xfId="44837" xr:uid="{00000000-0005-0000-0000-0000F2680000}"/>
    <cellStyle name="Финансовый 2 5 2 2 10 3" xfId="32859" xr:uid="{00000000-0005-0000-0000-0000F3680000}"/>
    <cellStyle name="Финансовый 2 5 2 2 11" xfId="12238" xr:uid="{00000000-0005-0000-0000-0000F4680000}"/>
    <cellStyle name="Финансовый 2 5 2 2 11 2" xfId="36193" xr:uid="{00000000-0005-0000-0000-0000F5680000}"/>
    <cellStyle name="Финансовый 2 5 2 2 12" xfId="24216" xr:uid="{00000000-0005-0000-0000-0000F6680000}"/>
    <cellStyle name="Финансовый 2 5 2 2 13" xfId="48174" xr:uid="{00000000-0005-0000-0000-0000F7680000}"/>
    <cellStyle name="Финансовый 2 5 2 2 2" xfId="1354" xr:uid="{00000000-0005-0000-0000-0000F8680000}"/>
    <cellStyle name="Финансовый 2 5 2 2 2 2" xfId="2312" xr:uid="{00000000-0005-0000-0000-0000F9680000}"/>
    <cellStyle name="Финансовый 2 5 2 2 2 2 2" xfId="3957" xr:uid="{00000000-0005-0000-0000-0000FA680000}"/>
    <cellStyle name="Финансовый 2 5 2 2 2 2 2 2" xfId="11697" xr:uid="{00000000-0005-0000-0000-0000FB680000}"/>
    <cellStyle name="Финансовый 2 5 2 2 2 2 2 2 2" xfId="23675" xr:uid="{00000000-0005-0000-0000-0000FC680000}"/>
    <cellStyle name="Финансовый 2 5 2 2 2 2 2 2 2 2" xfId="47630" xr:uid="{00000000-0005-0000-0000-0000FD680000}"/>
    <cellStyle name="Финансовый 2 5 2 2 2 2 2 2 3" xfId="35652" xr:uid="{00000000-0005-0000-0000-0000FE680000}"/>
    <cellStyle name="Финансовый 2 5 2 2 2 2 2 3" xfId="15936" xr:uid="{00000000-0005-0000-0000-0000FF680000}"/>
    <cellStyle name="Финансовый 2 5 2 2 2 2 2 3 2" xfId="39891" xr:uid="{00000000-0005-0000-0000-000000690000}"/>
    <cellStyle name="Финансовый 2 5 2 2 2 2 2 4" xfId="27914" xr:uid="{00000000-0005-0000-0000-000001690000}"/>
    <cellStyle name="Финансовый 2 5 2 2 2 2 2 5" xfId="51183" xr:uid="{00000000-0005-0000-0000-000002690000}"/>
    <cellStyle name="Финансовый 2 5 2 2 2 2 3" xfId="5740" xr:uid="{00000000-0005-0000-0000-000003690000}"/>
    <cellStyle name="Финансовый 2 5 2 2 2 2 3 2" xfId="17718" xr:uid="{00000000-0005-0000-0000-000004690000}"/>
    <cellStyle name="Финансовый 2 5 2 2 2 2 3 2 2" xfId="41673" xr:uid="{00000000-0005-0000-0000-000005690000}"/>
    <cellStyle name="Финансовый 2 5 2 2 2 2 3 3" xfId="29695" xr:uid="{00000000-0005-0000-0000-000006690000}"/>
    <cellStyle name="Финансовый 2 5 2 2 2 2 4" xfId="8350" xr:uid="{00000000-0005-0000-0000-000007690000}"/>
    <cellStyle name="Финансовый 2 5 2 2 2 2 4 2" xfId="20328" xr:uid="{00000000-0005-0000-0000-000008690000}"/>
    <cellStyle name="Финансовый 2 5 2 2 2 2 4 2 2" xfId="44283" xr:uid="{00000000-0005-0000-0000-000009690000}"/>
    <cellStyle name="Финансовый 2 5 2 2 2 2 4 3" xfId="32305" xr:uid="{00000000-0005-0000-0000-00000A690000}"/>
    <cellStyle name="Финансовый 2 5 2 2 2 2 5" xfId="10133" xr:uid="{00000000-0005-0000-0000-00000B690000}"/>
    <cellStyle name="Финансовый 2 5 2 2 2 2 5 2" xfId="22111" xr:uid="{00000000-0005-0000-0000-00000C690000}"/>
    <cellStyle name="Финансовый 2 5 2 2 2 2 5 2 2" xfId="46066" xr:uid="{00000000-0005-0000-0000-00000D690000}"/>
    <cellStyle name="Финансовый 2 5 2 2 2 2 5 3" xfId="34088" xr:uid="{00000000-0005-0000-0000-00000E690000}"/>
    <cellStyle name="Финансовый 2 5 2 2 2 2 6" xfId="14291" xr:uid="{00000000-0005-0000-0000-00000F690000}"/>
    <cellStyle name="Финансовый 2 5 2 2 2 2 6 2" xfId="38246" xr:uid="{00000000-0005-0000-0000-000010690000}"/>
    <cellStyle name="Финансовый 2 5 2 2 2 2 7" xfId="26269" xr:uid="{00000000-0005-0000-0000-000011690000}"/>
    <cellStyle name="Финансовый 2 5 2 2 2 2 8" xfId="49402" xr:uid="{00000000-0005-0000-0000-000012690000}"/>
    <cellStyle name="Финансовый 2 5 2 2 2 3" xfId="3138" xr:uid="{00000000-0005-0000-0000-000013690000}"/>
    <cellStyle name="Финансовый 2 5 2 2 2 3 2" xfId="10925" xr:uid="{00000000-0005-0000-0000-000014690000}"/>
    <cellStyle name="Финансовый 2 5 2 2 2 3 2 2" xfId="22903" xr:uid="{00000000-0005-0000-0000-000015690000}"/>
    <cellStyle name="Финансовый 2 5 2 2 2 3 2 2 2" xfId="46858" xr:uid="{00000000-0005-0000-0000-000016690000}"/>
    <cellStyle name="Финансовый 2 5 2 2 2 3 2 3" xfId="34880" xr:uid="{00000000-0005-0000-0000-000017690000}"/>
    <cellStyle name="Финансовый 2 5 2 2 2 3 3" xfId="15117" xr:uid="{00000000-0005-0000-0000-000018690000}"/>
    <cellStyle name="Финансовый 2 5 2 2 2 3 3 2" xfId="39072" xr:uid="{00000000-0005-0000-0000-000019690000}"/>
    <cellStyle name="Финансовый 2 5 2 2 2 3 4" xfId="27095" xr:uid="{00000000-0005-0000-0000-00001A690000}"/>
    <cellStyle name="Финансовый 2 5 2 2 2 3 5" xfId="50226" xr:uid="{00000000-0005-0000-0000-00001B690000}"/>
    <cellStyle name="Финансовый 2 5 2 2 2 4" xfId="4782" xr:uid="{00000000-0005-0000-0000-00001C690000}"/>
    <cellStyle name="Финансовый 2 5 2 2 2 4 2" xfId="16761" xr:uid="{00000000-0005-0000-0000-00001D690000}"/>
    <cellStyle name="Финансовый 2 5 2 2 2 4 2 2" xfId="40716" xr:uid="{00000000-0005-0000-0000-00001E690000}"/>
    <cellStyle name="Финансовый 2 5 2 2 2 4 3" xfId="28739" xr:uid="{00000000-0005-0000-0000-00001F690000}"/>
    <cellStyle name="Финансовый 2 5 2 2 2 5" xfId="7394" xr:uid="{00000000-0005-0000-0000-000020690000}"/>
    <cellStyle name="Финансовый 2 5 2 2 2 5 2" xfId="19372" xr:uid="{00000000-0005-0000-0000-000021690000}"/>
    <cellStyle name="Финансовый 2 5 2 2 2 5 2 2" xfId="43327" xr:uid="{00000000-0005-0000-0000-000022690000}"/>
    <cellStyle name="Финансовый 2 5 2 2 2 5 3" xfId="31349" xr:uid="{00000000-0005-0000-0000-000023690000}"/>
    <cellStyle name="Финансовый 2 5 2 2 2 6" xfId="9176" xr:uid="{00000000-0005-0000-0000-000024690000}"/>
    <cellStyle name="Финансовый 2 5 2 2 2 6 2" xfId="21154" xr:uid="{00000000-0005-0000-0000-000025690000}"/>
    <cellStyle name="Финансовый 2 5 2 2 2 6 2 2" xfId="45109" xr:uid="{00000000-0005-0000-0000-000026690000}"/>
    <cellStyle name="Финансовый 2 5 2 2 2 6 3" xfId="33131" xr:uid="{00000000-0005-0000-0000-000027690000}"/>
    <cellStyle name="Финансовый 2 5 2 2 2 7" xfId="13335" xr:uid="{00000000-0005-0000-0000-000028690000}"/>
    <cellStyle name="Финансовый 2 5 2 2 2 7 2" xfId="37290" xr:uid="{00000000-0005-0000-0000-000029690000}"/>
    <cellStyle name="Финансовый 2 5 2 2 2 8" xfId="25313" xr:uid="{00000000-0005-0000-0000-00002A690000}"/>
    <cellStyle name="Финансовый 2 5 2 2 2 9" xfId="48446" xr:uid="{00000000-0005-0000-0000-00002B690000}"/>
    <cellStyle name="Финансовый 2 5 2 2 3" xfId="2056" xr:uid="{00000000-0005-0000-0000-00002C690000}"/>
    <cellStyle name="Финансовый 2 5 2 2 3 2" xfId="3701" xr:uid="{00000000-0005-0000-0000-00002D690000}"/>
    <cellStyle name="Финансовый 2 5 2 2 3 2 2" xfId="11441" xr:uid="{00000000-0005-0000-0000-00002E690000}"/>
    <cellStyle name="Финансовый 2 5 2 2 3 2 2 2" xfId="23419" xr:uid="{00000000-0005-0000-0000-00002F690000}"/>
    <cellStyle name="Финансовый 2 5 2 2 3 2 2 2 2" xfId="47374" xr:uid="{00000000-0005-0000-0000-000030690000}"/>
    <cellStyle name="Финансовый 2 5 2 2 3 2 2 3" xfId="35396" xr:uid="{00000000-0005-0000-0000-000031690000}"/>
    <cellStyle name="Финансовый 2 5 2 2 3 2 3" xfId="15680" xr:uid="{00000000-0005-0000-0000-000032690000}"/>
    <cellStyle name="Финансовый 2 5 2 2 3 2 3 2" xfId="39635" xr:uid="{00000000-0005-0000-0000-000033690000}"/>
    <cellStyle name="Финансовый 2 5 2 2 3 2 4" xfId="27658" xr:uid="{00000000-0005-0000-0000-000034690000}"/>
    <cellStyle name="Финансовый 2 5 2 2 3 2 5" xfId="50927" xr:uid="{00000000-0005-0000-0000-000035690000}"/>
    <cellStyle name="Финансовый 2 5 2 2 3 3" xfId="5484" xr:uid="{00000000-0005-0000-0000-000036690000}"/>
    <cellStyle name="Финансовый 2 5 2 2 3 3 2" xfId="17462" xr:uid="{00000000-0005-0000-0000-000037690000}"/>
    <cellStyle name="Финансовый 2 5 2 2 3 3 2 2" xfId="41417" xr:uid="{00000000-0005-0000-0000-000038690000}"/>
    <cellStyle name="Финансовый 2 5 2 2 3 3 3" xfId="29439" xr:uid="{00000000-0005-0000-0000-000039690000}"/>
    <cellStyle name="Финансовый 2 5 2 2 3 4" xfId="8094" xr:uid="{00000000-0005-0000-0000-00003A690000}"/>
    <cellStyle name="Финансовый 2 5 2 2 3 4 2" xfId="20072" xr:uid="{00000000-0005-0000-0000-00003B690000}"/>
    <cellStyle name="Финансовый 2 5 2 2 3 4 2 2" xfId="44027" xr:uid="{00000000-0005-0000-0000-00003C690000}"/>
    <cellStyle name="Финансовый 2 5 2 2 3 4 3" xfId="32049" xr:uid="{00000000-0005-0000-0000-00003D690000}"/>
    <cellStyle name="Финансовый 2 5 2 2 3 5" xfId="9877" xr:uid="{00000000-0005-0000-0000-00003E690000}"/>
    <cellStyle name="Финансовый 2 5 2 2 3 5 2" xfId="21855" xr:uid="{00000000-0005-0000-0000-00003F690000}"/>
    <cellStyle name="Финансовый 2 5 2 2 3 5 2 2" xfId="45810" xr:uid="{00000000-0005-0000-0000-000040690000}"/>
    <cellStyle name="Финансовый 2 5 2 2 3 5 3" xfId="33832" xr:uid="{00000000-0005-0000-0000-000041690000}"/>
    <cellStyle name="Финансовый 2 5 2 2 3 6" xfId="14035" xr:uid="{00000000-0005-0000-0000-000042690000}"/>
    <cellStyle name="Финансовый 2 5 2 2 3 6 2" xfId="37990" xr:uid="{00000000-0005-0000-0000-000043690000}"/>
    <cellStyle name="Финансовый 2 5 2 2 3 7" xfId="26013" xr:uid="{00000000-0005-0000-0000-000044690000}"/>
    <cellStyle name="Финансовый 2 5 2 2 3 8" xfId="49146" xr:uid="{00000000-0005-0000-0000-000045690000}"/>
    <cellStyle name="Финансовый 2 5 2 2 4" xfId="2585" xr:uid="{00000000-0005-0000-0000-000046690000}"/>
    <cellStyle name="Финансовый 2 5 2 2 4 2" xfId="4230" xr:uid="{00000000-0005-0000-0000-000047690000}"/>
    <cellStyle name="Финансовый 2 5 2 2 4 2 2" xfId="11954" xr:uid="{00000000-0005-0000-0000-000048690000}"/>
    <cellStyle name="Финансовый 2 5 2 2 4 2 2 2" xfId="23932" xr:uid="{00000000-0005-0000-0000-000049690000}"/>
    <cellStyle name="Финансовый 2 5 2 2 4 2 2 2 2" xfId="47887" xr:uid="{00000000-0005-0000-0000-00004A690000}"/>
    <cellStyle name="Финансовый 2 5 2 2 4 2 2 3" xfId="35909" xr:uid="{00000000-0005-0000-0000-00004B690000}"/>
    <cellStyle name="Финансовый 2 5 2 2 4 2 3" xfId="16209" xr:uid="{00000000-0005-0000-0000-00004C690000}"/>
    <cellStyle name="Финансовый 2 5 2 2 4 2 3 2" xfId="40164" xr:uid="{00000000-0005-0000-0000-00004D690000}"/>
    <cellStyle name="Финансовый 2 5 2 2 4 2 4" xfId="28187" xr:uid="{00000000-0005-0000-0000-00004E690000}"/>
    <cellStyle name="Финансовый 2 5 2 2 4 2 5" xfId="51456" xr:uid="{00000000-0005-0000-0000-00004F690000}"/>
    <cellStyle name="Финансовый 2 5 2 2 4 3" xfId="6013" xr:uid="{00000000-0005-0000-0000-000050690000}"/>
    <cellStyle name="Финансовый 2 5 2 2 4 3 2" xfId="17991" xr:uid="{00000000-0005-0000-0000-000051690000}"/>
    <cellStyle name="Финансовый 2 5 2 2 4 3 2 2" xfId="41946" xr:uid="{00000000-0005-0000-0000-000052690000}"/>
    <cellStyle name="Финансовый 2 5 2 2 4 3 3" xfId="29968" xr:uid="{00000000-0005-0000-0000-000053690000}"/>
    <cellStyle name="Финансовый 2 5 2 2 4 4" xfId="8623" xr:uid="{00000000-0005-0000-0000-000054690000}"/>
    <cellStyle name="Финансовый 2 5 2 2 4 4 2" xfId="20601" xr:uid="{00000000-0005-0000-0000-000055690000}"/>
    <cellStyle name="Финансовый 2 5 2 2 4 4 2 2" xfId="44556" xr:uid="{00000000-0005-0000-0000-000056690000}"/>
    <cellStyle name="Финансовый 2 5 2 2 4 4 3" xfId="32578" xr:uid="{00000000-0005-0000-0000-000057690000}"/>
    <cellStyle name="Финансовый 2 5 2 2 4 5" xfId="10406" xr:uid="{00000000-0005-0000-0000-000058690000}"/>
    <cellStyle name="Финансовый 2 5 2 2 4 5 2" xfId="22384" xr:uid="{00000000-0005-0000-0000-000059690000}"/>
    <cellStyle name="Финансовый 2 5 2 2 4 5 2 2" xfId="46339" xr:uid="{00000000-0005-0000-0000-00005A690000}"/>
    <cellStyle name="Финансовый 2 5 2 2 4 5 3" xfId="34361" xr:uid="{00000000-0005-0000-0000-00005B690000}"/>
    <cellStyle name="Финансовый 2 5 2 2 4 6" xfId="14564" xr:uid="{00000000-0005-0000-0000-00005C690000}"/>
    <cellStyle name="Финансовый 2 5 2 2 4 6 2" xfId="38519" xr:uid="{00000000-0005-0000-0000-00005D690000}"/>
    <cellStyle name="Финансовый 2 5 2 2 4 7" xfId="26542" xr:uid="{00000000-0005-0000-0000-00005E690000}"/>
    <cellStyle name="Финансовый 2 5 2 2 4 8" xfId="49675" xr:uid="{00000000-0005-0000-0000-00005F690000}"/>
    <cellStyle name="Финансовый 2 5 2 2 5" xfId="1089" xr:uid="{00000000-0005-0000-0000-000060690000}"/>
    <cellStyle name="Финансовый 2 5 2 2 5 2" xfId="7129" xr:uid="{00000000-0005-0000-0000-000061690000}"/>
    <cellStyle name="Финансовый 2 5 2 2 5 2 2" xfId="19107" xr:uid="{00000000-0005-0000-0000-000062690000}"/>
    <cellStyle name="Финансовый 2 5 2 2 5 2 2 2" xfId="43062" xr:uid="{00000000-0005-0000-0000-000063690000}"/>
    <cellStyle name="Финансовый 2 5 2 2 5 2 3" xfId="31084" xr:uid="{00000000-0005-0000-0000-000064690000}"/>
    <cellStyle name="Финансовый 2 5 2 2 5 3" xfId="10669" xr:uid="{00000000-0005-0000-0000-000065690000}"/>
    <cellStyle name="Финансовый 2 5 2 2 5 3 2" xfId="22647" xr:uid="{00000000-0005-0000-0000-000066690000}"/>
    <cellStyle name="Финансовый 2 5 2 2 5 3 2 2" xfId="46602" xr:uid="{00000000-0005-0000-0000-000067690000}"/>
    <cellStyle name="Финансовый 2 5 2 2 5 3 3" xfId="34624" xr:uid="{00000000-0005-0000-0000-000068690000}"/>
    <cellStyle name="Финансовый 2 5 2 2 5 4" xfId="13070" xr:uid="{00000000-0005-0000-0000-000069690000}"/>
    <cellStyle name="Финансовый 2 5 2 2 5 4 2" xfId="37025" xr:uid="{00000000-0005-0000-0000-00006A690000}"/>
    <cellStyle name="Финансовый 2 5 2 2 5 5" xfId="25048" xr:uid="{00000000-0005-0000-0000-00006B690000}"/>
    <cellStyle name="Финансовый 2 5 2 2 5 6" xfId="49954" xr:uid="{00000000-0005-0000-0000-00006C690000}"/>
    <cellStyle name="Финансовый 2 5 2 2 6" xfId="677" xr:uid="{00000000-0005-0000-0000-00006D690000}"/>
    <cellStyle name="Финансовый 2 5 2 2 6 2" xfId="6717" xr:uid="{00000000-0005-0000-0000-00006E690000}"/>
    <cellStyle name="Финансовый 2 5 2 2 6 2 2" xfId="18695" xr:uid="{00000000-0005-0000-0000-00006F690000}"/>
    <cellStyle name="Финансовый 2 5 2 2 6 2 2 2" xfId="42650" xr:uid="{00000000-0005-0000-0000-000070690000}"/>
    <cellStyle name="Финансовый 2 5 2 2 6 2 3" xfId="30672" xr:uid="{00000000-0005-0000-0000-000071690000}"/>
    <cellStyle name="Финансовый 2 5 2 2 6 3" xfId="12658" xr:uid="{00000000-0005-0000-0000-000072690000}"/>
    <cellStyle name="Финансовый 2 5 2 2 6 3 2" xfId="36613" xr:uid="{00000000-0005-0000-0000-000073690000}"/>
    <cellStyle name="Финансовый 2 5 2 2 6 4" xfId="24636" xr:uid="{00000000-0005-0000-0000-000074690000}"/>
    <cellStyle name="Финансовый 2 5 2 2 7" xfId="2866" xr:uid="{00000000-0005-0000-0000-000075690000}"/>
    <cellStyle name="Финансовый 2 5 2 2 7 2" xfId="14845" xr:uid="{00000000-0005-0000-0000-000076690000}"/>
    <cellStyle name="Финансовый 2 5 2 2 7 2 2" xfId="38800" xr:uid="{00000000-0005-0000-0000-000077690000}"/>
    <cellStyle name="Финансовый 2 5 2 2 7 3" xfId="26823" xr:uid="{00000000-0005-0000-0000-000078690000}"/>
    <cellStyle name="Финансовый 2 5 2 2 8" xfId="4510" xr:uid="{00000000-0005-0000-0000-000079690000}"/>
    <cellStyle name="Финансовый 2 5 2 2 8 2" xfId="16489" xr:uid="{00000000-0005-0000-0000-00007A690000}"/>
    <cellStyle name="Финансовый 2 5 2 2 8 2 2" xfId="40444" xr:uid="{00000000-0005-0000-0000-00007B690000}"/>
    <cellStyle name="Финансовый 2 5 2 2 8 3" xfId="28467" xr:uid="{00000000-0005-0000-0000-00007C690000}"/>
    <cellStyle name="Финансовый 2 5 2 2 9" xfId="6297" xr:uid="{00000000-0005-0000-0000-00007D690000}"/>
    <cellStyle name="Финансовый 2 5 2 2 9 2" xfId="18275" xr:uid="{00000000-0005-0000-0000-00007E690000}"/>
    <cellStyle name="Финансовый 2 5 2 2 9 2 2" xfId="42230" xr:uid="{00000000-0005-0000-0000-00007F690000}"/>
    <cellStyle name="Финансовый 2 5 2 2 9 3" xfId="30252" xr:uid="{00000000-0005-0000-0000-000080690000}"/>
    <cellStyle name="Финансовый 2 5 2 3" xfId="405" xr:uid="{00000000-0005-0000-0000-000081690000}"/>
    <cellStyle name="Финансовый 2 5 2 3 10" xfId="24364" xr:uid="{00000000-0005-0000-0000-000082690000}"/>
    <cellStyle name="Финансовый 2 5 2 3 11" xfId="48310" xr:uid="{00000000-0005-0000-0000-000083690000}"/>
    <cellStyle name="Финансовый 2 5 2 3 2" xfId="2184" xr:uid="{00000000-0005-0000-0000-000084690000}"/>
    <cellStyle name="Финансовый 2 5 2 3 2 2" xfId="3829" xr:uid="{00000000-0005-0000-0000-000085690000}"/>
    <cellStyle name="Финансовый 2 5 2 3 2 2 2" xfId="11569" xr:uid="{00000000-0005-0000-0000-000086690000}"/>
    <cellStyle name="Финансовый 2 5 2 3 2 2 2 2" xfId="23547" xr:uid="{00000000-0005-0000-0000-000087690000}"/>
    <cellStyle name="Финансовый 2 5 2 3 2 2 2 2 2" xfId="47502" xr:uid="{00000000-0005-0000-0000-000088690000}"/>
    <cellStyle name="Финансовый 2 5 2 3 2 2 2 3" xfId="35524" xr:uid="{00000000-0005-0000-0000-000089690000}"/>
    <cellStyle name="Финансовый 2 5 2 3 2 2 3" xfId="15808" xr:uid="{00000000-0005-0000-0000-00008A690000}"/>
    <cellStyle name="Финансовый 2 5 2 3 2 2 3 2" xfId="39763" xr:uid="{00000000-0005-0000-0000-00008B690000}"/>
    <cellStyle name="Финансовый 2 5 2 3 2 2 4" xfId="27786" xr:uid="{00000000-0005-0000-0000-00008C690000}"/>
    <cellStyle name="Финансовый 2 5 2 3 2 2 5" xfId="51055" xr:uid="{00000000-0005-0000-0000-00008D690000}"/>
    <cellStyle name="Финансовый 2 5 2 3 2 3" xfId="5612" xr:uid="{00000000-0005-0000-0000-00008E690000}"/>
    <cellStyle name="Финансовый 2 5 2 3 2 3 2" xfId="17590" xr:uid="{00000000-0005-0000-0000-00008F690000}"/>
    <cellStyle name="Финансовый 2 5 2 3 2 3 2 2" xfId="41545" xr:uid="{00000000-0005-0000-0000-000090690000}"/>
    <cellStyle name="Финансовый 2 5 2 3 2 3 3" xfId="29567" xr:uid="{00000000-0005-0000-0000-000091690000}"/>
    <cellStyle name="Финансовый 2 5 2 3 2 4" xfId="8222" xr:uid="{00000000-0005-0000-0000-000092690000}"/>
    <cellStyle name="Финансовый 2 5 2 3 2 4 2" xfId="20200" xr:uid="{00000000-0005-0000-0000-000093690000}"/>
    <cellStyle name="Финансовый 2 5 2 3 2 4 2 2" xfId="44155" xr:uid="{00000000-0005-0000-0000-000094690000}"/>
    <cellStyle name="Финансовый 2 5 2 3 2 4 3" xfId="32177" xr:uid="{00000000-0005-0000-0000-000095690000}"/>
    <cellStyle name="Финансовый 2 5 2 3 2 5" xfId="10005" xr:uid="{00000000-0005-0000-0000-000096690000}"/>
    <cellStyle name="Финансовый 2 5 2 3 2 5 2" xfId="21983" xr:uid="{00000000-0005-0000-0000-000097690000}"/>
    <cellStyle name="Финансовый 2 5 2 3 2 5 2 2" xfId="45938" xr:uid="{00000000-0005-0000-0000-000098690000}"/>
    <cellStyle name="Финансовый 2 5 2 3 2 5 3" xfId="33960" xr:uid="{00000000-0005-0000-0000-000099690000}"/>
    <cellStyle name="Финансовый 2 5 2 3 2 6" xfId="14163" xr:uid="{00000000-0005-0000-0000-00009A690000}"/>
    <cellStyle name="Финансовый 2 5 2 3 2 6 2" xfId="38118" xr:uid="{00000000-0005-0000-0000-00009B690000}"/>
    <cellStyle name="Финансовый 2 5 2 3 2 7" xfId="26141" xr:uid="{00000000-0005-0000-0000-00009C690000}"/>
    <cellStyle name="Финансовый 2 5 2 3 2 8" xfId="49274" xr:uid="{00000000-0005-0000-0000-00009D690000}"/>
    <cellStyle name="Финансовый 2 5 2 3 3" xfId="1218" xr:uid="{00000000-0005-0000-0000-00009E690000}"/>
    <cellStyle name="Финансовый 2 5 2 3 3 2" xfId="7258" xr:uid="{00000000-0005-0000-0000-00009F690000}"/>
    <cellStyle name="Финансовый 2 5 2 3 3 2 2" xfId="19236" xr:uid="{00000000-0005-0000-0000-0000A0690000}"/>
    <cellStyle name="Финансовый 2 5 2 3 3 2 2 2" xfId="43191" xr:uid="{00000000-0005-0000-0000-0000A1690000}"/>
    <cellStyle name="Финансовый 2 5 2 3 3 2 3" xfId="31213" xr:uid="{00000000-0005-0000-0000-0000A2690000}"/>
    <cellStyle name="Финансовый 2 5 2 3 3 3" xfId="10797" xr:uid="{00000000-0005-0000-0000-0000A3690000}"/>
    <cellStyle name="Финансовый 2 5 2 3 3 3 2" xfId="22775" xr:uid="{00000000-0005-0000-0000-0000A4690000}"/>
    <cellStyle name="Финансовый 2 5 2 3 3 3 2 2" xfId="46730" xr:uid="{00000000-0005-0000-0000-0000A5690000}"/>
    <cellStyle name="Финансовый 2 5 2 3 3 3 3" xfId="34752" xr:uid="{00000000-0005-0000-0000-0000A6690000}"/>
    <cellStyle name="Финансовый 2 5 2 3 3 4" xfId="13199" xr:uid="{00000000-0005-0000-0000-0000A7690000}"/>
    <cellStyle name="Финансовый 2 5 2 3 3 4 2" xfId="37154" xr:uid="{00000000-0005-0000-0000-0000A8690000}"/>
    <cellStyle name="Финансовый 2 5 2 3 3 5" xfId="25177" xr:uid="{00000000-0005-0000-0000-0000A9690000}"/>
    <cellStyle name="Финансовый 2 5 2 3 3 6" xfId="50090" xr:uid="{00000000-0005-0000-0000-0000AA690000}"/>
    <cellStyle name="Финансовый 2 5 2 3 4" xfId="825" xr:uid="{00000000-0005-0000-0000-0000AB690000}"/>
    <cellStyle name="Финансовый 2 5 2 3 4 2" xfId="6865" xr:uid="{00000000-0005-0000-0000-0000AC690000}"/>
    <cellStyle name="Финансовый 2 5 2 3 4 2 2" xfId="18843" xr:uid="{00000000-0005-0000-0000-0000AD690000}"/>
    <cellStyle name="Финансовый 2 5 2 3 4 2 2 2" xfId="42798" xr:uid="{00000000-0005-0000-0000-0000AE690000}"/>
    <cellStyle name="Финансовый 2 5 2 3 4 2 3" xfId="30820" xr:uid="{00000000-0005-0000-0000-0000AF690000}"/>
    <cellStyle name="Финансовый 2 5 2 3 4 3" xfId="12806" xr:uid="{00000000-0005-0000-0000-0000B0690000}"/>
    <cellStyle name="Финансовый 2 5 2 3 4 3 2" xfId="36761" xr:uid="{00000000-0005-0000-0000-0000B1690000}"/>
    <cellStyle name="Финансовый 2 5 2 3 4 4" xfId="24784" xr:uid="{00000000-0005-0000-0000-0000B2690000}"/>
    <cellStyle name="Финансовый 2 5 2 3 5" xfId="3002" xr:uid="{00000000-0005-0000-0000-0000B3690000}"/>
    <cellStyle name="Финансовый 2 5 2 3 5 2" xfId="14981" xr:uid="{00000000-0005-0000-0000-0000B4690000}"/>
    <cellStyle name="Финансовый 2 5 2 3 5 2 2" xfId="38936" xr:uid="{00000000-0005-0000-0000-0000B5690000}"/>
    <cellStyle name="Финансовый 2 5 2 3 5 3" xfId="26959" xr:uid="{00000000-0005-0000-0000-0000B6690000}"/>
    <cellStyle name="Финансовый 2 5 2 3 6" xfId="4646" xr:uid="{00000000-0005-0000-0000-0000B7690000}"/>
    <cellStyle name="Финансовый 2 5 2 3 6 2" xfId="16625" xr:uid="{00000000-0005-0000-0000-0000B8690000}"/>
    <cellStyle name="Финансовый 2 5 2 3 6 2 2" xfId="40580" xr:uid="{00000000-0005-0000-0000-0000B9690000}"/>
    <cellStyle name="Финансовый 2 5 2 3 6 3" xfId="28603" xr:uid="{00000000-0005-0000-0000-0000BA690000}"/>
    <cellStyle name="Финансовый 2 5 2 3 7" xfId="6445" xr:uid="{00000000-0005-0000-0000-0000BB690000}"/>
    <cellStyle name="Финансовый 2 5 2 3 7 2" xfId="18423" xr:uid="{00000000-0005-0000-0000-0000BC690000}"/>
    <cellStyle name="Финансовый 2 5 2 3 7 2 2" xfId="42378" xr:uid="{00000000-0005-0000-0000-0000BD690000}"/>
    <cellStyle name="Финансовый 2 5 2 3 7 3" xfId="30400" xr:uid="{00000000-0005-0000-0000-0000BE690000}"/>
    <cellStyle name="Финансовый 2 5 2 3 8" xfId="9040" xr:uid="{00000000-0005-0000-0000-0000BF690000}"/>
    <cellStyle name="Финансовый 2 5 2 3 8 2" xfId="21018" xr:uid="{00000000-0005-0000-0000-0000C0690000}"/>
    <cellStyle name="Финансовый 2 5 2 3 8 2 2" xfId="44973" xr:uid="{00000000-0005-0000-0000-0000C1690000}"/>
    <cellStyle name="Финансовый 2 5 2 3 8 3" xfId="32995" xr:uid="{00000000-0005-0000-0000-0000C2690000}"/>
    <cellStyle name="Финансовый 2 5 2 3 9" xfId="12386" xr:uid="{00000000-0005-0000-0000-0000C3690000}"/>
    <cellStyle name="Финансовый 2 5 2 3 9 2" xfId="36341" xr:uid="{00000000-0005-0000-0000-0000C4690000}"/>
    <cellStyle name="Финансовый 2 5 2 4" xfId="1507" xr:uid="{00000000-0005-0000-0000-0000C5690000}"/>
    <cellStyle name="Финансовый 2 5 2 4 2" xfId="1928" xr:uid="{00000000-0005-0000-0000-0000C6690000}"/>
    <cellStyle name="Финансовый 2 5 2 4 2 2" xfId="3573" xr:uid="{00000000-0005-0000-0000-0000C7690000}"/>
    <cellStyle name="Финансовый 2 5 2 4 2 2 2" xfId="11313" xr:uid="{00000000-0005-0000-0000-0000C8690000}"/>
    <cellStyle name="Финансовый 2 5 2 4 2 2 2 2" xfId="23291" xr:uid="{00000000-0005-0000-0000-0000C9690000}"/>
    <cellStyle name="Финансовый 2 5 2 4 2 2 2 2 2" xfId="47246" xr:uid="{00000000-0005-0000-0000-0000CA690000}"/>
    <cellStyle name="Финансовый 2 5 2 4 2 2 2 3" xfId="35268" xr:uid="{00000000-0005-0000-0000-0000CB690000}"/>
    <cellStyle name="Финансовый 2 5 2 4 2 2 3" xfId="15552" xr:uid="{00000000-0005-0000-0000-0000CC690000}"/>
    <cellStyle name="Финансовый 2 5 2 4 2 2 3 2" xfId="39507" xr:uid="{00000000-0005-0000-0000-0000CD690000}"/>
    <cellStyle name="Финансовый 2 5 2 4 2 2 4" xfId="27530" xr:uid="{00000000-0005-0000-0000-0000CE690000}"/>
    <cellStyle name="Финансовый 2 5 2 4 2 2 5" xfId="50799" xr:uid="{00000000-0005-0000-0000-0000CF690000}"/>
    <cellStyle name="Финансовый 2 5 2 4 2 3" xfId="5356" xr:uid="{00000000-0005-0000-0000-0000D0690000}"/>
    <cellStyle name="Финансовый 2 5 2 4 2 3 2" xfId="17334" xr:uid="{00000000-0005-0000-0000-0000D1690000}"/>
    <cellStyle name="Финансовый 2 5 2 4 2 3 2 2" xfId="41289" xr:uid="{00000000-0005-0000-0000-0000D2690000}"/>
    <cellStyle name="Финансовый 2 5 2 4 2 3 3" xfId="29311" xr:uid="{00000000-0005-0000-0000-0000D3690000}"/>
    <cellStyle name="Финансовый 2 5 2 4 2 4" xfId="7966" xr:uid="{00000000-0005-0000-0000-0000D4690000}"/>
    <cellStyle name="Финансовый 2 5 2 4 2 4 2" xfId="19944" xr:uid="{00000000-0005-0000-0000-0000D5690000}"/>
    <cellStyle name="Финансовый 2 5 2 4 2 4 2 2" xfId="43899" xr:uid="{00000000-0005-0000-0000-0000D6690000}"/>
    <cellStyle name="Финансовый 2 5 2 4 2 4 3" xfId="31921" xr:uid="{00000000-0005-0000-0000-0000D7690000}"/>
    <cellStyle name="Финансовый 2 5 2 4 2 5" xfId="9749" xr:uid="{00000000-0005-0000-0000-0000D8690000}"/>
    <cellStyle name="Финансовый 2 5 2 4 2 5 2" xfId="21727" xr:uid="{00000000-0005-0000-0000-0000D9690000}"/>
    <cellStyle name="Финансовый 2 5 2 4 2 5 2 2" xfId="45682" xr:uid="{00000000-0005-0000-0000-0000DA690000}"/>
    <cellStyle name="Финансовый 2 5 2 4 2 5 3" xfId="33704" xr:uid="{00000000-0005-0000-0000-0000DB690000}"/>
    <cellStyle name="Финансовый 2 5 2 4 2 6" xfId="13907" xr:uid="{00000000-0005-0000-0000-0000DC690000}"/>
    <cellStyle name="Финансовый 2 5 2 4 2 6 2" xfId="37862" xr:uid="{00000000-0005-0000-0000-0000DD690000}"/>
    <cellStyle name="Финансовый 2 5 2 4 2 7" xfId="25885" xr:uid="{00000000-0005-0000-0000-0000DE690000}"/>
    <cellStyle name="Финансовый 2 5 2 4 2 8" xfId="49018" xr:uid="{00000000-0005-0000-0000-0000DF690000}"/>
    <cellStyle name="Финансовый 2 5 2 4 3" xfId="4935" xr:uid="{00000000-0005-0000-0000-0000E0690000}"/>
    <cellStyle name="Финансовый 2 5 2 4 3 2" xfId="16913" xr:uid="{00000000-0005-0000-0000-0000E1690000}"/>
    <cellStyle name="Финансовый 2 5 2 4 3 2 2" xfId="40868" xr:uid="{00000000-0005-0000-0000-0000E2690000}"/>
    <cellStyle name="Финансовый 2 5 2 4 3 3" xfId="28890" xr:uid="{00000000-0005-0000-0000-0000E3690000}"/>
    <cellStyle name="Финансовый 2 5 2 4 3 4" xfId="50378" xr:uid="{00000000-0005-0000-0000-0000E4690000}"/>
    <cellStyle name="Финансовый 2 5 2 4 4" xfId="7545" xr:uid="{00000000-0005-0000-0000-0000E5690000}"/>
    <cellStyle name="Финансовый 2 5 2 4 4 2" xfId="19523" xr:uid="{00000000-0005-0000-0000-0000E6690000}"/>
    <cellStyle name="Финансовый 2 5 2 4 4 2 2" xfId="43478" xr:uid="{00000000-0005-0000-0000-0000E7690000}"/>
    <cellStyle name="Финансовый 2 5 2 4 4 3" xfId="31500" xr:uid="{00000000-0005-0000-0000-0000E8690000}"/>
    <cellStyle name="Финансовый 2 5 2 4 5" xfId="9328" xr:uid="{00000000-0005-0000-0000-0000E9690000}"/>
    <cellStyle name="Финансовый 2 5 2 4 5 2" xfId="21306" xr:uid="{00000000-0005-0000-0000-0000EA690000}"/>
    <cellStyle name="Финансовый 2 5 2 4 5 2 2" xfId="45261" xr:uid="{00000000-0005-0000-0000-0000EB690000}"/>
    <cellStyle name="Финансовый 2 5 2 4 5 3" xfId="33283" xr:uid="{00000000-0005-0000-0000-0000EC690000}"/>
    <cellStyle name="Финансовый 2 5 2 4 6" xfId="13486" xr:uid="{00000000-0005-0000-0000-0000ED690000}"/>
    <cellStyle name="Финансовый 2 5 2 4 6 2" xfId="37441" xr:uid="{00000000-0005-0000-0000-0000EE690000}"/>
    <cellStyle name="Финансовый 2 5 2 4 7" xfId="25464" xr:uid="{00000000-0005-0000-0000-0000EF690000}"/>
    <cellStyle name="Финансовый 2 5 2 4 8" xfId="48597" xr:uid="{00000000-0005-0000-0000-0000F0690000}"/>
    <cellStyle name="Финансовый 2 5 2 5" xfId="1804" xr:uid="{00000000-0005-0000-0000-0000F1690000}"/>
    <cellStyle name="Финансовый 2 5 2 5 2" xfId="3449" xr:uid="{00000000-0005-0000-0000-0000F2690000}"/>
    <cellStyle name="Финансовый 2 5 2 5 2 2" xfId="11197" xr:uid="{00000000-0005-0000-0000-0000F3690000}"/>
    <cellStyle name="Финансовый 2 5 2 5 2 2 2" xfId="23175" xr:uid="{00000000-0005-0000-0000-0000F4690000}"/>
    <cellStyle name="Финансовый 2 5 2 5 2 2 2 2" xfId="47130" xr:uid="{00000000-0005-0000-0000-0000F5690000}"/>
    <cellStyle name="Финансовый 2 5 2 5 2 2 3" xfId="35152" xr:uid="{00000000-0005-0000-0000-0000F6690000}"/>
    <cellStyle name="Финансовый 2 5 2 5 2 3" xfId="15428" xr:uid="{00000000-0005-0000-0000-0000F7690000}"/>
    <cellStyle name="Финансовый 2 5 2 5 2 3 2" xfId="39383" xr:uid="{00000000-0005-0000-0000-0000F8690000}"/>
    <cellStyle name="Финансовый 2 5 2 5 2 4" xfId="27406" xr:uid="{00000000-0005-0000-0000-0000F9690000}"/>
    <cellStyle name="Финансовый 2 5 2 5 2 5" xfId="50675" xr:uid="{00000000-0005-0000-0000-0000FA690000}"/>
    <cellStyle name="Финансовый 2 5 2 5 3" xfId="5232" xr:uid="{00000000-0005-0000-0000-0000FB690000}"/>
    <cellStyle name="Финансовый 2 5 2 5 3 2" xfId="17210" xr:uid="{00000000-0005-0000-0000-0000FC690000}"/>
    <cellStyle name="Финансовый 2 5 2 5 3 2 2" xfId="41165" xr:uid="{00000000-0005-0000-0000-0000FD690000}"/>
    <cellStyle name="Финансовый 2 5 2 5 3 3" xfId="29187" xr:uid="{00000000-0005-0000-0000-0000FE690000}"/>
    <cellStyle name="Финансовый 2 5 2 5 4" xfId="7842" xr:uid="{00000000-0005-0000-0000-0000FF690000}"/>
    <cellStyle name="Финансовый 2 5 2 5 4 2" xfId="19820" xr:uid="{00000000-0005-0000-0000-0000006A0000}"/>
    <cellStyle name="Финансовый 2 5 2 5 4 2 2" xfId="43775" xr:uid="{00000000-0005-0000-0000-0000016A0000}"/>
    <cellStyle name="Финансовый 2 5 2 5 4 3" xfId="31797" xr:uid="{00000000-0005-0000-0000-0000026A0000}"/>
    <cellStyle name="Финансовый 2 5 2 5 5" xfId="9625" xr:uid="{00000000-0005-0000-0000-0000036A0000}"/>
    <cellStyle name="Финансовый 2 5 2 5 5 2" xfId="21603" xr:uid="{00000000-0005-0000-0000-0000046A0000}"/>
    <cellStyle name="Финансовый 2 5 2 5 5 2 2" xfId="45558" xr:uid="{00000000-0005-0000-0000-0000056A0000}"/>
    <cellStyle name="Финансовый 2 5 2 5 5 3" xfId="33580" xr:uid="{00000000-0005-0000-0000-0000066A0000}"/>
    <cellStyle name="Финансовый 2 5 2 5 6" xfId="13783" xr:uid="{00000000-0005-0000-0000-0000076A0000}"/>
    <cellStyle name="Финансовый 2 5 2 5 6 2" xfId="37738" xr:uid="{00000000-0005-0000-0000-0000086A0000}"/>
    <cellStyle name="Финансовый 2 5 2 5 7" xfId="25761" xr:uid="{00000000-0005-0000-0000-0000096A0000}"/>
    <cellStyle name="Финансовый 2 5 2 5 8" xfId="48894" xr:uid="{00000000-0005-0000-0000-00000A6A0000}"/>
    <cellStyle name="Финансовый 2 5 2 6" xfId="2449" xr:uid="{00000000-0005-0000-0000-00000B6A0000}"/>
    <cellStyle name="Финансовый 2 5 2 6 2" xfId="4094" xr:uid="{00000000-0005-0000-0000-00000C6A0000}"/>
    <cellStyle name="Финансовый 2 5 2 6 2 2" xfId="11826" xr:uid="{00000000-0005-0000-0000-00000D6A0000}"/>
    <cellStyle name="Финансовый 2 5 2 6 2 2 2" xfId="23804" xr:uid="{00000000-0005-0000-0000-00000E6A0000}"/>
    <cellStyle name="Финансовый 2 5 2 6 2 2 2 2" xfId="47759" xr:uid="{00000000-0005-0000-0000-00000F6A0000}"/>
    <cellStyle name="Финансовый 2 5 2 6 2 2 3" xfId="35781" xr:uid="{00000000-0005-0000-0000-0000106A0000}"/>
    <cellStyle name="Финансовый 2 5 2 6 2 3" xfId="16073" xr:uid="{00000000-0005-0000-0000-0000116A0000}"/>
    <cellStyle name="Финансовый 2 5 2 6 2 3 2" xfId="40028" xr:uid="{00000000-0005-0000-0000-0000126A0000}"/>
    <cellStyle name="Финансовый 2 5 2 6 2 4" xfId="28051" xr:uid="{00000000-0005-0000-0000-0000136A0000}"/>
    <cellStyle name="Финансовый 2 5 2 6 2 5" xfId="51320" xr:uid="{00000000-0005-0000-0000-0000146A0000}"/>
    <cellStyle name="Финансовый 2 5 2 6 3" xfId="5877" xr:uid="{00000000-0005-0000-0000-0000156A0000}"/>
    <cellStyle name="Финансовый 2 5 2 6 3 2" xfId="17855" xr:uid="{00000000-0005-0000-0000-0000166A0000}"/>
    <cellStyle name="Финансовый 2 5 2 6 3 2 2" xfId="41810" xr:uid="{00000000-0005-0000-0000-0000176A0000}"/>
    <cellStyle name="Финансовый 2 5 2 6 3 3" xfId="29832" xr:uid="{00000000-0005-0000-0000-0000186A0000}"/>
    <cellStyle name="Финансовый 2 5 2 6 4" xfId="8487" xr:uid="{00000000-0005-0000-0000-0000196A0000}"/>
    <cellStyle name="Финансовый 2 5 2 6 4 2" xfId="20465" xr:uid="{00000000-0005-0000-0000-00001A6A0000}"/>
    <cellStyle name="Финансовый 2 5 2 6 4 2 2" xfId="44420" xr:uid="{00000000-0005-0000-0000-00001B6A0000}"/>
    <cellStyle name="Финансовый 2 5 2 6 4 3" xfId="32442" xr:uid="{00000000-0005-0000-0000-00001C6A0000}"/>
    <cellStyle name="Финансовый 2 5 2 6 5" xfId="10270" xr:uid="{00000000-0005-0000-0000-00001D6A0000}"/>
    <cellStyle name="Финансовый 2 5 2 6 5 2" xfId="22248" xr:uid="{00000000-0005-0000-0000-00001E6A0000}"/>
    <cellStyle name="Финансовый 2 5 2 6 5 2 2" xfId="46203" xr:uid="{00000000-0005-0000-0000-00001F6A0000}"/>
    <cellStyle name="Финансовый 2 5 2 6 5 3" xfId="34225" xr:uid="{00000000-0005-0000-0000-0000206A0000}"/>
    <cellStyle name="Финансовый 2 5 2 6 6" xfId="14428" xr:uid="{00000000-0005-0000-0000-0000216A0000}"/>
    <cellStyle name="Финансовый 2 5 2 6 6 2" xfId="38383" xr:uid="{00000000-0005-0000-0000-0000226A0000}"/>
    <cellStyle name="Финансовый 2 5 2 6 7" xfId="26406" xr:uid="{00000000-0005-0000-0000-0000236A0000}"/>
    <cellStyle name="Финансовый 2 5 2 6 8" xfId="49539" xr:uid="{00000000-0005-0000-0000-0000246A0000}"/>
    <cellStyle name="Финансовый 2 5 2 7" xfId="1676" xr:uid="{00000000-0005-0000-0000-0000256A0000}"/>
    <cellStyle name="Финансовый 2 5 2 7 2" xfId="3321" xr:uid="{00000000-0005-0000-0000-0000266A0000}"/>
    <cellStyle name="Финансовый 2 5 2 7 2 2" xfId="11069" xr:uid="{00000000-0005-0000-0000-0000276A0000}"/>
    <cellStyle name="Финансовый 2 5 2 7 2 2 2" xfId="23047" xr:uid="{00000000-0005-0000-0000-0000286A0000}"/>
    <cellStyle name="Финансовый 2 5 2 7 2 2 2 2" xfId="47002" xr:uid="{00000000-0005-0000-0000-0000296A0000}"/>
    <cellStyle name="Финансовый 2 5 2 7 2 2 3" xfId="35024" xr:uid="{00000000-0005-0000-0000-00002A6A0000}"/>
    <cellStyle name="Финансовый 2 5 2 7 2 3" xfId="15300" xr:uid="{00000000-0005-0000-0000-00002B6A0000}"/>
    <cellStyle name="Финансовый 2 5 2 7 2 3 2" xfId="39255" xr:uid="{00000000-0005-0000-0000-00002C6A0000}"/>
    <cellStyle name="Финансовый 2 5 2 7 2 4" xfId="27278" xr:uid="{00000000-0005-0000-0000-00002D6A0000}"/>
    <cellStyle name="Финансовый 2 5 2 7 2 5" xfId="50547" xr:uid="{00000000-0005-0000-0000-00002E6A0000}"/>
    <cellStyle name="Финансовый 2 5 2 7 3" xfId="5104" xr:uid="{00000000-0005-0000-0000-00002F6A0000}"/>
    <cellStyle name="Финансовый 2 5 2 7 3 2" xfId="17082" xr:uid="{00000000-0005-0000-0000-0000306A0000}"/>
    <cellStyle name="Финансовый 2 5 2 7 3 2 2" xfId="41037" xr:uid="{00000000-0005-0000-0000-0000316A0000}"/>
    <cellStyle name="Финансовый 2 5 2 7 3 3" xfId="29059" xr:uid="{00000000-0005-0000-0000-0000326A0000}"/>
    <cellStyle name="Финансовый 2 5 2 7 4" xfId="7714" xr:uid="{00000000-0005-0000-0000-0000336A0000}"/>
    <cellStyle name="Финансовый 2 5 2 7 4 2" xfId="19692" xr:uid="{00000000-0005-0000-0000-0000346A0000}"/>
    <cellStyle name="Финансовый 2 5 2 7 4 2 2" xfId="43647" xr:uid="{00000000-0005-0000-0000-0000356A0000}"/>
    <cellStyle name="Финансовый 2 5 2 7 4 3" xfId="31669" xr:uid="{00000000-0005-0000-0000-0000366A0000}"/>
    <cellStyle name="Финансовый 2 5 2 7 5" xfId="9497" xr:uid="{00000000-0005-0000-0000-0000376A0000}"/>
    <cellStyle name="Финансовый 2 5 2 7 5 2" xfId="21475" xr:uid="{00000000-0005-0000-0000-0000386A0000}"/>
    <cellStyle name="Финансовый 2 5 2 7 5 2 2" xfId="45430" xr:uid="{00000000-0005-0000-0000-0000396A0000}"/>
    <cellStyle name="Финансовый 2 5 2 7 5 3" xfId="33452" xr:uid="{00000000-0005-0000-0000-00003A6A0000}"/>
    <cellStyle name="Финансовый 2 5 2 7 6" xfId="13655" xr:uid="{00000000-0005-0000-0000-00003B6A0000}"/>
    <cellStyle name="Финансовый 2 5 2 7 6 2" xfId="37610" xr:uid="{00000000-0005-0000-0000-00003C6A0000}"/>
    <cellStyle name="Финансовый 2 5 2 7 7" xfId="25633" xr:uid="{00000000-0005-0000-0000-00003D6A0000}"/>
    <cellStyle name="Финансовый 2 5 2 7 8" xfId="48766" xr:uid="{00000000-0005-0000-0000-00003E6A0000}"/>
    <cellStyle name="Финансовый 2 5 2 8" xfId="953" xr:uid="{00000000-0005-0000-0000-00003F6A0000}"/>
    <cellStyle name="Финансовый 2 5 2 8 2" xfId="6993" xr:uid="{00000000-0005-0000-0000-0000406A0000}"/>
    <cellStyle name="Финансовый 2 5 2 8 2 2" xfId="18971" xr:uid="{00000000-0005-0000-0000-0000416A0000}"/>
    <cellStyle name="Финансовый 2 5 2 8 2 2 2" xfId="42926" xr:uid="{00000000-0005-0000-0000-0000426A0000}"/>
    <cellStyle name="Финансовый 2 5 2 8 2 3" xfId="30948" xr:uid="{00000000-0005-0000-0000-0000436A0000}"/>
    <cellStyle name="Финансовый 2 5 2 8 3" xfId="10541" xr:uid="{00000000-0005-0000-0000-0000446A0000}"/>
    <cellStyle name="Финансовый 2 5 2 8 3 2" xfId="22519" xr:uid="{00000000-0005-0000-0000-0000456A0000}"/>
    <cellStyle name="Финансовый 2 5 2 8 3 2 2" xfId="46474" xr:uid="{00000000-0005-0000-0000-0000466A0000}"/>
    <cellStyle name="Финансовый 2 5 2 8 3 3" xfId="34496" xr:uid="{00000000-0005-0000-0000-0000476A0000}"/>
    <cellStyle name="Финансовый 2 5 2 8 4" xfId="12934" xr:uid="{00000000-0005-0000-0000-0000486A0000}"/>
    <cellStyle name="Финансовый 2 5 2 8 4 2" xfId="36889" xr:uid="{00000000-0005-0000-0000-0000496A0000}"/>
    <cellStyle name="Финансовый 2 5 2 8 5" xfId="24912" xr:uid="{00000000-0005-0000-0000-00004A6A0000}"/>
    <cellStyle name="Финансовый 2 5 2 8 6" xfId="49818" xr:uid="{00000000-0005-0000-0000-00004B6A0000}"/>
    <cellStyle name="Финансовый 2 5 2 9" xfId="541" xr:uid="{00000000-0005-0000-0000-00004C6A0000}"/>
    <cellStyle name="Финансовый 2 5 2 9 2" xfId="6581" xr:uid="{00000000-0005-0000-0000-00004D6A0000}"/>
    <cellStyle name="Финансовый 2 5 2 9 2 2" xfId="18559" xr:uid="{00000000-0005-0000-0000-00004E6A0000}"/>
    <cellStyle name="Финансовый 2 5 2 9 2 2 2" xfId="42514" xr:uid="{00000000-0005-0000-0000-00004F6A0000}"/>
    <cellStyle name="Финансовый 2 5 2 9 2 3" xfId="30536" xr:uid="{00000000-0005-0000-0000-0000506A0000}"/>
    <cellStyle name="Финансовый 2 5 2 9 3" xfId="12522" xr:uid="{00000000-0005-0000-0000-0000516A0000}"/>
    <cellStyle name="Финансовый 2 5 2 9 3 2" xfId="36477" xr:uid="{00000000-0005-0000-0000-0000526A0000}"/>
    <cellStyle name="Финансовый 2 5 2 9 4" xfId="24500" xr:uid="{00000000-0005-0000-0000-0000536A0000}"/>
    <cellStyle name="Финансовый 2 5 3" xfId="84" xr:uid="{00000000-0005-0000-0000-0000546A0000}"/>
    <cellStyle name="Финансовый 2 5 3 10" xfId="2694" xr:uid="{00000000-0005-0000-0000-0000556A0000}"/>
    <cellStyle name="Финансовый 2 5 3 10 2" xfId="14673" xr:uid="{00000000-0005-0000-0000-0000566A0000}"/>
    <cellStyle name="Финансовый 2 5 3 10 2 2" xfId="38628" xr:uid="{00000000-0005-0000-0000-0000576A0000}"/>
    <cellStyle name="Финансовый 2 5 3 10 3" xfId="26651" xr:uid="{00000000-0005-0000-0000-0000586A0000}"/>
    <cellStyle name="Финансовый 2 5 3 11" xfId="4338" xr:uid="{00000000-0005-0000-0000-0000596A0000}"/>
    <cellStyle name="Финансовый 2 5 3 11 2" xfId="16317" xr:uid="{00000000-0005-0000-0000-00005A6A0000}"/>
    <cellStyle name="Финансовый 2 5 3 11 2 2" xfId="40272" xr:uid="{00000000-0005-0000-0000-00005B6A0000}"/>
    <cellStyle name="Финансовый 2 5 3 11 3" xfId="28295" xr:uid="{00000000-0005-0000-0000-00005C6A0000}"/>
    <cellStyle name="Финансовый 2 5 3 12" xfId="6125" xr:uid="{00000000-0005-0000-0000-00005D6A0000}"/>
    <cellStyle name="Финансовый 2 5 3 12 2" xfId="18103" xr:uid="{00000000-0005-0000-0000-00005E6A0000}"/>
    <cellStyle name="Финансовый 2 5 3 12 2 2" xfId="42058" xr:uid="{00000000-0005-0000-0000-00005F6A0000}"/>
    <cellStyle name="Финансовый 2 5 3 12 3" xfId="30080" xr:uid="{00000000-0005-0000-0000-0000606A0000}"/>
    <cellStyle name="Финансовый 2 5 3 13" xfId="8732" xr:uid="{00000000-0005-0000-0000-0000616A0000}"/>
    <cellStyle name="Финансовый 2 5 3 13 2" xfId="20710" xr:uid="{00000000-0005-0000-0000-0000626A0000}"/>
    <cellStyle name="Финансовый 2 5 3 13 2 2" xfId="44665" xr:uid="{00000000-0005-0000-0000-0000636A0000}"/>
    <cellStyle name="Финансовый 2 5 3 13 3" xfId="32687" xr:uid="{00000000-0005-0000-0000-0000646A0000}"/>
    <cellStyle name="Финансовый 2 5 3 14" xfId="12066" xr:uid="{00000000-0005-0000-0000-0000656A0000}"/>
    <cellStyle name="Финансовый 2 5 3 14 2" xfId="36021" xr:uid="{00000000-0005-0000-0000-0000666A0000}"/>
    <cellStyle name="Финансовый 2 5 3 15" xfId="24044" xr:uid="{00000000-0005-0000-0000-0000676A0000}"/>
    <cellStyle name="Финансовый 2 5 3 16" xfId="48002" xr:uid="{00000000-0005-0000-0000-0000686A0000}"/>
    <cellStyle name="Финансовый 2 5 3 2" xfId="220" xr:uid="{00000000-0005-0000-0000-0000696A0000}"/>
    <cellStyle name="Финансовый 2 5 3 2 10" xfId="8868" xr:uid="{00000000-0005-0000-0000-00006A6A0000}"/>
    <cellStyle name="Финансовый 2 5 3 2 10 2" xfId="20846" xr:uid="{00000000-0005-0000-0000-00006B6A0000}"/>
    <cellStyle name="Финансовый 2 5 3 2 10 2 2" xfId="44801" xr:uid="{00000000-0005-0000-0000-00006C6A0000}"/>
    <cellStyle name="Финансовый 2 5 3 2 10 3" xfId="32823" xr:uid="{00000000-0005-0000-0000-00006D6A0000}"/>
    <cellStyle name="Финансовый 2 5 3 2 11" xfId="12202" xr:uid="{00000000-0005-0000-0000-00006E6A0000}"/>
    <cellStyle name="Финансовый 2 5 3 2 11 2" xfId="36157" xr:uid="{00000000-0005-0000-0000-00006F6A0000}"/>
    <cellStyle name="Финансовый 2 5 3 2 12" xfId="24180" xr:uid="{00000000-0005-0000-0000-0000706A0000}"/>
    <cellStyle name="Финансовый 2 5 3 2 13" xfId="48138" xr:uid="{00000000-0005-0000-0000-0000716A0000}"/>
    <cellStyle name="Финансовый 2 5 3 2 2" xfId="1318" xr:uid="{00000000-0005-0000-0000-0000726A0000}"/>
    <cellStyle name="Финансовый 2 5 3 2 2 2" xfId="2276" xr:uid="{00000000-0005-0000-0000-0000736A0000}"/>
    <cellStyle name="Финансовый 2 5 3 2 2 2 2" xfId="3921" xr:uid="{00000000-0005-0000-0000-0000746A0000}"/>
    <cellStyle name="Финансовый 2 5 3 2 2 2 2 2" xfId="11661" xr:uid="{00000000-0005-0000-0000-0000756A0000}"/>
    <cellStyle name="Финансовый 2 5 3 2 2 2 2 2 2" xfId="23639" xr:uid="{00000000-0005-0000-0000-0000766A0000}"/>
    <cellStyle name="Финансовый 2 5 3 2 2 2 2 2 2 2" xfId="47594" xr:uid="{00000000-0005-0000-0000-0000776A0000}"/>
    <cellStyle name="Финансовый 2 5 3 2 2 2 2 2 3" xfId="35616" xr:uid="{00000000-0005-0000-0000-0000786A0000}"/>
    <cellStyle name="Финансовый 2 5 3 2 2 2 2 3" xfId="15900" xr:uid="{00000000-0005-0000-0000-0000796A0000}"/>
    <cellStyle name="Финансовый 2 5 3 2 2 2 2 3 2" xfId="39855" xr:uid="{00000000-0005-0000-0000-00007A6A0000}"/>
    <cellStyle name="Финансовый 2 5 3 2 2 2 2 4" xfId="27878" xr:uid="{00000000-0005-0000-0000-00007B6A0000}"/>
    <cellStyle name="Финансовый 2 5 3 2 2 2 2 5" xfId="51147" xr:uid="{00000000-0005-0000-0000-00007C6A0000}"/>
    <cellStyle name="Финансовый 2 5 3 2 2 2 3" xfId="5704" xr:uid="{00000000-0005-0000-0000-00007D6A0000}"/>
    <cellStyle name="Финансовый 2 5 3 2 2 2 3 2" xfId="17682" xr:uid="{00000000-0005-0000-0000-00007E6A0000}"/>
    <cellStyle name="Финансовый 2 5 3 2 2 2 3 2 2" xfId="41637" xr:uid="{00000000-0005-0000-0000-00007F6A0000}"/>
    <cellStyle name="Финансовый 2 5 3 2 2 2 3 3" xfId="29659" xr:uid="{00000000-0005-0000-0000-0000806A0000}"/>
    <cellStyle name="Финансовый 2 5 3 2 2 2 4" xfId="8314" xr:uid="{00000000-0005-0000-0000-0000816A0000}"/>
    <cellStyle name="Финансовый 2 5 3 2 2 2 4 2" xfId="20292" xr:uid="{00000000-0005-0000-0000-0000826A0000}"/>
    <cellStyle name="Финансовый 2 5 3 2 2 2 4 2 2" xfId="44247" xr:uid="{00000000-0005-0000-0000-0000836A0000}"/>
    <cellStyle name="Финансовый 2 5 3 2 2 2 4 3" xfId="32269" xr:uid="{00000000-0005-0000-0000-0000846A0000}"/>
    <cellStyle name="Финансовый 2 5 3 2 2 2 5" xfId="10097" xr:uid="{00000000-0005-0000-0000-0000856A0000}"/>
    <cellStyle name="Финансовый 2 5 3 2 2 2 5 2" xfId="22075" xr:uid="{00000000-0005-0000-0000-0000866A0000}"/>
    <cellStyle name="Финансовый 2 5 3 2 2 2 5 2 2" xfId="46030" xr:uid="{00000000-0005-0000-0000-0000876A0000}"/>
    <cellStyle name="Финансовый 2 5 3 2 2 2 5 3" xfId="34052" xr:uid="{00000000-0005-0000-0000-0000886A0000}"/>
    <cellStyle name="Финансовый 2 5 3 2 2 2 6" xfId="14255" xr:uid="{00000000-0005-0000-0000-0000896A0000}"/>
    <cellStyle name="Финансовый 2 5 3 2 2 2 6 2" xfId="38210" xr:uid="{00000000-0005-0000-0000-00008A6A0000}"/>
    <cellStyle name="Финансовый 2 5 3 2 2 2 7" xfId="26233" xr:uid="{00000000-0005-0000-0000-00008B6A0000}"/>
    <cellStyle name="Финансовый 2 5 3 2 2 2 8" xfId="49366" xr:uid="{00000000-0005-0000-0000-00008C6A0000}"/>
    <cellStyle name="Финансовый 2 5 3 2 2 3" xfId="3102" xr:uid="{00000000-0005-0000-0000-00008D6A0000}"/>
    <cellStyle name="Финансовый 2 5 3 2 2 3 2" xfId="10889" xr:uid="{00000000-0005-0000-0000-00008E6A0000}"/>
    <cellStyle name="Финансовый 2 5 3 2 2 3 2 2" xfId="22867" xr:uid="{00000000-0005-0000-0000-00008F6A0000}"/>
    <cellStyle name="Финансовый 2 5 3 2 2 3 2 2 2" xfId="46822" xr:uid="{00000000-0005-0000-0000-0000906A0000}"/>
    <cellStyle name="Финансовый 2 5 3 2 2 3 2 3" xfId="34844" xr:uid="{00000000-0005-0000-0000-0000916A0000}"/>
    <cellStyle name="Финансовый 2 5 3 2 2 3 3" xfId="15081" xr:uid="{00000000-0005-0000-0000-0000926A0000}"/>
    <cellStyle name="Финансовый 2 5 3 2 2 3 3 2" xfId="39036" xr:uid="{00000000-0005-0000-0000-0000936A0000}"/>
    <cellStyle name="Финансовый 2 5 3 2 2 3 4" xfId="27059" xr:uid="{00000000-0005-0000-0000-0000946A0000}"/>
    <cellStyle name="Финансовый 2 5 3 2 2 3 5" xfId="50190" xr:uid="{00000000-0005-0000-0000-0000956A0000}"/>
    <cellStyle name="Финансовый 2 5 3 2 2 4" xfId="4746" xr:uid="{00000000-0005-0000-0000-0000966A0000}"/>
    <cellStyle name="Финансовый 2 5 3 2 2 4 2" xfId="16725" xr:uid="{00000000-0005-0000-0000-0000976A0000}"/>
    <cellStyle name="Финансовый 2 5 3 2 2 4 2 2" xfId="40680" xr:uid="{00000000-0005-0000-0000-0000986A0000}"/>
    <cellStyle name="Финансовый 2 5 3 2 2 4 3" xfId="28703" xr:uid="{00000000-0005-0000-0000-0000996A0000}"/>
    <cellStyle name="Финансовый 2 5 3 2 2 5" xfId="7358" xr:uid="{00000000-0005-0000-0000-00009A6A0000}"/>
    <cellStyle name="Финансовый 2 5 3 2 2 5 2" xfId="19336" xr:uid="{00000000-0005-0000-0000-00009B6A0000}"/>
    <cellStyle name="Финансовый 2 5 3 2 2 5 2 2" xfId="43291" xr:uid="{00000000-0005-0000-0000-00009C6A0000}"/>
    <cellStyle name="Финансовый 2 5 3 2 2 5 3" xfId="31313" xr:uid="{00000000-0005-0000-0000-00009D6A0000}"/>
    <cellStyle name="Финансовый 2 5 3 2 2 6" xfId="9140" xr:uid="{00000000-0005-0000-0000-00009E6A0000}"/>
    <cellStyle name="Финансовый 2 5 3 2 2 6 2" xfId="21118" xr:uid="{00000000-0005-0000-0000-00009F6A0000}"/>
    <cellStyle name="Финансовый 2 5 3 2 2 6 2 2" xfId="45073" xr:uid="{00000000-0005-0000-0000-0000A06A0000}"/>
    <cellStyle name="Финансовый 2 5 3 2 2 6 3" xfId="33095" xr:uid="{00000000-0005-0000-0000-0000A16A0000}"/>
    <cellStyle name="Финансовый 2 5 3 2 2 7" xfId="13299" xr:uid="{00000000-0005-0000-0000-0000A26A0000}"/>
    <cellStyle name="Финансовый 2 5 3 2 2 7 2" xfId="37254" xr:uid="{00000000-0005-0000-0000-0000A36A0000}"/>
    <cellStyle name="Финансовый 2 5 3 2 2 8" xfId="25277" xr:uid="{00000000-0005-0000-0000-0000A46A0000}"/>
    <cellStyle name="Финансовый 2 5 3 2 2 9" xfId="48410" xr:uid="{00000000-0005-0000-0000-0000A56A0000}"/>
    <cellStyle name="Финансовый 2 5 3 2 3" xfId="2020" xr:uid="{00000000-0005-0000-0000-0000A66A0000}"/>
    <cellStyle name="Финансовый 2 5 3 2 3 2" xfId="3665" xr:uid="{00000000-0005-0000-0000-0000A76A0000}"/>
    <cellStyle name="Финансовый 2 5 3 2 3 2 2" xfId="11405" xr:uid="{00000000-0005-0000-0000-0000A86A0000}"/>
    <cellStyle name="Финансовый 2 5 3 2 3 2 2 2" xfId="23383" xr:uid="{00000000-0005-0000-0000-0000A96A0000}"/>
    <cellStyle name="Финансовый 2 5 3 2 3 2 2 2 2" xfId="47338" xr:uid="{00000000-0005-0000-0000-0000AA6A0000}"/>
    <cellStyle name="Финансовый 2 5 3 2 3 2 2 3" xfId="35360" xr:uid="{00000000-0005-0000-0000-0000AB6A0000}"/>
    <cellStyle name="Финансовый 2 5 3 2 3 2 3" xfId="15644" xr:uid="{00000000-0005-0000-0000-0000AC6A0000}"/>
    <cellStyle name="Финансовый 2 5 3 2 3 2 3 2" xfId="39599" xr:uid="{00000000-0005-0000-0000-0000AD6A0000}"/>
    <cellStyle name="Финансовый 2 5 3 2 3 2 4" xfId="27622" xr:uid="{00000000-0005-0000-0000-0000AE6A0000}"/>
    <cellStyle name="Финансовый 2 5 3 2 3 2 5" xfId="50891" xr:uid="{00000000-0005-0000-0000-0000AF6A0000}"/>
    <cellStyle name="Финансовый 2 5 3 2 3 3" xfId="5448" xr:uid="{00000000-0005-0000-0000-0000B06A0000}"/>
    <cellStyle name="Финансовый 2 5 3 2 3 3 2" xfId="17426" xr:uid="{00000000-0005-0000-0000-0000B16A0000}"/>
    <cellStyle name="Финансовый 2 5 3 2 3 3 2 2" xfId="41381" xr:uid="{00000000-0005-0000-0000-0000B26A0000}"/>
    <cellStyle name="Финансовый 2 5 3 2 3 3 3" xfId="29403" xr:uid="{00000000-0005-0000-0000-0000B36A0000}"/>
    <cellStyle name="Финансовый 2 5 3 2 3 4" xfId="8058" xr:uid="{00000000-0005-0000-0000-0000B46A0000}"/>
    <cellStyle name="Финансовый 2 5 3 2 3 4 2" xfId="20036" xr:uid="{00000000-0005-0000-0000-0000B56A0000}"/>
    <cellStyle name="Финансовый 2 5 3 2 3 4 2 2" xfId="43991" xr:uid="{00000000-0005-0000-0000-0000B66A0000}"/>
    <cellStyle name="Финансовый 2 5 3 2 3 4 3" xfId="32013" xr:uid="{00000000-0005-0000-0000-0000B76A0000}"/>
    <cellStyle name="Финансовый 2 5 3 2 3 5" xfId="9841" xr:uid="{00000000-0005-0000-0000-0000B86A0000}"/>
    <cellStyle name="Финансовый 2 5 3 2 3 5 2" xfId="21819" xr:uid="{00000000-0005-0000-0000-0000B96A0000}"/>
    <cellStyle name="Финансовый 2 5 3 2 3 5 2 2" xfId="45774" xr:uid="{00000000-0005-0000-0000-0000BA6A0000}"/>
    <cellStyle name="Финансовый 2 5 3 2 3 5 3" xfId="33796" xr:uid="{00000000-0005-0000-0000-0000BB6A0000}"/>
    <cellStyle name="Финансовый 2 5 3 2 3 6" xfId="13999" xr:uid="{00000000-0005-0000-0000-0000BC6A0000}"/>
    <cellStyle name="Финансовый 2 5 3 2 3 6 2" xfId="37954" xr:uid="{00000000-0005-0000-0000-0000BD6A0000}"/>
    <cellStyle name="Финансовый 2 5 3 2 3 7" xfId="25977" xr:uid="{00000000-0005-0000-0000-0000BE6A0000}"/>
    <cellStyle name="Финансовый 2 5 3 2 3 8" xfId="49110" xr:uid="{00000000-0005-0000-0000-0000BF6A0000}"/>
    <cellStyle name="Финансовый 2 5 3 2 4" xfId="2549" xr:uid="{00000000-0005-0000-0000-0000C06A0000}"/>
    <cellStyle name="Финансовый 2 5 3 2 4 2" xfId="4194" xr:uid="{00000000-0005-0000-0000-0000C16A0000}"/>
    <cellStyle name="Финансовый 2 5 3 2 4 2 2" xfId="11918" xr:uid="{00000000-0005-0000-0000-0000C26A0000}"/>
    <cellStyle name="Финансовый 2 5 3 2 4 2 2 2" xfId="23896" xr:uid="{00000000-0005-0000-0000-0000C36A0000}"/>
    <cellStyle name="Финансовый 2 5 3 2 4 2 2 2 2" xfId="47851" xr:uid="{00000000-0005-0000-0000-0000C46A0000}"/>
    <cellStyle name="Финансовый 2 5 3 2 4 2 2 3" xfId="35873" xr:uid="{00000000-0005-0000-0000-0000C56A0000}"/>
    <cellStyle name="Финансовый 2 5 3 2 4 2 3" xfId="16173" xr:uid="{00000000-0005-0000-0000-0000C66A0000}"/>
    <cellStyle name="Финансовый 2 5 3 2 4 2 3 2" xfId="40128" xr:uid="{00000000-0005-0000-0000-0000C76A0000}"/>
    <cellStyle name="Финансовый 2 5 3 2 4 2 4" xfId="28151" xr:uid="{00000000-0005-0000-0000-0000C86A0000}"/>
    <cellStyle name="Финансовый 2 5 3 2 4 2 5" xfId="51420" xr:uid="{00000000-0005-0000-0000-0000C96A0000}"/>
    <cellStyle name="Финансовый 2 5 3 2 4 3" xfId="5977" xr:uid="{00000000-0005-0000-0000-0000CA6A0000}"/>
    <cellStyle name="Финансовый 2 5 3 2 4 3 2" xfId="17955" xr:uid="{00000000-0005-0000-0000-0000CB6A0000}"/>
    <cellStyle name="Финансовый 2 5 3 2 4 3 2 2" xfId="41910" xr:uid="{00000000-0005-0000-0000-0000CC6A0000}"/>
    <cellStyle name="Финансовый 2 5 3 2 4 3 3" xfId="29932" xr:uid="{00000000-0005-0000-0000-0000CD6A0000}"/>
    <cellStyle name="Финансовый 2 5 3 2 4 4" xfId="8587" xr:uid="{00000000-0005-0000-0000-0000CE6A0000}"/>
    <cellStyle name="Финансовый 2 5 3 2 4 4 2" xfId="20565" xr:uid="{00000000-0005-0000-0000-0000CF6A0000}"/>
    <cellStyle name="Финансовый 2 5 3 2 4 4 2 2" xfId="44520" xr:uid="{00000000-0005-0000-0000-0000D06A0000}"/>
    <cellStyle name="Финансовый 2 5 3 2 4 4 3" xfId="32542" xr:uid="{00000000-0005-0000-0000-0000D16A0000}"/>
    <cellStyle name="Финансовый 2 5 3 2 4 5" xfId="10370" xr:uid="{00000000-0005-0000-0000-0000D26A0000}"/>
    <cellStyle name="Финансовый 2 5 3 2 4 5 2" xfId="22348" xr:uid="{00000000-0005-0000-0000-0000D36A0000}"/>
    <cellStyle name="Финансовый 2 5 3 2 4 5 2 2" xfId="46303" xr:uid="{00000000-0005-0000-0000-0000D46A0000}"/>
    <cellStyle name="Финансовый 2 5 3 2 4 5 3" xfId="34325" xr:uid="{00000000-0005-0000-0000-0000D56A0000}"/>
    <cellStyle name="Финансовый 2 5 3 2 4 6" xfId="14528" xr:uid="{00000000-0005-0000-0000-0000D66A0000}"/>
    <cellStyle name="Финансовый 2 5 3 2 4 6 2" xfId="38483" xr:uid="{00000000-0005-0000-0000-0000D76A0000}"/>
    <cellStyle name="Финансовый 2 5 3 2 4 7" xfId="26506" xr:uid="{00000000-0005-0000-0000-0000D86A0000}"/>
    <cellStyle name="Финансовый 2 5 3 2 4 8" xfId="49639" xr:uid="{00000000-0005-0000-0000-0000D96A0000}"/>
    <cellStyle name="Финансовый 2 5 3 2 5" xfId="1053" xr:uid="{00000000-0005-0000-0000-0000DA6A0000}"/>
    <cellStyle name="Финансовый 2 5 3 2 5 2" xfId="7093" xr:uid="{00000000-0005-0000-0000-0000DB6A0000}"/>
    <cellStyle name="Финансовый 2 5 3 2 5 2 2" xfId="19071" xr:uid="{00000000-0005-0000-0000-0000DC6A0000}"/>
    <cellStyle name="Финансовый 2 5 3 2 5 2 2 2" xfId="43026" xr:uid="{00000000-0005-0000-0000-0000DD6A0000}"/>
    <cellStyle name="Финансовый 2 5 3 2 5 2 3" xfId="31048" xr:uid="{00000000-0005-0000-0000-0000DE6A0000}"/>
    <cellStyle name="Финансовый 2 5 3 2 5 3" xfId="10633" xr:uid="{00000000-0005-0000-0000-0000DF6A0000}"/>
    <cellStyle name="Финансовый 2 5 3 2 5 3 2" xfId="22611" xr:uid="{00000000-0005-0000-0000-0000E06A0000}"/>
    <cellStyle name="Финансовый 2 5 3 2 5 3 2 2" xfId="46566" xr:uid="{00000000-0005-0000-0000-0000E16A0000}"/>
    <cellStyle name="Финансовый 2 5 3 2 5 3 3" xfId="34588" xr:uid="{00000000-0005-0000-0000-0000E26A0000}"/>
    <cellStyle name="Финансовый 2 5 3 2 5 4" xfId="13034" xr:uid="{00000000-0005-0000-0000-0000E36A0000}"/>
    <cellStyle name="Финансовый 2 5 3 2 5 4 2" xfId="36989" xr:uid="{00000000-0005-0000-0000-0000E46A0000}"/>
    <cellStyle name="Финансовый 2 5 3 2 5 5" xfId="25012" xr:uid="{00000000-0005-0000-0000-0000E56A0000}"/>
    <cellStyle name="Финансовый 2 5 3 2 5 6" xfId="49918" xr:uid="{00000000-0005-0000-0000-0000E66A0000}"/>
    <cellStyle name="Финансовый 2 5 3 2 6" xfId="641" xr:uid="{00000000-0005-0000-0000-0000E76A0000}"/>
    <cellStyle name="Финансовый 2 5 3 2 6 2" xfId="6681" xr:uid="{00000000-0005-0000-0000-0000E86A0000}"/>
    <cellStyle name="Финансовый 2 5 3 2 6 2 2" xfId="18659" xr:uid="{00000000-0005-0000-0000-0000E96A0000}"/>
    <cellStyle name="Финансовый 2 5 3 2 6 2 2 2" xfId="42614" xr:uid="{00000000-0005-0000-0000-0000EA6A0000}"/>
    <cellStyle name="Финансовый 2 5 3 2 6 2 3" xfId="30636" xr:uid="{00000000-0005-0000-0000-0000EB6A0000}"/>
    <cellStyle name="Финансовый 2 5 3 2 6 3" xfId="12622" xr:uid="{00000000-0005-0000-0000-0000EC6A0000}"/>
    <cellStyle name="Финансовый 2 5 3 2 6 3 2" xfId="36577" xr:uid="{00000000-0005-0000-0000-0000ED6A0000}"/>
    <cellStyle name="Финансовый 2 5 3 2 6 4" xfId="24600" xr:uid="{00000000-0005-0000-0000-0000EE6A0000}"/>
    <cellStyle name="Финансовый 2 5 3 2 7" xfId="2830" xr:uid="{00000000-0005-0000-0000-0000EF6A0000}"/>
    <cellStyle name="Финансовый 2 5 3 2 7 2" xfId="14809" xr:uid="{00000000-0005-0000-0000-0000F06A0000}"/>
    <cellStyle name="Финансовый 2 5 3 2 7 2 2" xfId="38764" xr:uid="{00000000-0005-0000-0000-0000F16A0000}"/>
    <cellStyle name="Финансовый 2 5 3 2 7 3" xfId="26787" xr:uid="{00000000-0005-0000-0000-0000F26A0000}"/>
    <cellStyle name="Финансовый 2 5 3 2 8" xfId="4474" xr:uid="{00000000-0005-0000-0000-0000F36A0000}"/>
    <cellStyle name="Финансовый 2 5 3 2 8 2" xfId="16453" xr:uid="{00000000-0005-0000-0000-0000F46A0000}"/>
    <cellStyle name="Финансовый 2 5 3 2 8 2 2" xfId="40408" xr:uid="{00000000-0005-0000-0000-0000F56A0000}"/>
    <cellStyle name="Финансовый 2 5 3 2 8 3" xfId="28431" xr:uid="{00000000-0005-0000-0000-0000F66A0000}"/>
    <cellStyle name="Финансовый 2 5 3 2 9" xfId="6261" xr:uid="{00000000-0005-0000-0000-0000F76A0000}"/>
    <cellStyle name="Финансовый 2 5 3 2 9 2" xfId="18239" xr:uid="{00000000-0005-0000-0000-0000F86A0000}"/>
    <cellStyle name="Финансовый 2 5 3 2 9 2 2" xfId="42194" xr:uid="{00000000-0005-0000-0000-0000F96A0000}"/>
    <cellStyle name="Финансовый 2 5 3 2 9 3" xfId="30216" xr:uid="{00000000-0005-0000-0000-0000FA6A0000}"/>
    <cellStyle name="Финансовый 2 5 3 3" xfId="369" xr:uid="{00000000-0005-0000-0000-0000FB6A0000}"/>
    <cellStyle name="Финансовый 2 5 3 3 10" xfId="24328" xr:uid="{00000000-0005-0000-0000-0000FC6A0000}"/>
    <cellStyle name="Финансовый 2 5 3 3 11" xfId="48274" xr:uid="{00000000-0005-0000-0000-0000FD6A0000}"/>
    <cellStyle name="Финансовый 2 5 3 3 2" xfId="2148" xr:uid="{00000000-0005-0000-0000-0000FE6A0000}"/>
    <cellStyle name="Финансовый 2 5 3 3 2 2" xfId="3793" xr:uid="{00000000-0005-0000-0000-0000FF6A0000}"/>
    <cellStyle name="Финансовый 2 5 3 3 2 2 2" xfId="11533" xr:uid="{00000000-0005-0000-0000-0000006B0000}"/>
    <cellStyle name="Финансовый 2 5 3 3 2 2 2 2" xfId="23511" xr:uid="{00000000-0005-0000-0000-0000016B0000}"/>
    <cellStyle name="Финансовый 2 5 3 3 2 2 2 2 2" xfId="47466" xr:uid="{00000000-0005-0000-0000-0000026B0000}"/>
    <cellStyle name="Финансовый 2 5 3 3 2 2 2 3" xfId="35488" xr:uid="{00000000-0005-0000-0000-0000036B0000}"/>
    <cellStyle name="Финансовый 2 5 3 3 2 2 3" xfId="15772" xr:uid="{00000000-0005-0000-0000-0000046B0000}"/>
    <cellStyle name="Финансовый 2 5 3 3 2 2 3 2" xfId="39727" xr:uid="{00000000-0005-0000-0000-0000056B0000}"/>
    <cellStyle name="Финансовый 2 5 3 3 2 2 4" xfId="27750" xr:uid="{00000000-0005-0000-0000-0000066B0000}"/>
    <cellStyle name="Финансовый 2 5 3 3 2 2 5" xfId="51019" xr:uid="{00000000-0005-0000-0000-0000076B0000}"/>
    <cellStyle name="Финансовый 2 5 3 3 2 3" xfId="5576" xr:uid="{00000000-0005-0000-0000-0000086B0000}"/>
    <cellStyle name="Финансовый 2 5 3 3 2 3 2" xfId="17554" xr:uid="{00000000-0005-0000-0000-0000096B0000}"/>
    <cellStyle name="Финансовый 2 5 3 3 2 3 2 2" xfId="41509" xr:uid="{00000000-0005-0000-0000-00000A6B0000}"/>
    <cellStyle name="Финансовый 2 5 3 3 2 3 3" xfId="29531" xr:uid="{00000000-0005-0000-0000-00000B6B0000}"/>
    <cellStyle name="Финансовый 2 5 3 3 2 4" xfId="8186" xr:uid="{00000000-0005-0000-0000-00000C6B0000}"/>
    <cellStyle name="Финансовый 2 5 3 3 2 4 2" xfId="20164" xr:uid="{00000000-0005-0000-0000-00000D6B0000}"/>
    <cellStyle name="Финансовый 2 5 3 3 2 4 2 2" xfId="44119" xr:uid="{00000000-0005-0000-0000-00000E6B0000}"/>
    <cellStyle name="Финансовый 2 5 3 3 2 4 3" xfId="32141" xr:uid="{00000000-0005-0000-0000-00000F6B0000}"/>
    <cellStyle name="Финансовый 2 5 3 3 2 5" xfId="9969" xr:uid="{00000000-0005-0000-0000-0000106B0000}"/>
    <cellStyle name="Финансовый 2 5 3 3 2 5 2" xfId="21947" xr:uid="{00000000-0005-0000-0000-0000116B0000}"/>
    <cellStyle name="Финансовый 2 5 3 3 2 5 2 2" xfId="45902" xr:uid="{00000000-0005-0000-0000-0000126B0000}"/>
    <cellStyle name="Финансовый 2 5 3 3 2 5 3" xfId="33924" xr:uid="{00000000-0005-0000-0000-0000136B0000}"/>
    <cellStyle name="Финансовый 2 5 3 3 2 6" xfId="14127" xr:uid="{00000000-0005-0000-0000-0000146B0000}"/>
    <cellStyle name="Финансовый 2 5 3 3 2 6 2" xfId="38082" xr:uid="{00000000-0005-0000-0000-0000156B0000}"/>
    <cellStyle name="Финансовый 2 5 3 3 2 7" xfId="26105" xr:uid="{00000000-0005-0000-0000-0000166B0000}"/>
    <cellStyle name="Финансовый 2 5 3 3 2 8" xfId="49238" xr:uid="{00000000-0005-0000-0000-0000176B0000}"/>
    <cellStyle name="Финансовый 2 5 3 3 3" xfId="1182" xr:uid="{00000000-0005-0000-0000-0000186B0000}"/>
    <cellStyle name="Финансовый 2 5 3 3 3 2" xfId="7222" xr:uid="{00000000-0005-0000-0000-0000196B0000}"/>
    <cellStyle name="Финансовый 2 5 3 3 3 2 2" xfId="19200" xr:uid="{00000000-0005-0000-0000-00001A6B0000}"/>
    <cellStyle name="Финансовый 2 5 3 3 3 2 2 2" xfId="43155" xr:uid="{00000000-0005-0000-0000-00001B6B0000}"/>
    <cellStyle name="Финансовый 2 5 3 3 3 2 3" xfId="31177" xr:uid="{00000000-0005-0000-0000-00001C6B0000}"/>
    <cellStyle name="Финансовый 2 5 3 3 3 3" xfId="10761" xr:uid="{00000000-0005-0000-0000-00001D6B0000}"/>
    <cellStyle name="Финансовый 2 5 3 3 3 3 2" xfId="22739" xr:uid="{00000000-0005-0000-0000-00001E6B0000}"/>
    <cellStyle name="Финансовый 2 5 3 3 3 3 2 2" xfId="46694" xr:uid="{00000000-0005-0000-0000-00001F6B0000}"/>
    <cellStyle name="Финансовый 2 5 3 3 3 3 3" xfId="34716" xr:uid="{00000000-0005-0000-0000-0000206B0000}"/>
    <cellStyle name="Финансовый 2 5 3 3 3 4" xfId="13163" xr:uid="{00000000-0005-0000-0000-0000216B0000}"/>
    <cellStyle name="Финансовый 2 5 3 3 3 4 2" xfId="37118" xr:uid="{00000000-0005-0000-0000-0000226B0000}"/>
    <cellStyle name="Финансовый 2 5 3 3 3 5" xfId="25141" xr:uid="{00000000-0005-0000-0000-0000236B0000}"/>
    <cellStyle name="Финансовый 2 5 3 3 3 6" xfId="50054" xr:uid="{00000000-0005-0000-0000-0000246B0000}"/>
    <cellStyle name="Финансовый 2 5 3 3 4" xfId="789" xr:uid="{00000000-0005-0000-0000-0000256B0000}"/>
    <cellStyle name="Финансовый 2 5 3 3 4 2" xfId="6829" xr:uid="{00000000-0005-0000-0000-0000266B0000}"/>
    <cellStyle name="Финансовый 2 5 3 3 4 2 2" xfId="18807" xr:uid="{00000000-0005-0000-0000-0000276B0000}"/>
    <cellStyle name="Финансовый 2 5 3 3 4 2 2 2" xfId="42762" xr:uid="{00000000-0005-0000-0000-0000286B0000}"/>
    <cellStyle name="Финансовый 2 5 3 3 4 2 3" xfId="30784" xr:uid="{00000000-0005-0000-0000-0000296B0000}"/>
    <cellStyle name="Финансовый 2 5 3 3 4 3" xfId="12770" xr:uid="{00000000-0005-0000-0000-00002A6B0000}"/>
    <cellStyle name="Финансовый 2 5 3 3 4 3 2" xfId="36725" xr:uid="{00000000-0005-0000-0000-00002B6B0000}"/>
    <cellStyle name="Финансовый 2 5 3 3 4 4" xfId="24748" xr:uid="{00000000-0005-0000-0000-00002C6B0000}"/>
    <cellStyle name="Финансовый 2 5 3 3 5" xfId="2966" xr:uid="{00000000-0005-0000-0000-00002D6B0000}"/>
    <cellStyle name="Финансовый 2 5 3 3 5 2" xfId="14945" xr:uid="{00000000-0005-0000-0000-00002E6B0000}"/>
    <cellStyle name="Финансовый 2 5 3 3 5 2 2" xfId="38900" xr:uid="{00000000-0005-0000-0000-00002F6B0000}"/>
    <cellStyle name="Финансовый 2 5 3 3 5 3" xfId="26923" xr:uid="{00000000-0005-0000-0000-0000306B0000}"/>
    <cellStyle name="Финансовый 2 5 3 3 6" xfId="4610" xr:uid="{00000000-0005-0000-0000-0000316B0000}"/>
    <cellStyle name="Финансовый 2 5 3 3 6 2" xfId="16589" xr:uid="{00000000-0005-0000-0000-0000326B0000}"/>
    <cellStyle name="Финансовый 2 5 3 3 6 2 2" xfId="40544" xr:uid="{00000000-0005-0000-0000-0000336B0000}"/>
    <cellStyle name="Финансовый 2 5 3 3 6 3" xfId="28567" xr:uid="{00000000-0005-0000-0000-0000346B0000}"/>
    <cellStyle name="Финансовый 2 5 3 3 7" xfId="6409" xr:uid="{00000000-0005-0000-0000-0000356B0000}"/>
    <cellStyle name="Финансовый 2 5 3 3 7 2" xfId="18387" xr:uid="{00000000-0005-0000-0000-0000366B0000}"/>
    <cellStyle name="Финансовый 2 5 3 3 7 2 2" xfId="42342" xr:uid="{00000000-0005-0000-0000-0000376B0000}"/>
    <cellStyle name="Финансовый 2 5 3 3 7 3" xfId="30364" xr:uid="{00000000-0005-0000-0000-0000386B0000}"/>
    <cellStyle name="Финансовый 2 5 3 3 8" xfId="9004" xr:uid="{00000000-0005-0000-0000-0000396B0000}"/>
    <cellStyle name="Финансовый 2 5 3 3 8 2" xfId="20982" xr:uid="{00000000-0005-0000-0000-00003A6B0000}"/>
    <cellStyle name="Финансовый 2 5 3 3 8 2 2" xfId="44937" xr:uid="{00000000-0005-0000-0000-00003B6B0000}"/>
    <cellStyle name="Финансовый 2 5 3 3 8 3" xfId="32959" xr:uid="{00000000-0005-0000-0000-00003C6B0000}"/>
    <cellStyle name="Финансовый 2 5 3 3 9" xfId="12350" xr:uid="{00000000-0005-0000-0000-00003D6B0000}"/>
    <cellStyle name="Финансовый 2 5 3 3 9 2" xfId="36305" xr:uid="{00000000-0005-0000-0000-00003E6B0000}"/>
    <cellStyle name="Финансовый 2 5 3 4" xfId="1437" xr:uid="{00000000-0005-0000-0000-00003F6B0000}"/>
    <cellStyle name="Финансовый 2 5 3 4 2" xfId="1892" xr:uid="{00000000-0005-0000-0000-0000406B0000}"/>
    <cellStyle name="Финансовый 2 5 3 4 2 2" xfId="3537" xr:uid="{00000000-0005-0000-0000-0000416B0000}"/>
    <cellStyle name="Финансовый 2 5 3 4 2 2 2" xfId="11277" xr:uid="{00000000-0005-0000-0000-0000426B0000}"/>
    <cellStyle name="Финансовый 2 5 3 4 2 2 2 2" xfId="23255" xr:uid="{00000000-0005-0000-0000-0000436B0000}"/>
    <cellStyle name="Финансовый 2 5 3 4 2 2 2 2 2" xfId="47210" xr:uid="{00000000-0005-0000-0000-0000446B0000}"/>
    <cellStyle name="Финансовый 2 5 3 4 2 2 2 3" xfId="35232" xr:uid="{00000000-0005-0000-0000-0000456B0000}"/>
    <cellStyle name="Финансовый 2 5 3 4 2 2 3" xfId="15516" xr:uid="{00000000-0005-0000-0000-0000466B0000}"/>
    <cellStyle name="Финансовый 2 5 3 4 2 2 3 2" xfId="39471" xr:uid="{00000000-0005-0000-0000-0000476B0000}"/>
    <cellStyle name="Финансовый 2 5 3 4 2 2 4" xfId="27494" xr:uid="{00000000-0005-0000-0000-0000486B0000}"/>
    <cellStyle name="Финансовый 2 5 3 4 2 2 5" xfId="50763" xr:uid="{00000000-0005-0000-0000-0000496B0000}"/>
    <cellStyle name="Финансовый 2 5 3 4 2 3" xfId="5320" xr:uid="{00000000-0005-0000-0000-00004A6B0000}"/>
    <cellStyle name="Финансовый 2 5 3 4 2 3 2" xfId="17298" xr:uid="{00000000-0005-0000-0000-00004B6B0000}"/>
    <cellStyle name="Финансовый 2 5 3 4 2 3 2 2" xfId="41253" xr:uid="{00000000-0005-0000-0000-00004C6B0000}"/>
    <cellStyle name="Финансовый 2 5 3 4 2 3 3" xfId="29275" xr:uid="{00000000-0005-0000-0000-00004D6B0000}"/>
    <cellStyle name="Финансовый 2 5 3 4 2 4" xfId="7930" xr:uid="{00000000-0005-0000-0000-00004E6B0000}"/>
    <cellStyle name="Финансовый 2 5 3 4 2 4 2" xfId="19908" xr:uid="{00000000-0005-0000-0000-00004F6B0000}"/>
    <cellStyle name="Финансовый 2 5 3 4 2 4 2 2" xfId="43863" xr:uid="{00000000-0005-0000-0000-0000506B0000}"/>
    <cellStyle name="Финансовый 2 5 3 4 2 4 3" xfId="31885" xr:uid="{00000000-0005-0000-0000-0000516B0000}"/>
    <cellStyle name="Финансовый 2 5 3 4 2 5" xfId="9713" xr:uid="{00000000-0005-0000-0000-0000526B0000}"/>
    <cellStyle name="Финансовый 2 5 3 4 2 5 2" xfId="21691" xr:uid="{00000000-0005-0000-0000-0000536B0000}"/>
    <cellStyle name="Финансовый 2 5 3 4 2 5 2 2" xfId="45646" xr:uid="{00000000-0005-0000-0000-0000546B0000}"/>
    <cellStyle name="Финансовый 2 5 3 4 2 5 3" xfId="33668" xr:uid="{00000000-0005-0000-0000-0000556B0000}"/>
    <cellStyle name="Финансовый 2 5 3 4 2 6" xfId="13871" xr:uid="{00000000-0005-0000-0000-0000566B0000}"/>
    <cellStyle name="Финансовый 2 5 3 4 2 6 2" xfId="37826" xr:uid="{00000000-0005-0000-0000-0000576B0000}"/>
    <cellStyle name="Финансовый 2 5 3 4 2 7" xfId="25849" xr:uid="{00000000-0005-0000-0000-0000586B0000}"/>
    <cellStyle name="Финансовый 2 5 3 4 2 8" xfId="48982" xr:uid="{00000000-0005-0000-0000-0000596B0000}"/>
    <cellStyle name="Финансовый 2 5 3 4 3" xfId="4865" xr:uid="{00000000-0005-0000-0000-00005A6B0000}"/>
    <cellStyle name="Финансовый 2 5 3 4 3 2" xfId="16844" xr:uid="{00000000-0005-0000-0000-00005B6B0000}"/>
    <cellStyle name="Финансовый 2 5 3 4 3 2 2" xfId="40799" xr:uid="{00000000-0005-0000-0000-00005C6B0000}"/>
    <cellStyle name="Финансовый 2 5 3 4 3 3" xfId="28821" xr:uid="{00000000-0005-0000-0000-00005D6B0000}"/>
    <cellStyle name="Финансовый 2 5 3 4 3 4" xfId="50309" xr:uid="{00000000-0005-0000-0000-00005E6B0000}"/>
    <cellStyle name="Финансовый 2 5 3 4 4" xfId="7476" xr:uid="{00000000-0005-0000-0000-00005F6B0000}"/>
    <cellStyle name="Финансовый 2 5 3 4 4 2" xfId="19454" xr:uid="{00000000-0005-0000-0000-0000606B0000}"/>
    <cellStyle name="Финансовый 2 5 3 4 4 2 2" xfId="43409" xr:uid="{00000000-0005-0000-0000-0000616B0000}"/>
    <cellStyle name="Финансовый 2 5 3 4 4 3" xfId="31431" xr:uid="{00000000-0005-0000-0000-0000626B0000}"/>
    <cellStyle name="Финансовый 2 5 3 4 5" xfId="9259" xr:uid="{00000000-0005-0000-0000-0000636B0000}"/>
    <cellStyle name="Финансовый 2 5 3 4 5 2" xfId="21237" xr:uid="{00000000-0005-0000-0000-0000646B0000}"/>
    <cellStyle name="Финансовый 2 5 3 4 5 2 2" xfId="45192" xr:uid="{00000000-0005-0000-0000-0000656B0000}"/>
    <cellStyle name="Финансовый 2 5 3 4 5 3" xfId="33214" xr:uid="{00000000-0005-0000-0000-0000666B0000}"/>
    <cellStyle name="Финансовый 2 5 3 4 6" xfId="13417" xr:uid="{00000000-0005-0000-0000-0000676B0000}"/>
    <cellStyle name="Финансовый 2 5 3 4 6 2" xfId="37372" xr:uid="{00000000-0005-0000-0000-0000686B0000}"/>
    <cellStyle name="Финансовый 2 5 3 4 7" xfId="25395" xr:uid="{00000000-0005-0000-0000-0000696B0000}"/>
    <cellStyle name="Финансовый 2 5 3 4 8" xfId="48528" xr:uid="{00000000-0005-0000-0000-00006A6B0000}"/>
    <cellStyle name="Финансовый 2 5 3 5" xfId="1768" xr:uid="{00000000-0005-0000-0000-00006B6B0000}"/>
    <cellStyle name="Финансовый 2 5 3 5 2" xfId="3413" xr:uid="{00000000-0005-0000-0000-00006C6B0000}"/>
    <cellStyle name="Финансовый 2 5 3 5 2 2" xfId="11161" xr:uid="{00000000-0005-0000-0000-00006D6B0000}"/>
    <cellStyle name="Финансовый 2 5 3 5 2 2 2" xfId="23139" xr:uid="{00000000-0005-0000-0000-00006E6B0000}"/>
    <cellStyle name="Финансовый 2 5 3 5 2 2 2 2" xfId="47094" xr:uid="{00000000-0005-0000-0000-00006F6B0000}"/>
    <cellStyle name="Финансовый 2 5 3 5 2 2 3" xfId="35116" xr:uid="{00000000-0005-0000-0000-0000706B0000}"/>
    <cellStyle name="Финансовый 2 5 3 5 2 3" xfId="15392" xr:uid="{00000000-0005-0000-0000-0000716B0000}"/>
    <cellStyle name="Финансовый 2 5 3 5 2 3 2" xfId="39347" xr:uid="{00000000-0005-0000-0000-0000726B0000}"/>
    <cellStyle name="Финансовый 2 5 3 5 2 4" xfId="27370" xr:uid="{00000000-0005-0000-0000-0000736B0000}"/>
    <cellStyle name="Финансовый 2 5 3 5 2 5" xfId="50639" xr:uid="{00000000-0005-0000-0000-0000746B0000}"/>
    <cellStyle name="Финансовый 2 5 3 5 3" xfId="5196" xr:uid="{00000000-0005-0000-0000-0000756B0000}"/>
    <cellStyle name="Финансовый 2 5 3 5 3 2" xfId="17174" xr:uid="{00000000-0005-0000-0000-0000766B0000}"/>
    <cellStyle name="Финансовый 2 5 3 5 3 2 2" xfId="41129" xr:uid="{00000000-0005-0000-0000-0000776B0000}"/>
    <cellStyle name="Финансовый 2 5 3 5 3 3" xfId="29151" xr:uid="{00000000-0005-0000-0000-0000786B0000}"/>
    <cellStyle name="Финансовый 2 5 3 5 4" xfId="7806" xr:uid="{00000000-0005-0000-0000-0000796B0000}"/>
    <cellStyle name="Финансовый 2 5 3 5 4 2" xfId="19784" xr:uid="{00000000-0005-0000-0000-00007A6B0000}"/>
    <cellStyle name="Финансовый 2 5 3 5 4 2 2" xfId="43739" xr:uid="{00000000-0005-0000-0000-00007B6B0000}"/>
    <cellStyle name="Финансовый 2 5 3 5 4 3" xfId="31761" xr:uid="{00000000-0005-0000-0000-00007C6B0000}"/>
    <cellStyle name="Финансовый 2 5 3 5 5" xfId="9589" xr:uid="{00000000-0005-0000-0000-00007D6B0000}"/>
    <cellStyle name="Финансовый 2 5 3 5 5 2" xfId="21567" xr:uid="{00000000-0005-0000-0000-00007E6B0000}"/>
    <cellStyle name="Финансовый 2 5 3 5 5 2 2" xfId="45522" xr:uid="{00000000-0005-0000-0000-00007F6B0000}"/>
    <cellStyle name="Финансовый 2 5 3 5 5 3" xfId="33544" xr:uid="{00000000-0005-0000-0000-0000806B0000}"/>
    <cellStyle name="Финансовый 2 5 3 5 6" xfId="13747" xr:uid="{00000000-0005-0000-0000-0000816B0000}"/>
    <cellStyle name="Финансовый 2 5 3 5 6 2" xfId="37702" xr:uid="{00000000-0005-0000-0000-0000826B0000}"/>
    <cellStyle name="Финансовый 2 5 3 5 7" xfId="25725" xr:uid="{00000000-0005-0000-0000-0000836B0000}"/>
    <cellStyle name="Финансовый 2 5 3 5 8" xfId="48858" xr:uid="{00000000-0005-0000-0000-0000846B0000}"/>
    <cellStyle name="Финансовый 2 5 3 6" xfId="2413" xr:uid="{00000000-0005-0000-0000-0000856B0000}"/>
    <cellStyle name="Финансовый 2 5 3 6 2" xfId="4058" xr:uid="{00000000-0005-0000-0000-0000866B0000}"/>
    <cellStyle name="Финансовый 2 5 3 6 2 2" xfId="11790" xr:uid="{00000000-0005-0000-0000-0000876B0000}"/>
    <cellStyle name="Финансовый 2 5 3 6 2 2 2" xfId="23768" xr:uid="{00000000-0005-0000-0000-0000886B0000}"/>
    <cellStyle name="Финансовый 2 5 3 6 2 2 2 2" xfId="47723" xr:uid="{00000000-0005-0000-0000-0000896B0000}"/>
    <cellStyle name="Финансовый 2 5 3 6 2 2 3" xfId="35745" xr:uid="{00000000-0005-0000-0000-00008A6B0000}"/>
    <cellStyle name="Финансовый 2 5 3 6 2 3" xfId="16037" xr:uid="{00000000-0005-0000-0000-00008B6B0000}"/>
    <cellStyle name="Финансовый 2 5 3 6 2 3 2" xfId="39992" xr:uid="{00000000-0005-0000-0000-00008C6B0000}"/>
    <cellStyle name="Финансовый 2 5 3 6 2 4" xfId="28015" xr:uid="{00000000-0005-0000-0000-00008D6B0000}"/>
    <cellStyle name="Финансовый 2 5 3 6 2 5" xfId="51284" xr:uid="{00000000-0005-0000-0000-00008E6B0000}"/>
    <cellStyle name="Финансовый 2 5 3 6 3" xfId="5841" xr:uid="{00000000-0005-0000-0000-00008F6B0000}"/>
    <cellStyle name="Финансовый 2 5 3 6 3 2" xfId="17819" xr:uid="{00000000-0005-0000-0000-0000906B0000}"/>
    <cellStyle name="Финансовый 2 5 3 6 3 2 2" xfId="41774" xr:uid="{00000000-0005-0000-0000-0000916B0000}"/>
    <cellStyle name="Финансовый 2 5 3 6 3 3" xfId="29796" xr:uid="{00000000-0005-0000-0000-0000926B0000}"/>
    <cellStyle name="Финансовый 2 5 3 6 4" xfId="8451" xr:uid="{00000000-0005-0000-0000-0000936B0000}"/>
    <cellStyle name="Финансовый 2 5 3 6 4 2" xfId="20429" xr:uid="{00000000-0005-0000-0000-0000946B0000}"/>
    <cellStyle name="Финансовый 2 5 3 6 4 2 2" xfId="44384" xr:uid="{00000000-0005-0000-0000-0000956B0000}"/>
    <cellStyle name="Финансовый 2 5 3 6 4 3" xfId="32406" xr:uid="{00000000-0005-0000-0000-0000966B0000}"/>
    <cellStyle name="Финансовый 2 5 3 6 5" xfId="10234" xr:uid="{00000000-0005-0000-0000-0000976B0000}"/>
    <cellStyle name="Финансовый 2 5 3 6 5 2" xfId="22212" xr:uid="{00000000-0005-0000-0000-0000986B0000}"/>
    <cellStyle name="Финансовый 2 5 3 6 5 2 2" xfId="46167" xr:uid="{00000000-0005-0000-0000-0000996B0000}"/>
    <cellStyle name="Финансовый 2 5 3 6 5 3" xfId="34189" xr:uid="{00000000-0005-0000-0000-00009A6B0000}"/>
    <cellStyle name="Финансовый 2 5 3 6 6" xfId="14392" xr:uid="{00000000-0005-0000-0000-00009B6B0000}"/>
    <cellStyle name="Финансовый 2 5 3 6 6 2" xfId="38347" xr:uid="{00000000-0005-0000-0000-00009C6B0000}"/>
    <cellStyle name="Финансовый 2 5 3 6 7" xfId="26370" xr:uid="{00000000-0005-0000-0000-00009D6B0000}"/>
    <cellStyle name="Финансовый 2 5 3 6 8" xfId="49503" xr:uid="{00000000-0005-0000-0000-00009E6B0000}"/>
    <cellStyle name="Финансовый 2 5 3 7" xfId="1640" xr:uid="{00000000-0005-0000-0000-00009F6B0000}"/>
    <cellStyle name="Финансовый 2 5 3 7 2" xfId="3285" xr:uid="{00000000-0005-0000-0000-0000A06B0000}"/>
    <cellStyle name="Финансовый 2 5 3 7 2 2" xfId="11033" xr:uid="{00000000-0005-0000-0000-0000A16B0000}"/>
    <cellStyle name="Финансовый 2 5 3 7 2 2 2" xfId="23011" xr:uid="{00000000-0005-0000-0000-0000A26B0000}"/>
    <cellStyle name="Финансовый 2 5 3 7 2 2 2 2" xfId="46966" xr:uid="{00000000-0005-0000-0000-0000A36B0000}"/>
    <cellStyle name="Финансовый 2 5 3 7 2 2 3" xfId="34988" xr:uid="{00000000-0005-0000-0000-0000A46B0000}"/>
    <cellStyle name="Финансовый 2 5 3 7 2 3" xfId="15264" xr:uid="{00000000-0005-0000-0000-0000A56B0000}"/>
    <cellStyle name="Финансовый 2 5 3 7 2 3 2" xfId="39219" xr:uid="{00000000-0005-0000-0000-0000A66B0000}"/>
    <cellStyle name="Финансовый 2 5 3 7 2 4" xfId="27242" xr:uid="{00000000-0005-0000-0000-0000A76B0000}"/>
    <cellStyle name="Финансовый 2 5 3 7 2 5" xfId="50511" xr:uid="{00000000-0005-0000-0000-0000A86B0000}"/>
    <cellStyle name="Финансовый 2 5 3 7 3" xfId="5068" xr:uid="{00000000-0005-0000-0000-0000A96B0000}"/>
    <cellStyle name="Финансовый 2 5 3 7 3 2" xfId="17046" xr:uid="{00000000-0005-0000-0000-0000AA6B0000}"/>
    <cellStyle name="Финансовый 2 5 3 7 3 2 2" xfId="41001" xr:uid="{00000000-0005-0000-0000-0000AB6B0000}"/>
    <cellStyle name="Финансовый 2 5 3 7 3 3" xfId="29023" xr:uid="{00000000-0005-0000-0000-0000AC6B0000}"/>
    <cellStyle name="Финансовый 2 5 3 7 4" xfId="7678" xr:uid="{00000000-0005-0000-0000-0000AD6B0000}"/>
    <cellStyle name="Финансовый 2 5 3 7 4 2" xfId="19656" xr:uid="{00000000-0005-0000-0000-0000AE6B0000}"/>
    <cellStyle name="Финансовый 2 5 3 7 4 2 2" xfId="43611" xr:uid="{00000000-0005-0000-0000-0000AF6B0000}"/>
    <cellStyle name="Финансовый 2 5 3 7 4 3" xfId="31633" xr:uid="{00000000-0005-0000-0000-0000B06B0000}"/>
    <cellStyle name="Финансовый 2 5 3 7 5" xfId="9461" xr:uid="{00000000-0005-0000-0000-0000B16B0000}"/>
    <cellStyle name="Финансовый 2 5 3 7 5 2" xfId="21439" xr:uid="{00000000-0005-0000-0000-0000B26B0000}"/>
    <cellStyle name="Финансовый 2 5 3 7 5 2 2" xfId="45394" xr:uid="{00000000-0005-0000-0000-0000B36B0000}"/>
    <cellStyle name="Финансовый 2 5 3 7 5 3" xfId="33416" xr:uid="{00000000-0005-0000-0000-0000B46B0000}"/>
    <cellStyle name="Финансовый 2 5 3 7 6" xfId="13619" xr:uid="{00000000-0005-0000-0000-0000B56B0000}"/>
    <cellStyle name="Финансовый 2 5 3 7 6 2" xfId="37574" xr:uid="{00000000-0005-0000-0000-0000B66B0000}"/>
    <cellStyle name="Финансовый 2 5 3 7 7" xfId="25597" xr:uid="{00000000-0005-0000-0000-0000B76B0000}"/>
    <cellStyle name="Финансовый 2 5 3 7 8" xfId="48730" xr:uid="{00000000-0005-0000-0000-0000B86B0000}"/>
    <cellStyle name="Финансовый 2 5 3 8" xfId="917" xr:uid="{00000000-0005-0000-0000-0000B96B0000}"/>
    <cellStyle name="Финансовый 2 5 3 8 2" xfId="6957" xr:uid="{00000000-0005-0000-0000-0000BA6B0000}"/>
    <cellStyle name="Финансовый 2 5 3 8 2 2" xfId="18935" xr:uid="{00000000-0005-0000-0000-0000BB6B0000}"/>
    <cellStyle name="Финансовый 2 5 3 8 2 2 2" xfId="42890" xr:uid="{00000000-0005-0000-0000-0000BC6B0000}"/>
    <cellStyle name="Финансовый 2 5 3 8 2 3" xfId="30912" xr:uid="{00000000-0005-0000-0000-0000BD6B0000}"/>
    <cellStyle name="Финансовый 2 5 3 8 3" xfId="10505" xr:uid="{00000000-0005-0000-0000-0000BE6B0000}"/>
    <cellStyle name="Финансовый 2 5 3 8 3 2" xfId="22483" xr:uid="{00000000-0005-0000-0000-0000BF6B0000}"/>
    <cellStyle name="Финансовый 2 5 3 8 3 2 2" xfId="46438" xr:uid="{00000000-0005-0000-0000-0000C06B0000}"/>
    <cellStyle name="Финансовый 2 5 3 8 3 3" xfId="34460" xr:uid="{00000000-0005-0000-0000-0000C16B0000}"/>
    <cellStyle name="Финансовый 2 5 3 8 4" xfId="12898" xr:uid="{00000000-0005-0000-0000-0000C26B0000}"/>
    <cellStyle name="Финансовый 2 5 3 8 4 2" xfId="36853" xr:uid="{00000000-0005-0000-0000-0000C36B0000}"/>
    <cellStyle name="Финансовый 2 5 3 8 5" xfId="24876" xr:uid="{00000000-0005-0000-0000-0000C46B0000}"/>
    <cellStyle name="Финансовый 2 5 3 8 6" xfId="49782" xr:uid="{00000000-0005-0000-0000-0000C56B0000}"/>
    <cellStyle name="Финансовый 2 5 3 9" xfId="505" xr:uid="{00000000-0005-0000-0000-0000C66B0000}"/>
    <cellStyle name="Финансовый 2 5 3 9 2" xfId="6545" xr:uid="{00000000-0005-0000-0000-0000C76B0000}"/>
    <cellStyle name="Финансовый 2 5 3 9 2 2" xfId="18523" xr:uid="{00000000-0005-0000-0000-0000C86B0000}"/>
    <cellStyle name="Финансовый 2 5 3 9 2 2 2" xfId="42478" xr:uid="{00000000-0005-0000-0000-0000C96B0000}"/>
    <cellStyle name="Финансовый 2 5 3 9 2 3" xfId="30500" xr:uid="{00000000-0005-0000-0000-0000CA6B0000}"/>
    <cellStyle name="Финансовый 2 5 3 9 3" xfId="12486" xr:uid="{00000000-0005-0000-0000-0000CB6B0000}"/>
    <cellStyle name="Финансовый 2 5 3 9 3 2" xfId="36441" xr:uid="{00000000-0005-0000-0000-0000CC6B0000}"/>
    <cellStyle name="Финансовый 2 5 3 9 4" xfId="24464" xr:uid="{00000000-0005-0000-0000-0000CD6B0000}"/>
    <cellStyle name="Финансовый 2 5 4" xfId="176" xr:uid="{00000000-0005-0000-0000-0000CE6B0000}"/>
    <cellStyle name="Финансовый 2 5 4 10" xfId="8824" xr:uid="{00000000-0005-0000-0000-0000CF6B0000}"/>
    <cellStyle name="Финансовый 2 5 4 10 2" xfId="20802" xr:uid="{00000000-0005-0000-0000-0000D06B0000}"/>
    <cellStyle name="Финансовый 2 5 4 10 2 2" xfId="44757" xr:uid="{00000000-0005-0000-0000-0000D16B0000}"/>
    <cellStyle name="Финансовый 2 5 4 10 3" xfId="32779" xr:uid="{00000000-0005-0000-0000-0000D26B0000}"/>
    <cellStyle name="Финансовый 2 5 4 11" xfId="12158" xr:uid="{00000000-0005-0000-0000-0000D36B0000}"/>
    <cellStyle name="Финансовый 2 5 4 11 2" xfId="36113" xr:uid="{00000000-0005-0000-0000-0000D46B0000}"/>
    <cellStyle name="Финансовый 2 5 4 12" xfId="24136" xr:uid="{00000000-0005-0000-0000-0000D56B0000}"/>
    <cellStyle name="Финансовый 2 5 4 13" xfId="48094" xr:uid="{00000000-0005-0000-0000-0000D66B0000}"/>
    <cellStyle name="Финансовый 2 5 4 2" xfId="1274" xr:uid="{00000000-0005-0000-0000-0000D76B0000}"/>
    <cellStyle name="Финансовый 2 5 4 2 2" xfId="2240" xr:uid="{00000000-0005-0000-0000-0000D86B0000}"/>
    <cellStyle name="Финансовый 2 5 4 2 2 2" xfId="3885" xr:uid="{00000000-0005-0000-0000-0000D96B0000}"/>
    <cellStyle name="Финансовый 2 5 4 2 2 2 2" xfId="11625" xr:uid="{00000000-0005-0000-0000-0000DA6B0000}"/>
    <cellStyle name="Финансовый 2 5 4 2 2 2 2 2" xfId="23603" xr:uid="{00000000-0005-0000-0000-0000DB6B0000}"/>
    <cellStyle name="Финансовый 2 5 4 2 2 2 2 2 2" xfId="47558" xr:uid="{00000000-0005-0000-0000-0000DC6B0000}"/>
    <cellStyle name="Финансовый 2 5 4 2 2 2 2 3" xfId="35580" xr:uid="{00000000-0005-0000-0000-0000DD6B0000}"/>
    <cellStyle name="Финансовый 2 5 4 2 2 2 3" xfId="15864" xr:uid="{00000000-0005-0000-0000-0000DE6B0000}"/>
    <cellStyle name="Финансовый 2 5 4 2 2 2 3 2" xfId="39819" xr:uid="{00000000-0005-0000-0000-0000DF6B0000}"/>
    <cellStyle name="Финансовый 2 5 4 2 2 2 4" xfId="27842" xr:uid="{00000000-0005-0000-0000-0000E06B0000}"/>
    <cellStyle name="Финансовый 2 5 4 2 2 2 5" xfId="51111" xr:uid="{00000000-0005-0000-0000-0000E16B0000}"/>
    <cellStyle name="Финансовый 2 5 4 2 2 3" xfId="5668" xr:uid="{00000000-0005-0000-0000-0000E26B0000}"/>
    <cellStyle name="Финансовый 2 5 4 2 2 3 2" xfId="17646" xr:uid="{00000000-0005-0000-0000-0000E36B0000}"/>
    <cellStyle name="Финансовый 2 5 4 2 2 3 2 2" xfId="41601" xr:uid="{00000000-0005-0000-0000-0000E46B0000}"/>
    <cellStyle name="Финансовый 2 5 4 2 2 3 3" xfId="29623" xr:uid="{00000000-0005-0000-0000-0000E56B0000}"/>
    <cellStyle name="Финансовый 2 5 4 2 2 4" xfId="8278" xr:uid="{00000000-0005-0000-0000-0000E66B0000}"/>
    <cellStyle name="Финансовый 2 5 4 2 2 4 2" xfId="20256" xr:uid="{00000000-0005-0000-0000-0000E76B0000}"/>
    <cellStyle name="Финансовый 2 5 4 2 2 4 2 2" xfId="44211" xr:uid="{00000000-0005-0000-0000-0000E86B0000}"/>
    <cellStyle name="Финансовый 2 5 4 2 2 4 3" xfId="32233" xr:uid="{00000000-0005-0000-0000-0000E96B0000}"/>
    <cellStyle name="Финансовый 2 5 4 2 2 5" xfId="10061" xr:uid="{00000000-0005-0000-0000-0000EA6B0000}"/>
    <cellStyle name="Финансовый 2 5 4 2 2 5 2" xfId="22039" xr:uid="{00000000-0005-0000-0000-0000EB6B0000}"/>
    <cellStyle name="Финансовый 2 5 4 2 2 5 2 2" xfId="45994" xr:uid="{00000000-0005-0000-0000-0000EC6B0000}"/>
    <cellStyle name="Финансовый 2 5 4 2 2 5 3" xfId="34016" xr:uid="{00000000-0005-0000-0000-0000ED6B0000}"/>
    <cellStyle name="Финансовый 2 5 4 2 2 6" xfId="14219" xr:uid="{00000000-0005-0000-0000-0000EE6B0000}"/>
    <cellStyle name="Финансовый 2 5 4 2 2 6 2" xfId="38174" xr:uid="{00000000-0005-0000-0000-0000EF6B0000}"/>
    <cellStyle name="Финансовый 2 5 4 2 2 7" xfId="26197" xr:uid="{00000000-0005-0000-0000-0000F06B0000}"/>
    <cellStyle name="Финансовый 2 5 4 2 2 8" xfId="49330" xr:uid="{00000000-0005-0000-0000-0000F16B0000}"/>
    <cellStyle name="Финансовый 2 5 4 2 3" xfId="3058" xr:uid="{00000000-0005-0000-0000-0000F26B0000}"/>
    <cellStyle name="Финансовый 2 5 4 2 3 2" xfId="10853" xr:uid="{00000000-0005-0000-0000-0000F36B0000}"/>
    <cellStyle name="Финансовый 2 5 4 2 3 2 2" xfId="22831" xr:uid="{00000000-0005-0000-0000-0000F46B0000}"/>
    <cellStyle name="Финансовый 2 5 4 2 3 2 2 2" xfId="46786" xr:uid="{00000000-0005-0000-0000-0000F56B0000}"/>
    <cellStyle name="Финансовый 2 5 4 2 3 2 3" xfId="34808" xr:uid="{00000000-0005-0000-0000-0000F66B0000}"/>
    <cellStyle name="Финансовый 2 5 4 2 3 3" xfId="15037" xr:uid="{00000000-0005-0000-0000-0000F76B0000}"/>
    <cellStyle name="Финансовый 2 5 4 2 3 3 2" xfId="38992" xr:uid="{00000000-0005-0000-0000-0000F86B0000}"/>
    <cellStyle name="Финансовый 2 5 4 2 3 4" xfId="27015" xr:uid="{00000000-0005-0000-0000-0000F96B0000}"/>
    <cellStyle name="Финансовый 2 5 4 2 3 5" xfId="50146" xr:uid="{00000000-0005-0000-0000-0000FA6B0000}"/>
    <cellStyle name="Финансовый 2 5 4 2 4" xfId="4702" xr:uid="{00000000-0005-0000-0000-0000FB6B0000}"/>
    <cellStyle name="Финансовый 2 5 4 2 4 2" xfId="16681" xr:uid="{00000000-0005-0000-0000-0000FC6B0000}"/>
    <cellStyle name="Финансовый 2 5 4 2 4 2 2" xfId="40636" xr:uid="{00000000-0005-0000-0000-0000FD6B0000}"/>
    <cellStyle name="Финансовый 2 5 4 2 4 3" xfId="28659" xr:uid="{00000000-0005-0000-0000-0000FE6B0000}"/>
    <cellStyle name="Финансовый 2 5 4 2 5" xfId="7314" xr:uid="{00000000-0005-0000-0000-0000FF6B0000}"/>
    <cellStyle name="Финансовый 2 5 4 2 5 2" xfId="19292" xr:uid="{00000000-0005-0000-0000-0000006C0000}"/>
    <cellStyle name="Финансовый 2 5 4 2 5 2 2" xfId="43247" xr:uid="{00000000-0005-0000-0000-0000016C0000}"/>
    <cellStyle name="Финансовый 2 5 4 2 5 3" xfId="31269" xr:uid="{00000000-0005-0000-0000-0000026C0000}"/>
    <cellStyle name="Финансовый 2 5 4 2 6" xfId="9096" xr:uid="{00000000-0005-0000-0000-0000036C0000}"/>
    <cellStyle name="Финансовый 2 5 4 2 6 2" xfId="21074" xr:uid="{00000000-0005-0000-0000-0000046C0000}"/>
    <cellStyle name="Финансовый 2 5 4 2 6 2 2" xfId="45029" xr:uid="{00000000-0005-0000-0000-0000056C0000}"/>
    <cellStyle name="Финансовый 2 5 4 2 6 3" xfId="33051" xr:uid="{00000000-0005-0000-0000-0000066C0000}"/>
    <cellStyle name="Финансовый 2 5 4 2 7" xfId="13255" xr:uid="{00000000-0005-0000-0000-0000076C0000}"/>
    <cellStyle name="Финансовый 2 5 4 2 7 2" xfId="37210" xr:uid="{00000000-0005-0000-0000-0000086C0000}"/>
    <cellStyle name="Финансовый 2 5 4 2 8" xfId="25233" xr:uid="{00000000-0005-0000-0000-0000096C0000}"/>
    <cellStyle name="Финансовый 2 5 4 2 9" xfId="48366" xr:uid="{00000000-0005-0000-0000-00000A6C0000}"/>
    <cellStyle name="Финансовый 2 5 4 3" xfId="1984" xr:uid="{00000000-0005-0000-0000-00000B6C0000}"/>
    <cellStyle name="Финансовый 2 5 4 3 2" xfId="3629" xr:uid="{00000000-0005-0000-0000-00000C6C0000}"/>
    <cellStyle name="Финансовый 2 5 4 3 2 2" xfId="11369" xr:uid="{00000000-0005-0000-0000-00000D6C0000}"/>
    <cellStyle name="Финансовый 2 5 4 3 2 2 2" xfId="23347" xr:uid="{00000000-0005-0000-0000-00000E6C0000}"/>
    <cellStyle name="Финансовый 2 5 4 3 2 2 2 2" xfId="47302" xr:uid="{00000000-0005-0000-0000-00000F6C0000}"/>
    <cellStyle name="Финансовый 2 5 4 3 2 2 3" xfId="35324" xr:uid="{00000000-0005-0000-0000-0000106C0000}"/>
    <cellStyle name="Финансовый 2 5 4 3 2 3" xfId="15608" xr:uid="{00000000-0005-0000-0000-0000116C0000}"/>
    <cellStyle name="Финансовый 2 5 4 3 2 3 2" xfId="39563" xr:uid="{00000000-0005-0000-0000-0000126C0000}"/>
    <cellStyle name="Финансовый 2 5 4 3 2 4" xfId="27586" xr:uid="{00000000-0005-0000-0000-0000136C0000}"/>
    <cellStyle name="Финансовый 2 5 4 3 2 5" xfId="50855" xr:uid="{00000000-0005-0000-0000-0000146C0000}"/>
    <cellStyle name="Финансовый 2 5 4 3 3" xfId="5412" xr:uid="{00000000-0005-0000-0000-0000156C0000}"/>
    <cellStyle name="Финансовый 2 5 4 3 3 2" xfId="17390" xr:uid="{00000000-0005-0000-0000-0000166C0000}"/>
    <cellStyle name="Финансовый 2 5 4 3 3 2 2" xfId="41345" xr:uid="{00000000-0005-0000-0000-0000176C0000}"/>
    <cellStyle name="Финансовый 2 5 4 3 3 3" xfId="29367" xr:uid="{00000000-0005-0000-0000-0000186C0000}"/>
    <cellStyle name="Финансовый 2 5 4 3 4" xfId="8022" xr:uid="{00000000-0005-0000-0000-0000196C0000}"/>
    <cellStyle name="Финансовый 2 5 4 3 4 2" xfId="20000" xr:uid="{00000000-0005-0000-0000-00001A6C0000}"/>
    <cellStyle name="Финансовый 2 5 4 3 4 2 2" xfId="43955" xr:uid="{00000000-0005-0000-0000-00001B6C0000}"/>
    <cellStyle name="Финансовый 2 5 4 3 4 3" xfId="31977" xr:uid="{00000000-0005-0000-0000-00001C6C0000}"/>
    <cellStyle name="Финансовый 2 5 4 3 5" xfId="9805" xr:uid="{00000000-0005-0000-0000-00001D6C0000}"/>
    <cellStyle name="Финансовый 2 5 4 3 5 2" xfId="21783" xr:uid="{00000000-0005-0000-0000-00001E6C0000}"/>
    <cellStyle name="Финансовый 2 5 4 3 5 2 2" xfId="45738" xr:uid="{00000000-0005-0000-0000-00001F6C0000}"/>
    <cellStyle name="Финансовый 2 5 4 3 5 3" xfId="33760" xr:uid="{00000000-0005-0000-0000-0000206C0000}"/>
    <cellStyle name="Финансовый 2 5 4 3 6" xfId="13963" xr:uid="{00000000-0005-0000-0000-0000216C0000}"/>
    <cellStyle name="Финансовый 2 5 4 3 6 2" xfId="37918" xr:uid="{00000000-0005-0000-0000-0000226C0000}"/>
    <cellStyle name="Финансовый 2 5 4 3 7" xfId="25941" xr:uid="{00000000-0005-0000-0000-0000236C0000}"/>
    <cellStyle name="Финансовый 2 5 4 3 8" xfId="49074" xr:uid="{00000000-0005-0000-0000-0000246C0000}"/>
    <cellStyle name="Финансовый 2 5 4 4" xfId="2505" xr:uid="{00000000-0005-0000-0000-0000256C0000}"/>
    <cellStyle name="Финансовый 2 5 4 4 2" xfId="4150" xr:uid="{00000000-0005-0000-0000-0000266C0000}"/>
    <cellStyle name="Финансовый 2 5 4 4 2 2" xfId="11882" xr:uid="{00000000-0005-0000-0000-0000276C0000}"/>
    <cellStyle name="Финансовый 2 5 4 4 2 2 2" xfId="23860" xr:uid="{00000000-0005-0000-0000-0000286C0000}"/>
    <cellStyle name="Финансовый 2 5 4 4 2 2 2 2" xfId="47815" xr:uid="{00000000-0005-0000-0000-0000296C0000}"/>
    <cellStyle name="Финансовый 2 5 4 4 2 2 3" xfId="35837" xr:uid="{00000000-0005-0000-0000-00002A6C0000}"/>
    <cellStyle name="Финансовый 2 5 4 4 2 3" xfId="16129" xr:uid="{00000000-0005-0000-0000-00002B6C0000}"/>
    <cellStyle name="Финансовый 2 5 4 4 2 3 2" xfId="40084" xr:uid="{00000000-0005-0000-0000-00002C6C0000}"/>
    <cellStyle name="Финансовый 2 5 4 4 2 4" xfId="28107" xr:uid="{00000000-0005-0000-0000-00002D6C0000}"/>
    <cellStyle name="Финансовый 2 5 4 4 2 5" xfId="51376" xr:uid="{00000000-0005-0000-0000-00002E6C0000}"/>
    <cellStyle name="Финансовый 2 5 4 4 3" xfId="5933" xr:uid="{00000000-0005-0000-0000-00002F6C0000}"/>
    <cellStyle name="Финансовый 2 5 4 4 3 2" xfId="17911" xr:uid="{00000000-0005-0000-0000-0000306C0000}"/>
    <cellStyle name="Финансовый 2 5 4 4 3 2 2" xfId="41866" xr:uid="{00000000-0005-0000-0000-0000316C0000}"/>
    <cellStyle name="Финансовый 2 5 4 4 3 3" xfId="29888" xr:uid="{00000000-0005-0000-0000-0000326C0000}"/>
    <cellStyle name="Финансовый 2 5 4 4 4" xfId="8543" xr:uid="{00000000-0005-0000-0000-0000336C0000}"/>
    <cellStyle name="Финансовый 2 5 4 4 4 2" xfId="20521" xr:uid="{00000000-0005-0000-0000-0000346C0000}"/>
    <cellStyle name="Финансовый 2 5 4 4 4 2 2" xfId="44476" xr:uid="{00000000-0005-0000-0000-0000356C0000}"/>
    <cellStyle name="Финансовый 2 5 4 4 4 3" xfId="32498" xr:uid="{00000000-0005-0000-0000-0000366C0000}"/>
    <cellStyle name="Финансовый 2 5 4 4 5" xfId="10326" xr:uid="{00000000-0005-0000-0000-0000376C0000}"/>
    <cellStyle name="Финансовый 2 5 4 4 5 2" xfId="22304" xr:uid="{00000000-0005-0000-0000-0000386C0000}"/>
    <cellStyle name="Финансовый 2 5 4 4 5 2 2" xfId="46259" xr:uid="{00000000-0005-0000-0000-0000396C0000}"/>
    <cellStyle name="Финансовый 2 5 4 4 5 3" xfId="34281" xr:uid="{00000000-0005-0000-0000-00003A6C0000}"/>
    <cellStyle name="Финансовый 2 5 4 4 6" xfId="14484" xr:uid="{00000000-0005-0000-0000-00003B6C0000}"/>
    <cellStyle name="Финансовый 2 5 4 4 6 2" xfId="38439" xr:uid="{00000000-0005-0000-0000-00003C6C0000}"/>
    <cellStyle name="Финансовый 2 5 4 4 7" xfId="26462" xr:uid="{00000000-0005-0000-0000-00003D6C0000}"/>
    <cellStyle name="Финансовый 2 5 4 4 8" xfId="49595" xr:uid="{00000000-0005-0000-0000-00003E6C0000}"/>
    <cellStyle name="Финансовый 2 5 4 5" xfId="1009" xr:uid="{00000000-0005-0000-0000-00003F6C0000}"/>
    <cellStyle name="Финансовый 2 5 4 5 2" xfId="7049" xr:uid="{00000000-0005-0000-0000-0000406C0000}"/>
    <cellStyle name="Финансовый 2 5 4 5 2 2" xfId="19027" xr:uid="{00000000-0005-0000-0000-0000416C0000}"/>
    <cellStyle name="Финансовый 2 5 4 5 2 2 2" xfId="42982" xr:uid="{00000000-0005-0000-0000-0000426C0000}"/>
    <cellStyle name="Финансовый 2 5 4 5 2 3" xfId="31004" xr:uid="{00000000-0005-0000-0000-0000436C0000}"/>
    <cellStyle name="Финансовый 2 5 4 5 3" xfId="10597" xr:uid="{00000000-0005-0000-0000-0000446C0000}"/>
    <cellStyle name="Финансовый 2 5 4 5 3 2" xfId="22575" xr:uid="{00000000-0005-0000-0000-0000456C0000}"/>
    <cellStyle name="Финансовый 2 5 4 5 3 2 2" xfId="46530" xr:uid="{00000000-0005-0000-0000-0000466C0000}"/>
    <cellStyle name="Финансовый 2 5 4 5 3 3" xfId="34552" xr:uid="{00000000-0005-0000-0000-0000476C0000}"/>
    <cellStyle name="Финансовый 2 5 4 5 4" xfId="12990" xr:uid="{00000000-0005-0000-0000-0000486C0000}"/>
    <cellStyle name="Финансовый 2 5 4 5 4 2" xfId="36945" xr:uid="{00000000-0005-0000-0000-0000496C0000}"/>
    <cellStyle name="Финансовый 2 5 4 5 5" xfId="24968" xr:uid="{00000000-0005-0000-0000-00004A6C0000}"/>
    <cellStyle name="Финансовый 2 5 4 5 6" xfId="49874" xr:uid="{00000000-0005-0000-0000-00004B6C0000}"/>
    <cellStyle name="Финансовый 2 5 4 6" xfId="597" xr:uid="{00000000-0005-0000-0000-00004C6C0000}"/>
    <cellStyle name="Финансовый 2 5 4 6 2" xfId="6637" xr:uid="{00000000-0005-0000-0000-00004D6C0000}"/>
    <cellStyle name="Финансовый 2 5 4 6 2 2" xfId="18615" xr:uid="{00000000-0005-0000-0000-00004E6C0000}"/>
    <cellStyle name="Финансовый 2 5 4 6 2 2 2" xfId="42570" xr:uid="{00000000-0005-0000-0000-00004F6C0000}"/>
    <cellStyle name="Финансовый 2 5 4 6 2 3" xfId="30592" xr:uid="{00000000-0005-0000-0000-0000506C0000}"/>
    <cellStyle name="Финансовый 2 5 4 6 3" xfId="12578" xr:uid="{00000000-0005-0000-0000-0000516C0000}"/>
    <cellStyle name="Финансовый 2 5 4 6 3 2" xfId="36533" xr:uid="{00000000-0005-0000-0000-0000526C0000}"/>
    <cellStyle name="Финансовый 2 5 4 6 4" xfId="24556" xr:uid="{00000000-0005-0000-0000-0000536C0000}"/>
    <cellStyle name="Финансовый 2 5 4 7" xfId="2786" xr:uid="{00000000-0005-0000-0000-0000546C0000}"/>
    <cellStyle name="Финансовый 2 5 4 7 2" xfId="14765" xr:uid="{00000000-0005-0000-0000-0000556C0000}"/>
    <cellStyle name="Финансовый 2 5 4 7 2 2" xfId="38720" xr:uid="{00000000-0005-0000-0000-0000566C0000}"/>
    <cellStyle name="Финансовый 2 5 4 7 3" xfId="26743" xr:uid="{00000000-0005-0000-0000-0000576C0000}"/>
    <cellStyle name="Финансовый 2 5 4 8" xfId="4430" xr:uid="{00000000-0005-0000-0000-0000586C0000}"/>
    <cellStyle name="Финансовый 2 5 4 8 2" xfId="16409" xr:uid="{00000000-0005-0000-0000-0000596C0000}"/>
    <cellStyle name="Финансовый 2 5 4 8 2 2" xfId="40364" xr:uid="{00000000-0005-0000-0000-00005A6C0000}"/>
    <cellStyle name="Финансовый 2 5 4 8 3" xfId="28387" xr:uid="{00000000-0005-0000-0000-00005B6C0000}"/>
    <cellStyle name="Финансовый 2 5 4 9" xfId="6217" xr:uid="{00000000-0005-0000-0000-00005C6C0000}"/>
    <cellStyle name="Финансовый 2 5 4 9 2" xfId="18195" xr:uid="{00000000-0005-0000-0000-00005D6C0000}"/>
    <cellStyle name="Финансовый 2 5 4 9 2 2" xfId="42150" xr:uid="{00000000-0005-0000-0000-00005E6C0000}"/>
    <cellStyle name="Финансовый 2 5 4 9 3" xfId="30172" xr:uid="{00000000-0005-0000-0000-00005F6C0000}"/>
    <cellStyle name="Финансовый 2 5 5" xfId="325" xr:uid="{00000000-0005-0000-0000-0000606C0000}"/>
    <cellStyle name="Финансовый 2 5 5 10" xfId="24284" xr:uid="{00000000-0005-0000-0000-0000616C0000}"/>
    <cellStyle name="Финансовый 2 5 5 11" xfId="48230" xr:uid="{00000000-0005-0000-0000-0000626C0000}"/>
    <cellStyle name="Финансовый 2 5 5 2" xfId="2112" xr:uid="{00000000-0005-0000-0000-0000636C0000}"/>
    <cellStyle name="Финансовый 2 5 5 2 2" xfId="3757" xr:uid="{00000000-0005-0000-0000-0000646C0000}"/>
    <cellStyle name="Финансовый 2 5 5 2 2 2" xfId="11497" xr:uid="{00000000-0005-0000-0000-0000656C0000}"/>
    <cellStyle name="Финансовый 2 5 5 2 2 2 2" xfId="23475" xr:uid="{00000000-0005-0000-0000-0000666C0000}"/>
    <cellStyle name="Финансовый 2 5 5 2 2 2 2 2" xfId="47430" xr:uid="{00000000-0005-0000-0000-0000676C0000}"/>
    <cellStyle name="Финансовый 2 5 5 2 2 2 3" xfId="35452" xr:uid="{00000000-0005-0000-0000-0000686C0000}"/>
    <cellStyle name="Финансовый 2 5 5 2 2 3" xfId="15736" xr:uid="{00000000-0005-0000-0000-0000696C0000}"/>
    <cellStyle name="Финансовый 2 5 5 2 2 3 2" xfId="39691" xr:uid="{00000000-0005-0000-0000-00006A6C0000}"/>
    <cellStyle name="Финансовый 2 5 5 2 2 4" xfId="27714" xr:uid="{00000000-0005-0000-0000-00006B6C0000}"/>
    <cellStyle name="Финансовый 2 5 5 2 2 5" xfId="50983" xr:uid="{00000000-0005-0000-0000-00006C6C0000}"/>
    <cellStyle name="Финансовый 2 5 5 2 3" xfId="5540" xr:uid="{00000000-0005-0000-0000-00006D6C0000}"/>
    <cellStyle name="Финансовый 2 5 5 2 3 2" xfId="17518" xr:uid="{00000000-0005-0000-0000-00006E6C0000}"/>
    <cellStyle name="Финансовый 2 5 5 2 3 2 2" xfId="41473" xr:uid="{00000000-0005-0000-0000-00006F6C0000}"/>
    <cellStyle name="Финансовый 2 5 5 2 3 3" xfId="29495" xr:uid="{00000000-0005-0000-0000-0000706C0000}"/>
    <cellStyle name="Финансовый 2 5 5 2 4" xfId="8150" xr:uid="{00000000-0005-0000-0000-0000716C0000}"/>
    <cellStyle name="Финансовый 2 5 5 2 4 2" xfId="20128" xr:uid="{00000000-0005-0000-0000-0000726C0000}"/>
    <cellStyle name="Финансовый 2 5 5 2 4 2 2" xfId="44083" xr:uid="{00000000-0005-0000-0000-0000736C0000}"/>
    <cellStyle name="Финансовый 2 5 5 2 4 3" xfId="32105" xr:uid="{00000000-0005-0000-0000-0000746C0000}"/>
    <cellStyle name="Финансовый 2 5 5 2 5" xfId="9933" xr:uid="{00000000-0005-0000-0000-0000756C0000}"/>
    <cellStyle name="Финансовый 2 5 5 2 5 2" xfId="21911" xr:uid="{00000000-0005-0000-0000-0000766C0000}"/>
    <cellStyle name="Финансовый 2 5 5 2 5 2 2" xfId="45866" xr:uid="{00000000-0005-0000-0000-0000776C0000}"/>
    <cellStyle name="Финансовый 2 5 5 2 5 3" xfId="33888" xr:uid="{00000000-0005-0000-0000-0000786C0000}"/>
    <cellStyle name="Финансовый 2 5 5 2 6" xfId="14091" xr:uid="{00000000-0005-0000-0000-0000796C0000}"/>
    <cellStyle name="Финансовый 2 5 5 2 6 2" xfId="38046" xr:uid="{00000000-0005-0000-0000-00007A6C0000}"/>
    <cellStyle name="Финансовый 2 5 5 2 7" xfId="26069" xr:uid="{00000000-0005-0000-0000-00007B6C0000}"/>
    <cellStyle name="Финансовый 2 5 5 2 8" xfId="49202" xr:uid="{00000000-0005-0000-0000-00007C6C0000}"/>
    <cellStyle name="Финансовый 2 5 5 3" xfId="1145" xr:uid="{00000000-0005-0000-0000-00007D6C0000}"/>
    <cellStyle name="Финансовый 2 5 5 3 2" xfId="7185" xr:uid="{00000000-0005-0000-0000-00007E6C0000}"/>
    <cellStyle name="Финансовый 2 5 5 3 2 2" xfId="19163" xr:uid="{00000000-0005-0000-0000-00007F6C0000}"/>
    <cellStyle name="Финансовый 2 5 5 3 2 2 2" xfId="43118" xr:uid="{00000000-0005-0000-0000-0000806C0000}"/>
    <cellStyle name="Финансовый 2 5 5 3 2 3" xfId="31140" xr:uid="{00000000-0005-0000-0000-0000816C0000}"/>
    <cellStyle name="Финансовый 2 5 5 3 3" xfId="10725" xr:uid="{00000000-0005-0000-0000-0000826C0000}"/>
    <cellStyle name="Финансовый 2 5 5 3 3 2" xfId="22703" xr:uid="{00000000-0005-0000-0000-0000836C0000}"/>
    <cellStyle name="Финансовый 2 5 5 3 3 2 2" xfId="46658" xr:uid="{00000000-0005-0000-0000-0000846C0000}"/>
    <cellStyle name="Финансовый 2 5 5 3 3 3" xfId="34680" xr:uid="{00000000-0005-0000-0000-0000856C0000}"/>
    <cellStyle name="Финансовый 2 5 5 3 4" xfId="13126" xr:uid="{00000000-0005-0000-0000-0000866C0000}"/>
    <cellStyle name="Финансовый 2 5 5 3 4 2" xfId="37081" xr:uid="{00000000-0005-0000-0000-0000876C0000}"/>
    <cellStyle name="Финансовый 2 5 5 3 5" xfId="25104" xr:uid="{00000000-0005-0000-0000-0000886C0000}"/>
    <cellStyle name="Финансовый 2 5 5 3 6" xfId="50010" xr:uid="{00000000-0005-0000-0000-0000896C0000}"/>
    <cellStyle name="Финансовый 2 5 5 4" xfId="745" xr:uid="{00000000-0005-0000-0000-00008A6C0000}"/>
    <cellStyle name="Финансовый 2 5 5 4 2" xfId="6785" xr:uid="{00000000-0005-0000-0000-00008B6C0000}"/>
    <cellStyle name="Финансовый 2 5 5 4 2 2" xfId="18763" xr:uid="{00000000-0005-0000-0000-00008C6C0000}"/>
    <cellStyle name="Финансовый 2 5 5 4 2 2 2" xfId="42718" xr:uid="{00000000-0005-0000-0000-00008D6C0000}"/>
    <cellStyle name="Финансовый 2 5 5 4 2 3" xfId="30740" xr:uid="{00000000-0005-0000-0000-00008E6C0000}"/>
    <cellStyle name="Финансовый 2 5 5 4 3" xfId="12726" xr:uid="{00000000-0005-0000-0000-00008F6C0000}"/>
    <cellStyle name="Финансовый 2 5 5 4 3 2" xfId="36681" xr:uid="{00000000-0005-0000-0000-0000906C0000}"/>
    <cellStyle name="Финансовый 2 5 5 4 4" xfId="24704" xr:uid="{00000000-0005-0000-0000-0000916C0000}"/>
    <cellStyle name="Финансовый 2 5 5 5" xfId="2922" xr:uid="{00000000-0005-0000-0000-0000926C0000}"/>
    <cellStyle name="Финансовый 2 5 5 5 2" xfId="14901" xr:uid="{00000000-0005-0000-0000-0000936C0000}"/>
    <cellStyle name="Финансовый 2 5 5 5 2 2" xfId="38856" xr:uid="{00000000-0005-0000-0000-0000946C0000}"/>
    <cellStyle name="Финансовый 2 5 5 5 3" xfId="26879" xr:uid="{00000000-0005-0000-0000-0000956C0000}"/>
    <cellStyle name="Финансовый 2 5 5 6" xfId="4566" xr:uid="{00000000-0005-0000-0000-0000966C0000}"/>
    <cellStyle name="Финансовый 2 5 5 6 2" xfId="16545" xr:uid="{00000000-0005-0000-0000-0000976C0000}"/>
    <cellStyle name="Финансовый 2 5 5 6 2 2" xfId="40500" xr:uid="{00000000-0005-0000-0000-0000986C0000}"/>
    <cellStyle name="Финансовый 2 5 5 6 3" xfId="28523" xr:uid="{00000000-0005-0000-0000-0000996C0000}"/>
    <cellStyle name="Финансовый 2 5 5 7" xfId="6365" xr:uid="{00000000-0005-0000-0000-00009A6C0000}"/>
    <cellStyle name="Финансовый 2 5 5 7 2" xfId="18343" xr:uid="{00000000-0005-0000-0000-00009B6C0000}"/>
    <cellStyle name="Финансовый 2 5 5 7 2 2" xfId="42298" xr:uid="{00000000-0005-0000-0000-00009C6C0000}"/>
    <cellStyle name="Финансовый 2 5 5 7 3" xfId="30320" xr:uid="{00000000-0005-0000-0000-00009D6C0000}"/>
    <cellStyle name="Финансовый 2 5 5 8" xfId="8960" xr:uid="{00000000-0005-0000-0000-00009E6C0000}"/>
    <cellStyle name="Финансовый 2 5 5 8 2" xfId="20938" xr:uid="{00000000-0005-0000-0000-00009F6C0000}"/>
    <cellStyle name="Финансовый 2 5 5 8 2 2" xfId="44893" xr:uid="{00000000-0005-0000-0000-0000A06C0000}"/>
    <cellStyle name="Финансовый 2 5 5 8 3" xfId="32915" xr:uid="{00000000-0005-0000-0000-0000A16C0000}"/>
    <cellStyle name="Финансовый 2 5 5 9" xfId="12306" xr:uid="{00000000-0005-0000-0000-0000A26C0000}"/>
    <cellStyle name="Финансовый 2 5 5 9 2" xfId="36261" xr:uid="{00000000-0005-0000-0000-0000A36C0000}"/>
    <cellStyle name="Финансовый 2 5 6" xfId="1506" xr:uid="{00000000-0005-0000-0000-0000A46C0000}"/>
    <cellStyle name="Финансовый 2 5 6 2" xfId="1848" xr:uid="{00000000-0005-0000-0000-0000A56C0000}"/>
    <cellStyle name="Финансовый 2 5 6 2 2" xfId="3493" xr:uid="{00000000-0005-0000-0000-0000A66C0000}"/>
    <cellStyle name="Финансовый 2 5 6 2 2 2" xfId="11241" xr:uid="{00000000-0005-0000-0000-0000A76C0000}"/>
    <cellStyle name="Финансовый 2 5 6 2 2 2 2" xfId="23219" xr:uid="{00000000-0005-0000-0000-0000A86C0000}"/>
    <cellStyle name="Финансовый 2 5 6 2 2 2 2 2" xfId="47174" xr:uid="{00000000-0005-0000-0000-0000A96C0000}"/>
    <cellStyle name="Финансовый 2 5 6 2 2 2 3" xfId="35196" xr:uid="{00000000-0005-0000-0000-0000AA6C0000}"/>
    <cellStyle name="Финансовый 2 5 6 2 2 3" xfId="15472" xr:uid="{00000000-0005-0000-0000-0000AB6C0000}"/>
    <cellStyle name="Финансовый 2 5 6 2 2 3 2" xfId="39427" xr:uid="{00000000-0005-0000-0000-0000AC6C0000}"/>
    <cellStyle name="Финансовый 2 5 6 2 2 4" xfId="27450" xr:uid="{00000000-0005-0000-0000-0000AD6C0000}"/>
    <cellStyle name="Финансовый 2 5 6 2 2 5" xfId="50719" xr:uid="{00000000-0005-0000-0000-0000AE6C0000}"/>
    <cellStyle name="Финансовый 2 5 6 2 3" xfId="5276" xr:uid="{00000000-0005-0000-0000-0000AF6C0000}"/>
    <cellStyle name="Финансовый 2 5 6 2 3 2" xfId="17254" xr:uid="{00000000-0005-0000-0000-0000B06C0000}"/>
    <cellStyle name="Финансовый 2 5 6 2 3 2 2" xfId="41209" xr:uid="{00000000-0005-0000-0000-0000B16C0000}"/>
    <cellStyle name="Финансовый 2 5 6 2 3 3" xfId="29231" xr:uid="{00000000-0005-0000-0000-0000B26C0000}"/>
    <cellStyle name="Финансовый 2 5 6 2 4" xfId="7886" xr:uid="{00000000-0005-0000-0000-0000B36C0000}"/>
    <cellStyle name="Финансовый 2 5 6 2 4 2" xfId="19864" xr:uid="{00000000-0005-0000-0000-0000B46C0000}"/>
    <cellStyle name="Финансовый 2 5 6 2 4 2 2" xfId="43819" xr:uid="{00000000-0005-0000-0000-0000B56C0000}"/>
    <cellStyle name="Финансовый 2 5 6 2 4 3" xfId="31841" xr:uid="{00000000-0005-0000-0000-0000B66C0000}"/>
    <cellStyle name="Финансовый 2 5 6 2 5" xfId="9669" xr:uid="{00000000-0005-0000-0000-0000B76C0000}"/>
    <cellStyle name="Финансовый 2 5 6 2 5 2" xfId="21647" xr:uid="{00000000-0005-0000-0000-0000B86C0000}"/>
    <cellStyle name="Финансовый 2 5 6 2 5 2 2" xfId="45602" xr:uid="{00000000-0005-0000-0000-0000B96C0000}"/>
    <cellStyle name="Финансовый 2 5 6 2 5 3" xfId="33624" xr:uid="{00000000-0005-0000-0000-0000BA6C0000}"/>
    <cellStyle name="Финансовый 2 5 6 2 6" xfId="13827" xr:uid="{00000000-0005-0000-0000-0000BB6C0000}"/>
    <cellStyle name="Финансовый 2 5 6 2 6 2" xfId="37782" xr:uid="{00000000-0005-0000-0000-0000BC6C0000}"/>
    <cellStyle name="Финансовый 2 5 6 2 7" xfId="25805" xr:uid="{00000000-0005-0000-0000-0000BD6C0000}"/>
    <cellStyle name="Финансовый 2 5 6 2 8" xfId="48938" xr:uid="{00000000-0005-0000-0000-0000BE6C0000}"/>
    <cellStyle name="Финансовый 2 5 6 3" xfId="4934" xr:uid="{00000000-0005-0000-0000-0000BF6C0000}"/>
    <cellStyle name="Финансовый 2 5 6 3 2" xfId="16912" xr:uid="{00000000-0005-0000-0000-0000C06C0000}"/>
    <cellStyle name="Финансовый 2 5 6 3 2 2" xfId="40867" xr:uid="{00000000-0005-0000-0000-0000C16C0000}"/>
    <cellStyle name="Финансовый 2 5 6 3 3" xfId="28889" xr:uid="{00000000-0005-0000-0000-0000C26C0000}"/>
    <cellStyle name="Финансовый 2 5 6 3 4" xfId="50377" xr:uid="{00000000-0005-0000-0000-0000C36C0000}"/>
    <cellStyle name="Финансовый 2 5 6 4" xfId="7544" xr:uid="{00000000-0005-0000-0000-0000C46C0000}"/>
    <cellStyle name="Финансовый 2 5 6 4 2" xfId="19522" xr:uid="{00000000-0005-0000-0000-0000C56C0000}"/>
    <cellStyle name="Финансовый 2 5 6 4 2 2" xfId="43477" xr:uid="{00000000-0005-0000-0000-0000C66C0000}"/>
    <cellStyle name="Финансовый 2 5 6 4 3" xfId="31499" xr:uid="{00000000-0005-0000-0000-0000C76C0000}"/>
    <cellStyle name="Финансовый 2 5 6 5" xfId="9327" xr:uid="{00000000-0005-0000-0000-0000C86C0000}"/>
    <cellStyle name="Финансовый 2 5 6 5 2" xfId="21305" xr:uid="{00000000-0005-0000-0000-0000C96C0000}"/>
    <cellStyle name="Финансовый 2 5 6 5 2 2" xfId="45260" xr:uid="{00000000-0005-0000-0000-0000CA6C0000}"/>
    <cellStyle name="Финансовый 2 5 6 5 3" xfId="33282" xr:uid="{00000000-0005-0000-0000-0000CB6C0000}"/>
    <cellStyle name="Финансовый 2 5 6 6" xfId="13485" xr:uid="{00000000-0005-0000-0000-0000CC6C0000}"/>
    <cellStyle name="Финансовый 2 5 6 6 2" xfId="37440" xr:uid="{00000000-0005-0000-0000-0000CD6C0000}"/>
    <cellStyle name="Финансовый 2 5 6 7" xfId="25463" xr:uid="{00000000-0005-0000-0000-0000CE6C0000}"/>
    <cellStyle name="Финансовый 2 5 6 8" xfId="48596" xr:uid="{00000000-0005-0000-0000-0000CF6C0000}"/>
    <cellStyle name="Финансовый 2 5 7" xfId="1732" xr:uid="{00000000-0005-0000-0000-0000D06C0000}"/>
    <cellStyle name="Финансовый 2 5 7 2" xfId="3377" xr:uid="{00000000-0005-0000-0000-0000D16C0000}"/>
    <cellStyle name="Финансовый 2 5 7 2 2" xfId="11125" xr:uid="{00000000-0005-0000-0000-0000D26C0000}"/>
    <cellStyle name="Финансовый 2 5 7 2 2 2" xfId="23103" xr:uid="{00000000-0005-0000-0000-0000D36C0000}"/>
    <cellStyle name="Финансовый 2 5 7 2 2 2 2" xfId="47058" xr:uid="{00000000-0005-0000-0000-0000D46C0000}"/>
    <cellStyle name="Финансовый 2 5 7 2 2 3" xfId="35080" xr:uid="{00000000-0005-0000-0000-0000D56C0000}"/>
    <cellStyle name="Финансовый 2 5 7 2 3" xfId="15356" xr:uid="{00000000-0005-0000-0000-0000D66C0000}"/>
    <cellStyle name="Финансовый 2 5 7 2 3 2" xfId="39311" xr:uid="{00000000-0005-0000-0000-0000D76C0000}"/>
    <cellStyle name="Финансовый 2 5 7 2 4" xfId="27334" xr:uid="{00000000-0005-0000-0000-0000D86C0000}"/>
    <cellStyle name="Финансовый 2 5 7 2 5" xfId="50603" xr:uid="{00000000-0005-0000-0000-0000D96C0000}"/>
    <cellStyle name="Финансовый 2 5 7 3" xfId="5160" xr:uid="{00000000-0005-0000-0000-0000DA6C0000}"/>
    <cellStyle name="Финансовый 2 5 7 3 2" xfId="17138" xr:uid="{00000000-0005-0000-0000-0000DB6C0000}"/>
    <cellStyle name="Финансовый 2 5 7 3 2 2" xfId="41093" xr:uid="{00000000-0005-0000-0000-0000DC6C0000}"/>
    <cellStyle name="Финансовый 2 5 7 3 3" xfId="29115" xr:uid="{00000000-0005-0000-0000-0000DD6C0000}"/>
    <cellStyle name="Финансовый 2 5 7 4" xfId="7770" xr:uid="{00000000-0005-0000-0000-0000DE6C0000}"/>
    <cellStyle name="Финансовый 2 5 7 4 2" xfId="19748" xr:uid="{00000000-0005-0000-0000-0000DF6C0000}"/>
    <cellStyle name="Финансовый 2 5 7 4 2 2" xfId="43703" xr:uid="{00000000-0005-0000-0000-0000E06C0000}"/>
    <cellStyle name="Финансовый 2 5 7 4 3" xfId="31725" xr:uid="{00000000-0005-0000-0000-0000E16C0000}"/>
    <cellStyle name="Финансовый 2 5 7 5" xfId="9553" xr:uid="{00000000-0005-0000-0000-0000E26C0000}"/>
    <cellStyle name="Финансовый 2 5 7 5 2" xfId="21531" xr:uid="{00000000-0005-0000-0000-0000E36C0000}"/>
    <cellStyle name="Финансовый 2 5 7 5 2 2" xfId="45486" xr:uid="{00000000-0005-0000-0000-0000E46C0000}"/>
    <cellStyle name="Финансовый 2 5 7 5 3" xfId="33508" xr:uid="{00000000-0005-0000-0000-0000E56C0000}"/>
    <cellStyle name="Финансовый 2 5 7 6" xfId="13711" xr:uid="{00000000-0005-0000-0000-0000E66C0000}"/>
    <cellStyle name="Финансовый 2 5 7 6 2" xfId="37666" xr:uid="{00000000-0005-0000-0000-0000E76C0000}"/>
    <cellStyle name="Финансовый 2 5 7 7" xfId="25689" xr:uid="{00000000-0005-0000-0000-0000E86C0000}"/>
    <cellStyle name="Финансовый 2 5 7 8" xfId="48822" xr:uid="{00000000-0005-0000-0000-0000E96C0000}"/>
    <cellStyle name="Финансовый 2 5 8" xfId="2368" xr:uid="{00000000-0005-0000-0000-0000EA6C0000}"/>
    <cellStyle name="Финансовый 2 5 8 2" xfId="4013" xr:uid="{00000000-0005-0000-0000-0000EB6C0000}"/>
    <cellStyle name="Финансовый 2 5 8 2 2" xfId="11753" xr:uid="{00000000-0005-0000-0000-0000EC6C0000}"/>
    <cellStyle name="Финансовый 2 5 8 2 2 2" xfId="23731" xr:uid="{00000000-0005-0000-0000-0000ED6C0000}"/>
    <cellStyle name="Финансовый 2 5 8 2 2 2 2" xfId="47686" xr:uid="{00000000-0005-0000-0000-0000EE6C0000}"/>
    <cellStyle name="Финансовый 2 5 8 2 2 3" xfId="35708" xr:uid="{00000000-0005-0000-0000-0000EF6C0000}"/>
    <cellStyle name="Финансовый 2 5 8 2 3" xfId="15992" xr:uid="{00000000-0005-0000-0000-0000F06C0000}"/>
    <cellStyle name="Финансовый 2 5 8 2 3 2" xfId="39947" xr:uid="{00000000-0005-0000-0000-0000F16C0000}"/>
    <cellStyle name="Финансовый 2 5 8 2 4" xfId="27970" xr:uid="{00000000-0005-0000-0000-0000F26C0000}"/>
    <cellStyle name="Финансовый 2 5 8 2 5" xfId="51239" xr:uid="{00000000-0005-0000-0000-0000F36C0000}"/>
    <cellStyle name="Финансовый 2 5 8 3" xfId="5796" xr:uid="{00000000-0005-0000-0000-0000F46C0000}"/>
    <cellStyle name="Финансовый 2 5 8 3 2" xfId="17774" xr:uid="{00000000-0005-0000-0000-0000F56C0000}"/>
    <cellStyle name="Финансовый 2 5 8 3 2 2" xfId="41729" xr:uid="{00000000-0005-0000-0000-0000F66C0000}"/>
    <cellStyle name="Финансовый 2 5 8 3 3" xfId="29751" xr:uid="{00000000-0005-0000-0000-0000F76C0000}"/>
    <cellStyle name="Финансовый 2 5 8 4" xfId="8406" xr:uid="{00000000-0005-0000-0000-0000F86C0000}"/>
    <cellStyle name="Финансовый 2 5 8 4 2" xfId="20384" xr:uid="{00000000-0005-0000-0000-0000F96C0000}"/>
    <cellStyle name="Финансовый 2 5 8 4 2 2" xfId="44339" xr:uid="{00000000-0005-0000-0000-0000FA6C0000}"/>
    <cellStyle name="Финансовый 2 5 8 4 3" xfId="32361" xr:uid="{00000000-0005-0000-0000-0000FB6C0000}"/>
    <cellStyle name="Финансовый 2 5 8 5" xfId="10189" xr:uid="{00000000-0005-0000-0000-0000FC6C0000}"/>
    <cellStyle name="Финансовый 2 5 8 5 2" xfId="22167" xr:uid="{00000000-0005-0000-0000-0000FD6C0000}"/>
    <cellStyle name="Финансовый 2 5 8 5 2 2" xfId="46122" xr:uid="{00000000-0005-0000-0000-0000FE6C0000}"/>
    <cellStyle name="Финансовый 2 5 8 5 3" xfId="34144" xr:uid="{00000000-0005-0000-0000-0000FF6C0000}"/>
    <cellStyle name="Финансовый 2 5 8 6" xfId="14347" xr:uid="{00000000-0005-0000-0000-0000006D0000}"/>
    <cellStyle name="Финансовый 2 5 8 6 2" xfId="38302" xr:uid="{00000000-0005-0000-0000-0000016D0000}"/>
    <cellStyle name="Финансовый 2 5 8 7" xfId="26325" xr:uid="{00000000-0005-0000-0000-0000026D0000}"/>
    <cellStyle name="Финансовый 2 5 8 8" xfId="49458" xr:uid="{00000000-0005-0000-0000-0000036D0000}"/>
    <cellStyle name="Финансовый 2 5 9" xfId="1595" xr:uid="{00000000-0005-0000-0000-0000046D0000}"/>
    <cellStyle name="Финансовый 2 5 9 2" xfId="3240" xr:uid="{00000000-0005-0000-0000-0000056D0000}"/>
    <cellStyle name="Финансовый 2 5 9 2 2" xfId="10996" xr:uid="{00000000-0005-0000-0000-0000066D0000}"/>
    <cellStyle name="Финансовый 2 5 9 2 2 2" xfId="22974" xr:uid="{00000000-0005-0000-0000-0000076D0000}"/>
    <cellStyle name="Финансовый 2 5 9 2 2 2 2" xfId="46929" xr:uid="{00000000-0005-0000-0000-0000086D0000}"/>
    <cellStyle name="Финансовый 2 5 9 2 2 3" xfId="34951" xr:uid="{00000000-0005-0000-0000-0000096D0000}"/>
    <cellStyle name="Финансовый 2 5 9 2 3" xfId="15219" xr:uid="{00000000-0005-0000-0000-00000A6D0000}"/>
    <cellStyle name="Финансовый 2 5 9 2 3 2" xfId="39174" xr:uid="{00000000-0005-0000-0000-00000B6D0000}"/>
    <cellStyle name="Финансовый 2 5 9 2 4" xfId="27197" xr:uid="{00000000-0005-0000-0000-00000C6D0000}"/>
    <cellStyle name="Финансовый 2 5 9 2 5" xfId="50466" xr:uid="{00000000-0005-0000-0000-00000D6D0000}"/>
    <cellStyle name="Финансовый 2 5 9 3" xfId="5023" xr:uid="{00000000-0005-0000-0000-00000E6D0000}"/>
    <cellStyle name="Финансовый 2 5 9 3 2" xfId="17001" xr:uid="{00000000-0005-0000-0000-00000F6D0000}"/>
    <cellStyle name="Финансовый 2 5 9 3 2 2" xfId="40956" xr:uid="{00000000-0005-0000-0000-0000106D0000}"/>
    <cellStyle name="Финансовый 2 5 9 3 3" xfId="28978" xr:uid="{00000000-0005-0000-0000-0000116D0000}"/>
    <cellStyle name="Финансовый 2 5 9 4" xfId="7633" xr:uid="{00000000-0005-0000-0000-0000126D0000}"/>
    <cellStyle name="Финансовый 2 5 9 4 2" xfId="19611" xr:uid="{00000000-0005-0000-0000-0000136D0000}"/>
    <cellStyle name="Финансовый 2 5 9 4 2 2" xfId="43566" xr:uid="{00000000-0005-0000-0000-0000146D0000}"/>
    <cellStyle name="Финансовый 2 5 9 4 3" xfId="31588" xr:uid="{00000000-0005-0000-0000-0000156D0000}"/>
    <cellStyle name="Финансовый 2 5 9 5" xfId="9416" xr:uid="{00000000-0005-0000-0000-0000166D0000}"/>
    <cellStyle name="Финансовый 2 5 9 5 2" xfId="21394" xr:uid="{00000000-0005-0000-0000-0000176D0000}"/>
    <cellStyle name="Финансовый 2 5 9 5 2 2" xfId="45349" xr:uid="{00000000-0005-0000-0000-0000186D0000}"/>
    <cellStyle name="Финансовый 2 5 9 5 3" xfId="33371" xr:uid="{00000000-0005-0000-0000-0000196D0000}"/>
    <cellStyle name="Финансовый 2 5 9 6" xfId="13574" xr:uid="{00000000-0005-0000-0000-00001A6D0000}"/>
    <cellStyle name="Финансовый 2 5 9 6 2" xfId="37529" xr:uid="{00000000-0005-0000-0000-00001B6D0000}"/>
    <cellStyle name="Финансовый 2 5 9 7" xfId="25552" xr:uid="{00000000-0005-0000-0000-00001C6D0000}"/>
    <cellStyle name="Финансовый 2 5 9 8" xfId="48685" xr:uid="{00000000-0005-0000-0000-00001D6D0000}"/>
    <cellStyle name="Финансовый 2 6" xfId="90" xr:uid="{00000000-0005-0000-0000-00001E6D0000}"/>
    <cellStyle name="Финансовый 2 6 10" xfId="2700" xr:uid="{00000000-0005-0000-0000-00001F6D0000}"/>
    <cellStyle name="Финансовый 2 6 10 2" xfId="14679" xr:uid="{00000000-0005-0000-0000-0000206D0000}"/>
    <cellStyle name="Финансовый 2 6 10 2 2" xfId="38634" xr:uid="{00000000-0005-0000-0000-0000216D0000}"/>
    <cellStyle name="Финансовый 2 6 10 3" xfId="26657" xr:uid="{00000000-0005-0000-0000-0000226D0000}"/>
    <cellStyle name="Финансовый 2 6 11" xfId="4344" xr:uid="{00000000-0005-0000-0000-0000236D0000}"/>
    <cellStyle name="Финансовый 2 6 11 2" xfId="16323" xr:uid="{00000000-0005-0000-0000-0000246D0000}"/>
    <cellStyle name="Финансовый 2 6 11 2 2" xfId="40278" xr:uid="{00000000-0005-0000-0000-0000256D0000}"/>
    <cellStyle name="Финансовый 2 6 11 3" xfId="28301" xr:uid="{00000000-0005-0000-0000-0000266D0000}"/>
    <cellStyle name="Финансовый 2 6 12" xfId="6131" xr:uid="{00000000-0005-0000-0000-0000276D0000}"/>
    <cellStyle name="Финансовый 2 6 12 2" xfId="18109" xr:uid="{00000000-0005-0000-0000-0000286D0000}"/>
    <cellStyle name="Финансовый 2 6 12 2 2" xfId="42064" xr:uid="{00000000-0005-0000-0000-0000296D0000}"/>
    <cellStyle name="Финансовый 2 6 12 3" xfId="30086" xr:uid="{00000000-0005-0000-0000-00002A6D0000}"/>
    <cellStyle name="Финансовый 2 6 13" xfId="8738" xr:uid="{00000000-0005-0000-0000-00002B6D0000}"/>
    <cellStyle name="Финансовый 2 6 13 2" xfId="20716" xr:uid="{00000000-0005-0000-0000-00002C6D0000}"/>
    <cellStyle name="Финансовый 2 6 13 2 2" xfId="44671" xr:uid="{00000000-0005-0000-0000-00002D6D0000}"/>
    <cellStyle name="Финансовый 2 6 13 3" xfId="32693" xr:uid="{00000000-0005-0000-0000-00002E6D0000}"/>
    <cellStyle name="Финансовый 2 6 14" xfId="12072" xr:uid="{00000000-0005-0000-0000-00002F6D0000}"/>
    <cellStyle name="Финансовый 2 6 14 2" xfId="36027" xr:uid="{00000000-0005-0000-0000-0000306D0000}"/>
    <cellStyle name="Финансовый 2 6 15" xfId="24050" xr:uid="{00000000-0005-0000-0000-0000316D0000}"/>
    <cellStyle name="Финансовый 2 6 16" xfId="48008" xr:uid="{00000000-0005-0000-0000-0000326D0000}"/>
    <cellStyle name="Финансовый 2 6 2" xfId="226" xr:uid="{00000000-0005-0000-0000-0000336D0000}"/>
    <cellStyle name="Финансовый 2 6 2 10" xfId="8874" xr:uid="{00000000-0005-0000-0000-0000346D0000}"/>
    <cellStyle name="Финансовый 2 6 2 10 2" xfId="20852" xr:uid="{00000000-0005-0000-0000-0000356D0000}"/>
    <cellStyle name="Финансовый 2 6 2 10 2 2" xfId="44807" xr:uid="{00000000-0005-0000-0000-0000366D0000}"/>
    <cellStyle name="Финансовый 2 6 2 10 3" xfId="32829" xr:uid="{00000000-0005-0000-0000-0000376D0000}"/>
    <cellStyle name="Финансовый 2 6 2 11" xfId="12208" xr:uid="{00000000-0005-0000-0000-0000386D0000}"/>
    <cellStyle name="Финансовый 2 6 2 11 2" xfId="36163" xr:uid="{00000000-0005-0000-0000-0000396D0000}"/>
    <cellStyle name="Финансовый 2 6 2 12" xfId="24186" xr:uid="{00000000-0005-0000-0000-00003A6D0000}"/>
    <cellStyle name="Финансовый 2 6 2 13" xfId="48144" xr:uid="{00000000-0005-0000-0000-00003B6D0000}"/>
    <cellStyle name="Финансовый 2 6 2 2" xfId="1324" xr:uid="{00000000-0005-0000-0000-00003C6D0000}"/>
    <cellStyle name="Финансовый 2 6 2 2 2" xfId="2282" xr:uid="{00000000-0005-0000-0000-00003D6D0000}"/>
    <cellStyle name="Финансовый 2 6 2 2 2 2" xfId="3927" xr:uid="{00000000-0005-0000-0000-00003E6D0000}"/>
    <cellStyle name="Финансовый 2 6 2 2 2 2 2" xfId="11667" xr:uid="{00000000-0005-0000-0000-00003F6D0000}"/>
    <cellStyle name="Финансовый 2 6 2 2 2 2 2 2" xfId="23645" xr:uid="{00000000-0005-0000-0000-0000406D0000}"/>
    <cellStyle name="Финансовый 2 6 2 2 2 2 2 2 2" xfId="47600" xr:uid="{00000000-0005-0000-0000-0000416D0000}"/>
    <cellStyle name="Финансовый 2 6 2 2 2 2 2 3" xfId="35622" xr:uid="{00000000-0005-0000-0000-0000426D0000}"/>
    <cellStyle name="Финансовый 2 6 2 2 2 2 3" xfId="15906" xr:uid="{00000000-0005-0000-0000-0000436D0000}"/>
    <cellStyle name="Финансовый 2 6 2 2 2 2 3 2" xfId="39861" xr:uid="{00000000-0005-0000-0000-0000446D0000}"/>
    <cellStyle name="Финансовый 2 6 2 2 2 2 4" xfId="27884" xr:uid="{00000000-0005-0000-0000-0000456D0000}"/>
    <cellStyle name="Финансовый 2 6 2 2 2 2 5" xfId="51153" xr:uid="{00000000-0005-0000-0000-0000466D0000}"/>
    <cellStyle name="Финансовый 2 6 2 2 2 3" xfId="5710" xr:uid="{00000000-0005-0000-0000-0000476D0000}"/>
    <cellStyle name="Финансовый 2 6 2 2 2 3 2" xfId="17688" xr:uid="{00000000-0005-0000-0000-0000486D0000}"/>
    <cellStyle name="Финансовый 2 6 2 2 2 3 2 2" xfId="41643" xr:uid="{00000000-0005-0000-0000-0000496D0000}"/>
    <cellStyle name="Финансовый 2 6 2 2 2 3 3" xfId="29665" xr:uid="{00000000-0005-0000-0000-00004A6D0000}"/>
    <cellStyle name="Финансовый 2 6 2 2 2 4" xfId="8320" xr:uid="{00000000-0005-0000-0000-00004B6D0000}"/>
    <cellStyle name="Финансовый 2 6 2 2 2 4 2" xfId="20298" xr:uid="{00000000-0005-0000-0000-00004C6D0000}"/>
    <cellStyle name="Финансовый 2 6 2 2 2 4 2 2" xfId="44253" xr:uid="{00000000-0005-0000-0000-00004D6D0000}"/>
    <cellStyle name="Финансовый 2 6 2 2 2 4 3" xfId="32275" xr:uid="{00000000-0005-0000-0000-00004E6D0000}"/>
    <cellStyle name="Финансовый 2 6 2 2 2 5" xfId="10103" xr:uid="{00000000-0005-0000-0000-00004F6D0000}"/>
    <cellStyle name="Финансовый 2 6 2 2 2 5 2" xfId="22081" xr:uid="{00000000-0005-0000-0000-0000506D0000}"/>
    <cellStyle name="Финансовый 2 6 2 2 2 5 2 2" xfId="46036" xr:uid="{00000000-0005-0000-0000-0000516D0000}"/>
    <cellStyle name="Финансовый 2 6 2 2 2 5 3" xfId="34058" xr:uid="{00000000-0005-0000-0000-0000526D0000}"/>
    <cellStyle name="Финансовый 2 6 2 2 2 6" xfId="14261" xr:uid="{00000000-0005-0000-0000-0000536D0000}"/>
    <cellStyle name="Финансовый 2 6 2 2 2 6 2" xfId="38216" xr:uid="{00000000-0005-0000-0000-0000546D0000}"/>
    <cellStyle name="Финансовый 2 6 2 2 2 7" xfId="26239" xr:uid="{00000000-0005-0000-0000-0000556D0000}"/>
    <cellStyle name="Финансовый 2 6 2 2 2 8" xfId="49372" xr:uid="{00000000-0005-0000-0000-0000566D0000}"/>
    <cellStyle name="Финансовый 2 6 2 2 3" xfId="3108" xr:uid="{00000000-0005-0000-0000-0000576D0000}"/>
    <cellStyle name="Финансовый 2 6 2 2 3 2" xfId="10895" xr:uid="{00000000-0005-0000-0000-0000586D0000}"/>
    <cellStyle name="Финансовый 2 6 2 2 3 2 2" xfId="22873" xr:uid="{00000000-0005-0000-0000-0000596D0000}"/>
    <cellStyle name="Финансовый 2 6 2 2 3 2 2 2" xfId="46828" xr:uid="{00000000-0005-0000-0000-00005A6D0000}"/>
    <cellStyle name="Финансовый 2 6 2 2 3 2 3" xfId="34850" xr:uid="{00000000-0005-0000-0000-00005B6D0000}"/>
    <cellStyle name="Финансовый 2 6 2 2 3 3" xfId="15087" xr:uid="{00000000-0005-0000-0000-00005C6D0000}"/>
    <cellStyle name="Финансовый 2 6 2 2 3 3 2" xfId="39042" xr:uid="{00000000-0005-0000-0000-00005D6D0000}"/>
    <cellStyle name="Финансовый 2 6 2 2 3 4" xfId="27065" xr:uid="{00000000-0005-0000-0000-00005E6D0000}"/>
    <cellStyle name="Финансовый 2 6 2 2 3 5" xfId="50196" xr:uid="{00000000-0005-0000-0000-00005F6D0000}"/>
    <cellStyle name="Финансовый 2 6 2 2 4" xfId="4752" xr:uid="{00000000-0005-0000-0000-0000606D0000}"/>
    <cellStyle name="Финансовый 2 6 2 2 4 2" xfId="16731" xr:uid="{00000000-0005-0000-0000-0000616D0000}"/>
    <cellStyle name="Финансовый 2 6 2 2 4 2 2" xfId="40686" xr:uid="{00000000-0005-0000-0000-0000626D0000}"/>
    <cellStyle name="Финансовый 2 6 2 2 4 3" xfId="28709" xr:uid="{00000000-0005-0000-0000-0000636D0000}"/>
    <cellStyle name="Финансовый 2 6 2 2 5" xfId="7364" xr:uid="{00000000-0005-0000-0000-0000646D0000}"/>
    <cellStyle name="Финансовый 2 6 2 2 5 2" xfId="19342" xr:uid="{00000000-0005-0000-0000-0000656D0000}"/>
    <cellStyle name="Финансовый 2 6 2 2 5 2 2" xfId="43297" xr:uid="{00000000-0005-0000-0000-0000666D0000}"/>
    <cellStyle name="Финансовый 2 6 2 2 5 3" xfId="31319" xr:uid="{00000000-0005-0000-0000-0000676D0000}"/>
    <cellStyle name="Финансовый 2 6 2 2 6" xfId="9146" xr:uid="{00000000-0005-0000-0000-0000686D0000}"/>
    <cellStyle name="Финансовый 2 6 2 2 6 2" xfId="21124" xr:uid="{00000000-0005-0000-0000-0000696D0000}"/>
    <cellStyle name="Финансовый 2 6 2 2 6 2 2" xfId="45079" xr:uid="{00000000-0005-0000-0000-00006A6D0000}"/>
    <cellStyle name="Финансовый 2 6 2 2 6 3" xfId="33101" xr:uid="{00000000-0005-0000-0000-00006B6D0000}"/>
    <cellStyle name="Финансовый 2 6 2 2 7" xfId="13305" xr:uid="{00000000-0005-0000-0000-00006C6D0000}"/>
    <cellStyle name="Финансовый 2 6 2 2 7 2" xfId="37260" xr:uid="{00000000-0005-0000-0000-00006D6D0000}"/>
    <cellStyle name="Финансовый 2 6 2 2 8" xfId="25283" xr:uid="{00000000-0005-0000-0000-00006E6D0000}"/>
    <cellStyle name="Финансовый 2 6 2 2 9" xfId="48416" xr:uid="{00000000-0005-0000-0000-00006F6D0000}"/>
    <cellStyle name="Финансовый 2 6 2 3" xfId="2026" xr:uid="{00000000-0005-0000-0000-0000706D0000}"/>
    <cellStyle name="Финансовый 2 6 2 3 2" xfId="3671" xr:uid="{00000000-0005-0000-0000-0000716D0000}"/>
    <cellStyle name="Финансовый 2 6 2 3 2 2" xfId="11411" xr:uid="{00000000-0005-0000-0000-0000726D0000}"/>
    <cellStyle name="Финансовый 2 6 2 3 2 2 2" xfId="23389" xr:uid="{00000000-0005-0000-0000-0000736D0000}"/>
    <cellStyle name="Финансовый 2 6 2 3 2 2 2 2" xfId="47344" xr:uid="{00000000-0005-0000-0000-0000746D0000}"/>
    <cellStyle name="Финансовый 2 6 2 3 2 2 3" xfId="35366" xr:uid="{00000000-0005-0000-0000-0000756D0000}"/>
    <cellStyle name="Финансовый 2 6 2 3 2 3" xfId="15650" xr:uid="{00000000-0005-0000-0000-0000766D0000}"/>
    <cellStyle name="Финансовый 2 6 2 3 2 3 2" xfId="39605" xr:uid="{00000000-0005-0000-0000-0000776D0000}"/>
    <cellStyle name="Финансовый 2 6 2 3 2 4" xfId="27628" xr:uid="{00000000-0005-0000-0000-0000786D0000}"/>
    <cellStyle name="Финансовый 2 6 2 3 2 5" xfId="50897" xr:uid="{00000000-0005-0000-0000-0000796D0000}"/>
    <cellStyle name="Финансовый 2 6 2 3 3" xfId="5454" xr:uid="{00000000-0005-0000-0000-00007A6D0000}"/>
    <cellStyle name="Финансовый 2 6 2 3 3 2" xfId="17432" xr:uid="{00000000-0005-0000-0000-00007B6D0000}"/>
    <cellStyle name="Финансовый 2 6 2 3 3 2 2" xfId="41387" xr:uid="{00000000-0005-0000-0000-00007C6D0000}"/>
    <cellStyle name="Финансовый 2 6 2 3 3 3" xfId="29409" xr:uid="{00000000-0005-0000-0000-00007D6D0000}"/>
    <cellStyle name="Финансовый 2 6 2 3 4" xfId="8064" xr:uid="{00000000-0005-0000-0000-00007E6D0000}"/>
    <cellStyle name="Финансовый 2 6 2 3 4 2" xfId="20042" xr:uid="{00000000-0005-0000-0000-00007F6D0000}"/>
    <cellStyle name="Финансовый 2 6 2 3 4 2 2" xfId="43997" xr:uid="{00000000-0005-0000-0000-0000806D0000}"/>
    <cellStyle name="Финансовый 2 6 2 3 4 3" xfId="32019" xr:uid="{00000000-0005-0000-0000-0000816D0000}"/>
    <cellStyle name="Финансовый 2 6 2 3 5" xfId="9847" xr:uid="{00000000-0005-0000-0000-0000826D0000}"/>
    <cellStyle name="Финансовый 2 6 2 3 5 2" xfId="21825" xr:uid="{00000000-0005-0000-0000-0000836D0000}"/>
    <cellStyle name="Финансовый 2 6 2 3 5 2 2" xfId="45780" xr:uid="{00000000-0005-0000-0000-0000846D0000}"/>
    <cellStyle name="Финансовый 2 6 2 3 5 3" xfId="33802" xr:uid="{00000000-0005-0000-0000-0000856D0000}"/>
    <cellStyle name="Финансовый 2 6 2 3 6" xfId="14005" xr:uid="{00000000-0005-0000-0000-0000866D0000}"/>
    <cellStyle name="Финансовый 2 6 2 3 6 2" xfId="37960" xr:uid="{00000000-0005-0000-0000-0000876D0000}"/>
    <cellStyle name="Финансовый 2 6 2 3 7" xfId="25983" xr:uid="{00000000-0005-0000-0000-0000886D0000}"/>
    <cellStyle name="Финансовый 2 6 2 3 8" xfId="49116" xr:uid="{00000000-0005-0000-0000-0000896D0000}"/>
    <cellStyle name="Финансовый 2 6 2 4" xfId="2555" xr:uid="{00000000-0005-0000-0000-00008A6D0000}"/>
    <cellStyle name="Финансовый 2 6 2 4 2" xfId="4200" xr:uid="{00000000-0005-0000-0000-00008B6D0000}"/>
    <cellStyle name="Финансовый 2 6 2 4 2 2" xfId="11924" xr:uid="{00000000-0005-0000-0000-00008C6D0000}"/>
    <cellStyle name="Финансовый 2 6 2 4 2 2 2" xfId="23902" xr:uid="{00000000-0005-0000-0000-00008D6D0000}"/>
    <cellStyle name="Финансовый 2 6 2 4 2 2 2 2" xfId="47857" xr:uid="{00000000-0005-0000-0000-00008E6D0000}"/>
    <cellStyle name="Финансовый 2 6 2 4 2 2 3" xfId="35879" xr:uid="{00000000-0005-0000-0000-00008F6D0000}"/>
    <cellStyle name="Финансовый 2 6 2 4 2 3" xfId="16179" xr:uid="{00000000-0005-0000-0000-0000906D0000}"/>
    <cellStyle name="Финансовый 2 6 2 4 2 3 2" xfId="40134" xr:uid="{00000000-0005-0000-0000-0000916D0000}"/>
    <cellStyle name="Финансовый 2 6 2 4 2 4" xfId="28157" xr:uid="{00000000-0005-0000-0000-0000926D0000}"/>
    <cellStyle name="Финансовый 2 6 2 4 2 5" xfId="51426" xr:uid="{00000000-0005-0000-0000-0000936D0000}"/>
    <cellStyle name="Финансовый 2 6 2 4 3" xfId="5983" xr:uid="{00000000-0005-0000-0000-0000946D0000}"/>
    <cellStyle name="Финансовый 2 6 2 4 3 2" xfId="17961" xr:uid="{00000000-0005-0000-0000-0000956D0000}"/>
    <cellStyle name="Финансовый 2 6 2 4 3 2 2" xfId="41916" xr:uid="{00000000-0005-0000-0000-0000966D0000}"/>
    <cellStyle name="Финансовый 2 6 2 4 3 3" xfId="29938" xr:uid="{00000000-0005-0000-0000-0000976D0000}"/>
    <cellStyle name="Финансовый 2 6 2 4 4" xfId="8593" xr:uid="{00000000-0005-0000-0000-0000986D0000}"/>
    <cellStyle name="Финансовый 2 6 2 4 4 2" xfId="20571" xr:uid="{00000000-0005-0000-0000-0000996D0000}"/>
    <cellStyle name="Финансовый 2 6 2 4 4 2 2" xfId="44526" xr:uid="{00000000-0005-0000-0000-00009A6D0000}"/>
    <cellStyle name="Финансовый 2 6 2 4 4 3" xfId="32548" xr:uid="{00000000-0005-0000-0000-00009B6D0000}"/>
    <cellStyle name="Финансовый 2 6 2 4 5" xfId="10376" xr:uid="{00000000-0005-0000-0000-00009C6D0000}"/>
    <cellStyle name="Финансовый 2 6 2 4 5 2" xfId="22354" xr:uid="{00000000-0005-0000-0000-00009D6D0000}"/>
    <cellStyle name="Финансовый 2 6 2 4 5 2 2" xfId="46309" xr:uid="{00000000-0005-0000-0000-00009E6D0000}"/>
    <cellStyle name="Финансовый 2 6 2 4 5 3" xfId="34331" xr:uid="{00000000-0005-0000-0000-00009F6D0000}"/>
    <cellStyle name="Финансовый 2 6 2 4 6" xfId="14534" xr:uid="{00000000-0005-0000-0000-0000A06D0000}"/>
    <cellStyle name="Финансовый 2 6 2 4 6 2" xfId="38489" xr:uid="{00000000-0005-0000-0000-0000A16D0000}"/>
    <cellStyle name="Финансовый 2 6 2 4 7" xfId="26512" xr:uid="{00000000-0005-0000-0000-0000A26D0000}"/>
    <cellStyle name="Финансовый 2 6 2 4 8" xfId="49645" xr:uid="{00000000-0005-0000-0000-0000A36D0000}"/>
    <cellStyle name="Финансовый 2 6 2 5" xfId="1059" xr:uid="{00000000-0005-0000-0000-0000A46D0000}"/>
    <cellStyle name="Финансовый 2 6 2 5 2" xfId="7099" xr:uid="{00000000-0005-0000-0000-0000A56D0000}"/>
    <cellStyle name="Финансовый 2 6 2 5 2 2" xfId="19077" xr:uid="{00000000-0005-0000-0000-0000A66D0000}"/>
    <cellStyle name="Финансовый 2 6 2 5 2 2 2" xfId="43032" xr:uid="{00000000-0005-0000-0000-0000A76D0000}"/>
    <cellStyle name="Финансовый 2 6 2 5 2 3" xfId="31054" xr:uid="{00000000-0005-0000-0000-0000A86D0000}"/>
    <cellStyle name="Финансовый 2 6 2 5 3" xfId="10639" xr:uid="{00000000-0005-0000-0000-0000A96D0000}"/>
    <cellStyle name="Финансовый 2 6 2 5 3 2" xfId="22617" xr:uid="{00000000-0005-0000-0000-0000AA6D0000}"/>
    <cellStyle name="Финансовый 2 6 2 5 3 2 2" xfId="46572" xr:uid="{00000000-0005-0000-0000-0000AB6D0000}"/>
    <cellStyle name="Финансовый 2 6 2 5 3 3" xfId="34594" xr:uid="{00000000-0005-0000-0000-0000AC6D0000}"/>
    <cellStyle name="Финансовый 2 6 2 5 4" xfId="13040" xr:uid="{00000000-0005-0000-0000-0000AD6D0000}"/>
    <cellStyle name="Финансовый 2 6 2 5 4 2" xfId="36995" xr:uid="{00000000-0005-0000-0000-0000AE6D0000}"/>
    <cellStyle name="Финансовый 2 6 2 5 5" xfId="25018" xr:uid="{00000000-0005-0000-0000-0000AF6D0000}"/>
    <cellStyle name="Финансовый 2 6 2 5 6" xfId="49924" xr:uid="{00000000-0005-0000-0000-0000B06D0000}"/>
    <cellStyle name="Финансовый 2 6 2 6" xfId="647" xr:uid="{00000000-0005-0000-0000-0000B16D0000}"/>
    <cellStyle name="Финансовый 2 6 2 6 2" xfId="6687" xr:uid="{00000000-0005-0000-0000-0000B26D0000}"/>
    <cellStyle name="Финансовый 2 6 2 6 2 2" xfId="18665" xr:uid="{00000000-0005-0000-0000-0000B36D0000}"/>
    <cellStyle name="Финансовый 2 6 2 6 2 2 2" xfId="42620" xr:uid="{00000000-0005-0000-0000-0000B46D0000}"/>
    <cellStyle name="Финансовый 2 6 2 6 2 3" xfId="30642" xr:uid="{00000000-0005-0000-0000-0000B56D0000}"/>
    <cellStyle name="Финансовый 2 6 2 6 3" xfId="12628" xr:uid="{00000000-0005-0000-0000-0000B66D0000}"/>
    <cellStyle name="Финансовый 2 6 2 6 3 2" xfId="36583" xr:uid="{00000000-0005-0000-0000-0000B76D0000}"/>
    <cellStyle name="Финансовый 2 6 2 6 4" xfId="24606" xr:uid="{00000000-0005-0000-0000-0000B86D0000}"/>
    <cellStyle name="Финансовый 2 6 2 7" xfId="2836" xr:uid="{00000000-0005-0000-0000-0000B96D0000}"/>
    <cellStyle name="Финансовый 2 6 2 7 2" xfId="14815" xr:uid="{00000000-0005-0000-0000-0000BA6D0000}"/>
    <cellStyle name="Финансовый 2 6 2 7 2 2" xfId="38770" xr:uid="{00000000-0005-0000-0000-0000BB6D0000}"/>
    <cellStyle name="Финансовый 2 6 2 7 3" xfId="26793" xr:uid="{00000000-0005-0000-0000-0000BC6D0000}"/>
    <cellStyle name="Финансовый 2 6 2 8" xfId="4480" xr:uid="{00000000-0005-0000-0000-0000BD6D0000}"/>
    <cellStyle name="Финансовый 2 6 2 8 2" xfId="16459" xr:uid="{00000000-0005-0000-0000-0000BE6D0000}"/>
    <cellStyle name="Финансовый 2 6 2 8 2 2" xfId="40414" xr:uid="{00000000-0005-0000-0000-0000BF6D0000}"/>
    <cellStyle name="Финансовый 2 6 2 8 3" xfId="28437" xr:uid="{00000000-0005-0000-0000-0000C06D0000}"/>
    <cellStyle name="Финансовый 2 6 2 9" xfId="6267" xr:uid="{00000000-0005-0000-0000-0000C16D0000}"/>
    <cellStyle name="Финансовый 2 6 2 9 2" xfId="18245" xr:uid="{00000000-0005-0000-0000-0000C26D0000}"/>
    <cellStyle name="Финансовый 2 6 2 9 2 2" xfId="42200" xr:uid="{00000000-0005-0000-0000-0000C36D0000}"/>
    <cellStyle name="Финансовый 2 6 2 9 3" xfId="30222" xr:uid="{00000000-0005-0000-0000-0000C46D0000}"/>
    <cellStyle name="Финансовый 2 6 3" xfId="375" xr:uid="{00000000-0005-0000-0000-0000C56D0000}"/>
    <cellStyle name="Финансовый 2 6 3 10" xfId="24334" xr:uid="{00000000-0005-0000-0000-0000C66D0000}"/>
    <cellStyle name="Финансовый 2 6 3 11" xfId="48280" xr:uid="{00000000-0005-0000-0000-0000C76D0000}"/>
    <cellStyle name="Финансовый 2 6 3 2" xfId="2154" xr:uid="{00000000-0005-0000-0000-0000C86D0000}"/>
    <cellStyle name="Финансовый 2 6 3 2 2" xfId="3799" xr:uid="{00000000-0005-0000-0000-0000C96D0000}"/>
    <cellStyle name="Финансовый 2 6 3 2 2 2" xfId="11539" xr:uid="{00000000-0005-0000-0000-0000CA6D0000}"/>
    <cellStyle name="Финансовый 2 6 3 2 2 2 2" xfId="23517" xr:uid="{00000000-0005-0000-0000-0000CB6D0000}"/>
    <cellStyle name="Финансовый 2 6 3 2 2 2 2 2" xfId="47472" xr:uid="{00000000-0005-0000-0000-0000CC6D0000}"/>
    <cellStyle name="Финансовый 2 6 3 2 2 2 3" xfId="35494" xr:uid="{00000000-0005-0000-0000-0000CD6D0000}"/>
    <cellStyle name="Финансовый 2 6 3 2 2 3" xfId="15778" xr:uid="{00000000-0005-0000-0000-0000CE6D0000}"/>
    <cellStyle name="Финансовый 2 6 3 2 2 3 2" xfId="39733" xr:uid="{00000000-0005-0000-0000-0000CF6D0000}"/>
    <cellStyle name="Финансовый 2 6 3 2 2 4" xfId="27756" xr:uid="{00000000-0005-0000-0000-0000D06D0000}"/>
    <cellStyle name="Финансовый 2 6 3 2 2 5" xfId="51025" xr:uid="{00000000-0005-0000-0000-0000D16D0000}"/>
    <cellStyle name="Финансовый 2 6 3 2 3" xfId="5582" xr:uid="{00000000-0005-0000-0000-0000D26D0000}"/>
    <cellStyle name="Финансовый 2 6 3 2 3 2" xfId="17560" xr:uid="{00000000-0005-0000-0000-0000D36D0000}"/>
    <cellStyle name="Финансовый 2 6 3 2 3 2 2" xfId="41515" xr:uid="{00000000-0005-0000-0000-0000D46D0000}"/>
    <cellStyle name="Финансовый 2 6 3 2 3 3" xfId="29537" xr:uid="{00000000-0005-0000-0000-0000D56D0000}"/>
    <cellStyle name="Финансовый 2 6 3 2 4" xfId="8192" xr:uid="{00000000-0005-0000-0000-0000D66D0000}"/>
    <cellStyle name="Финансовый 2 6 3 2 4 2" xfId="20170" xr:uid="{00000000-0005-0000-0000-0000D76D0000}"/>
    <cellStyle name="Финансовый 2 6 3 2 4 2 2" xfId="44125" xr:uid="{00000000-0005-0000-0000-0000D86D0000}"/>
    <cellStyle name="Финансовый 2 6 3 2 4 3" xfId="32147" xr:uid="{00000000-0005-0000-0000-0000D96D0000}"/>
    <cellStyle name="Финансовый 2 6 3 2 5" xfId="9975" xr:uid="{00000000-0005-0000-0000-0000DA6D0000}"/>
    <cellStyle name="Финансовый 2 6 3 2 5 2" xfId="21953" xr:uid="{00000000-0005-0000-0000-0000DB6D0000}"/>
    <cellStyle name="Финансовый 2 6 3 2 5 2 2" xfId="45908" xr:uid="{00000000-0005-0000-0000-0000DC6D0000}"/>
    <cellStyle name="Финансовый 2 6 3 2 5 3" xfId="33930" xr:uid="{00000000-0005-0000-0000-0000DD6D0000}"/>
    <cellStyle name="Финансовый 2 6 3 2 6" xfId="14133" xr:uid="{00000000-0005-0000-0000-0000DE6D0000}"/>
    <cellStyle name="Финансовый 2 6 3 2 6 2" xfId="38088" xr:uid="{00000000-0005-0000-0000-0000DF6D0000}"/>
    <cellStyle name="Финансовый 2 6 3 2 7" xfId="26111" xr:uid="{00000000-0005-0000-0000-0000E06D0000}"/>
    <cellStyle name="Финансовый 2 6 3 2 8" xfId="49244" xr:uid="{00000000-0005-0000-0000-0000E16D0000}"/>
    <cellStyle name="Финансовый 2 6 3 3" xfId="1188" xr:uid="{00000000-0005-0000-0000-0000E26D0000}"/>
    <cellStyle name="Финансовый 2 6 3 3 2" xfId="7228" xr:uid="{00000000-0005-0000-0000-0000E36D0000}"/>
    <cellStyle name="Финансовый 2 6 3 3 2 2" xfId="19206" xr:uid="{00000000-0005-0000-0000-0000E46D0000}"/>
    <cellStyle name="Финансовый 2 6 3 3 2 2 2" xfId="43161" xr:uid="{00000000-0005-0000-0000-0000E56D0000}"/>
    <cellStyle name="Финансовый 2 6 3 3 2 3" xfId="31183" xr:uid="{00000000-0005-0000-0000-0000E66D0000}"/>
    <cellStyle name="Финансовый 2 6 3 3 3" xfId="10767" xr:uid="{00000000-0005-0000-0000-0000E76D0000}"/>
    <cellStyle name="Финансовый 2 6 3 3 3 2" xfId="22745" xr:uid="{00000000-0005-0000-0000-0000E86D0000}"/>
    <cellStyle name="Финансовый 2 6 3 3 3 2 2" xfId="46700" xr:uid="{00000000-0005-0000-0000-0000E96D0000}"/>
    <cellStyle name="Финансовый 2 6 3 3 3 3" xfId="34722" xr:uid="{00000000-0005-0000-0000-0000EA6D0000}"/>
    <cellStyle name="Финансовый 2 6 3 3 4" xfId="13169" xr:uid="{00000000-0005-0000-0000-0000EB6D0000}"/>
    <cellStyle name="Финансовый 2 6 3 3 4 2" xfId="37124" xr:uid="{00000000-0005-0000-0000-0000EC6D0000}"/>
    <cellStyle name="Финансовый 2 6 3 3 5" xfId="25147" xr:uid="{00000000-0005-0000-0000-0000ED6D0000}"/>
    <cellStyle name="Финансовый 2 6 3 3 6" xfId="50060" xr:uid="{00000000-0005-0000-0000-0000EE6D0000}"/>
    <cellStyle name="Финансовый 2 6 3 4" xfId="795" xr:uid="{00000000-0005-0000-0000-0000EF6D0000}"/>
    <cellStyle name="Финансовый 2 6 3 4 2" xfId="6835" xr:uid="{00000000-0005-0000-0000-0000F06D0000}"/>
    <cellStyle name="Финансовый 2 6 3 4 2 2" xfId="18813" xr:uid="{00000000-0005-0000-0000-0000F16D0000}"/>
    <cellStyle name="Финансовый 2 6 3 4 2 2 2" xfId="42768" xr:uid="{00000000-0005-0000-0000-0000F26D0000}"/>
    <cellStyle name="Финансовый 2 6 3 4 2 3" xfId="30790" xr:uid="{00000000-0005-0000-0000-0000F36D0000}"/>
    <cellStyle name="Финансовый 2 6 3 4 3" xfId="12776" xr:uid="{00000000-0005-0000-0000-0000F46D0000}"/>
    <cellStyle name="Финансовый 2 6 3 4 3 2" xfId="36731" xr:uid="{00000000-0005-0000-0000-0000F56D0000}"/>
    <cellStyle name="Финансовый 2 6 3 4 4" xfId="24754" xr:uid="{00000000-0005-0000-0000-0000F66D0000}"/>
    <cellStyle name="Финансовый 2 6 3 5" xfId="2972" xr:uid="{00000000-0005-0000-0000-0000F76D0000}"/>
    <cellStyle name="Финансовый 2 6 3 5 2" xfId="14951" xr:uid="{00000000-0005-0000-0000-0000F86D0000}"/>
    <cellStyle name="Финансовый 2 6 3 5 2 2" xfId="38906" xr:uid="{00000000-0005-0000-0000-0000F96D0000}"/>
    <cellStyle name="Финансовый 2 6 3 5 3" xfId="26929" xr:uid="{00000000-0005-0000-0000-0000FA6D0000}"/>
    <cellStyle name="Финансовый 2 6 3 6" xfId="4616" xr:uid="{00000000-0005-0000-0000-0000FB6D0000}"/>
    <cellStyle name="Финансовый 2 6 3 6 2" xfId="16595" xr:uid="{00000000-0005-0000-0000-0000FC6D0000}"/>
    <cellStyle name="Финансовый 2 6 3 6 2 2" xfId="40550" xr:uid="{00000000-0005-0000-0000-0000FD6D0000}"/>
    <cellStyle name="Финансовый 2 6 3 6 3" xfId="28573" xr:uid="{00000000-0005-0000-0000-0000FE6D0000}"/>
    <cellStyle name="Финансовый 2 6 3 7" xfId="6415" xr:uid="{00000000-0005-0000-0000-0000FF6D0000}"/>
    <cellStyle name="Финансовый 2 6 3 7 2" xfId="18393" xr:uid="{00000000-0005-0000-0000-0000006E0000}"/>
    <cellStyle name="Финансовый 2 6 3 7 2 2" xfId="42348" xr:uid="{00000000-0005-0000-0000-0000016E0000}"/>
    <cellStyle name="Финансовый 2 6 3 7 3" xfId="30370" xr:uid="{00000000-0005-0000-0000-0000026E0000}"/>
    <cellStyle name="Финансовый 2 6 3 8" xfId="9010" xr:uid="{00000000-0005-0000-0000-0000036E0000}"/>
    <cellStyle name="Финансовый 2 6 3 8 2" xfId="20988" xr:uid="{00000000-0005-0000-0000-0000046E0000}"/>
    <cellStyle name="Финансовый 2 6 3 8 2 2" xfId="44943" xr:uid="{00000000-0005-0000-0000-0000056E0000}"/>
    <cellStyle name="Финансовый 2 6 3 8 3" xfId="32965" xr:uid="{00000000-0005-0000-0000-0000066E0000}"/>
    <cellStyle name="Финансовый 2 6 3 9" xfId="12356" xr:uid="{00000000-0005-0000-0000-0000076E0000}"/>
    <cellStyle name="Финансовый 2 6 3 9 2" xfId="36311" xr:uid="{00000000-0005-0000-0000-0000086E0000}"/>
    <cellStyle name="Финансовый 2 6 4" xfId="1508" xr:uid="{00000000-0005-0000-0000-0000096E0000}"/>
    <cellStyle name="Финансовый 2 6 4 2" xfId="1898" xr:uid="{00000000-0005-0000-0000-00000A6E0000}"/>
    <cellStyle name="Финансовый 2 6 4 2 2" xfId="3543" xr:uid="{00000000-0005-0000-0000-00000B6E0000}"/>
    <cellStyle name="Финансовый 2 6 4 2 2 2" xfId="11283" xr:uid="{00000000-0005-0000-0000-00000C6E0000}"/>
    <cellStyle name="Финансовый 2 6 4 2 2 2 2" xfId="23261" xr:uid="{00000000-0005-0000-0000-00000D6E0000}"/>
    <cellStyle name="Финансовый 2 6 4 2 2 2 2 2" xfId="47216" xr:uid="{00000000-0005-0000-0000-00000E6E0000}"/>
    <cellStyle name="Финансовый 2 6 4 2 2 2 3" xfId="35238" xr:uid="{00000000-0005-0000-0000-00000F6E0000}"/>
    <cellStyle name="Финансовый 2 6 4 2 2 3" xfId="15522" xr:uid="{00000000-0005-0000-0000-0000106E0000}"/>
    <cellStyle name="Финансовый 2 6 4 2 2 3 2" xfId="39477" xr:uid="{00000000-0005-0000-0000-0000116E0000}"/>
    <cellStyle name="Финансовый 2 6 4 2 2 4" xfId="27500" xr:uid="{00000000-0005-0000-0000-0000126E0000}"/>
    <cellStyle name="Финансовый 2 6 4 2 2 5" xfId="50769" xr:uid="{00000000-0005-0000-0000-0000136E0000}"/>
    <cellStyle name="Финансовый 2 6 4 2 3" xfId="5326" xr:uid="{00000000-0005-0000-0000-0000146E0000}"/>
    <cellStyle name="Финансовый 2 6 4 2 3 2" xfId="17304" xr:uid="{00000000-0005-0000-0000-0000156E0000}"/>
    <cellStyle name="Финансовый 2 6 4 2 3 2 2" xfId="41259" xr:uid="{00000000-0005-0000-0000-0000166E0000}"/>
    <cellStyle name="Финансовый 2 6 4 2 3 3" xfId="29281" xr:uid="{00000000-0005-0000-0000-0000176E0000}"/>
    <cellStyle name="Финансовый 2 6 4 2 4" xfId="7936" xr:uid="{00000000-0005-0000-0000-0000186E0000}"/>
    <cellStyle name="Финансовый 2 6 4 2 4 2" xfId="19914" xr:uid="{00000000-0005-0000-0000-0000196E0000}"/>
    <cellStyle name="Финансовый 2 6 4 2 4 2 2" xfId="43869" xr:uid="{00000000-0005-0000-0000-00001A6E0000}"/>
    <cellStyle name="Финансовый 2 6 4 2 4 3" xfId="31891" xr:uid="{00000000-0005-0000-0000-00001B6E0000}"/>
    <cellStyle name="Финансовый 2 6 4 2 5" xfId="9719" xr:uid="{00000000-0005-0000-0000-00001C6E0000}"/>
    <cellStyle name="Финансовый 2 6 4 2 5 2" xfId="21697" xr:uid="{00000000-0005-0000-0000-00001D6E0000}"/>
    <cellStyle name="Финансовый 2 6 4 2 5 2 2" xfId="45652" xr:uid="{00000000-0005-0000-0000-00001E6E0000}"/>
    <cellStyle name="Финансовый 2 6 4 2 5 3" xfId="33674" xr:uid="{00000000-0005-0000-0000-00001F6E0000}"/>
    <cellStyle name="Финансовый 2 6 4 2 6" xfId="13877" xr:uid="{00000000-0005-0000-0000-0000206E0000}"/>
    <cellStyle name="Финансовый 2 6 4 2 6 2" xfId="37832" xr:uid="{00000000-0005-0000-0000-0000216E0000}"/>
    <cellStyle name="Финансовый 2 6 4 2 7" xfId="25855" xr:uid="{00000000-0005-0000-0000-0000226E0000}"/>
    <cellStyle name="Финансовый 2 6 4 2 8" xfId="48988" xr:uid="{00000000-0005-0000-0000-0000236E0000}"/>
    <cellStyle name="Финансовый 2 6 4 3" xfId="4936" xr:uid="{00000000-0005-0000-0000-0000246E0000}"/>
    <cellStyle name="Финансовый 2 6 4 3 2" xfId="16914" xr:uid="{00000000-0005-0000-0000-0000256E0000}"/>
    <cellStyle name="Финансовый 2 6 4 3 2 2" xfId="40869" xr:uid="{00000000-0005-0000-0000-0000266E0000}"/>
    <cellStyle name="Финансовый 2 6 4 3 3" xfId="28891" xr:uid="{00000000-0005-0000-0000-0000276E0000}"/>
    <cellStyle name="Финансовый 2 6 4 3 4" xfId="50379" xr:uid="{00000000-0005-0000-0000-0000286E0000}"/>
    <cellStyle name="Финансовый 2 6 4 4" xfId="7546" xr:uid="{00000000-0005-0000-0000-0000296E0000}"/>
    <cellStyle name="Финансовый 2 6 4 4 2" xfId="19524" xr:uid="{00000000-0005-0000-0000-00002A6E0000}"/>
    <cellStyle name="Финансовый 2 6 4 4 2 2" xfId="43479" xr:uid="{00000000-0005-0000-0000-00002B6E0000}"/>
    <cellStyle name="Финансовый 2 6 4 4 3" xfId="31501" xr:uid="{00000000-0005-0000-0000-00002C6E0000}"/>
    <cellStyle name="Финансовый 2 6 4 5" xfId="9329" xr:uid="{00000000-0005-0000-0000-00002D6E0000}"/>
    <cellStyle name="Финансовый 2 6 4 5 2" xfId="21307" xr:uid="{00000000-0005-0000-0000-00002E6E0000}"/>
    <cellStyle name="Финансовый 2 6 4 5 2 2" xfId="45262" xr:uid="{00000000-0005-0000-0000-00002F6E0000}"/>
    <cellStyle name="Финансовый 2 6 4 5 3" xfId="33284" xr:uid="{00000000-0005-0000-0000-0000306E0000}"/>
    <cellStyle name="Финансовый 2 6 4 6" xfId="13487" xr:uid="{00000000-0005-0000-0000-0000316E0000}"/>
    <cellStyle name="Финансовый 2 6 4 6 2" xfId="37442" xr:uid="{00000000-0005-0000-0000-0000326E0000}"/>
    <cellStyle name="Финансовый 2 6 4 7" xfId="25465" xr:uid="{00000000-0005-0000-0000-0000336E0000}"/>
    <cellStyle name="Финансовый 2 6 4 8" xfId="48598" xr:uid="{00000000-0005-0000-0000-0000346E0000}"/>
    <cellStyle name="Финансовый 2 6 5" xfId="1774" xr:uid="{00000000-0005-0000-0000-0000356E0000}"/>
    <cellStyle name="Финансовый 2 6 5 2" xfId="3419" xr:uid="{00000000-0005-0000-0000-0000366E0000}"/>
    <cellStyle name="Финансовый 2 6 5 2 2" xfId="11167" xr:uid="{00000000-0005-0000-0000-0000376E0000}"/>
    <cellStyle name="Финансовый 2 6 5 2 2 2" xfId="23145" xr:uid="{00000000-0005-0000-0000-0000386E0000}"/>
    <cellStyle name="Финансовый 2 6 5 2 2 2 2" xfId="47100" xr:uid="{00000000-0005-0000-0000-0000396E0000}"/>
    <cellStyle name="Финансовый 2 6 5 2 2 3" xfId="35122" xr:uid="{00000000-0005-0000-0000-00003A6E0000}"/>
    <cellStyle name="Финансовый 2 6 5 2 3" xfId="15398" xr:uid="{00000000-0005-0000-0000-00003B6E0000}"/>
    <cellStyle name="Финансовый 2 6 5 2 3 2" xfId="39353" xr:uid="{00000000-0005-0000-0000-00003C6E0000}"/>
    <cellStyle name="Финансовый 2 6 5 2 4" xfId="27376" xr:uid="{00000000-0005-0000-0000-00003D6E0000}"/>
    <cellStyle name="Финансовый 2 6 5 2 5" xfId="50645" xr:uid="{00000000-0005-0000-0000-00003E6E0000}"/>
    <cellStyle name="Финансовый 2 6 5 3" xfId="5202" xr:uid="{00000000-0005-0000-0000-00003F6E0000}"/>
    <cellStyle name="Финансовый 2 6 5 3 2" xfId="17180" xr:uid="{00000000-0005-0000-0000-0000406E0000}"/>
    <cellStyle name="Финансовый 2 6 5 3 2 2" xfId="41135" xr:uid="{00000000-0005-0000-0000-0000416E0000}"/>
    <cellStyle name="Финансовый 2 6 5 3 3" xfId="29157" xr:uid="{00000000-0005-0000-0000-0000426E0000}"/>
    <cellStyle name="Финансовый 2 6 5 4" xfId="7812" xr:uid="{00000000-0005-0000-0000-0000436E0000}"/>
    <cellStyle name="Финансовый 2 6 5 4 2" xfId="19790" xr:uid="{00000000-0005-0000-0000-0000446E0000}"/>
    <cellStyle name="Финансовый 2 6 5 4 2 2" xfId="43745" xr:uid="{00000000-0005-0000-0000-0000456E0000}"/>
    <cellStyle name="Финансовый 2 6 5 4 3" xfId="31767" xr:uid="{00000000-0005-0000-0000-0000466E0000}"/>
    <cellStyle name="Финансовый 2 6 5 5" xfId="9595" xr:uid="{00000000-0005-0000-0000-0000476E0000}"/>
    <cellStyle name="Финансовый 2 6 5 5 2" xfId="21573" xr:uid="{00000000-0005-0000-0000-0000486E0000}"/>
    <cellStyle name="Финансовый 2 6 5 5 2 2" xfId="45528" xr:uid="{00000000-0005-0000-0000-0000496E0000}"/>
    <cellStyle name="Финансовый 2 6 5 5 3" xfId="33550" xr:uid="{00000000-0005-0000-0000-00004A6E0000}"/>
    <cellStyle name="Финансовый 2 6 5 6" xfId="13753" xr:uid="{00000000-0005-0000-0000-00004B6E0000}"/>
    <cellStyle name="Финансовый 2 6 5 6 2" xfId="37708" xr:uid="{00000000-0005-0000-0000-00004C6E0000}"/>
    <cellStyle name="Финансовый 2 6 5 7" xfId="25731" xr:uid="{00000000-0005-0000-0000-00004D6E0000}"/>
    <cellStyle name="Финансовый 2 6 5 8" xfId="48864" xr:uid="{00000000-0005-0000-0000-00004E6E0000}"/>
    <cellStyle name="Финансовый 2 6 6" xfId="2419" xr:uid="{00000000-0005-0000-0000-00004F6E0000}"/>
    <cellStyle name="Финансовый 2 6 6 2" xfId="4064" xr:uid="{00000000-0005-0000-0000-0000506E0000}"/>
    <cellStyle name="Финансовый 2 6 6 2 2" xfId="11796" xr:uid="{00000000-0005-0000-0000-0000516E0000}"/>
    <cellStyle name="Финансовый 2 6 6 2 2 2" xfId="23774" xr:uid="{00000000-0005-0000-0000-0000526E0000}"/>
    <cellStyle name="Финансовый 2 6 6 2 2 2 2" xfId="47729" xr:uid="{00000000-0005-0000-0000-0000536E0000}"/>
    <cellStyle name="Финансовый 2 6 6 2 2 3" xfId="35751" xr:uid="{00000000-0005-0000-0000-0000546E0000}"/>
    <cellStyle name="Финансовый 2 6 6 2 3" xfId="16043" xr:uid="{00000000-0005-0000-0000-0000556E0000}"/>
    <cellStyle name="Финансовый 2 6 6 2 3 2" xfId="39998" xr:uid="{00000000-0005-0000-0000-0000566E0000}"/>
    <cellStyle name="Финансовый 2 6 6 2 4" xfId="28021" xr:uid="{00000000-0005-0000-0000-0000576E0000}"/>
    <cellStyle name="Финансовый 2 6 6 2 5" xfId="51290" xr:uid="{00000000-0005-0000-0000-0000586E0000}"/>
    <cellStyle name="Финансовый 2 6 6 3" xfId="5847" xr:uid="{00000000-0005-0000-0000-0000596E0000}"/>
    <cellStyle name="Финансовый 2 6 6 3 2" xfId="17825" xr:uid="{00000000-0005-0000-0000-00005A6E0000}"/>
    <cellStyle name="Финансовый 2 6 6 3 2 2" xfId="41780" xr:uid="{00000000-0005-0000-0000-00005B6E0000}"/>
    <cellStyle name="Финансовый 2 6 6 3 3" xfId="29802" xr:uid="{00000000-0005-0000-0000-00005C6E0000}"/>
    <cellStyle name="Финансовый 2 6 6 4" xfId="8457" xr:uid="{00000000-0005-0000-0000-00005D6E0000}"/>
    <cellStyle name="Финансовый 2 6 6 4 2" xfId="20435" xr:uid="{00000000-0005-0000-0000-00005E6E0000}"/>
    <cellStyle name="Финансовый 2 6 6 4 2 2" xfId="44390" xr:uid="{00000000-0005-0000-0000-00005F6E0000}"/>
    <cellStyle name="Финансовый 2 6 6 4 3" xfId="32412" xr:uid="{00000000-0005-0000-0000-0000606E0000}"/>
    <cellStyle name="Финансовый 2 6 6 5" xfId="10240" xr:uid="{00000000-0005-0000-0000-0000616E0000}"/>
    <cellStyle name="Финансовый 2 6 6 5 2" xfId="22218" xr:uid="{00000000-0005-0000-0000-0000626E0000}"/>
    <cellStyle name="Финансовый 2 6 6 5 2 2" xfId="46173" xr:uid="{00000000-0005-0000-0000-0000636E0000}"/>
    <cellStyle name="Финансовый 2 6 6 5 3" xfId="34195" xr:uid="{00000000-0005-0000-0000-0000646E0000}"/>
    <cellStyle name="Финансовый 2 6 6 6" xfId="14398" xr:uid="{00000000-0005-0000-0000-0000656E0000}"/>
    <cellStyle name="Финансовый 2 6 6 6 2" xfId="38353" xr:uid="{00000000-0005-0000-0000-0000666E0000}"/>
    <cellStyle name="Финансовый 2 6 6 7" xfId="26376" xr:uid="{00000000-0005-0000-0000-0000676E0000}"/>
    <cellStyle name="Финансовый 2 6 6 8" xfId="49509" xr:uid="{00000000-0005-0000-0000-0000686E0000}"/>
    <cellStyle name="Финансовый 2 6 7" xfId="1646" xr:uid="{00000000-0005-0000-0000-0000696E0000}"/>
    <cellStyle name="Финансовый 2 6 7 2" xfId="3291" xr:uid="{00000000-0005-0000-0000-00006A6E0000}"/>
    <cellStyle name="Финансовый 2 6 7 2 2" xfId="11039" xr:uid="{00000000-0005-0000-0000-00006B6E0000}"/>
    <cellStyle name="Финансовый 2 6 7 2 2 2" xfId="23017" xr:uid="{00000000-0005-0000-0000-00006C6E0000}"/>
    <cellStyle name="Финансовый 2 6 7 2 2 2 2" xfId="46972" xr:uid="{00000000-0005-0000-0000-00006D6E0000}"/>
    <cellStyle name="Финансовый 2 6 7 2 2 3" xfId="34994" xr:uid="{00000000-0005-0000-0000-00006E6E0000}"/>
    <cellStyle name="Финансовый 2 6 7 2 3" xfId="15270" xr:uid="{00000000-0005-0000-0000-00006F6E0000}"/>
    <cellStyle name="Финансовый 2 6 7 2 3 2" xfId="39225" xr:uid="{00000000-0005-0000-0000-0000706E0000}"/>
    <cellStyle name="Финансовый 2 6 7 2 4" xfId="27248" xr:uid="{00000000-0005-0000-0000-0000716E0000}"/>
    <cellStyle name="Финансовый 2 6 7 2 5" xfId="50517" xr:uid="{00000000-0005-0000-0000-0000726E0000}"/>
    <cellStyle name="Финансовый 2 6 7 3" xfId="5074" xr:uid="{00000000-0005-0000-0000-0000736E0000}"/>
    <cellStyle name="Финансовый 2 6 7 3 2" xfId="17052" xr:uid="{00000000-0005-0000-0000-0000746E0000}"/>
    <cellStyle name="Финансовый 2 6 7 3 2 2" xfId="41007" xr:uid="{00000000-0005-0000-0000-0000756E0000}"/>
    <cellStyle name="Финансовый 2 6 7 3 3" xfId="29029" xr:uid="{00000000-0005-0000-0000-0000766E0000}"/>
    <cellStyle name="Финансовый 2 6 7 4" xfId="7684" xr:uid="{00000000-0005-0000-0000-0000776E0000}"/>
    <cellStyle name="Финансовый 2 6 7 4 2" xfId="19662" xr:uid="{00000000-0005-0000-0000-0000786E0000}"/>
    <cellStyle name="Финансовый 2 6 7 4 2 2" xfId="43617" xr:uid="{00000000-0005-0000-0000-0000796E0000}"/>
    <cellStyle name="Финансовый 2 6 7 4 3" xfId="31639" xr:uid="{00000000-0005-0000-0000-00007A6E0000}"/>
    <cellStyle name="Финансовый 2 6 7 5" xfId="9467" xr:uid="{00000000-0005-0000-0000-00007B6E0000}"/>
    <cellStyle name="Финансовый 2 6 7 5 2" xfId="21445" xr:uid="{00000000-0005-0000-0000-00007C6E0000}"/>
    <cellStyle name="Финансовый 2 6 7 5 2 2" xfId="45400" xr:uid="{00000000-0005-0000-0000-00007D6E0000}"/>
    <cellStyle name="Финансовый 2 6 7 5 3" xfId="33422" xr:uid="{00000000-0005-0000-0000-00007E6E0000}"/>
    <cellStyle name="Финансовый 2 6 7 6" xfId="13625" xr:uid="{00000000-0005-0000-0000-00007F6E0000}"/>
    <cellStyle name="Финансовый 2 6 7 6 2" xfId="37580" xr:uid="{00000000-0005-0000-0000-0000806E0000}"/>
    <cellStyle name="Финансовый 2 6 7 7" xfId="25603" xr:uid="{00000000-0005-0000-0000-0000816E0000}"/>
    <cellStyle name="Финансовый 2 6 7 8" xfId="48736" xr:uid="{00000000-0005-0000-0000-0000826E0000}"/>
    <cellStyle name="Финансовый 2 6 8" xfId="923" xr:uid="{00000000-0005-0000-0000-0000836E0000}"/>
    <cellStyle name="Финансовый 2 6 8 2" xfId="6963" xr:uid="{00000000-0005-0000-0000-0000846E0000}"/>
    <cellStyle name="Финансовый 2 6 8 2 2" xfId="18941" xr:uid="{00000000-0005-0000-0000-0000856E0000}"/>
    <cellStyle name="Финансовый 2 6 8 2 2 2" xfId="42896" xr:uid="{00000000-0005-0000-0000-0000866E0000}"/>
    <cellStyle name="Финансовый 2 6 8 2 3" xfId="30918" xr:uid="{00000000-0005-0000-0000-0000876E0000}"/>
    <cellStyle name="Финансовый 2 6 8 3" xfId="10511" xr:uid="{00000000-0005-0000-0000-0000886E0000}"/>
    <cellStyle name="Финансовый 2 6 8 3 2" xfId="22489" xr:uid="{00000000-0005-0000-0000-0000896E0000}"/>
    <cellStyle name="Финансовый 2 6 8 3 2 2" xfId="46444" xr:uid="{00000000-0005-0000-0000-00008A6E0000}"/>
    <cellStyle name="Финансовый 2 6 8 3 3" xfId="34466" xr:uid="{00000000-0005-0000-0000-00008B6E0000}"/>
    <cellStyle name="Финансовый 2 6 8 4" xfId="12904" xr:uid="{00000000-0005-0000-0000-00008C6E0000}"/>
    <cellStyle name="Финансовый 2 6 8 4 2" xfId="36859" xr:uid="{00000000-0005-0000-0000-00008D6E0000}"/>
    <cellStyle name="Финансовый 2 6 8 5" xfId="24882" xr:uid="{00000000-0005-0000-0000-00008E6E0000}"/>
    <cellStyle name="Финансовый 2 6 8 6" xfId="49788" xr:uid="{00000000-0005-0000-0000-00008F6E0000}"/>
    <cellStyle name="Финансовый 2 6 9" xfId="511" xr:uid="{00000000-0005-0000-0000-0000906E0000}"/>
    <cellStyle name="Финансовый 2 6 9 2" xfId="6551" xr:uid="{00000000-0005-0000-0000-0000916E0000}"/>
    <cellStyle name="Финансовый 2 6 9 2 2" xfId="18529" xr:uid="{00000000-0005-0000-0000-0000926E0000}"/>
    <cellStyle name="Финансовый 2 6 9 2 2 2" xfId="42484" xr:uid="{00000000-0005-0000-0000-0000936E0000}"/>
    <cellStyle name="Финансовый 2 6 9 2 3" xfId="30506" xr:uid="{00000000-0005-0000-0000-0000946E0000}"/>
    <cellStyle name="Финансовый 2 6 9 3" xfId="12492" xr:uid="{00000000-0005-0000-0000-0000956E0000}"/>
    <cellStyle name="Финансовый 2 6 9 3 2" xfId="36447" xr:uid="{00000000-0005-0000-0000-0000966E0000}"/>
    <cellStyle name="Финансовый 2 6 9 4" xfId="24470" xr:uid="{00000000-0005-0000-0000-0000976E0000}"/>
    <cellStyle name="Финансовый 2 7" xfId="96" xr:uid="{00000000-0005-0000-0000-0000986E0000}"/>
    <cellStyle name="Финансовый 2 7 10" xfId="2706" xr:uid="{00000000-0005-0000-0000-0000996E0000}"/>
    <cellStyle name="Финансовый 2 7 10 2" xfId="14685" xr:uid="{00000000-0005-0000-0000-00009A6E0000}"/>
    <cellStyle name="Финансовый 2 7 10 2 2" xfId="38640" xr:uid="{00000000-0005-0000-0000-00009B6E0000}"/>
    <cellStyle name="Финансовый 2 7 10 3" xfId="26663" xr:uid="{00000000-0005-0000-0000-00009C6E0000}"/>
    <cellStyle name="Финансовый 2 7 11" xfId="4350" xr:uid="{00000000-0005-0000-0000-00009D6E0000}"/>
    <cellStyle name="Финансовый 2 7 11 2" xfId="16329" xr:uid="{00000000-0005-0000-0000-00009E6E0000}"/>
    <cellStyle name="Финансовый 2 7 11 2 2" xfId="40284" xr:uid="{00000000-0005-0000-0000-00009F6E0000}"/>
    <cellStyle name="Финансовый 2 7 11 3" xfId="28307" xr:uid="{00000000-0005-0000-0000-0000A06E0000}"/>
    <cellStyle name="Финансовый 2 7 12" xfId="6137" xr:uid="{00000000-0005-0000-0000-0000A16E0000}"/>
    <cellStyle name="Финансовый 2 7 12 2" xfId="18115" xr:uid="{00000000-0005-0000-0000-0000A26E0000}"/>
    <cellStyle name="Финансовый 2 7 12 2 2" xfId="42070" xr:uid="{00000000-0005-0000-0000-0000A36E0000}"/>
    <cellStyle name="Финансовый 2 7 12 3" xfId="30092" xr:uid="{00000000-0005-0000-0000-0000A46E0000}"/>
    <cellStyle name="Финансовый 2 7 13" xfId="8744" xr:uid="{00000000-0005-0000-0000-0000A56E0000}"/>
    <cellStyle name="Финансовый 2 7 13 2" xfId="20722" xr:uid="{00000000-0005-0000-0000-0000A66E0000}"/>
    <cellStyle name="Финансовый 2 7 13 2 2" xfId="44677" xr:uid="{00000000-0005-0000-0000-0000A76E0000}"/>
    <cellStyle name="Финансовый 2 7 13 3" xfId="32699" xr:uid="{00000000-0005-0000-0000-0000A86E0000}"/>
    <cellStyle name="Финансовый 2 7 14" xfId="12078" xr:uid="{00000000-0005-0000-0000-0000A96E0000}"/>
    <cellStyle name="Финансовый 2 7 14 2" xfId="36033" xr:uid="{00000000-0005-0000-0000-0000AA6E0000}"/>
    <cellStyle name="Финансовый 2 7 15" xfId="24056" xr:uid="{00000000-0005-0000-0000-0000AB6E0000}"/>
    <cellStyle name="Финансовый 2 7 16" xfId="48014" xr:uid="{00000000-0005-0000-0000-0000AC6E0000}"/>
    <cellStyle name="Финансовый 2 7 2" xfId="232" xr:uid="{00000000-0005-0000-0000-0000AD6E0000}"/>
    <cellStyle name="Финансовый 2 7 2 10" xfId="8880" xr:uid="{00000000-0005-0000-0000-0000AE6E0000}"/>
    <cellStyle name="Финансовый 2 7 2 10 2" xfId="20858" xr:uid="{00000000-0005-0000-0000-0000AF6E0000}"/>
    <cellStyle name="Финансовый 2 7 2 10 2 2" xfId="44813" xr:uid="{00000000-0005-0000-0000-0000B06E0000}"/>
    <cellStyle name="Финансовый 2 7 2 10 3" xfId="32835" xr:uid="{00000000-0005-0000-0000-0000B16E0000}"/>
    <cellStyle name="Финансовый 2 7 2 11" xfId="12214" xr:uid="{00000000-0005-0000-0000-0000B26E0000}"/>
    <cellStyle name="Финансовый 2 7 2 11 2" xfId="36169" xr:uid="{00000000-0005-0000-0000-0000B36E0000}"/>
    <cellStyle name="Финансовый 2 7 2 12" xfId="24192" xr:uid="{00000000-0005-0000-0000-0000B46E0000}"/>
    <cellStyle name="Финансовый 2 7 2 13" xfId="48150" xr:uid="{00000000-0005-0000-0000-0000B56E0000}"/>
    <cellStyle name="Финансовый 2 7 2 2" xfId="1330" xr:uid="{00000000-0005-0000-0000-0000B66E0000}"/>
    <cellStyle name="Финансовый 2 7 2 2 2" xfId="2288" xr:uid="{00000000-0005-0000-0000-0000B76E0000}"/>
    <cellStyle name="Финансовый 2 7 2 2 2 2" xfId="3933" xr:uid="{00000000-0005-0000-0000-0000B86E0000}"/>
    <cellStyle name="Финансовый 2 7 2 2 2 2 2" xfId="11673" xr:uid="{00000000-0005-0000-0000-0000B96E0000}"/>
    <cellStyle name="Финансовый 2 7 2 2 2 2 2 2" xfId="23651" xr:uid="{00000000-0005-0000-0000-0000BA6E0000}"/>
    <cellStyle name="Финансовый 2 7 2 2 2 2 2 2 2" xfId="47606" xr:uid="{00000000-0005-0000-0000-0000BB6E0000}"/>
    <cellStyle name="Финансовый 2 7 2 2 2 2 2 3" xfId="35628" xr:uid="{00000000-0005-0000-0000-0000BC6E0000}"/>
    <cellStyle name="Финансовый 2 7 2 2 2 2 3" xfId="15912" xr:uid="{00000000-0005-0000-0000-0000BD6E0000}"/>
    <cellStyle name="Финансовый 2 7 2 2 2 2 3 2" xfId="39867" xr:uid="{00000000-0005-0000-0000-0000BE6E0000}"/>
    <cellStyle name="Финансовый 2 7 2 2 2 2 4" xfId="27890" xr:uid="{00000000-0005-0000-0000-0000BF6E0000}"/>
    <cellStyle name="Финансовый 2 7 2 2 2 2 5" xfId="51159" xr:uid="{00000000-0005-0000-0000-0000C06E0000}"/>
    <cellStyle name="Финансовый 2 7 2 2 2 3" xfId="5716" xr:uid="{00000000-0005-0000-0000-0000C16E0000}"/>
    <cellStyle name="Финансовый 2 7 2 2 2 3 2" xfId="17694" xr:uid="{00000000-0005-0000-0000-0000C26E0000}"/>
    <cellStyle name="Финансовый 2 7 2 2 2 3 2 2" xfId="41649" xr:uid="{00000000-0005-0000-0000-0000C36E0000}"/>
    <cellStyle name="Финансовый 2 7 2 2 2 3 3" xfId="29671" xr:uid="{00000000-0005-0000-0000-0000C46E0000}"/>
    <cellStyle name="Финансовый 2 7 2 2 2 4" xfId="8326" xr:uid="{00000000-0005-0000-0000-0000C56E0000}"/>
    <cellStyle name="Финансовый 2 7 2 2 2 4 2" xfId="20304" xr:uid="{00000000-0005-0000-0000-0000C66E0000}"/>
    <cellStyle name="Финансовый 2 7 2 2 2 4 2 2" xfId="44259" xr:uid="{00000000-0005-0000-0000-0000C76E0000}"/>
    <cellStyle name="Финансовый 2 7 2 2 2 4 3" xfId="32281" xr:uid="{00000000-0005-0000-0000-0000C86E0000}"/>
    <cellStyle name="Финансовый 2 7 2 2 2 5" xfId="10109" xr:uid="{00000000-0005-0000-0000-0000C96E0000}"/>
    <cellStyle name="Финансовый 2 7 2 2 2 5 2" xfId="22087" xr:uid="{00000000-0005-0000-0000-0000CA6E0000}"/>
    <cellStyle name="Финансовый 2 7 2 2 2 5 2 2" xfId="46042" xr:uid="{00000000-0005-0000-0000-0000CB6E0000}"/>
    <cellStyle name="Финансовый 2 7 2 2 2 5 3" xfId="34064" xr:uid="{00000000-0005-0000-0000-0000CC6E0000}"/>
    <cellStyle name="Финансовый 2 7 2 2 2 6" xfId="14267" xr:uid="{00000000-0005-0000-0000-0000CD6E0000}"/>
    <cellStyle name="Финансовый 2 7 2 2 2 6 2" xfId="38222" xr:uid="{00000000-0005-0000-0000-0000CE6E0000}"/>
    <cellStyle name="Финансовый 2 7 2 2 2 7" xfId="26245" xr:uid="{00000000-0005-0000-0000-0000CF6E0000}"/>
    <cellStyle name="Финансовый 2 7 2 2 2 8" xfId="49378" xr:uid="{00000000-0005-0000-0000-0000D06E0000}"/>
    <cellStyle name="Финансовый 2 7 2 2 3" xfId="3114" xr:uid="{00000000-0005-0000-0000-0000D16E0000}"/>
    <cellStyle name="Финансовый 2 7 2 2 3 2" xfId="10901" xr:uid="{00000000-0005-0000-0000-0000D26E0000}"/>
    <cellStyle name="Финансовый 2 7 2 2 3 2 2" xfId="22879" xr:uid="{00000000-0005-0000-0000-0000D36E0000}"/>
    <cellStyle name="Финансовый 2 7 2 2 3 2 2 2" xfId="46834" xr:uid="{00000000-0005-0000-0000-0000D46E0000}"/>
    <cellStyle name="Финансовый 2 7 2 2 3 2 3" xfId="34856" xr:uid="{00000000-0005-0000-0000-0000D56E0000}"/>
    <cellStyle name="Финансовый 2 7 2 2 3 3" xfId="15093" xr:uid="{00000000-0005-0000-0000-0000D66E0000}"/>
    <cellStyle name="Финансовый 2 7 2 2 3 3 2" xfId="39048" xr:uid="{00000000-0005-0000-0000-0000D76E0000}"/>
    <cellStyle name="Финансовый 2 7 2 2 3 4" xfId="27071" xr:uid="{00000000-0005-0000-0000-0000D86E0000}"/>
    <cellStyle name="Финансовый 2 7 2 2 3 5" xfId="50202" xr:uid="{00000000-0005-0000-0000-0000D96E0000}"/>
    <cellStyle name="Финансовый 2 7 2 2 4" xfId="4758" xr:uid="{00000000-0005-0000-0000-0000DA6E0000}"/>
    <cellStyle name="Финансовый 2 7 2 2 4 2" xfId="16737" xr:uid="{00000000-0005-0000-0000-0000DB6E0000}"/>
    <cellStyle name="Финансовый 2 7 2 2 4 2 2" xfId="40692" xr:uid="{00000000-0005-0000-0000-0000DC6E0000}"/>
    <cellStyle name="Финансовый 2 7 2 2 4 3" xfId="28715" xr:uid="{00000000-0005-0000-0000-0000DD6E0000}"/>
    <cellStyle name="Финансовый 2 7 2 2 5" xfId="7370" xr:uid="{00000000-0005-0000-0000-0000DE6E0000}"/>
    <cellStyle name="Финансовый 2 7 2 2 5 2" xfId="19348" xr:uid="{00000000-0005-0000-0000-0000DF6E0000}"/>
    <cellStyle name="Финансовый 2 7 2 2 5 2 2" xfId="43303" xr:uid="{00000000-0005-0000-0000-0000E06E0000}"/>
    <cellStyle name="Финансовый 2 7 2 2 5 3" xfId="31325" xr:uid="{00000000-0005-0000-0000-0000E16E0000}"/>
    <cellStyle name="Финансовый 2 7 2 2 6" xfId="9152" xr:uid="{00000000-0005-0000-0000-0000E26E0000}"/>
    <cellStyle name="Финансовый 2 7 2 2 6 2" xfId="21130" xr:uid="{00000000-0005-0000-0000-0000E36E0000}"/>
    <cellStyle name="Финансовый 2 7 2 2 6 2 2" xfId="45085" xr:uid="{00000000-0005-0000-0000-0000E46E0000}"/>
    <cellStyle name="Финансовый 2 7 2 2 6 3" xfId="33107" xr:uid="{00000000-0005-0000-0000-0000E56E0000}"/>
    <cellStyle name="Финансовый 2 7 2 2 7" xfId="13311" xr:uid="{00000000-0005-0000-0000-0000E66E0000}"/>
    <cellStyle name="Финансовый 2 7 2 2 7 2" xfId="37266" xr:uid="{00000000-0005-0000-0000-0000E76E0000}"/>
    <cellStyle name="Финансовый 2 7 2 2 8" xfId="25289" xr:uid="{00000000-0005-0000-0000-0000E86E0000}"/>
    <cellStyle name="Финансовый 2 7 2 2 9" xfId="48422" xr:uid="{00000000-0005-0000-0000-0000E96E0000}"/>
    <cellStyle name="Финансовый 2 7 2 3" xfId="2032" xr:uid="{00000000-0005-0000-0000-0000EA6E0000}"/>
    <cellStyle name="Финансовый 2 7 2 3 2" xfId="3677" xr:uid="{00000000-0005-0000-0000-0000EB6E0000}"/>
    <cellStyle name="Финансовый 2 7 2 3 2 2" xfId="11417" xr:uid="{00000000-0005-0000-0000-0000EC6E0000}"/>
    <cellStyle name="Финансовый 2 7 2 3 2 2 2" xfId="23395" xr:uid="{00000000-0005-0000-0000-0000ED6E0000}"/>
    <cellStyle name="Финансовый 2 7 2 3 2 2 2 2" xfId="47350" xr:uid="{00000000-0005-0000-0000-0000EE6E0000}"/>
    <cellStyle name="Финансовый 2 7 2 3 2 2 3" xfId="35372" xr:uid="{00000000-0005-0000-0000-0000EF6E0000}"/>
    <cellStyle name="Финансовый 2 7 2 3 2 3" xfId="15656" xr:uid="{00000000-0005-0000-0000-0000F06E0000}"/>
    <cellStyle name="Финансовый 2 7 2 3 2 3 2" xfId="39611" xr:uid="{00000000-0005-0000-0000-0000F16E0000}"/>
    <cellStyle name="Финансовый 2 7 2 3 2 4" xfId="27634" xr:uid="{00000000-0005-0000-0000-0000F26E0000}"/>
    <cellStyle name="Финансовый 2 7 2 3 2 5" xfId="50903" xr:uid="{00000000-0005-0000-0000-0000F36E0000}"/>
    <cellStyle name="Финансовый 2 7 2 3 3" xfId="5460" xr:uid="{00000000-0005-0000-0000-0000F46E0000}"/>
    <cellStyle name="Финансовый 2 7 2 3 3 2" xfId="17438" xr:uid="{00000000-0005-0000-0000-0000F56E0000}"/>
    <cellStyle name="Финансовый 2 7 2 3 3 2 2" xfId="41393" xr:uid="{00000000-0005-0000-0000-0000F66E0000}"/>
    <cellStyle name="Финансовый 2 7 2 3 3 3" xfId="29415" xr:uid="{00000000-0005-0000-0000-0000F76E0000}"/>
    <cellStyle name="Финансовый 2 7 2 3 4" xfId="8070" xr:uid="{00000000-0005-0000-0000-0000F86E0000}"/>
    <cellStyle name="Финансовый 2 7 2 3 4 2" xfId="20048" xr:uid="{00000000-0005-0000-0000-0000F96E0000}"/>
    <cellStyle name="Финансовый 2 7 2 3 4 2 2" xfId="44003" xr:uid="{00000000-0005-0000-0000-0000FA6E0000}"/>
    <cellStyle name="Финансовый 2 7 2 3 4 3" xfId="32025" xr:uid="{00000000-0005-0000-0000-0000FB6E0000}"/>
    <cellStyle name="Финансовый 2 7 2 3 5" xfId="9853" xr:uid="{00000000-0005-0000-0000-0000FC6E0000}"/>
    <cellStyle name="Финансовый 2 7 2 3 5 2" xfId="21831" xr:uid="{00000000-0005-0000-0000-0000FD6E0000}"/>
    <cellStyle name="Финансовый 2 7 2 3 5 2 2" xfId="45786" xr:uid="{00000000-0005-0000-0000-0000FE6E0000}"/>
    <cellStyle name="Финансовый 2 7 2 3 5 3" xfId="33808" xr:uid="{00000000-0005-0000-0000-0000FF6E0000}"/>
    <cellStyle name="Финансовый 2 7 2 3 6" xfId="14011" xr:uid="{00000000-0005-0000-0000-0000006F0000}"/>
    <cellStyle name="Финансовый 2 7 2 3 6 2" xfId="37966" xr:uid="{00000000-0005-0000-0000-0000016F0000}"/>
    <cellStyle name="Финансовый 2 7 2 3 7" xfId="25989" xr:uid="{00000000-0005-0000-0000-0000026F0000}"/>
    <cellStyle name="Финансовый 2 7 2 3 8" xfId="49122" xr:uid="{00000000-0005-0000-0000-0000036F0000}"/>
    <cellStyle name="Финансовый 2 7 2 4" xfId="2561" xr:uid="{00000000-0005-0000-0000-0000046F0000}"/>
    <cellStyle name="Финансовый 2 7 2 4 2" xfId="4206" xr:uid="{00000000-0005-0000-0000-0000056F0000}"/>
    <cellStyle name="Финансовый 2 7 2 4 2 2" xfId="11930" xr:uid="{00000000-0005-0000-0000-0000066F0000}"/>
    <cellStyle name="Финансовый 2 7 2 4 2 2 2" xfId="23908" xr:uid="{00000000-0005-0000-0000-0000076F0000}"/>
    <cellStyle name="Финансовый 2 7 2 4 2 2 2 2" xfId="47863" xr:uid="{00000000-0005-0000-0000-0000086F0000}"/>
    <cellStyle name="Финансовый 2 7 2 4 2 2 3" xfId="35885" xr:uid="{00000000-0005-0000-0000-0000096F0000}"/>
    <cellStyle name="Финансовый 2 7 2 4 2 3" xfId="16185" xr:uid="{00000000-0005-0000-0000-00000A6F0000}"/>
    <cellStyle name="Финансовый 2 7 2 4 2 3 2" xfId="40140" xr:uid="{00000000-0005-0000-0000-00000B6F0000}"/>
    <cellStyle name="Финансовый 2 7 2 4 2 4" xfId="28163" xr:uid="{00000000-0005-0000-0000-00000C6F0000}"/>
    <cellStyle name="Финансовый 2 7 2 4 2 5" xfId="51432" xr:uid="{00000000-0005-0000-0000-00000D6F0000}"/>
    <cellStyle name="Финансовый 2 7 2 4 3" xfId="5989" xr:uid="{00000000-0005-0000-0000-00000E6F0000}"/>
    <cellStyle name="Финансовый 2 7 2 4 3 2" xfId="17967" xr:uid="{00000000-0005-0000-0000-00000F6F0000}"/>
    <cellStyle name="Финансовый 2 7 2 4 3 2 2" xfId="41922" xr:uid="{00000000-0005-0000-0000-0000106F0000}"/>
    <cellStyle name="Финансовый 2 7 2 4 3 3" xfId="29944" xr:uid="{00000000-0005-0000-0000-0000116F0000}"/>
    <cellStyle name="Финансовый 2 7 2 4 4" xfId="8599" xr:uid="{00000000-0005-0000-0000-0000126F0000}"/>
    <cellStyle name="Финансовый 2 7 2 4 4 2" xfId="20577" xr:uid="{00000000-0005-0000-0000-0000136F0000}"/>
    <cellStyle name="Финансовый 2 7 2 4 4 2 2" xfId="44532" xr:uid="{00000000-0005-0000-0000-0000146F0000}"/>
    <cellStyle name="Финансовый 2 7 2 4 4 3" xfId="32554" xr:uid="{00000000-0005-0000-0000-0000156F0000}"/>
    <cellStyle name="Финансовый 2 7 2 4 5" xfId="10382" xr:uid="{00000000-0005-0000-0000-0000166F0000}"/>
    <cellStyle name="Финансовый 2 7 2 4 5 2" xfId="22360" xr:uid="{00000000-0005-0000-0000-0000176F0000}"/>
    <cellStyle name="Финансовый 2 7 2 4 5 2 2" xfId="46315" xr:uid="{00000000-0005-0000-0000-0000186F0000}"/>
    <cellStyle name="Финансовый 2 7 2 4 5 3" xfId="34337" xr:uid="{00000000-0005-0000-0000-0000196F0000}"/>
    <cellStyle name="Финансовый 2 7 2 4 6" xfId="14540" xr:uid="{00000000-0005-0000-0000-00001A6F0000}"/>
    <cellStyle name="Финансовый 2 7 2 4 6 2" xfId="38495" xr:uid="{00000000-0005-0000-0000-00001B6F0000}"/>
    <cellStyle name="Финансовый 2 7 2 4 7" xfId="26518" xr:uid="{00000000-0005-0000-0000-00001C6F0000}"/>
    <cellStyle name="Финансовый 2 7 2 4 8" xfId="49651" xr:uid="{00000000-0005-0000-0000-00001D6F0000}"/>
    <cellStyle name="Финансовый 2 7 2 5" xfId="1065" xr:uid="{00000000-0005-0000-0000-00001E6F0000}"/>
    <cellStyle name="Финансовый 2 7 2 5 2" xfId="7105" xr:uid="{00000000-0005-0000-0000-00001F6F0000}"/>
    <cellStyle name="Финансовый 2 7 2 5 2 2" xfId="19083" xr:uid="{00000000-0005-0000-0000-0000206F0000}"/>
    <cellStyle name="Финансовый 2 7 2 5 2 2 2" xfId="43038" xr:uid="{00000000-0005-0000-0000-0000216F0000}"/>
    <cellStyle name="Финансовый 2 7 2 5 2 3" xfId="31060" xr:uid="{00000000-0005-0000-0000-0000226F0000}"/>
    <cellStyle name="Финансовый 2 7 2 5 3" xfId="10645" xr:uid="{00000000-0005-0000-0000-0000236F0000}"/>
    <cellStyle name="Финансовый 2 7 2 5 3 2" xfId="22623" xr:uid="{00000000-0005-0000-0000-0000246F0000}"/>
    <cellStyle name="Финансовый 2 7 2 5 3 2 2" xfId="46578" xr:uid="{00000000-0005-0000-0000-0000256F0000}"/>
    <cellStyle name="Финансовый 2 7 2 5 3 3" xfId="34600" xr:uid="{00000000-0005-0000-0000-0000266F0000}"/>
    <cellStyle name="Финансовый 2 7 2 5 4" xfId="13046" xr:uid="{00000000-0005-0000-0000-0000276F0000}"/>
    <cellStyle name="Финансовый 2 7 2 5 4 2" xfId="37001" xr:uid="{00000000-0005-0000-0000-0000286F0000}"/>
    <cellStyle name="Финансовый 2 7 2 5 5" xfId="25024" xr:uid="{00000000-0005-0000-0000-0000296F0000}"/>
    <cellStyle name="Финансовый 2 7 2 5 6" xfId="49930" xr:uid="{00000000-0005-0000-0000-00002A6F0000}"/>
    <cellStyle name="Финансовый 2 7 2 6" xfId="653" xr:uid="{00000000-0005-0000-0000-00002B6F0000}"/>
    <cellStyle name="Финансовый 2 7 2 6 2" xfId="6693" xr:uid="{00000000-0005-0000-0000-00002C6F0000}"/>
    <cellStyle name="Финансовый 2 7 2 6 2 2" xfId="18671" xr:uid="{00000000-0005-0000-0000-00002D6F0000}"/>
    <cellStyle name="Финансовый 2 7 2 6 2 2 2" xfId="42626" xr:uid="{00000000-0005-0000-0000-00002E6F0000}"/>
    <cellStyle name="Финансовый 2 7 2 6 2 3" xfId="30648" xr:uid="{00000000-0005-0000-0000-00002F6F0000}"/>
    <cellStyle name="Финансовый 2 7 2 6 3" xfId="12634" xr:uid="{00000000-0005-0000-0000-0000306F0000}"/>
    <cellStyle name="Финансовый 2 7 2 6 3 2" xfId="36589" xr:uid="{00000000-0005-0000-0000-0000316F0000}"/>
    <cellStyle name="Финансовый 2 7 2 6 4" xfId="24612" xr:uid="{00000000-0005-0000-0000-0000326F0000}"/>
    <cellStyle name="Финансовый 2 7 2 7" xfId="2842" xr:uid="{00000000-0005-0000-0000-0000336F0000}"/>
    <cellStyle name="Финансовый 2 7 2 7 2" xfId="14821" xr:uid="{00000000-0005-0000-0000-0000346F0000}"/>
    <cellStyle name="Финансовый 2 7 2 7 2 2" xfId="38776" xr:uid="{00000000-0005-0000-0000-0000356F0000}"/>
    <cellStyle name="Финансовый 2 7 2 7 3" xfId="26799" xr:uid="{00000000-0005-0000-0000-0000366F0000}"/>
    <cellStyle name="Финансовый 2 7 2 8" xfId="4486" xr:uid="{00000000-0005-0000-0000-0000376F0000}"/>
    <cellStyle name="Финансовый 2 7 2 8 2" xfId="16465" xr:uid="{00000000-0005-0000-0000-0000386F0000}"/>
    <cellStyle name="Финансовый 2 7 2 8 2 2" xfId="40420" xr:uid="{00000000-0005-0000-0000-0000396F0000}"/>
    <cellStyle name="Финансовый 2 7 2 8 3" xfId="28443" xr:uid="{00000000-0005-0000-0000-00003A6F0000}"/>
    <cellStyle name="Финансовый 2 7 2 9" xfId="6273" xr:uid="{00000000-0005-0000-0000-00003B6F0000}"/>
    <cellStyle name="Финансовый 2 7 2 9 2" xfId="18251" xr:uid="{00000000-0005-0000-0000-00003C6F0000}"/>
    <cellStyle name="Финансовый 2 7 2 9 2 2" xfId="42206" xr:uid="{00000000-0005-0000-0000-00003D6F0000}"/>
    <cellStyle name="Финансовый 2 7 2 9 3" xfId="30228" xr:uid="{00000000-0005-0000-0000-00003E6F0000}"/>
    <cellStyle name="Финансовый 2 7 3" xfId="381" xr:uid="{00000000-0005-0000-0000-00003F6F0000}"/>
    <cellStyle name="Финансовый 2 7 3 10" xfId="24340" xr:uid="{00000000-0005-0000-0000-0000406F0000}"/>
    <cellStyle name="Финансовый 2 7 3 11" xfId="48286" xr:uid="{00000000-0005-0000-0000-0000416F0000}"/>
    <cellStyle name="Финансовый 2 7 3 2" xfId="2160" xr:uid="{00000000-0005-0000-0000-0000426F0000}"/>
    <cellStyle name="Финансовый 2 7 3 2 2" xfId="3805" xr:uid="{00000000-0005-0000-0000-0000436F0000}"/>
    <cellStyle name="Финансовый 2 7 3 2 2 2" xfId="11545" xr:uid="{00000000-0005-0000-0000-0000446F0000}"/>
    <cellStyle name="Финансовый 2 7 3 2 2 2 2" xfId="23523" xr:uid="{00000000-0005-0000-0000-0000456F0000}"/>
    <cellStyle name="Финансовый 2 7 3 2 2 2 2 2" xfId="47478" xr:uid="{00000000-0005-0000-0000-0000466F0000}"/>
    <cellStyle name="Финансовый 2 7 3 2 2 2 3" xfId="35500" xr:uid="{00000000-0005-0000-0000-0000476F0000}"/>
    <cellStyle name="Финансовый 2 7 3 2 2 3" xfId="15784" xr:uid="{00000000-0005-0000-0000-0000486F0000}"/>
    <cellStyle name="Финансовый 2 7 3 2 2 3 2" xfId="39739" xr:uid="{00000000-0005-0000-0000-0000496F0000}"/>
    <cellStyle name="Финансовый 2 7 3 2 2 4" xfId="27762" xr:uid="{00000000-0005-0000-0000-00004A6F0000}"/>
    <cellStyle name="Финансовый 2 7 3 2 2 5" xfId="51031" xr:uid="{00000000-0005-0000-0000-00004B6F0000}"/>
    <cellStyle name="Финансовый 2 7 3 2 3" xfId="5588" xr:uid="{00000000-0005-0000-0000-00004C6F0000}"/>
    <cellStyle name="Финансовый 2 7 3 2 3 2" xfId="17566" xr:uid="{00000000-0005-0000-0000-00004D6F0000}"/>
    <cellStyle name="Финансовый 2 7 3 2 3 2 2" xfId="41521" xr:uid="{00000000-0005-0000-0000-00004E6F0000}"/>
    <cellStyle name="Финансовый 2 7 3 2 3 3" xfId="29543" xr:uid="{00000000-0005-0000-0000-00004F6F0000}"/>
    <cellStyle name="Финансовый 2 7 3 2 4" xfId="8198" xr:uid="{00000000-0005-0000-0000-0000506F0000}"/>
    <cellStyle name="Финансовый 2 7 3 2 4 2" xfId="20176" xr:uid="{00000000-0005-0000-0000-0000516F0000}"/>
    <cellStyle name="Финансовый 2 7 3 2 4 2 2" xfId="44131" xr:uid="{00000000-0005-0000-0000-0000526F0000}"/>
    <cellStyle name="Финансовый 2 7 3 2 4 3" xfId="32153" xr:uid="{00000000-0005-0000-0000-0000536F0000}"/>
    <cellStyle name="Финансовый 2 7 3 2 5" xfId="9981" xr:uid="{00000000-0005-0000-0000-0000546F0000}"/>
    <cellStyle name="Финансовый 2 7 3 2 5 2" xfId="21959" xr:uid="{00000000-0005-0000-0000-0000556F0000}"/>
    <cellStyle name="Финансовый 2 7 3 2 5 2 2" xfId="45914" xr:uid="{00000000-0005-0000-0000-0000566F0000}"/>
    <cellStyle name="Финансовый 2 7 3 2 5 3" xfId="33936" xr:uid="{00000000-0005-0000-0000-0000576F0000}"/>
    <cellStyle name="Финансовый 2 7 3 2 6" xfId="14139" xr:uid="{00000000-0005-0000-0000-0000586F0000}"/>
    <cellStyle name="Финансовый 2 7 3 2 6 2" xfId="38094" xr:uid="{00000000-0005-0000-0000-0000596F0000}"/>
    <cellStyle name="Финансовый 2 7 3 2 7" xfId="26117" xr:uid="{00000000-0005-0000-0000-00005A6F0000}"/>
    <cellStyle name="Финансовый 2 7 3 2 8" xfId="49250" xr:uid="{00000000-0005-0000-0000-00005B6F0000}"/>
    <cellStyle name="Финансовый 2 7 3 3" xfId="1194" xr:uid="{00000000-0005-0000-0000-00005C6F0000}"/>
    <cellStyle name="Финансовый 2 7 3 3 2" xfId="7234" xr:uid="{00000000-0005-0000-0000-00005D6F0000}"/>
    <cellStyle name="Финансовый 2 7 3 3 2 2" xfId="19212" xr:uid="{00000000-0005-0000-0000-00005E6F0000}"/>
    <cellStyle name="Финансовый 2 7 3 3 2 2 2" xfId="43167" xr:uid="{00000000-0005-0000-0000-00005F6F0000}"/>
    <cellStyle name="Финансовый 2 7 3 3 2 3" xfId="31189" xr:uid="{00000000-0005-0000-0000-0000606F0000}"/>
    <cellStyle name="Финансовый 2 7 3 3 3" xfId="10773" xr:uid="{00000000-0005-0000-0000-0000616F0000}"/>
    <cellStyle name="Финансовый 2 7 3 3 3 2" xfId="22751" xr:uid="{00000000-0005-0000-0000-0000626F0000}"/>
    <cellStyle name="Финансовый 2 7 3 3 3 2 2" xfId="46706" xr:uid="{00000000-0005-0000-0000-0000636F0000}"/>
    <cellStyle name="Финансовый 2 7 3 3 3 3" xfId="34728" xr:uid="{00000000-0005-0000-0000-0000646F0000}"/>
    <cellStyle name="Финансовый 2 7 3 3 4" xfId="13175" xr:uid="{00000000-0005-0000-0000-0000656F0000}"/>
    <cellStyle name="Финансовый 2 7 3 3 4 2" xfId="37130" xr:uid="{00000000-0005-0000-0000-0000666F0000}"/>
    <cellStyle name="Финансовый 2 7 3 3 5" xfId="25153" xr:uid="{00000000-0005-0000-0000-0000676F0000}"/>
    <cellStyle name="Финансовый 2 7 3 3 6" xfId="50066" xr:uid="{00000000-0005-0000-0000-0000686F0000}"/>
    <cellStyle name="Финансовый 2 7 3 4" xfId="801" xr:uid="{00000000-0005-0000-0000-0000696F0000}"/>
    <cellStyle name="Финансовый 2 7 3 4 2" xfId="6841" xr:uid="{00000000-0005-0000-0000-00006A6F0000}"/>
    <cellStyle name="Финансовый 2 7 3 4 2 2" xfId="18819" xr:uid="{00000000-0005-0000-0000-00006B6F0000}"/>
    <cellStyle name="Финансовый 2 7 3 4 2 2 2" xfId="42774" xr:uid="{00000000-0005-0000-0000-00006C6F0000}"/>
    <cellStyle name="Финансовый 2 7 3 4 2 3" xfId="30796" xr:uid="{00000000-0005-0000-0000-00006D6F0000}"/>
    <cellStyle name="Финансовый 2 7 3 4 3" xfId="12782" xr:uid="{00000000-0005-0000-0000-00006E6F0000}"/>
    <cellStyle name="Финансовый 2 7 3 4 3 2" xfId="36737" xr:uid="{00000000-0005-0000-0000-00006F6F0000}"/>
    <cellStyle name="Финансовый 2 7 3 4 4" xfId="24760" xr:uid="{00000000-0005-0000-0000-0000706F0000}"/>
    <cellStyle name="Финансовый 2 7 3 5" xfId="2978" xr:uid="{00000000-0005-0000-0000-0000716F0000}"/>
    <cellStyle name="Финансовый 2 7 3 5 2" xfId="14957" xr:uid="{00000000-0005-0000-0000-0000726F0000}"/>
    <cellStyle name="Финансовый 2 7 3 5 2 2" xfId="38912" xr:uid="{00000000-0005-0000-0000-0000736F0000}"/>
    <cellStyle name="Финансовый 2 7 3 5 3" xfId="26935" xr:uid="{00000000-0005-0000-0000-0000746F0000}"/>
    <cellStyle name="Финансовый 2 7 3 6" xfId="4622" xr:uid="{00000000-0005-0000-0000-0000756F0000}"/>
    <cellStyle name="Финансовый 2 7 3 6 2" xfId="16601" xr:uid="{00000000-0005-0000-0000-0000766F0000}"/>
    <cellStyle name="Финансовый 2 7 3 6 2 2" xfId="40556" xr:uid="{00000000-0005-0000-0000-0000776F0000}"/>
    <cellStyle name="Финансовый 2 7 3 6 3" xfId="28579" xr:uid="{00000000-0005-0000-0000-0000786F0000}"/>
    <cellStyle name="Финансовый 2 7 3 7" xfId="6421" xr:uid="{00000000-0005-0000-0000-0000796F0000}"/>
    <cellStyle name="Финансовый 2 7 3 7 2" xfId="18399" xr:uid="{00000000-0005-0000-0000-00007A6F0000}"/>
    <cellStyle name="Финансовый 2 7 3 7 2 2" xfId="42354" xr:uid="{00000000-0005-0000-0000-00007B6F0000}"/>
    <cellStyle name="Финансовый 2 7 3 7 3" xfId="30376" xr:uid="{00000000-0005-0000-0000-00007C6F0000}"/>
    <cellStyle name="Финансовый 2 7 3 8" xfId="9016" xr:uid="{00000000-0005-0000-0000-00007D6F0000}"/>
    <cellStyle name="Финансовый 2 7 3 8 2" xfId="20994" xr:uid="{00000000-0005-0000-0000-00007E6F0000}"/>
    <cellStyle name="Финансовый 2 7 3 8 2 2" xfId="44949" xr:uid="{00000000-0005-0000-0000-00007F6F0000}"/>
    <cellStyle name="Финансовый 2 7 3 8 3" xfId="32971" xr:uid="{00000000-0005-0000-0000-0000806F0000}"/>
    <cellStyle name="Финансовый 2 7 3 9" xfId="12362" xr:uid="{00000000-0005-0000-0000-0000816F0000}"/>
    <cellStyle name="Финансовый 2 7 3 9 2" xfId="36317" xr:uid="{00000000-0005-0000-0000-0000826F0000}"/>
    <cellStyle name="Финансовый 2 7 4" xfId="1509" xr:uid="{00000000-0005-0000-0000-0000836F0000}"/>
    <cellStyle name="Финансовый 2 7 4 2" xfId="1904" xr:uid="{00000000-0005-0000-0000-0000846F0000}"/>
    <cellStyle name="Финансовый 2 7 4 2 2" xfId="3549" xr:uid="{00000000-0005-0000-0000-0000856F0000}"/>
    <cellStyle name="Финансовый 2 7 4 2 2 2" xfId="11289" xr:uid="{00000000-0005-0000-0000-0000866F0000}"/>
    <cellStyle name="Финансовый 2 7 4 2 2 2 2" xfId="23267" xr:uid="{00000000-0005-0000-0000-0000876F0000}"/>
    <cellStyle name="Финансовый 2 7 4 2 2 2 2 2" xfId="47222" xr:uid="{00000000-0005-0000-0000-0000886F0000}"/>
    <cellStyle name="Финансовый 2 7 4 2 2 2 3" xfId="35244" xr:uid="{00000000-0005-0000-0000-0000896F0000}"/>
    <cellStyle name="Финансовый 2 7 4 2 2 3" xfId="15528" xr:uid="{00000000-0005-0000-0000-00008A6F0000}"/>
    <cellStyle name="Финансовый 2 7 4 2 2 3 2" xfId="39483" xr:uid="{00000000-0005-0000-0000-00008B6F0000}"/>
    <cellStyle name="Финансовый 2 7 4 2 2 4" xfId="27506" xr:uid="{00000000-0005-0000-0000-00008C6F0000}"/>
    <cellStyle name="Финансовый 2 7 4 2 2 5" xfId="50775" xr:uid="{00000000-0005-0000-0000-00008D6F0000}"/>
    <cellStyle name="Финансовый 2 7 4 2 3" xfId="5332" xr:uid="{00000000-0005-0000-0000-00008E6F0000}"/>
    <cellStyle name="Финансовый 2 7 4 2 3 2" xfId="17310" xr:uid="{00000000-0005-0000-0000-00008F6F0000}"/>
    <cellStyle name="Финансовый 2 7 4 2 3 2 2" xfId="41265" xr:uid="{00000000-0005-0000-0000-0000906F0000}"/>
    <cellStyle name="Финансовый 2 7 4 2 3 3" xfId="29287" xr:uid="{00000000-0005-0000-0000-0000916F0000}"/>
    <cellStyle name="Финансовый 2 7 4 2 4" xfId="7942" xr:uid="{00000000-0005-0000-0000-0000926F0000}"/>
    <cellStyle name="Финансовый 2 7 4 2 4 2" xfId="19920" xr:uid="{00000000-0005-0000-0000-0000936F0000}"/>
    <cellStyle name="Финансовый 2 7 4 2 4 2 2" xfId="43875" xr:uid="{00000000-0005-0000-0000-0000946F0000}"/>
    <cellStyle name="Финансовый 2 7 4 2 4 3" xfId="31897" xr:uid="{00000000-0005-0000-0000-0000956F0000}"/>
    <cellStyle name="Финансовый 2 7 4 2 5" xfId="9725" xr:uid="{00000000-0005-0000-0000-0000966F0000}"/>
    <cellStyle name="Финансовый 2 7 4 2 5 2" xfId="21703" xr:uid="{00000000-0005-0000-0000-0000976F0000}"/>
    <cellStyle name="Финансовый 2 7 4 2 5 2 2" xfId="45658" xr:uid="{00000000-0005-0000-0000-0000986F0000}"/>
    <cellStyle name="Финансовый 2 7 4 2 5 3" xfId="33680" xr:uid="{00000000-0005-0000-0000-0000996F0000}"/>
    <cellStyle name="Финансовый 2 7 4 2 6" xfId="13883" xr:uid="{00000000-0005-0000-0000-00009A6F0000}"/>
    <cellStyle name="Финансовый 2 7 4 2 6 2" xfId="37838" xr:uid="{00000000-0005-0000-0000-00009B6F0000}"/>
    <cellStyle name="Финансовый 2 7 4 2 7" xfId="25861" xr:uid="{00000000-0005-0000-0000-00009C6F0000}"/>
    <cellStyle name="Финансовый 2 7 4 2 8" xfId="48994" xr:uid="{00000000-0005-0000-0000-00009D6F0000}"/>
    <cellStyle name="Финансовый 2 7 4 3" xfId="4937" xr:uid="{00000000-0005-0000-0000-00009E6F0000}"/>
    <cellStyle name="Финансовый 2 7 4 3 2" xfId="16915" xr:uid="{00000000-0005-0000-0000-00009F6F0000}"/>
    <cellStyle name="Финансовый 2 7 4 3 2 2" xfId="40870" xr:uid="{00000000-0005-0000-0000-0000A06F0000}"/>
    <cellStyle name="Финансовый 2 7 4 3 3" xfId="28892" xr:uid="{00000000-0005-0000-0000-0000A16F0000}"/>
    <cellStyle name="Финансовый 2 7 4 3 4" xfId="50380" xr:uid="{00000000-0005-0000-0000-0000A26F0000}"/>
    <cellStyle name="Финансовый 2 7 4 4" xfId="7547" xr:uid="{00000000-0005-0000-0000-0000A36F0000}"/>
    <cellStyle name="Финансовый 2 7 4 4 2" xfId="19525" xr:uid="{00000000-0005-0000-0000-0000A46F0000}"/>
    <cellStyle name="Финансовый 2 7 4 4 2 2" xfId="43480" xr:uid="{00000000-0005-0000-0000-0000A56F0000}"/>
    <cellStyle name="Финансовый 2 7 4 4 3" xfId="31502" xr:uid="{00000000-0005-0000-0000-0000A66F0000}"/>
    <cellStyle name="Финансовый 2 7 4 5" xfId="9330" xr:uid="{00000000-0005-0000-0000-0000A76F0000}"/>
    <cellStyle name="Финансовый 2 7 4 5 2" xfId="21308" xr:uid="{00000000-0005-0000-0000-0000A86F0000}"/>
    <cellStyle name="Финансовый 2 7 4 5 2 2" xfId="45263" xr:uid="{00000000-0005-0000-0000-0000A96F0000}"/>
    <cellStyle name="Финансовый 2 7 4 5 3" xfId="33285" xr:uid="{00000000-0005-0000-0000-0000AA6F0000}"/>
    <cellStyle name="Финансовый 2 7 4 6" xfId="13488" xr:uid="{00000000-0005-0000-0000-0000AB6F0000}"/>
    <cellStyle name="Финансовый 2 7 4 6 2" xfId="37443" xr:uid="{00000000-0005-0000-0000-0000AC6F0000}"/>
    <cellStyle name="Финансовый 2 7 4 7" xfId="25466" xr:uid="{00000000-0005-0000-0000-0000AD6F0000}"/>
    <cellStyle name="Финансовый 2 7 4 8" xfId="48599" xr:uid="{00000000-0005-0000-0000-0000AE6F0000}"/>
    <cellStyle name="Финансовый 2 7 5" xfId="1780" xr:uid="{00000000-0005-0000-0000-0000AF6F0000}"/>
    <cellStyle name="Финансовый 2 7 5 2" xfId="3425" xr:uid="{00000000-0005-0000-0000-0000B06F0000}"/>
    <cellStyle name="Финансовый 2 7 5 2 2" xfId="11173" xr:uid="{00000000-0005-0000-0000-0000B16F0000}"/>
    <cellStyle name="Финансовый 2 7 5 2 2 2" xfId="23151" xr:uid="{00000000-0005-0000-0000-0000B26F0000}"/>
    <cellStyle name="Финансовый 2 7 5 2 2 2 2" xfId="47106" xr:uid="{00000000-0005-0000-0000-0000B36F0000}"/>
    <cellStyle name="Финансовый 2 7 5 2 2 3" xfId="35128" xr:uid="{00000000-0005-0000-0000-0000B46F0000}"/>
    <cellStyle name="Финансовый 2 7 5 2 3" xfId="15404" xr:uid="{00000000-0005-0000-0000-0000B56F0000}"/>
    <cellStyle name="Финансовый 2 7 5 2 3 2" xfId="39359" xr:uid="{00000000-0005-0000-0000-0000B66F0000}"/>
    <cellStyle name="Финансовый 2 7 5 2 4" xfId="27382" xr:uid="{00000000-0005-0000-0000-0000B76F0000}"/>
    <cellStyle name="Финансовый 2 7 5 2 5" xfId="50651" xr:uid="{00000000-0005-0000-0000-0000B86F0000}"/>
    <cellStyle name="Финансовый 2 7 5 3" xfId="5208" xr:uid="{00000000-0005-0000-0000-0000B96F0000}"/>
    <cellStyle name="Финансовый 2 7 5 3 2" xfId="17186" xr:uid="{00000000-0005-0000-0000-0000BA6F0000}"/>
    <cellStyle name="Финансовый 2 7 5 3 2 2" xfId="41141" xr:uid="{00000000-0005-0000-0000-0000BB6F0000}"/>
    <cellStyle name="Финансовый 2 7 5 3 3" xfId="29163" xr:uid="{00000000-0005-0000-0000-0000BC6F0000}"/>
    <cellStyle name="Финансовый 2 7 5 4" xfId="7818" xr:uid="{00000000-0005-0000-0000-0000BD6F0000}"/>
    <cellStyle name="Финансовый 2 7 5 4 2" xfId="19796" xr:uid="{00000000-0005-0000-0000-0000BE6F0000}"/>
    <cellStyle name="Финансовый 2 7 5 4 2 2" xfId="43751" xr:uid="{00000000-0005-0000-0000-0000BF6F0000}"/>
    <cellStyle name="Финансовый 2 7 5 4 3" xfId="31773" xr:uid="{00000000-0005-0000-0000-0000C06F0000}"/>
    <cellStyle name="Финансовый 2 7 5 5" xfId="9601" xr:uid="{00000000-0005-0000-0000-0000C16F0000}"/>
    <cellStyle name="Финансовый 2 7 5 5 2" xfId="21579" xr:uid="{00000000-0005-0000-0000-0000C26F0000}"/>
    <cellStyle name="Финансовый 2 7 5 5 2 2" xfId="45534" xr:uid="{00000000-0005-0000-0000-0000C36F0000}"/>
    <cellStyle name="Финансовый 2 7 5 5 3" xfId="33556" xr:uid="{00000000-0005-0000-0000-0000C46F0000}"/>
    <cellStyle name="Финансовый 2 7 5 6" xfId="13759" xr:uid="{00000000-0005-0000-0000-0000C56F0000}"/>
    <cellStyle name="Финансовый 2 7 5 6 2" xfId="37714" xr:uid="{00000000-0005-0000-0000-0000C66F0000}"/>
    <cellStyle name="Финансовый 2 7 5 7" xfId="25737" xr:uid="{00000000-0005-0000-0000-0000C76F0000}"/>
    <cellStyle name="Финансовый 2 7 5 8" xfId="48870" xr:uid="{00000000-0005-0000-0000-0000C86F0000}"/>
    <cellStyle name="Финансовый 2 7 6" xfId="2425" xr:uid="{00000000-0005-0000-0000-0000C96F0000}"/>
    <cellStyle name="Финансовый 2 7 6 2" xfId="4070" xr:uid="{00000000-0005-0000-0000-0000CA6F0000}"/>
    <cellStyle name="Финансовый 2 7 6 2 2" xfId="11802" xr:uid="{00000000-0005-0000-0000-0000CB6F0000}"/>
    <cellStyle name="Финансовый 2 7 6 2 2 2" xfId="23780" xr:uid="{00000000-0005-0000-0000-0000CC6F0000}"/>
    <cellStyle name="Финансовый 2 7 6 2 2 2 2" xfId="47735" xr:uid="{00000000-0005-0000-0000-0000CD6F0000}"/>
    <cellStyle name="Финансовый 2 7 6 2 2 3" xfId="35757" xr:uid="{00000000-0005-0000-0000-0000CE6F0000}"/>
    <cellStyle name="Финансовый 2 7 6 2 3" xfId="16049" xr:uid="{00000000-0005-0000-0000-0000CF6F0000}"/>
    <cellStyle name="Финансовый 2 7 6 2 3 2" xfId="40004" xr:uid="{00000000-0005-0000-0000-0000D06F0000}"/>
    <cellStyle name="Финансовый 2 7 6 2 4" xfId="28027" xr:uid="{00000000-0005-0000-0000-0000D16F0000}"/>
    <cellStyle name="Финансовый 2 7 6 2 5" xfId="51296" xr:uid="{00000000-0005-0000-0000-0000D26F0000}"/>
    <cellStyle name="Финансовый 2 7 6 3" xfId="5853" xr:uid="{00000000-0005-0000-0000-0000D36F0000}"/>
    <cellStyle name="Финансовый 2 7 6 3 2" xfId="17831" xr:uid="{00000000-0005-0000-0000-0000D46F0000}"/>
    <cellStyle name="Финансовый 2 7 6 3 2 2" xfId="41786" xr:uid="{00000000-0005-0000-0000-0000D56F0000}"/>
    <cellStyle name="Финансовый 2 7 6 3 3" xfId="29808" xr:uid="{00000000-0005-0000-0000-0000D66F0000}"/>
    <cellStyle name="Финансовый 2 7 6 4" xfId="8463" xr:uid="{00000000-0005-0000-0000-0000D76F0000}"/>
    <cellStyle name="Финансовый 2 7 6 4 2" xfId="20441" xr:uid="{00000000-0005-0000-0000-0000D86F0000}"/>
    <cellStyle name="Финансовый 2 7 6 4 2 2" xfId="44396" xr:uid="{00000000-0005-0000-0000-0000D96F0000}"/>
    <cellStyle name="Финансовый 2 7 6 4 3" xfId="32418" xr:uid="{00000000-0005-0000-0000-0000DA6F0000}"/>
    <cellStyle name="Финансовый 2 7 6 5" xfId="10246" xr:uid="{00000000-0005-0000-0000-0000DB6F0000}"/>
    <cellStyle name="Финансовый 2 7 6 5 2" xfId="22224" xr:uid="{00000000-0005-0000-0000-0000DC6F0000}"/>
    <cellStyle name="Финансовый 2 7 6 5 2 2" xfId="46179" xr:uid="{00000000-0005-0000-0000-0000DD6F0000}"/>
    <cellStyle name="Финансовый 2 7 6 5 3" xfId="34201" xr:uid="{00000000-0005-0000-0000-0000DE6F0000}"/>
    <cellStyle name="Финансовый 2 7 6 6" xfId="14404" xr:uid="{00000000-0005-0000-0000-0000DF6F0000}"/>
    <cellStyle name="Финансовый 2 7 6 6 2" xfId="38359" xr:uid="{00000000-0005-0000-0000-0000E06F0000}"/>
    <cellStyle name="Финансовый 2 7 6 7" xfId="26382" xr:uid="{00000000-0005-0000-0000-0000E16F0000}"/>
    <cellStyle name="Финансовый 2 7 6 8" xfId="49515" xr:uid="{00000000-0005-0000-0000-0000E26F0000}"/>
    <cellStyle name="Финансовый 2 7 7" xfId="1652" xr:uid="{00000000-0005-0000-0000-0000E36F0000}"/>
    <cellStyle name="Финансовый 2 7 7 2" xfId="3297" xr:uid="{00000000-0005-0000-0000-0000E46F0000}"/>
    <cellStyle name="Финансовый 2 7 7 2 2" xfId="11045" xr:uid="{00000000-0005-0000-0000-0000E56F0000}"/>
    <cellStyle name="Финансовый 2 7 7 2 2 2" xfId="23023" xr:uid="{00000000-0005-0000-0000-0000E66F0000}"/>
    <cellStyle name="Финансовый 2 7 7 2 2 2 2" xfId="46978" xr:uid="{00000000-0005-0000-0000-0000E76F0000}"/>
    <cellStyle name="Финансовый 2 7 7 2 2 3" xfId="35000" xr:uid="{00000000-0005-0000-0000-0000E86F0000}"/>
    <cellStyle name="Финансовый 2 7 7 2 3" xfId="15276" xr:uid="{00000000-0005-0000-0000-0000E96F0000}"/>
    <cellStyle name="Финансовый 2 7 7 2 3 2" xfId="39231" xr:uid="{00000000-0005-0000-0000-0000EA6F0000}"/>
    <cellStyle name="Финансовый 2 7 7 2 4" xfId="27254" xr:uid="{00000000-0005-0000-0000-0000EB6F0000}"/>
    <cellStyle name="Финансовый 2 7 7 2 5" xfId="50523" xr:uid="{00000000-0005-0000-0000-0000EC6F0000}"/>
    <cellStyle name="Финансовый 2 7 7 3" xfId="5080" xr:uid="{00000000-0005-0000-0000-0000ED6F0000}"/>
    <cellStyle name="Финансовый 2 7 7 3 2" xfId="17058" xr:uid="{00000000-0005-0000-0000-0000EE6F0000}"/>
    <cellStyle name="Финансовый 2 7 7 3 2 2" xfId="41013" xr:uid="{00000000-0005-0000-0000-0000EF6F0000}"/>
    <cellStyle name="Финансовый 2 7 7 3 3" xfId="29035" xr:uid="{00000000-0005-0000-0000-0000F06F0000}"/>
    <cellStyle name="Финансовый 2 7 7 4" xfId="7690" xr:uid="{00000000-0005-0000-0000-0000F16F0000}"/>
    <cellStyle name="Финансовый 2 7 7 4 2" xfId="19668" xr:uid="{00000000-0005-0000-0000-0000F26F0000}"/>
    <cellStyle name="Финансовый 2 7 7 4 2 2" xfId="43623" xr:uid="{00000000-0005-0000-0000-0000F36F0000}"/>
    <cellStyle name="Финансовый 2 7 7 4 3" xfId="31645" xr:uid="{00000000-0005-0000-0000-0000F46F0000}"/>
    <cellStyle name="Финансовый 2 7 7 5" xfId="9473" xr:uid="{00000000-0005-0000-0000-0000F56F0000}"/>
    <cellStyle name="Финансовый 2 7 7 5 2" xfId="21451" xr:uid="{00000000-0005-0000-0000-0000F66F0000}"/>
    <cellStyle name="Финансовый 2 7 7 5 2 2" xfId="45406" xr:uid="{00000000-0005-0000-0000-0000F76F0000}"/>
    <cellStyle name="Финансовый 2 7 7 5 3" xfId="33428" xr:uid="{00000000-0005-0000-0000-0000F86F0000}"/>
    <cellStyle name="Финансовый 2 7 7 6" xfId="13631" xr:uid="{00000000-0005-0000-0000-0000F96F0000}"/>
    <cellStyle name="Финансовый 2 7 7 6 2" xfId="37586" xr:uid="{00000000-0005-0000-0000-0000FA6F0000}"/>
    <cellStyle name="Финансовый 2 7 7 7" xfId="25609" xr:uid="{00000000-0005-0000-0000-0000FB6F0000}"/>
    <cellStyle name="Финансовый 2 7 7 8" xfId="48742" xr:uid="{00000000-0005-0000-0000-0000FC6F0000}"/>
    <cellStyle name="Финансовый 2 7 8" xfId="929" xr:uid="{00000000-0005-0000-0000-0000FD6F0000}"/>
    <cellStyle name="Финансовый 2 7 8 2" xfId="6969" xr:uid="{00000000-0005-0000-0000-0000FE6F0000}"/>
    <cellStyle name="Финансовый 2 7 8 2 2" xfId="18947" xr:uid="{00000000-0005-0000-0000-0000FF6F0000}"/>
    <cellStyle name="Финансовый 2 7 8 2 2 2" xfId="42902" xr:uid="{00000000-0005-0000-0000-000000700000}"/>
    <cellStyle name="Финансовый 2 7 8 2 3" xfId="30924" xr:uid="{00000000-0005-0000-0000-000001700000}"/>
    <cellStyle name="Финансовый 2 7 8 3" xfId="10517" xr:uid="{00000000-0005-0000-0000-000002700000}"/>
    <cellStyle name="Финансовый 2 7 8 3 2" xfId="22495" xr:uid="{00000000-0005-0000-0000-000003700000}"/>
    <cellStyle name="Финансовый 2 7 8 3 2 2" xfId="46450" xr:uid="{00000000-0005-0000-0000-000004700000}"/>
    <cellStyle name="Финансовый 2 7 8 3 3" xfId="34472" xr:uid="{00000000-0005-0000-0000-000005700000}"/>
    <cellStyle name="Финансовый 2 7 8 4" xfId="12910" xr:uid="{00000000-0005-0000-0000-000006700000}"/>
    <cellStyle name="Финансовый 2 7 8 4 2" xfId="36865" xr:uid="{00000000-0005-0000-0000-000007700000}"/>
    <cellStyle name="Финансовый 2 7 8 5" xfId="24888" xr:uid="{00000000-0005-0000-0000-000008700000}"/>
    <cellStyle name="Финансовый 2 7 8 6" xfId="49794" xr:uid="{00000000-0005-0000-0000-000009700000}"/>
    <cellStyle name="Финансовый 2 7 9" xfId="517" xr:uid="{00000000-0005-0000-0000-00000A700000}"/>
    <cellStyle name="Финансовый 2 7 9 2" xfId="6557" xr:uid="{00000000-0005-0000-0000-00000B700000}"/>
    <cellStyle name="Финансовый 2 7 9 2 2" xfId="18535" xr:uid="{00000000-0005-0000-0000-00000C700000}"/>
    <cellStyle name="Финансовый 2 7 9 2 2 2" xfId="42490" xr:uid="{00000000-0005-0000-0000-00000D700000}"/>
    <cellStyle name="Финансовый 2 7 9 2 3" xfId="30512" xr:uid="{00000000-0005-0000-0000-00000E700000}"/>
    <cellStyle name="Финансовый 2 7 9 3" xfId="12498" xr:uid="{00000000-0005-0000-0000-00000F700000}"/>
    <cellStyle name="Финансовый 2 7 9 3 2" xfId="36453" xr:uid="{00000000-0005-0000-0000-000010700000}"/>
    <cellStyle name="Финансовый 2 7 9 4" xfId="24476" xr:uid="{00000000-0005-0000-0000-000011700000}"/>
    <cellStyle name="Финансовый 2 8" xfId="108" xr:uid="{00000000-0005-0000-0000-000012700000}"/>
    <cellStyle name="Финансовый 2 8 10" xfId="2718" xr:uid="{00000000-0005-0000-0000-000013700000}"/>
    <cellStyle name="Финансовый 2 8 10 2" xfId="14697" xr:uid="{00000000-0005-0000-0000-000014700000}"/>
    <cellStyle name="Финансовый 2 8 10 2 2" xfId="38652" xr:uid="{00000000-0005-0000-0000-000015700000}"/>
    <cellStyle name="Финансовый 2 8 10 3" xfId="26675" xr:uid="{00000000-0005-0000-0000-000016700000}"/>
    <cellStyle name="Финансовый 2 8 11" xfId="4362" xr:uid="{00000000-0005-0000-0000-000017700000}"/>
    <cellStyle name="Финансовый 2 8 11 2" xfId="16341" xr:uid="{00000000-0005-0000-0000-000018700000}"/>
    <cellStyle name="Финансовый 2 8 11 2 2" xfId="40296" xr:uid="{00000000-0005-0000-0000-000019700000}"/>
    <cellStyle name="Финансовый 2 8 11 3" xfId="28319" xr:uid="{00000000-0005-0000-0000-00001A700000}"/>
    <cellStyle name="Финансовый 2 8 12" xfId="6149" xr:uid="{00000000-0005-0000-0000-00001B700000}"/>
    <cellStyle name="Финансовый 2 8 12 2" xfId="18127" xr:uid="{00000000-0005-0000-0000-00001C700000}"/>
    <cellStyle name="Финансовый 2 8 12 2 2" xfId="42082" xr:uid="{00000000-0005-0000-0000-00001D700000}"/>
    <cellStyle name="Финансовый 2 8 12 3" xfId="30104" xr:uid="{00000000-0005-0000-0000-00001E700000}"/>
    <cellStyle name="Финансовый 2 8 13" xfId="8756" xr:uid="{00000000-0005-0000-0000-00001F700000}"/>
    <cellStyle name="Финансовый 2 8 13 2" xfId="20734" xr:uid="{00000000-0005-0000-0000-000020700000}"/>
    <cellStyle name="Финансовый 2 8 13 2 2" xfId="44689" xr:uid="{00000000-0005-0000-0000-000021700000}"/>
    <cellStyle name="Финансовый 2 8 13 3" xfId="32711" xr:uid="{00000000-0005-0000-0000-000022700000}"/>
    <cellStyle name="Финансовый 2 8 14" xfId="12090" xr:uid="{00000000-0005-0000-0000-000023700000}"/>
    <cellStyle name="Финансовый 2 8 14 2" xfId="36045" xr:uid="{00000000-0005-0000-0000-000024700000}"/>
    <cellStyle name="Финансовый 2 8 15" xfId="24068" xr:uid="{00000000-0005-0000-0000-000025700000}"/>
    <cellStyle name="Финансовый 2 8 16" xfId="48026" xr:uid="{00000000-0005-0000-0000-000026700000}"/>
    <cellStyle name="Финансовый 2 8 2" xfId="244" xr:uid="{00000000-0005-0000-0000-000027700000}"/>
    <cellStyle name="Финансовый 2 8 2 10" xfId="8892" xr:uid="{00000000-0005-0000-0000-000028700000}"/>
    <cellStyle name="Финансовый 2 8 2 10 2" xfId="20870" xr:uid="{00000000-0005-0000-0000-000029700000}"/>
    <cellStyle name="Финансовый 2 8 2 10 2 2" xfId="44825" xr:uid="{00000000-0005-0000-0000-00002A700000}"/>
    <cellStyle name="Финансовый 2 8 2 10 3" xfId="32847" xr:uid="{00000000-0005-0000-0000-00002B700000}"/>
    <cellStyle name="Финансовый 2 8 2 11" xfId="12226" xr:uid="{00000000-0005-0000-0000-00002C700000}"/>
    <cellStyle name="Финансовый 2 8 2 11 2" xfId="36181" xr:uid="{00000000-0005-0000-0000-00002D700000}"/>
    <cellStyle name="Финансовый 2 8 2 12" xfId="24204" xr:uid="{00000000-0005-0000-0000-00002E700000}"/>
    <cellStyle name="Финансовый 2 8 2 13" xfId="48162" xr:uid="{00000000-0005-0000-0000-00002F700000}"/>
    <cellStyle name="Финансовый 2 8 2 2" xfId="1342" xr:uid="{00000000-0005-0000-0000-000030700000}"/>
    <cellStyle name="Финансовый 2 8 2 2 2" xfId="2300" xr:uid="{00000000-0005-0000-0000-000031700000}"/>
    <cellStyle name="Финансовый 2 8 2 2 2 2" xfId="3945" xr:uid="{00000000-0005-0000-0000-000032700000}"/>
    <cellStyle name="Финансовый 2 8 2 2 2 2 2" xfId="11685" xr:uid="{00000000-0005-0000-0000-000033700000}"/>
    <cellStyle name="Финансовый 2 8 2 2 2 2 2 2" xfId="23663" xr:uid="{00000000-0005-0000-0000-000034700000}"/>
    <cellStyle name="Финансовый 2 8 2 2 2 2 2 2 2" xfId="47618" xr:uid="{00000000-0005-0000-0000-000035700000}"/>
    <cellStyle name="Финансовый 2 8 2 2 2 2 2 3" xfId="35640" xr:uid="{00000000-0005-0000-0000-000036700000}"/>
    <cellStyle name="Финансовый 2 8 2 2 2 2 3" xfId="15924" xr:uid="{00000000-0005-0000-0000-000037700000}"/>
    <cellStyle name="Финансовый 2 8 2 2 2 2 3 2" xfId="39879" xr:uid="{00000000-0005-0000-0000-000038700000}"/>
    <cellStyle name="Финансовый 2 8 2 2 2 2 4" xfId="27902" xr:uid="{00000000-0005-0000-0000-000039700000}"/>
    <cellStyle name="Финансовый 2 8 2 2 2 2 5" xfId="51171" xr:uid="{00000000-0005-0000-0000-00003A700000}"/>
    <cellStyle name="Финансовый 2 8 2 2 2 3" xfId="5728" xr:uid="{00000000-0005-0000-0000-00003B700000}"/>
    <cellStyle name="Финансовый 2 8 2 2 2 3 2" xfId="17706" xr:uid="{00000000-0005-0000-0000-00003C700000}"/>
    <cellStyle name="Финансовый 2 8 2 2 2 3 2 2" xfId="41661" xr:uid="{00000000-0005-0000-0000-00003D700000}"/>
    <cellStyle name="Финансовый 2 8 2 2 2 3 3" xfId="29683" xr:uid="{00000000-0005-0000-0000-00003E700000}"/>
    <cellStyle name="Финансовый 2 8 2 2 2 4" xfId="8338" xr:uid="{00000000-0005-0000-0000-00003F700000}"/>
    <cellStyle name="Финансовый 2 8 2 2 2 4 2" xfId="20316" xr:uid="{00000000-0005-0000-0000-000040700000}"/>
    <cellStyle name="Финансовый 2 8 2 2 2 4 2 2" xfId="44271" xr:uid="{00000000-0005-0000-0000-000041700000}"/>
    <cellStyle name="Финансовый 2 8 2 2 2 4 3" xfId="32293" xr:uid="{00000000-0005-0000-0000-000042700000}"/>
    <cellStyle name="Финансовый 2 8 2 2 2 5" xfId="10121" xr:uid="{00000000-0005-0000-0000-000043700000}"/>
    <cellStyle name="Финансовый 2 8 2 2 2 5 2" xfId="22099" xr:uid="{00000000-0005-0000-0000-000044700000}"/>
    <cellStyle name="Финансовый 2 8 2 2 2 5 2 2" xfId="46054" xr:uid="{00000000-0005-0000-0000-000045700000}"/>
    <cellStyle name="Финансовый 2 8 2 2 2 5 3" xfId="34076" xr:uid="{00000000-0005-0000-0000-000046700000}"/>
    <cellStyle name="Финансовый 2 8 2 2 2 6" xfId="14279" xr:uid="{00000000-0005-0000-0000-000047700000}"/>
    <cellStyle name="Финансовый 2 8 2 2 2 6 2" xfId="38234" xr:uid="{00000000-0005-0000-0000-000048700000}"/>
    <cellStyle name="Финансовый 2 8 2 2 2 7" xfId="26257" xr:uid="{00000000-0005-0000-0000-000049700000}"/>
    <cellStyle name="Финансовый 2 8 2 2 2 8" xfId="49390" xr:uid="{00000000-0005-0000-0000-00004A700000}"/>
    <cellStyle name="Финансовый 2 8 2 2 3" xfId="3126" xr:uid="{00000000-0005-0000-0000-00004B700000}"/>
    <cellStyle name="Финансовый 2 8 2 2 3 2" xfId="10913" xr:uid="{00000000-0005-0000-0000-00004C700000}"/>
    <cellStyle name="Финансовый 2 8 2 2 3 2 2" xfId="22891" xr:uid="{00000000-0005-0000-0000-00004D700000}"/>
    <cellStyle name="Финансовый 2 8 2 2 3 2 2 2" xfId="46846" xr:uid="{00000000-0005-0000-0000-00004E700000}"/>
    <cellStyle name="Финансовый 2 8 2 2 3 2 3" xfId="34868" xr:uid="{00000000-0005-0000-0000-00004F700000}"/>
    <cellStyle name="Финансовый 2 8 2 2 3 3" xfId="15105" xr:uid="{00000000-0005-0000-0000-000050700000}"/>
    <cellStyle name="Финансовый 2 8 2 2 3 3 2" xfId="39060" xr:uid="{00000000-0005-0000-0000-000051700000}"/>
    <cellStyle name="Финансовый 2 8 2 2 3 4" xfId="27083" xr:uid="{00000000-0005-0000-0000-000052700000}"/>
    <cellStyle name="Финансовый 2 8 2 2 3 5" xfId="50214" xr:uid="{00000000-0005-0000-0000-000053700000}"/>
    <cellStyle name="Финансовый 2 8 2 2 4" xfId="4770" xr:uid="{00000000-0005-0000-0000-000054700000}"/>
    <cellStyle name="Финансовый 2 8 2 2 4 2" xfId="16749" xr:uid="{00000000-0005-0000-0000-000055700000}"/>
    <cellStyle name="Финансовый 2 8 2 2 4 2 2" xfId="40704" xr:uid="{00000000-0005-0000-0000-000056700000}"/>
    <cellStyle name="Финансовый 2 8 2 2 4 3" xfId="28727" xr:uid="{00000000-0005-0000-0000-000057700000}"/>
    <cellStyle name="Финансовый 2 8 2 2 5" xfId="7382" xr:uid="{00000000-0005-0000-0000-000058700000}"/>
    <cellStyle name="Финансовый 2 8 2 2 5 2" xfId="19360" xr:uid="{00000000-0005-0000-0000-000059700000}"/>
    <cellStyle name="Финансовый 2 8 2 2 5 2 2" xfId="43315" xr:uid="{00000000-0005-0000-0000-00005A700000}"/>
    <cellStyle name="Финансовый 2 8 2 2 5 3" xfId="31337" xr:uid="{00000000-0005-0000-0000-00005B700000}"/>
    <cellStyle name="Финансовый 2 8 2 2 6" xfId="9164" xr:uid="{00000000-0005-0000-0000-00005C700000}"/>
    <cellStyle name="Финансовый 2 8 2 2 6 2" xfId="21142" xr:uid="{00000000-0005-0000-0000-00005D700000}"/>
    <cellStyle name="Финансовый 2 8 2 2 6 2 2" xfId="45097" xr:uid="{00000000-0005-0000-0000-00005E700000}"/>
    <cellStyle name="Финансовый 2 8 2 2 6 3" xfId="33119" xr:uid="{00000000-0005-0000-0000-00005F700000}"/>
    <cellStyle name="Финансовый 2 8 2 2 7" xfId="13323" xr:uid="{00000000-0005-0000-0000-000060700000}"/>
    <cellStyle name="Финансовый 2 8 2 2 7 2" xfId="37278" xr:uid="{00000000-0005-0000-0000-000061700000}"/>
    <cellStyle name="Финансовый 2 8 2 2 8" xfId="25301" xr:uid="{00000000-0005-0000-0000-000062700000}"/>
    <cellStyle name="Финансовый 2 8 2 2 9" xfId="48434" xr:uid="{00000000-0005-0000-0000-000063700000}"/>
    <cellStyle name="Финансовый 2 8 2 3" xfId="2044" xr:uid="{00000000-0005-0000-0000-000064700000}"/>
    <cellStyle name="Финансовый 2 8 2 3 2" xfId="3689" xr:uid="{00000000-0005-0000-0000-000065700000}"/>
    <cellStyle name="Финансовый 2 8 2 3 2 2" xfId="11429" xr:uid="{00000000-0005-0000-0000-000066700000}"/>
    <cellStyle name="Финансовый 2 8 2 3 2 2 2" xfId="23407" xr:uid="{00000000-0005-0000-0000-000067700000}"/>
    <cellStyle name="Финансовый 2 8 2 3 2 2 2 2" xfId="47362" xr:uid="{00000000-0005-0000-0000-000068700000}"/>
    <cellStyle name="Финансовый 2 8 2 3 2 2 3" xfId="35384" xr:uid="{00000000-0005-0000-0000-000069700000}"/>
    <cellStyle name="Финансовый 2 8 2 3 2 3" xfId="15668" xr:uid="{00000000-0005-0000-0000-00006A700000}"/>
    <cellStyle name="Финансовый 2 8 2 3 2 3 2" xfId="39623" xr:uid="{00000000-0005-0000-0000-00006B700000}"/>
    <cellStyle name="Финансовый 2 8 2 3 2 4" xfId="27646" xr:uid="{00000000-0005-0000-0000-00006C700000}"/>
    <cellStyle name="Финансовый 2 8 2 3 2 5" xfId="50915" xr:uid="{00000000-0005-0000-0000-00006D700000}"/>
    <cellStyle name="Финансовый 2 8 2 3 3" xfId="5472" xr:uid="{00000000-0005-0000-0000-00006E700000}"/>
    <cellStyle name="Финансовый 2 8 2 3 3 2" xfId="17450" xr:uid="{00000000-0005-0000-0000-00006F700000}"/>
    <cellStyle name="Финансовый 2 8 2 3 3 2 2" xfId="41405" xr:uid="{00000000-0005-0000-0000-000070700000}"/>
    <cellStyle name="Финансовый 2 8 2 3 3 3" xfId="29427" xr:uid="{00000000-0005-0000-0000-000071700000}"/>
    <cellStyle name="Финансовый 2 8 2 3 4" xfId="8082" xr:uid="{00000000-0005-0000-0000-000072700000}"/>
    <cellStyle name="Финансовый 2 8 2 3 4 2" xfId="20060" xr:uid="{00000000-0005-0000-0000-000073700000}"/>
    <cellStyle name="Финансовый 2 8 2 3 4 2 2" xfId="44015" xr:uid="{00000000-0005-0000-0000-000074700000}"/>
    <cellStyle name="Финансовый 2 8 2 3 4 3" xfId="32037" xr:uid="{00000000-0005-0000-0000-000075700000}"/>
    <cellStyle name="Финансовый 2 8 2 3 5" xfId="9865" xr:uid="{00000000-0005-0000-0000-000076700000}"/>
    <cellStyle name="Финансовый 2 8 2 3 5 2" xfId="21843" xr:uid="{00000000-0005-0000-0000-000077700000}"/>
    <cellStyle name="Финансовый 2 8 2 3 5 2 2" xfId="45798" xr:uid="{00000000-0005-0000-0000-000078700000}"/>
    <cellStyle name="Финансовый 2 8 2 3 5 3" xfId="33820" xr:uid="{00000000-0005-0000-0000-000079700000}"/>
    <cellStyle name="Финансовый 2 8 2 3 6" xfId="14023" xr:uid="{00000000-0005-0000-0000-00007A700000}"/>
    <cellStyle name="Финансовый 2 8 2 3 6 2" xfId="37978" xr:uid="{00000000-0005-0000-0000-00007B700000}"/>
    <cellStyle name="Финансовый 2 8 2 3 7" xfId="26001" xr:uid="{00000000-0005-0000-0000-00007C700000}"/>
    <cellStyle name="Финансовый 2 8 2 3 8" xfId="49134" xr:uid="{00000000-0005-0000-0000-00007D700000}"/>
    <cellStyle name="Финансовый 2 8 2 4" xfId="2573" xr:uid="{00000000-0005-0000-0000-00007E700000}"/>
    <cellStyle name="Финансовый 2 8 2 4 2" xfId="4218" xr:uid="{00000000-0005-0000-0000-00007F700000}"/>
    <cellStyle name="Финансовый 2 8 2 4 2 2" xfId="11942" xr:uid="{00000000-0005-0000-0000-000080700000}"/>
    <cellStyle name="Финансовый 2 8 2 4 2 2 2" xfId="23920" xr:uid="{00000000-0005-0000-0000-000081700000}"/>
    <cellStyle name="Финансовый 2 8 2 4 2 2 2 2" xfId="47875" xr:uid="{00000000-0005-0000-0000-000082700000}"/>
    <cellStyle name="Финансовый 2 8 2 4 2 2 3" xfId="35897" xr:uid="{00000000-0005-0000-0000-000083700000}"/>
    <cellStyle name="Финансовый 2 8 2 4 2 3" xfId="16197" xr:uid="{00000000-0005-0000-0000-000084700000}"/>
    <cellStyle name="Финансовый 2 8 2 4 2 3 2" xfId="40152" xr:uid="{00000000-0005-0000-0000-000085700000}"/>
    <cellStyle name="Финансовый 2 8 2 4 2 4" xfId="28175" xr:uid="{00000000-0005-0000-0000-000086700000}"/>
    <cellStyle name="Финансовый 2 8 2 4 2 5" xfId="51444" xr:uid="{00000000-0005-0000-0000-000087700000}"/>
    <cellStyle name="Финансовый 2 8 2 4 3" xfId="6001" xr:uid="{00000000-0005-0000-0000-000088700000}"/>
    <cellStyle name="Финансовый 2 8 2 4 3 2" xfId="17979" xr:uid="{00000000-0005-0000-0000-000089700000}"/>
    <cellStyle name="Финансовый 2 8 2 4 3 2 2" xfId="41934" xr:uid="{00000000-0005-0000-0000-00008A700000}"/>
    <cellStyle name="Финансовый 2 8 2 4 3 3" xfId="29956" xr:uid="{00000000-0005-0000-0000-00008B700000}"/>
    <cellStyle name="Финансовый 2 8 2 4 4" xfId="8611" xr:uid="{00000000-0005-0000-0000-00008C700000}"/>
    <cellStyle name="Финансовый 2 8 2 4 4 2" xfId="20589" xr:uid="{00000000-0005-0000-0000-00008D700000}"/>
    <cellStyle name="Финансовый 2 8 2 4 4 2 2" xfId="44544" xr:uid="{00000000-0005-0000-0000-00008E700000}"/>
    <cellStyle name="Финансовый 2 8 2 4 4 3" xfId="32566" xr:uid="{00000000-0005-0000-0000-00008F700000}"/>
    <cellStyle name="Финансовый 2 8 2 4 5" xfId="10394" xr:uid="{00000000-0005-0000-0000-000090700000}"/>
    <cellStyle name="Финансовый 2 8 2 4 5 2" xfId="22372" xr:uid="{00000000-0005-0000-0000-000091700000}"/>
    <cellStyle name="Финансовый 2 8 2 4 5 2 2" xfId="46327" xr:uid="{00000000-0005-0000-0000-000092700000}"/>
    <cellStyle name="Финансовый 2 8 2 4 5 3" xfId="34349" xr:uid="{00000000-0005-0000-0000-000093700000}"/>
    <cellStyle name="Финансовый 2 8 2 4 6" xfId="14552" xr:uid="{00000000-0005-0000-0000-000094700000}"/>
    <cellStyle name="Финансовый 2 8 2 4 6 2" xfId="38507" xr:uid="{00000000-0005-0000-0000-000095700000}"/>
    <cellStyle name="Финансовый 2 8 2 4 7" xfId="26530" xr:uid="{00000000-0005-0000-0000-000096700000}"/>
    <cellStyle name="Финансовый 2 8 2 4 8" xfId="49663" xr:uid="{00000000-0005-0000-0000-000097700000}"/>
    <cellStyle name="Финансовый 2 8 2 5" xfId="1077" xr:uid="{00000000-0005-0000-0000-000098700000}"/>
    <cellStyle name="Финансовый 2 8 2 5 2" xfId="7117" xr:uid="{00000000-0005-0000-0000-000099700000}"/>
    <cellStyle name="Финансовый 2 8 2 5 2 2" xfId="19095" xr:uid="{00000000-0005-0000-0000-00009A700000}"/>
    <cellStyle name="Финансовый 2 8 2 5 2 2 2" xfId="43050" xr:uid="{00000000-0005-0000-0000-00009B700000}"/>
    <cellStyle name="Финансовый 2 8 2 5 2 3" xfId="31072" xr:uid="{00000000-0005-0000-0000-00009C700000}"/>
    <cellStyle name="Финансовый 2 8 2 5 3" xfId="10657" xr:uid="{00000000-0005-0000-0000-00009D700000}"/>
    <cellStyle name="Финансовый 2 8 2 5 3 2" xfId="22635" xr:uid="{00000000-0005-0000-0000-00009E700000}"/>
    <cellStyle name="Финансовый 2 8 2 5 3 2 2" xfId="46590" xr:uid="{00000000-0005-0000-0000-00009F700000}"/>
    <cellStyle name="Финансовый 2 8 2 5 3 3" xfId="34612" xr:uid="{00000000-0005-0000-0000-0000A0700000}"/>
    <cellStyle name="Финансовый 2 8 2 5 4" xfId="13058" xr:uid="{00000000-0005-0000-0000-0000A1700000}"/>
    <cellStyle name="Финансовый 2 8 2 5 4 2" xfId="37013" xr:uid="{00000000-0005-0000-0000-0000A2700000}"/>
    <cellStyle name="Финансовый 2 8 2 5 5" xfId="25036" xr:uid="{00000000-0005-0000-0000-0000A3700000}"/>
    <cellStyle name="Финансовый 2 8 2 5 6" xfId="49942" xr:uid="{00000000-0005-0000-0000-0000A4700000}"/>
    <cellStyle name="Финансовый 2 8 2 6" xfId="665" xr:uid="{00000000-0005-0000-0000-0000A5700000}"/>
    <cellStyle name="Финансовый 2 8 2 6 2" xfId="6705" xr:uid="{00000000-0005-0000-0000-0000A6700000}"/>
    <cellStyle name="Финансовый 2 8 2 6 2 2" xfId="18683" xr:uid="{00000000-0005-0000-0000-0000A7700000}"/>
    <cellStyle name="Финансовый 2 8 2 6 2 2 2" xfId="42638" xr:uid="{00000000-0005-0000-0000-0000A8700000}"/>
    <cellStyle name="Финансовый 2 8 2 6 2 3" xfId="30660" xr:uid="{00000000-0005-0000-0000-0000A9700000}"/>
    <cellStyle name="Финансовый 2 8 2 6 3" xfId="12646" xr:uid="{00000000-0005-0000-0000-0000AA700000}"/>
    <cellStyle name="Финансовый 2 8 2 6 3 2" xfId="36601" xr:uid="{00000000-0005-0000-0000-0000AB700000}"/>
    <cellStyle name="Финансовый 2 8 2 6 4" xfId="24624" xr:uid="{00000000-0005-0000-0000-0000AC700000}"/>
    <cellStyle name="Финансовый 2 8 2 7" xfId="2854" xr:uid="{00000000-0005-0000-0000-0000AD700000}"/>
    <cellStyle name="Финансовый 2 8 2 7 2" xfId="14833" xr:uid="{00000000-0005-0000-0000-0000AE700000}"/>
    <cellStyle name="Финансовый 2 8 2 7 2 2" xfId="38788" xr:uid="{00000000-0005-0000-0000-0000AF700000}"/>
    <cellStyle name="Финансовый 2 8 2 7 3" xfId="26811" xr:uid="{00000000-0005-0000-0000-0000B0700000}"/>
    <cellStyle name="Финансовый 2 8 2 8" xfId="4498" xr:uid="{00000000-0005-0000-0000-0000B1700000}"/>
    <cellStyle name="Финансовый 2 8 2 8 2" xfId="16477" xr:uid="{00000000-0005-0000-0000-0000B2700000}"/>
    <cellStyle name="Финансовый 2 8 2 8 2 2" xfId="40432" xr:uid="{00000000-0005-0000-0000-0000B3700000}"/>
    <cellStyle name="Финансовый 2 8 2 8 3" xfId="28455" xr:uid="{00000000-0005-0000-0000-0000B4700000}"/>
    <cellStyle name="Финансовый 2 8 2 9" xfId="6285" xr:uid="{00000000-0005-0000-0000-0000B5700000}"/>
    <cellStyle name="Финансовый 2 8 2 9 2" xfId="18263" xr:uid="{00000000-0005-0000-0000-0000B6700000}"/>
    <cellStyle name="Финансовый 2 8 2 9 2 2" xfId="42218" xr:uid="{00000000-0005-0000-0000-0000B7700000}"/>
    <cellStyle name="Финансовый 2 8 2 9 3" xfId="30240" xr:uid="{00000000-0005-0000-0000-0000B8700000}"/>
    <cellStyle name="Финансовый 2 8 3" xfId="393" xr:uid="{00000000-0005-0000-0000-0000B9700000}"/>
    <cellStyle name="Финансовый 2 8 3 10" xfId="24352" xr:uid="{00000000-0005-0000-0000-0000BA700000}"/>
    <cellStyle name="Финансовый 2 8 3 11" xfId="48298" xr:uid="{00000000-0005-0000-0000-0000BB700000}"/>
    <cellStyle name="Финансовый 2 8 3 2" xfId="2172" xr:uid="{00000000-0005-0000-0000-0000BC700000}"/>
    <cellStyle name="Финансовый 2 8 3 2 2" xfId="3817" xr:uid="{00000000-0005-0000-0000-0000BD700000}"/>
    <cellStyle name="Финансовый 2 8 3 2 2 2" xfId="11557" xr:uid="{00000000-0005-0000-0000-0000BE700000}"/>
    <cellStyle name="Финансовый 2 8 3 2 2 2 2" xfId="23535" xr:uid="{00000000-0005-0000-0000-0000BF700000}"/>
    <cellStyle name="Финансовый 2 8 3 2 2 2 2 2" xfId="47490" xr:uid="{00000000-0005-0000-0000-0000C0700000}"/>
    <cellStyle name="Финансовый 2 8 3 2 2 2 3" xfId="35512" xr:uid="{00000000-0005-0000-0000-0000C1700000}"/>
    <cellStyle name="Финансовый 2 8 3 2 2 3" xfId="15796" xr:uid="{00000000-0005-0000-0000-0000C2700000}"/>
    <cellStyle name="Финансовый 2 8 3 2 2 3 2" xfId="39751" xr:uid="{00000000-0005-0000-0000-0000C3700000}"/>
    <cellStyle name="Финансовый 2 8 3 2 2 4" xfId="27774" xr:uid="{00000000-0005-0000-0000-0000C4700000}"/>
    <cellStyle name="Финансовый 2 8 3 2 2 5" xfId="51043" xr:uid="{00000000-0005-0000-0000-0000C5700000}"/>
    <cellStyle name="Финансовый 2 8 3 2 3" xfId="5600" xr:uid="{00000000-0005-0000-0000-0000C6700000}"/>
    <cellStyle name="Финансовый 2 8 3 2 3 2" xfId="17578" xr:uid="{00000000-0005-0000-0000-0000C7700000}"/>
    <cellStyle name="Финансовый 2 8 3 2 3 2 2" xfId="41533" xr:uid="{00000000-0005-0000-0000-0000C8700000}"/>
    <cellStyle name="Финансовый 2 8 3 2 3 3" xfId="29555" xr:uid="{00000000-0005-0000-0000-0000C9700000}"/>
    <cellStyle name="Финансовый 2 8 3 2 4" xfId="8210" xr:uid="{00000000-0005-0000-0000-0000CA700000}"/>
    <cellStyle name="Финансовый 2 8 3 2 4 2" xfId="20188" xr:uid="{00000000-0005-0000-0000-0000CB700000}"/>
    <cellStyle name="Финансовый 2 8 3 2 4 2 2" xfId="44143" xr:uid="{00000000-0005-0000-0000-0000CC700000}"/>
    <cellStyle name="Финансовый 2 8 3 2 4 3" xfId="32165" xr:uid="{00000000-0005-0000-0000-0000CD700000}"/>
    <cellStyle name="Финансовый 2 8 3 2 5" xfId="9993" xr:uid="{00000000-0005-0000-0000-0000CE700000}"/>
    <cellStyle name="Финансовый 2 8 3 2 5 2" xfId="21971" xr:uid="{00000000-0005-0000-0000-0000CF700000}"/>
    <cellStyle name="Финансовый 2 8 3 2 5 2 2" xfId="45926" xr:uid="{00000000-0005-0000-0000-0000D0700000}"/>
    <cellStyle name="Финансовый 2 8 3 2 5 3" xfId="33948" xr:uid="{00000000-0005-0000-0000-0000D1700000}"/>
    <cellStyle name="Финансовый 2 8 3 2 6" xfId="14151" xr:uid="{00000000-0005-0000-0000-0000D2700000}"/>
    <cellStyle name="Финансовый 2 8 3 2 6 2" xfId="38106" xr:uid="{00000000-0005-0000-0000-0000D3700000}"/>
    <cellStyle name="Финансовый 2 8 3 2 7" xfId="26129" xr:uid="{00000000-0005-0000-0000-0000D4700000}"/>
    <cellStyle name="Финансовый 2 8 3 2 8" xfId="49262" xr:uid="{00000000-0005-0000-0000-0000D5700000}"/>
    <cellStyle name="Финансовый 2 8 3 3" xfId="1206" xr:uid="{00000000-0005-0000-0000-0000D6700000}"/>
    <cellStyle name="Финансовый 2 8 3 3 2" xfId="7246" xr:uid="{00000000-0005-0000-0000-0000D7700000}"/>
    <cellStyle name="Финансовый 2 8 3 3 2 2" xfId="19224" xr:uid="{00000000-0005-0000-0000-0000D8700000}"/>
    <cellStyle name="Финансовый 2 8 3 3 2 2 2" xfId="43179" xr:uid="{00000000-0005-0000-0000-0000D9700000}"/>
    <cellStyle name="Финансовый 2 8 3 3 2 3" xfId="31201" xr:uid="{00000000-0005-0000-0000-0000DA700000}"/>
    <cellStyle name="Финансовый 2 8 3 3 3" xfId="10785" xr:uid="{00000000-0005-0000-0000-0000DB700000}"/>
    <cellStyle name="Финансовый 2 8 3 3 3 2" xfId="22763" xr:uid="{00000000-0005-0000-0000-0000DC700000}"/>
    <cellStyle name="Финансовый 2 8 3 3 3 2 2" xfId="46718" xr:uid="{00000000-0005-0000-0000-0000DD700000}"/>
    <cellStyle name="Финансовый 2 8 3 3 3 3" xfId="34740" xr:uid="{00000000-0005-0000-0000-0000DE700000}"/>
    <cellStyle name="Финансовый 2 8 3 3 4" xfId="13187" xr:uid="{00000000-0005-0000-0000-0000DF700000}"/>
    <cellStyle name="Финансовый 2 8 3 3 4 2" xfId="37142" xr:uid="{00000000-0005-0000-0000-0000E0700000}"/>
    <cellStyle name="Финансовый 2 8 3 3 5" xfId="25165" xr:uid="{00000000-0005-0000-0000-0000E1700000}"/>
    <cellStyle name="Финансовый 2 8 3 3 6" xfId="50078" xr:uid="{00000000-0005-0000-0000-0000E2700000}"/>
    <cellStyle name="Финансовый 2 8 3 4" xfId="813" xr:uid="{00000000-0005-0000-0000-0000E3700000}"/>
    <cellStyle name="Финансовый 2 8 3 4 2" xfId="6853" xr:uid="{00000000-0005-0000-0000-0000E4700000}"/>
    <cellStyle name="Финансовый 2 8 3 4 2 2" xfId="18831" xr:uid="{00000000-0005-0000-0000-0000E5700000}"/>
    <cellStyle name="Финансовый 2 8 3 4 2 2 2" xfId="42786" xr:uid="{00000000-0005-0000-0000-0000E6700000}"/>
    <cellStyle name="Финансовый 2 8 3 4 2 3" xfId="30808" xr:uid="{00000000-0005-0000-0000-0000E7700000}"/>
    <cellStyle name="Финансовый 2 8 3 4 3" xfId="12794" xr:uid="{00000000-0005-0000-0000-0000E8700000}"/>
    <cellStyle name="Финансовый 2 8 3 4 3 2" xfId="36749" xr:uid="{00000000-0005-0000-0000-0000E9700000}"/>
    <cellStyle name="Финансовый 2 8 3 4 4" xfId="24772" xr:uid="{00000000-0005-0000-0000-0000EA700000}"/>
    <cellStyle name="Финансовый 2 8 3 5" xfId="2990" xr:uid="{00000000-0005-0000-0000-0000EB700000}"/>
    <cellStyle name="Финансовый 2 8 3 5 2" xfId="14969" xr:uid="{00000000-0005-0000-0000-0000EC700000}"/>
    <cellStyle name="Финансовый 2 8 3 5 2 2" xfId="38924" xr:uid="{00000000-0005-0000-0000-0000ED700000}"/>
    <cellStyle name="Финансовый 2 8 3 5 3" xfId="26947" xr:uid="{00000000-0005-0000-0000-0000EE700000}"/>
    <cellStyle name="Финансовый 2 8 3 6" xfId="4634" xr:uid="{00000000-0005-0000-0000-0000EF700000}"/>
    <cellStyle name="Финансовый 2 8 3 6 2" xfId="16613" xr:uid="{00000000-0005-0000-0000-0000F0700000}"/>
    <cellStyle name="Финансовый 2 8 3 6 2 2" xfId="40568" xr:uid="{00000000-0005-0000-0000-0000F1700000}"/>
    <cellStyle name="Финансовый 2 8 3 6 3" xfId="28591" xr:uid="{00000000-0005-0000-0000-0000F2700000}"/>
    <cellStyle name="Финансовый 2 8 3 7" xfId="6433" xr:uid="{00000000-0005-0000-0000-0000F3700000}"/>
    <cellStyle name="Финансовый 2 8 3 7 2" xfId="18411" xr:uid="{00000000-0005-0000-0000-0000F4700000}"/>
    <cellStyle name="Финансовый 2 8 3 7 2 2" xfId="42366" xr:uid="{00000000-0005-0000-0000-0000F5700000}"/>
    <cellStyle name="Финансовый 2 8 3 7 3" xfId="30388" xr:uid="{00000000-0005-0000-0000-0000F6700000}"/>
    <cellStyle name="Финансовый 2 8 3 8" xfId="9028" xr:uid="{00000000-0005-0000-0000-0000F7700000}"/>
    <cellStyle name="Финансовый 2 8 3 8 2" xfId="21006" xr:uid="{00000000-0005-0000-0000-0000F8700000}"/>
    <cellStyle name="Финансовый 2 8 3 8 2 2" xfId="44961" xr:uid="{00000000-0005-0000-0000-0000F9700000}"/>
    <cellStyle name="Финансовый 2 8 3 8 3" xfId="32983" xr:uid="{00000000-0005-0000-0000-0000FA700000}"/>
    <cellStyle name="Финансовый 2 8 3 9" xfId="12374" xr:uid="{00000000-0005-0000-0000-0000FB700000}"/>
    <cellStyle name="Финансовый 2 8 3 9 2" xfId="36329" xr:uid="{00000000-0005-0000-0000-0000FC700000}"/>
    <cellStyle name="Финансовый 2 8 4" xfId="1510" xr:uid="{00000000-0005-0000-0000-0000FD700000}"/>
    <cellStyle name="Финансовый 2 8 4 2" xfId="1916" xr:uid="{00000000-0005-0000-0000-0000FE700000}"/>
    <cellStyle name="Финансовый 2 8 4 2 2" xfId="3561" xr:uid="{00000000-0005-0000-0000-0000FF700000}"/>
    <cellStyle name="Финансовый 2 8 4 2 2 2" xfId="11301" xr:uid="{00000000-0005-0000-0000-000000710000}"/>
    <cellStyle name="Финансовый 2 8 4 2 2 2 2" xfId="23279" xr:uid="{00000000-0005-0000-0000-000001710000}"/>
    <cellStyle name="Финансовый 2 8 4 2 2 2 2 2" xfId="47234" xr:uid="{00000000-0005-0000-0000-000002710000}"/>
    <cellStyle name="Финансовый 2 8 4 2 2 2 3" xfId="35256" xr:uid="{00000000-0005-0000-0000-000003710000}"/>
    <cellStyle name="Финансовый 2 8 4 2 2 3" xfId="15540" xr:uid="{00000000-0005-0000-0000-000004710000}"/>
    <cellStyle name="Финансовый 2 8 4 2 2 3 2" xfId="39495" xr:uid="{00000000-0005-0000-0000-000005710000}"/>
    <cellStyle name="Финансовый 2 8 4 2 2 4" xfId="27518" xr:uid="{00000000-0005-0000-0000-000006710000}"/>
    <cellStyle name="Финансовый 2 8 4 2 2 5" xfId="50787" xr:uid="{00000000-0005-0000-0000-000007710000}"/>
    <cellStyle name="Финансовый 2 8 4 2 3" xfId="5344" xr:uid="{00000000-0005-0000-0000-000008710000}"/>
    <cellStyle name="Финансовый 2 8 4 2 3 2" xfId="17322" xr:uid="{00000000-0005-0000-0000-000009710000}"/>
    <cellStyle name="Финансовый 2 8 4 2 3 2 2" xfId="41277" xr:uid="{00000000-0005-0000-0000-00000A710000}"/>
    <cellStyle name="Финансовый 2 8 4 2 3 3" xfId="29299" xr:uid="{00000000-0005-0000-0000-00000B710000}"/>
    <cellStyle name="Финансовый 2 8 4 2 4" xfId="7954" xr:uid="{00000000-0005-0000-0000-00000C710000}"/>
    <cellStyle name="Финансовый 2 8 4 2 4 2" xfId="19932" xr:uid="{00000000-0005-0000-0000-00000D710000}"/>
    <cellStyle name="Финансовый 2 8 4 2 4 2 2" xfId="43887" xr:uid="{00000000-0005-0000-0000-00000E710000}"/>
    <cellStyle name="Финансовый 2 8 4 2 4 3" xfId="31909" xr:uid="{00000000-0005-0000-0000-00000F710000}"/>
    <cellStyle name="Финансовый 2 8 4 2 5" xfId="9737" xr:uid="{00000000-0005-0000-0000-000010710000}"/>
    <cellStyle name="Финансовый 2 8 4 2 5 2" xfId="21715" xr:uid="{00000000-0005-0000-0000-000011710000}"/>
    <cellStyle name="Финансовый 2 8 4 2 5 2 2" xfId="45670" xr:uid="{00000000-0005-0000-0000-000012710000}"/>
    <cellStyle name="Финансовый 2 8 4 2 5 3" xfId="33692" xr:uid="{00000000-0005-0000-0000-000013710000}"/>
    <cellStyle name="Финансовый 2 8 4 2 6" xfId="13895" xr:uid="{00000000-0005-0000-0000-000014710000}"/>
    <cellStyle name="Финансовый 2 8 4 2 6 2" xfId="37850" xr:uid="{00000000-0005-0000-0000-000015710000}"/>
    <cellStyle name="Финансовый 2 8 4 2 7" xfId="25873" xr:uid="{00000000-0005-0000-0000-000016710000}"/>
    <cellStyle name="Финансовый 2 8 4 2 8" xfId="49006" xr:uid="{00000000-0005-0000-0000-000017710000}"/>
    <cellStyle name="Финансовый 2 8 4 3" xfId="4938" xr:uid="{00000000-0005-0000-0000-000018710000}"/>
    <cellStyle name="Финансовый 2 8 4 3 2" xfId="16916" xr:uid="{00000000-0005-0000-0000-000019710000}"/>
    <cellStyle name="Финансовый 2 8 4 3 2 2" xfId="40871" xr:uid="{00000000-0005-0000-0000-00001A710000}"/>
    <cellStyle name="Финансовый 2 8 4 3 3" xfId="28893" xr:uid="{00000000-0005-0000-0000-00001B710000}"/>
    <cellStyle name="Финансовый 2 8 4 3 4" xfId="50381" xr:uid="{00000000-0005-0000-0000-00001C710000}"/>
    <cellStyle name="Финансовый 2 8 4 4" xfId="7548" xr:uid="{00000000-0005-0000-0000-00001D710000}"/>
    <cellStyle name="Финансовый 2 8 4 4 2" xfId="19526" xr:uid="{00000000-0005-0000-0000-00001E710000}"/>
    <cellStyle name="Финансовый 2 8 4 4 2 2" xfId="43481" xr:uid="{00000000-0005-0000-0000-00001F710000}"/>
    <cellStyle name="Финансовый 2 8 4 4 3" xfId="31503" xr:uid="{00000000-0005-0000-0000-000020710000}"/>
    <cellStyle name="Финансовый 2 8 4 5" xfId="9331" xr:uid="{00000000-0005-0000-0000-000021710000}"/>
    <cellStyle name="Финансовый 2 8 4 5 2" xfId="21309" xr:uid="{00000000-0005-0000-0000-000022710000}"/>
    <cellStyle name="Финансовый 2 8 4 5 2 2" xfId="45264" xr:uid="{00000000-0005-0000-0000-000023710000}"/>
    <cellStyle name="Финансовый 2 8 4 5 3" xfId="33286" xr:uid="{00000000-0005-0000-0000-000024710000}"/>
    <cellStyle name="Финансовый 2 8 4 6" xfId="13489" xr:uid="{00000000-0005-0000-0000-000025710000}"/>
    <cellStyle name="Финансовый 2 8 4 6 2" xfId="37444" xr:uid="{00000000-0005-0000-0000-000026710000}"/>
    <cellStyle name="Финансовый 2 8 4 7" xfId="25467" xr:uid="{00000000-0005-0000-0000-000027710000}"/>
    <cellStyle name="Финансовый 2 8 4 8" xfId="48600" xr:uid="{00000000-0005-0000-0000-000028710000}"/>
    <cellStyle name="Финансовый 2 8 5" xfId="1792" xr:uid="{00000000-0005-0000-0000-000029710000}"/>
    <cellStyle name="Финансовый 2 8 5 2" xfId="3437" xr:uid="{00000000-0005-0000-0000-00002A710000}"/>
    <cellStyle name="Финансовый 2 8 5 2 2" xfId="11185" xr:uid="{00000000-0005-0000-0000-00002B710000}"/>
    <cellStyle name="Финансовый 2 8 5 2 2 2" xfId="23163" xr:uid="{00000000-0005-0000-0000-00002C710000}"/>
    <cellStyle name="Финансовый 2 8 5 2 2 2 2" xfId="47118" xr:uid="{00000000-0005-0000-0000-00002D710000}"/>
    <cellStyle name="Финансовый 2 8 5 2 2 3" xfId="35140" xr:uid="{00000000-0005-0000-0000-00002E710000}"/>
    <cellStyle name="Финансовый 2 8 5 2 3" xfId="15416" xr:uid="{00000000-0005-0000-0000-00002F710000}"/>
    <cellStyle name="Финансовый 2 8 5 2 3 2" xfId="39371" xr:uid="{00000000-0005-0000-0000-000030710000}"/>
    <cellStyle name="Финансовый 2 8 5 2 4" xfId="27394" xr:uid="{00000000-0005-0000-0000-000031710000}"/>
    <cellStyle name="Финансовый 2 8 5 2 5" xfId="50663" xr:uid="{00000000-0005-0000-0000-000032710000}"/>
    <cellStyle name="Финансовый 2 8 5 3" xfId="5220" xr:uid="{00000000-0005-0000-0000-000033710000}"/>
    <cellStyle name="Финансовый 2 8 5 3 2" xfId="17198" xr:uid="{00000000-0005-0000-0000-000034710000}"/>
    <cellStyle name="Финансовый 2 8 5 3 2 2" xfId="41153" xr:uid="{00000000-0005-0000-0000-000035710000}"/>
    <cellStyle name="Финансовый 2 8 5 3 3" xfId="29175" xr:uid="{00000000-0005-0000-0000-000036710000}"/>
    <cellStyle name="Финансовый 2 8 5 4" xfId="7830" xr:uid="{00000000-0005-0000-0000-000037710000}"/>
    <cellStyle name="Финансовый 2 8 5 4 2" xfId="19808" xr:uid="{00000000-0005-0000-0000-000038710000}"/>
    <cellStyle name="Финансовый 2 8 5 4 2 2" xfId="43763" xr:uid="{00000000-0005-0000-0000-000039710000}"/>
    <cellStyle name="Финансовый 2 8 5 4 3" xfId="31785" xr:uid="{00000000-0005-0000-0000-00003A710000}"/>
    <cellStyle name="Финансовый 2 8 5 5" xfId="9613" xr:uid="{00000000-0005-0000-0000-00003B710000}"/>
    <cellStyle name="Финансовый 2 8 5 5 2" xfId="21591" xr:uid="{00000000-0005-0000-0000-00003C710000}"/>
    <cellStyle name="Финансовый 2 8 5 5 2 2" xfId="45546" xr:uid="{00000000-0005-0000-0000-00003D710000}"/>
    <cellStyle name="Финансовый 2 8 5 5 3" xfId="33568" xr:uid="{00000000-0005-0000-0000-00003E710000}"/>
    <cellStyle name="Финансовый 2 8 5 6" xfId="13771" xr:uid="{00000000-0005-0000-0000-00003F710000}"/>
    <cellStyle name="Финансовый 2 8 5 6 2" xfId="37726" xr:uid="{00000000-0005-0000-0000-000040710000}"/>
    <cellStyle name="Финансовый 2 8 5 7" xfId="25749" xr:uid="{00000000-0005-0000-0000-000041710000}"/>
    <cellStyle name="Финансовый 2 8 5 8" xfId="48882" xr:uid="{00000000-0005-0000-0000-000042710000}"/>
    <cellStyle name="Финансовый 2 8 6" xfId="2437" xr:uid="{00000000-0005-0000-0000-000043710000}"/>
    <cellStyle name="Финансовый 2 8 6 2" xfId="4082" xr:uid="{00000000-0005-0000-0000-000044710000}"/>
    <cellStyle name="Финансовый 2 8 6 2 2" xfId="11814" xr:uid="{00000000-0005-0000-0000-000045710000}"/>
    <cellStyle name="Финансовый 2 8 6 2 2 2" xfId="23792" xr:uid="{00000000-0005-0000-0000-000046710000}"/>
    <cellStyle name="Финансовый 2 8 6 2 2 2 2" xfId="47747" xr:uid="{00000000-0005-0000-0000-000047710000}"/>
    <cellStyle name="Финансовый 2 8 6 2 2 3" xfId="35769" xr:uid="{00000000-0005-0000-0000-000048710000}"/>
    <cellStyle name="Финансовый 2 8 6 2 3" xfId="16061" xr:uid="{00000000-0005-0000-0000-000049710000}"/>
    <cellStyle name="Финансовый 2 8 6 2 3 2" xfId="40016" xr:uid="{00000000-0005-0000-0000-00004A710000}"/>
    <cellStyle name="Финансовый 2 8 6 2 4" xfId="28039" xr:uid="{00000000-0005-0000-0000-00004B710000}"/>
    <cellStyle name="Финансовый 2 8 6 2 5" xfId="51308" xr:uid="{00000000-0005-0000-0000-00004C710000}"/>
    <cellStyle name="Финансовый 2 8 6 3" xfId="5865" xr:uid="{00000000-0005-0000-0000-00004D710000}"/>
    <cellStyle name="Финансовый 2 8 6 3 2" xfId="17843" xr:uid="{00000000-0005-0000-0000-00004E710000}"/>
    <cellStyle name="Финансовый 2 8 6 3 2 2" xfId="41798" xr:uid="{00000000-0005-0000-0000-00004F710000}"/>
    <cellStyle name="Финансовый 2 8 6 3 3" xfId="29820" xr:uid="{00000000-0005-0000-0000-000050710000}"/>
    <cellStyle name="Финансовый 2 8 6 4" xfId="8475" xr:uid="{00000000-0005-0000-0000-000051710000}"/>
    <cellStyle name="Финансовый 2 8 6 4 2" xfId="20453" xr:uid="{00000000-0005-0000-0000-000052710000}"/>
    <cellStyle name="Финансовый 2 8 6 4 2 2" xfId="44408" xr:uid="{00000000-0005-0000-0000-000053710000}"/>
    <cellStyle name="Финансовый 2 8 6 4 3" xfId="32430" xr:uid="{00000000-0005-0000-0000-000054710000}"/>
    <cellStyle name="Финансовый 2 8 6 5" xfId="10258" xr:uid="{00000000-0005-0000-0000-000055710000}"/>
    <cellStyle name="Финансовый 2 8 6 5 2" xfId="22236" xr:uid="{00000000-0005-0000-0000-000056710000}"/>
    <cellStyle name="Финансовый 2 8 6 5 2 2" xfId="46191" xr:uid="{00000000-0005-0000-0000-000057710000}"/>
    <cellStyle name="Финансовый 2 8 6 5 3" xfId="34213" xr:uid="{00000000-0005-0000-0000-000058710000}"/>
    <cellStyle name="Финансовый 2 8 6 6" xfId="14416" xr:uid="{00000000-0005-0000-0000-000059710000}"/>
    <cellStyle name="Финансовый 2 8 6 6 2" xfId="38371" xr:uid="{00000000-0005-0000-0000-00005A710000}"/>
    <cellStyle name="Финансовый 2 8 6 7" xfId="26394" xr:uid="{00000000-0005-0000-0000-00005B710000}"/>
    <cellStyle name="Финансовый 2 8 6 8" xfId="49527" xr:uid="{00000000-0005-0000-0000-00005C710000}"/>
    <cellStyle name="Финансовый 2 8 7" xfId="1664" xr:uid="{00000000-0005-0000-0000-00005D710000}"/>
    <cellStyle name="Финансовый 2 8 7 2" xfId="3309" xr:uid="{00000000-0005-0000-0000-00005E710000}"/>
    <cellStyle name="Финансовый 2 8 7 2 2" xfId="11057" xr:uid="{00000000-0005-0000-0000-00005F710000}"/>
    <cellStyle name="Финансовый 2 8 7 2 2 2" xfId="23035" xr:uid="{00000000-0005-0000-0000-000060710000}"/>
    <cellStyle name="Финансовый 2 8 7 2 2 2 2" xfId="46990" xr:uid="{00000000-0005-0000-0000-000061710000}"/>
    <cellStyle name="Финансовый 2 8 7 2 2 3" xfId="35012" xr:uid="{00000000-0005-0000-0000-000062710000}"/>
    <cellStyle name="Финансовый 2 8 7 2 3" xfId="15288" xr:uid="{00000000-0005-0000-0000-000063710000}"/>
    <cellStyle name="Финансовый 2 8 7 2 3 2" xfId="39243" xr:uid="{00000000-0005-0000-0000-000064710000}"/>
    <cellStyle name="Финансовый 2 8 7 2 4" xfId="27266" xr:uid="{00000000-0005-0000-0000-000065710000}"/>
    <cellStyle name="Финансовый 2 8 7 2 5" xfId="50535" xr:uid="{00000000-0005-0000-0000-000066710000}"/>
    <cellStyle name="Финансовый 2 8 7 3" xfId="5092" xr:uid="{00000000-0005-0000-0000-000067710000}"/>
    <cellStyle name="Финансовый 2 8 7 3 2" xfId="17070" xr:uid="{00000000-0005-0000-0000-000068710000}"/>
    <cellStyle name="Финансовый 2 8 7 3 2 2" xfId="41025" xr:uid="{00000000-0005-0000-0000-000069710000}"/>
    <cellStyle name="Финансовый 2 8 7 3 3" xfId="29047" xr:uid="{00000000-0005-0000-0000-00006A710000}"/>
    <cellStyle name="Финансовый 2 8 7 4" xfId="7702" xr:uid="{00000000-0005-0000-0000-00006B710000}"/>
    <cellStyle name="Финансовый 2 8 7 4 2" xfId="19680" xr:uid="{00000000-0005-0000-0000-00006C710000}"/>
    <cellStyle name="Финансовый 2 8 7 4 2 2" xfId="43635" xr:uid="{00000000-0005-0000-0000-00006D710000}"/>
    <cellStyle name="Финансовый 2 8 7 4 3" xfId="31657" xr:uid="{00000000-0005-0000-0000-00006E710000}"/>
    <cellStyle name="Финансовый 2 8 7 5" xfId="9485" xr:uid="{00000000-0005-0000-0000-00006F710000}"/>
    <cellStyle name="Финансовый 2 8 7 5 2" xfId="21463" xr:uid="{00000000-0005-0000-0000-000070710000}"/>
    <cellStyle name="Финансовый 2 8 7 5 2 2" xfId="45418" xr:uid="{00000000-0005-0000-0000-000071710000}"/>
    <cellStyle name="Финансовый 2 8 7 5 3" xfId="33440" xr:uid="{00000000-0005-0000-0000-000072710000}"/>
    <cellStyle name="Финансовый 2 8 7 6" xfId="13643" xr:uid="{00000000-0005-0000-0000-000073710000}"/>
    <cellStyle name="Финансовый 2 8 7 6 2" xfId="37598" xr:uid="{00000000-0005-0000-0000-000074710000}"/>
    <cellStyle name="Финансовый 2 8 7 7" xfId="25621" xr:uid="{00000000-0005-0000-0000-000075710000}"/>
    <cellStyle name="Финансовый 2 8 7 8" xfId="48754" xr:uid="{00000000-0005-0000-0000-000076710000}"/>
    <cellStyle name="Финансовый 2 8 8" xfId="941" xr:uid="{00000000-0005-0000-0000-000077710000}"/>
    <cellStyle name="Финансовый 2 8 8 2" xfId="6981" xr:uid="{00000000-0005-0000-0000-000078710000}"/>
    <cellStyle name="Финансовый 2 8 8 2 2" xfId="18959" xr:uid="{00000000-0005-0000-0000-000079710000}"/>
    <cellStyle name="Финансовый 2 8 8 2 2 2" xfId="42914" xr:uid="{00000000-0005-0000-0000-00007A710000}"/>
    <cellStyle name="Финансовый 2 8 8 2 3" xfId="30936" xr:uid="{00000000-0005-0000-0000-00007B710000}"/>
    <cellStyle name="Финансовый 2 8 8 3" xfId="10529" xr:uid="{00000000-0005-0000-0000-00007C710000}"/>
    <cellStyle name="Финансовый 2 8 8 3 2" xfId="22507" xr:uid="{00000000-0005-0000-0000-00007D710000}"/>
    <cellStyle name="Финансовый 2 8 8 3 2 2" xfId="46462" xr:uid="{00000000-0005-0000-0000-00007E710000}"/>
    <cellStyle name="Финансовый 2 8 8 3 3" xfId="34484" xr:uid="{00000000-0005-0000-0000-00007F710000}"/>
    <cellStyle name="Финансовый 2 8 8 4" xfId="12922" xr:uid="{00000000-0005-0000-0000-000080710000}"/>
    <cellStyle name="Финансовый 2 8 8 4 2" xfId="36877" xr:uid="{00000000-0005-0000-0000-000081710000}"/>
    <cellStyle name="Финансовый 2 8 8 5" xfId="24900" xr:uid="{00000000-0005-0000-0000-000082710000}"/>
    <cellStyle name="Финансовый 2 8 8 6" xfId="49806" xr:uid="{00000000-0005-0000-0000-000083710000}"/>
    <cellStyle name="Финансовый 2 8 9" xfId="529" xr:uid="{00000000-0005-0000-0000-000084710000}"/>
    <cellStyle name="Финансовый 2 8 9 2" xfId="6569" xr:uid="{00000000-0005-0000-0000-000085710000}"/>
    <cellStyle name="Финансовый 2 8 9 2 2" xfId="18547" xr:uid="{00000000-0005-0000-0000-000086710000}"/>
    <cellStyle name="Финансовый 2 8 9 2 2 2" xfId="42502" xr:uid="{00000000-0005-0000-0000-000087710000}"/>
    <cellStyle name="Финансовый 2 8 9 2 3" xfId="30524" xr:uid="{00000000-0005-0000-0000-000088710000}"/>
    <cellStyle name="Финансовый 2 8 9 3" xfId="12510" xr:uid="{00000000-0005-0000-0000-000089710000}"/>
    <cellStyle name="Финансовый 2 8 9 3 2" xfId="36465" xr:uid="{00000000-0005-0000-0000-00008A710000}"/>
    <cellStyle name="Финансовый 2 8 9 4" xfId="24488" xr:uid="{00000000-0005-0000-0000-00008B710000}"/>
    <cellStyle name="Финансовый 2 9" xfId="126" xr:uid="{00000000-0005-0000-0000-00008C710000}"/>
    <cellStyle name="Финансовый 2 9 10" xfId="2736" xr:uid="{00000000-0005-0000-0000-00008D710000}"/>
    <cellStyle name="Финансовый 2 9 10 2" xfId="14715" xr:uid="{00000000-0005-0000-0000-00008E710000}"/>
    <cellStyle name="Финансовый 2 9 10 2 2" xfId="38670" xr:uid="{00000000-0005-0000-0000-00008F710000}"/>
    <cellStyle name="Финансовый 2 9 10 3" xfId="26693" xr:uid="{00000000-0005-0000-0000-000090710000}"/>
    <cellStyle name="Финансовый 2 9 11" xfId="4380" xr:uid="{00000000-0005-0000-0000-000091710000}"/>
    <cellStyle name="Финансовый 2 9 11 2" xfId="16359" xr:uid="{00000000-0005-0000-0000-000092710000}"/>
    <cellStyle name="Финансовый 2 9 11 2 2" xfId="40314" xr:uid="{00000000-0005-0000-0000-000093710000}"/>
    <cellStyle name="Финансовый 2 9 11 3" xfId="28337" xr:uid="{00000000-0005-0000-0000-000094710000}"/>
    <cellStyle name="Финансовый 2 9 12" xfId="6167" xr:uid="{00000000-0005-0000-0000-000095710000}"/>
    <cellStyle name="Финансовый 2 9 12 2" xfId="18145" xr:uid="{00000000-0005-0000-0000-000096710000}"/>
    <cellStyle name="Финансовый 2 9 12 2 2" xfId="42100" xr:uid="{00000000-0005-0000-0000-000097710000}"/>
    <cellStyle name="Финансовый 2 9 12 3" xfId="30122" xr:uid="{00000000-0005-0000-0000-000098710000}"/>
    <cellStyle name="Финансовый 2 9 13" xfId="8774" xr:uid="{00000000-0005-0000-0000-000099710000}"/>
    <cellStyle name="Финансовый 2 9 13 2" xfId="20752" xr:uid="{00000000-0005-0000-0000-00009A710000}"/>
    <cellStyle name="Финансовый 2 9 13 2 2" xfId="44707" xr:uid="{00000000-0005-0000-0000-00009B710000}"/>
    <cellStyle name="Финансовый 2 9 13 3" xfId="32729" xr:uid="{00000000-0005-0000-0000-00009C710000}"/>
    <cellStyle name="Финансовый 2 9 14" xfId="12108" xr:uid="{00000000-0005-0000-0000-00009D710000}"/>
    <cellStyle name="Финансовый 2 9 14 2" xfId="36063" xr:uid="{00000000-0005-0000-0000-00009E710000}"/>
    <cellStyle name="Финансовый 2 9 15" xfId="24086" xr:uid="{00000000-0005-0000-0000-00009F710000}"/>
    <cellStyle name="Финансовый 2 9 16" xfId="48044" xr:uid="{00000000-0005-0000-0000-0000A0710000}"/>
    <cellStyle name="Финансовый 2 9 2" xfId="262" xr:uid="{00000000-0005-0000-0000-0000A1710000}"/>
    <cellStyle name="Финансовый 2 9 2 10" xfId="8910" xr:uid="{00000000-0005-0000-0000-0000A2710000}"/>
    <cellStyle name="Финансовый 2 9 2 10 2" xfId="20888" xr:uid="{00000000-0005-0000-0000-0000A3710000}"/>
    <cellStyle name="Финансовый 2 9 2 10 2 2" xfId="44843" xr:uid="{00000000-0005-0000-0000-0000A4710000}"/>
    <cellStyle name="Финансовый 2 9 2 10 3" xfId="32865" xr:uid="{00000000-0005-0000-0000-0000A5710000}"/>
    <cellStyle name="Финансовый 2 9 2 11" xfId="12244" xr:uid="{00000000-0005-0000-0000-0000A6710000}"/>
    <cellStyle name="Финансовый 2 9 2 11 2" xfId="36199" xr:uid="{00000000-0005-0000-0000-0000A7710000}"/>
    <cellStyle name="Финансовый 2 9 2 12" xfId="24222" xr:uid="{00000000-0005-0000-0000-0000A8710000}"/>
    <cellStyle name="Финансовый 2 9 2 13" xfId="48180" xr:uid="{00000000-0005-0000-0000-0000A9710000}"/>
    <cellStyle name="Финансовый 2 9 2 2" xfId="1360" xr:uid="{00000000-0005-0000-0000-0000AA710000}"/>
    <cellStyle name="Финансовый 2 9 2 2 2" xfId="2318" xr:uid="{00000000-0005-0000-0000-0000AB710000}"/>
    <cellStyle name="Финансовый 2 9 2 2 2 2" xfId="3963" xr:uid="{00000000-0005-0000-0000-0000AC710000}"/>
    <cellStyle name="Финансовый 2 9 2 2 2 2 2" xfId="11703" xr:uid="{00000000-0005-0000-0000-0000AD710000}"/>
    <cellStyle name="Финансовый 2 9 2 2 2 2 2 2" xfId="23681" xr:uid="{00000000-0005-0000-0000-0000AE710000}"/>
    <cellStyle name="Финансовый 2 9 2 2 2 2 2 2 2" xfId="47636" xr:uid="{00000000-0005-0000-0000-0000AF710000}"/>
    <cellStyle name="Финансовый 2 9 2 2 2 2 2 3" xfId="35658" xr:uid="{00000000-0005-0000-0000-0000B0710000}"/>
    <cellStyle name="Финансовый 2 9 2 2 2 2 3" xfId="15942" xr:uid="{00000000-0005-0000-0000-0000B1710000}"/>
    <cellStyle name="Финансовый 2 9 2 2 2 2 3 2" xfId="39897" xr:uid="{00000000-0005-0000-0000-0000B2710000}"/>
    <cellStyle name="Финансовый 2 9 2 2 2 2 4" xfId="27920" xr:uid="{00000000-0005-0000-0000-0000B3710000}"/>
    <cellStyle name="Финансовый 2 9 2 2 2 2 5" xfId="51189" xr:uid="{00000000-0005-0000-0000-0000B4710000}"/>
    <cellStyle name="Финансовый 2 9 2 2 2 3" xfId="5746" xr:uid="{00000000-0005-0000-0000-0000B5710000}"/>
    <cellStyle name="Финансовый 2 9 2 2 2 3 2" xfId="17724" xr:uid="{00000000-0005-0000-0000-0000B6710000}"/>
    <cellStyle name="Финансовый 2 9 2 2 2 3 2 2" xfId="41679" xr:uid="{00000000-0005-0000-0000-0000B7710000}"/>
    <cellStyle name="Финансовый 2 9 2 2 2 3 3" xfId="29701" xr:uid="{00000000-0005-0000-0000-0000B8710000}"/>
    <cellStyle name="Финансовый 2 9 2 2 2 4" xfId="8356" xr:uid="{00000000-0005-0000-0000-0000B9710000}"/>
    <cellStyle name="Финансовый 2 9 2 2 2 4 2" xfId="20334" xr:uid="{00000000-0005-0000-0000-0000BA710000}"/>
    <cellStyle name="Финансовый 2 9 2 2 2 4 2 2" xfId="44289" xr:uid="{00000000-0005-0000-0000-0000BB710000}"/>
    <cellStyle name="Финансовый 2 9 2 2 2 4 3" xfId="32311" xr:uid="{00000000-0005-0000-0000-0000BC710000}"/>
    <cellStyle name="Финансовый 2 9 2 2 2 5" xfId="10139" xr:uid="{00000000-0005-0000-0000-0000BD710000}"/>
    <cellStyle name="Финансовый 2 9 2 2 2 5 2" xfId="22117" xr:uid="{00000000-0005-0000-0000-0000BE710000}"/>
    <cellStyle name="Финансовый 2 9 2 2 2 5 2 2" xfId="46072" xr:uid="{00000000-0005-0000-0000-0000BF710000}"/>
    <cellStyle name="Финансовый 2 9 2 2 2 5 3" xfId="34094" xr:uid="{00000000-0005-0000-0000-0000C0710000}"/>
    <cellStyle name="Финансовый 2 9 2 2 2 6" xfId="14297" xr:uid="{00000000-0005-0000-0000-0000C1710000}"/>
    <cellStyle name="Финансовый 2 9 2 2 2 6 2" xfId="38252" xr:uid="{00000000-0005-0000-0000-0000C2710000}"/>
    <cellStyle name="Финансовый 2 9 2 2 2 7" xfId="26275" xr:uid="{00000000-0005-0000-0000-0000C3710000}"/>
    <cellStyle name="Финансовый 2 9 2 2 2 8" xfId="49408" xr:uid="{00000000-0005-0000-0000-0000C4710000}"/>
    <cellStyle name="Финансовый 2 9 2 2 3" xfId="3144" xr:uid="{00000000-0005-0000-0000-0000C5710000}"/>
    <cellStyle name="Финансовый 2 9 2 2 3 2" xfId="10931" xr:uid="{00000000-0005-0000-0000-0000C6710000}"/>
    <cellStyle name="Финансовый 2 9 2 2 3 2 2" xfId="22909" xr:uid="{00000000-0005-0000-0000-0000C7710000}"/>
    <cellStyle name="Финансовый 2 9 2 2 3 2 2 2" xfId="46864" xr:uid="{00000000-0005-0000-0000-0000C8710000}"/>
    <cellStyle name="Финансовый 2 9 2 2 3 2 3" xfId="34886" xr:uid="{00000000-0005-0000-0000-0000C9710000}"/>
    <cellStyle name="Финансовый 2 9 2 2 3 3" xfId="15123" xr:uid="{00000000-0005-0000-0000-0000CA710000}"/>
    <cellStyle name="Финансовый 2 9 2 2 3 3 2" xfId="39078" xr:uid="{00000000-0005-0000-0000-0000CB710000}"/>
    <cellStyle name="Финансовый 2 9 2 2 3 4" xfId="27101" xr:uid="{00000000-0005-0000-0000-0000CC710000}"/>
    <cellStyle name="Финансовый 2 9 2 2 3 5" xfId="50232" xr:uid="{00000000-0005-0000-0000-0000CD710000}"/>
    <cellStyle name="Финансовый 2 9 2 2 4" xfId="4788" xr:uid="{00000000-0005-0000-0000-0000CE710000}"/>
    <cellStyle name="Финансовый 2 9 2 2 4 2" xfId="16767" xr:uid="{00000000-0005-0000-0000-0000CF710000}"/>
    <cellStyle name="Финансовый 2 9 2 2 4 2 2" xfId="40722" xr:uid="{00000000-0005-0000-0000-0000D0710000}"/>
    <cellStyle name="Финансовый 2 9 2 2 4 3" xfId="28745" xr:uid="{00000000-0005-0000-0000-0000D1710000}"/>
    <cellStyle name="Финансовый 2 9 2 2 5" xfId="7400" xr:uid="{00000000-0005-0000-0000-0000D2710000}"/>
    <cellStyle name="Финансовый 2 9 2 2 5 2" xfId="19378" xr:uid="{00000000-0005-0000-0000-0000D3710000}"/>
    <cellStyle name="Финансовый 2 9 2 2 5 2 2" xfId="43333" xr:uid="{00000000-0005-0000-0000-0000D4710000}"/>
    <cellStyle name="Финансовый 2 9 2 2 5 3" xfId="31355" xr:uid="{00000000-0005-0000-0000-0000D5710000}"/>
    <cellStyle name="Финансовый 2 9 2 2 6" xfId="9182" xr:uid="{00000000-0005-0000-0000-0000D6710000}"/>
    <cellStyle name="Финансовый 2 9 2 2 6 2" xfId="21160" xr:uid="{00000000-0005-0000-0000-0000D7710000}"/>
    <cellStyle name="Финансовый 2 9 2 2 6 2 2" xfId="45115" xr:uid="{00000000-0005-0000-0000-0000D8710000}"/>
    <cellStyle name="Финансовый 2 9 2 2 6 3" xfId="33137" xr:uid="{00000000-0005-0000-0000-0000D9710000}"/>
    <cellStyle name="Финансовый 2 9 2 2 7" xfId="13341" xr:uid="{00000000-0005-0000-0000-0000DA710000}"/>
    <cellStyle name="Финансовый 2 9 2 2 7 2" xfId="37296" xr:uid="{00000000-0005-0000-0000-0000DB710000}"/>
    <cellStyle name="Финансовый 2 9 2 2 8" xfId="25319" xr:uid="{00000000-0005-0000-0000-0000DC710000}"/>
    <cellStyle name="Финансовый 2 9 2 2 9" xfId="48452" xr:uid="{00000000-0005-0000-0000-0000DD710000}"/>
    <cellStyle name="Финансовый 2 9 2 3" xfId="2062" xr:uid="{00000000-0005-0000-0000-0000DE710000}"/>
    <cellStyle name="Финансовый 2 9 2 3 2" xfId="3707" xr:uid="{00000000-0005-0000-0000-0000DF710000}"/>
    <cellStyle name="Финансовый 2 9 2 3 2 2" xfId="11447" xr:uid="{00000000-0005-0000-0000-0000E0710000}"/>
    <cellStyle name="Финансовый 2 9 2 3 2 2 2" xfId="23425" xr:uid="{00000000-0005-0000-0000-0000E1710000}"/>
    <cellStyle name="Финансовый 2 9 2 3 2 2 2 2" xfId="47380" xr:uid="{00000000-0005-0000-0000-0000E2710000}"/>
    <cellStyle name="Финансовый 2 9 2 3 2 2 3" xfId="35402" xr:uid="{00000000-0005-0000-0000-0000E3710000}"/>
    <cellStyle name="Финансовый 2 9 2 3 2 3" xfId="15686" xr:uid="{00000000-0005-0000-0000-0000E4710000}"/>
    <cellStyle name="Финансовый 2 9 2 3 2 3 2" xfId="39641" xr:uid="{00000000-0005-0000-0000-0000E5710000}"/>
    <cellStyle name="Финансовый 2 9 2 3 2 4" xfId="27664" xr:uid="{00000000-0005-0000-0000-0000E6710000}"/>
    <cellStyle name="Финансовый 2 9 2 3 2 5" xfId="50933" xr:uid="{00000000-0005-0000-0000-0000E7710000}"/>
    <cellStyle name="Финансовый 2 9 2 3 3" xfId="5490" xr:uid="{00000000-0005-0000-0000-0000E8710000}"/>
    <cellStyle name="Финансовый 2 9 2 3 3 2" xfId="17468" xr:uid="{00000000-0005-0000-0000-0000E9710000}"/>
    <cellStyle name="Финансовый 2 9 2 3 3 2 2" xfId="41423" xr:uid="{00000000-0005-0000-0000-0000EA710000}"/>
    <cellStyle name="Финансовый 2 9 2 3 3 3" xfId="29445" xr:uid="{00000000-0005-0000-0000-0000EB710000}"/>
    <cellStyle name="Финансовый 2 9 2 3 4" xfId="8100" xr:uid="{00000000-0005-0000-0000-0000EC710000}"/>
    <cellStyle name="Финансовый 2 9 2 3 4 2" xfId="20078" xr:uid="{00000000-0005-0000-0000-0000ED710000}"/>
    <cellStyle name="Финансовый 2 9 2 3 4 2 2" xfId="44033" xr:uid="{00000000-0005-0000-0000-0000EE710000}"/>
    <cellStyle name="Финансовый 2 9 2 3 4 3" xfId="32055" xr:uid="{00000000-0005-0000-0000-0000EF710000}"/>
    <cellStyle name="Финансовый 2 9 2 3 5" xfId="9883" xr:uid="{00000000-0005-0000-0000-0000F0710000}"/>
    <cellStyle name="Финансовый 2 9 2 3 5 2" xfId="21861" xr:uid="{00000000-0005-0000-0000-0000F1710000}"/>
    <cellStyle name="Финансовый 2 9 2 3 5 2 2" xfId="45816" xr:uid="{00000000-0005-0000-0000-0000F2710000}"/>
    <cellStyle name="Финансовый 2 9 2 3 5 3" xfId="33838" xr:uid="{00000000-0005-0000-0000-0000F3710000}"/>
    <cellStyle name="Финансовый 2 9 2 3 6" xfId="14041" xr:uid="{00000000-0005-0000-0000-0000F4710000}"/>
    <cellStyle name="Финансовый 2 9 2 3 6 2" xfId="37996" xr:uid="{00000000-0005-0000-0000-0000F5710000}"/>
    <cellStyle name="Финансовый 2 9 2 3 7" xfId="26019" xr:uid="{00000000-0005-0000-0000-0000F6710000}"/>
    <cellStyle name="Финансовый 2 9 2 3 8" xfId="49152" xr:uid="{00000000-0005-0000-0000-0000F7710000}"/>
    <cellStyle name="Финансовый 2 9 2 4" xfId="2591" xr:uid="{00000000-0005-0000-0000-0000F8710000}"/>
    <cellStyle name="Финансовый 2 9 2 4 2" xfId="4236" xr:uid="{00000000-0005-0000-0000-0000F9710000}"/>
    <cellStyle name="Финансовый 2 9 2 4 2 2" xfId="11960" xr:uid="{00000000-0005-0000-0000-0000FA710000}"/>
    <cellStyle name="Финансовый 2 9 2 4 2 2 2" xfId="23938" xr:uid="{00000000-0005-0000-0000-0000FB710000}"/>
    <cellStyle name="Финансовый 2 9 2 4 2 2 2 2" xfId="47893" xr:uid="{00000000-0005-0000-0000-0000FC710000}"/>
    <cellStyle name="Финансовый 2 9 2 4 2 2 3" xfId="35915" xr:uid="{00000000-0005-0000-0000-0000FD710000}"/>
    <cellStyle name="Финансовый 2 9 2 4 2 3" xfId="16215" xr:uid="{00000000-0005-0000-0000-0000FE710000}"/>
    <cellStyle name="Финансовый 2 9 2 4 2 3 2" xfId="40170" xr:uid="{00000000-0005-0000-0000-0000FF710000}"/>
    <cellStyle name="Финансовый 2 9 2 4 2 4" xfId="28193" xr:uid="{00000000-0005-0000-0000-000000720000}"/>
    <cellStyle name="Финансовый 2 9 2 4 2 5" xfId="51462" xr:uid="{00000000-0005-0000-0000-000001720000}"/>
    <cellStyle name="Финансовый 2 9 2 4 3" xfId="6019" xr:uid="{00000000-0005-0000-0000-000002720000}"/>
    <cellStyle name="Финансовый 2 9 2 4 3 2" xfId="17997" xr:uid="{00000000-0005-0000-0000-000003720000}"/>
    <cellStyle name="Финансовый 2 9 2 4 3 2 2" xfId="41952" xr:uid="{00000000-0005-0000-0000-000004720000}"/>
    <cellStyle name="Финансовый 2 9 2 4 3 3" xfId="29974" xr:uid="{00000000-0005-0000-0000-000005720000}"/>
    <cellStyle name="Финансовый 2 9 2 4 4" xfId="8629" xr:uid="{00000000-0005-0000-0000-000006720000}"/>
    <cellStyle name="Финансовый 2 9 2 4 4 2" xfId="20607" xr:uid="{00000000-0005-0000-0000-000007720000}"/>
    <cellStyle name="Финансовый 2 9 2 4 4 2 2" xfId="44562" xr:uid="{00000000-0005-0000-0000-000008720000}"/>
    <cellStyle name="Финансовый 2 9 2 4 4 3" xfId="32584" xr:uid="{00000000-0005-0000-0000-000009720000}"/>
    <cellStyle name="Финансовый 2 9 2 4 5" xfId="10412" xr:uid="{00000000-0005-0000-0000-00000A720000}"/>
    <cellStyle name="Финансовый 2 9 2 4 5 2" xfId="22390" xr:uid="{00000000-0005-0000-0000-00000B720000}"/>
    <cellStyle name="Финансовый 2 9 2 4 5 2 2" xfId="46345" xr:uid="{00000000-0005-0000-0000-00000C720000}"/>
    <cellStyle name="Финансовый 2 9 2 4 5 3" xfId="34367" xr:uid="{00000000-0005-0000-0000-00000D720000}"/>
    <cellStyle name="Финансовый 2 9 2 4 6" xfId="14570" xr:uid="{00000000-0005-0000-0000-00000E720000}"/>
    <cellStyle name="Финансовый 2 9 2 4 6 2" xfId="38525" xr:uid="{00000000-0005-0000-0000-00000F720000}"/>
    <cellStyle name="Финансовый 2 9 2 4 7" xfId="26548" xr:uid="{00000000-0005-0000-0000-000010720000}"/>
    <cellStyle name="Финансовый 2 9 2 4 8" xfId="49681" xr:uid="{00000000-0005-0000-0000-000011720000}"/>
    <cellStyle name="Финансовый 2 9 2 5" xfId="1095" xr:uid="{00000000-0005-0000-0000-000012720000}"/>
    <cellStyle name="Финансовый 2 9 2 5 2" xfId="7135" xr:uid="{00000000-0005-0000-0000-000013720000}"/>
    <cellStyle name="Финансовый 2 9 2 5 2 2" xfId="19113" xr:uid="{00000000-0005-0000-0000-000014720000}"/>
    <cellStyle name="Финансовый 2 9 2 5 2 2 2" xfId="43068" xr:uid="{00000000-0005-0000-0000-000015720000}"/>
    <cellStyle name="Финансовый 2 9 2 5 2 3" xfId="31090" xr:uid="{00000000-0005-0000-0000-000016720000}"/>
    <cellStyle name="Финансовый 2 9 2 5 3" xfId="10675" xr:uid="{00000000-0005-0000-0000-000017720000}"/>
    <cellStyle name="Финансовый 2 9 2 5 3 2" xfId="22653" xr:uid="{00000000-0005-0000-0000-000018720000}"/>
    <cellStyle name="Финансовый 2 9 2 5 3 2 2" xfId="46608" xr:uid="{00000000-0005-0000-0000-000019720000}"/>
    <cellStyle name="Финансовый 2 9 2 5 3 3" xfId="34630" xr:uid="{00000000-0005-0000-0000-00001A720000}"/>
    <cellStyle name="Финансовый 2 9 2 5 4" xfId="13076" xr:uid="{00000000-0005-0000-0000-00001B720000}"/>
    <cellStyle name="Финансовый 2 9 2 5 4 2" xfId="37031" xr:uid="{00000000-0005-0000-0000-00001C720000}"/>
    <cellStyle name="Финансовый 2 9 2 5 5" xfId="25054" xr:uid="{00000000-0005-0000-0000-00001D720000}"/>
    <cellStyle name="Финансовый 2 9 2 5 6" xfId="49960" xr:uid="{00000000-0005-0000-0000-00001E720000}"/>
    <cellStyle name="Финансовый 2 9 2 6" xfId="683" xr:uid="{00000000-0005-0000-0000-00001F720000}"/>
    <cellStyle name="Финансовый 2 9 2 6 2" xfId="6723" xr:uid="{00000000-0005-0000-0000-000020720000}"/>
    <cellStyle name="Финансовый 2 9 2 6 2 2" xfId="18701" xr:uid="{00000000-0005-0000-0000-000021720000}"/>
    <cellStyle name="Финансовый 2 9 2 6 2 2 2" xfId="42656" xr:uid="{00000000-0005-0000-0000-000022720000}"/>
    <cellStyle name="Финансовый 2 9 2 6 2 3" xfId="30678" xr:uid="{00000000-0005-0000-0000-000023720000}"/>
    <cellStyle name="Финансовый 2 9 2 6 3" xfId="12664" xr:uid="{00000000-0005-0000-0000-000024720000}"/>
    <cellStyle name="Финансовый 2 9 2 6 3 2" xfId="36619" xr:uid="{00000000-0005-0000-0000-000025720000}"/>
    <cellStyle name="Финансовый 2 9 2 6 4" xfId="24642" xr:uid="{00000000-0005-0000-0000-000026720000}"/>
    <cellStyle name="Финансовый 2 9 2 7" xfId="2872" xr:uid="{00000000-0005-0000-0000-000027720000}"/>
    <cellStyle name="Финансовый 2 9 2 7 2" xfId="14851" xr:uid="{00000000-0005-0000-0000-000028720000}"/>
    <cellStyle name="Финансовый 2 9 2 7 2 2" xfId="38806" xr:uid="{00000000-0005-0000-0000-000029720000}"/>
    <cellStyle name="Финансовый 2 9 2 7 3" xfId="26829" xr:uid="{00000000-0005-0000-0000-00002A720000}"/>
    <cellStyle name="Финансовый 2 9 2 8" xfId="4516" xr:uid="{00000000-0005-0000-0000-00002B720000}"/>
    <cellStyle name="Финансовый 2 9 2 8 2" xfId="16495" xr:uid="{00000000-0005-0000-0000-00002C720000}"/>
    <cellStyle name="Финансовый 2 9 2 8 2 2" xfId="40450" xr:uid="{00000000-0005-0000-0000-00002D720000}"/>
    <cellStyle name="Финансовый 2 9 2 8 3" xfId="28473" xr:uid="{00000000-0005-0000-0000-00002E720000}"/>
    <cellStyle name="Финансовый 2 9 2 9" xfId="6303" xr:uid="{00000000-0005-0000-0000-00002F720000}"/>
    <cellStyle name="Финансовый 2 9 2 9 2" xfId="18281" xr:uid="{00000000-0005-0000-0000-000030720000}"/>
    <cellStyle name="Финансовый 2 9 2 9 2 2" xfId="42236" xr:uid="{00000000-0005-0000-0000-000031720000}"/>
    <cellStyle name="Финансовый 2 9 2 9 3" xfId="30258" xr:uid="{00000000-0005-0000-0000-000032720000}"/>
    <cellStyle name="Финансовый 2 9 3" xfId="411" xr:uid="{00000000-0005-0000-0000-000033720000}"/>
    <cellStyle name="Финансовый 2 9 3 10" xfId="24370" xr:uid="{00000000-0005-0000-0000-000034720000}"/>
    <cellStyle name="Финансовый 2 9 3 11" xfId="48316" xr:uid="{00000000-0005-0000-0000-000035720000}"/>
    <cellStyle name="Финансовый 2 9 3 2" xfId="2190" xr:uid="{00000000-0005-0000-0000-000036720000}"/>
    <cellStyle name="Финансовый 2 9 3 2 2" xfId="3835" xr:uid="{00000000-0005-0000-0000-000037720000}"/>
    <cellStyle name="Финансовый 2 9 3 2 2 2" xfId="11575" xr:uid="{00000000-0005-0000-0000-000038720000}"/>
    <cellStyle name="Финансовый 2 9 3 2 2 2 2" xfId="23553" xr:uid="{00000000-0005-0000-0000-000039720000}"/>
    <cellStyle name="Финансовый 2 9 3 2 2 2 2 2" xfId="47508" xr:uid="{00000000-0005-0000-0000-00003A720000}"/>
    <cellStyle name="Финансовый 2 9 3 2 2 2 3" xfId="35530" xr:uid="{00000000-0005-0000-0000-00003B720000}"/>
    <cellStyle name="Финансовый 2 9 3 2 2 3" xfId="15814" xr:uid="{00000000-0005-0000-0000-00003C720000}"/>
    <cellStyle name="Финансовый 2 9 3 2 2 3 2" xfId="39769" xr:uid="{00000000-0005-0000-0000-00003D720000}"/>
    <cellStyle name="Финансовый 2 9 3 2 2 4" xfId="27792" xr:uid="{00000000-0005-0000-0000-00003E720000}"/>
    <cellStyle name="Финансовый 2 9 3 2 2 5" xfId="51061" xr:uid="{00000000-0005-0000-0000-00003F720000}"/>
    <cellStyle name="Финансовый 2 9 3 2 3" xfId="5618" xr:uid="{00000000-0005-0000-0000-000040720000}"/>
    <cellStyle name="Финансовый 2 9 3 2 3 2" xfId="17596" xr:uid="{00000000-0005-0000-0000-000041720000}"/>
    <cellStyle name="Финансовый 2 9 3 2 3 2 2" xfId="41551" xr:uid="{00000000-0005-0000-0000-000042720000}"/>
    <cellStyle name="Финансовый 2 9 3 2 3 3" xfId="29573" xr:uid="{00000000-0005-0000-0000-000043720000}"/>
    <cellStyle name="Финансовый 2 9 3 2 4" xfId="8228" xr:uid="{00000000-0005-0000-0000-000044720000}"/>
    <cellStyle name="Финансовый 2 9 3 2 4 2" xfId="20206" xr:uid="{00000000-0005-0000-0000-000045720000}"/>
    <cellStyle name="Финансовый 2 9 3 2 4 2 2" xfId="44161" xr:uid="{00000000-0005-0000-0000-000046720000}"/>
    <cellStyle name="Финансовый 2 9 3 2 4 3" xfId="32183" xr:uid="{00000000-0005-0000-0000-000047720000}"/>
    <cellStyle name="Финансовый 2 9 3 2 5" xfId="10011" xr:uid="{00000000-0005-0000-0000-000048720000}"/>
    <cellStyle name="Финансовый 2 9 3 2 5 2" xfId="21989" xr:uid="{00000000-0005-0000-0000-000049720000}"/>
    <cellStyle name="Финансовый 2 9 3 2 5 2 2" xfId="45944" xr:uid="{00000000-0005-0000-0000-00004A720000}"/>
    <cellStyle name="Финансовый 2 9 3 2 5 3" xfId="33966" xr:uid="{00000000-0005-0000-0000-00004B720000}"/>
    <cellStyle name="Финансовый 2 9 3 2 6" xfId="14169" xr:uid="{00000000-0005-0000-0000-00004C720000}"/>
    <cellStyle name="Финансовый 2 9 3 2 6 2" xfId="38124" xr:uid="{00000000-0005-0000-0000-00004D720000}"/>
    <cellStyle name="Финансовый 2 9 3 2 7" xfId="26147" xr:uid="{00000000-0005-0000-0000-00004E720000}"/>
    <cellStyle name="Финансовый 2 9 3 2 8" xfId="49280" xr:uid="{00000000-0005-0000-0000-00004F720000}"/>
    <cellStyle name="Финансовый 2 9 3 3" xfId="1224" xr:uid="{00000000-0005-0000-0000-000050720000}"/>
    <cellStyle name="Финансовый 2 9 3 3 2" xfId="7264" xr:uid="{00000000-0005-0000-0000-000051720000}"/>
    <cellStyle name="Финансовый 2 9 3 3 2 2" xfId="19242" xr:uid="{00000000-0005-0000-0000-000052720000}"/>
    <cellStyle name="Финансовый 2 9 3 3 2 2 2" xfId="43197" xr:uid="{00000000-0005-0000-0000-000053720000}"/>
    <cellStyle name="Финансовый 2 9 3 3 2 3" xfId="31219" xr:uid="{00000000-0005-0000-0000-000054720000}"/>
    <cellStyle name="Финансовый 2 9 3 3 3" xfId="10803" xr:uid="{00000000-0005-0000-0000-000055720000}"/>
    <cellStyle name="Финансовый 2 9 3 3 3 2" xfId="22781" xr:uid="{00000000-0005-0000-0000-000056720000}"/>
    <cellStyle name="Финансовый 2 9 3 3 3 2 2" xfId="46736" xr:uid="{00000000-0005-0000-0000-000057720000}"/>
    <cellStyle name="Финансовый 2 9 3 3 3 3" xfId="34758" xr:uid="{00000000-0005-0000-0000-000058720000}"/>
    <cellStyle name="Финансовый 2 9 3 3 4" xfId="13205" xr:uid="{00000000-0005-0000-0000-000059720000}"/>
    <cellStyle name="Финансовый 2 9 3 3 4 2" xfId="37160" xr:uid="{00000000-0005-0000-0000-00005A720000}"/>
    <cellStyle name="Финансовый 2 9 3 3 5" xfId="25183" xr:uid="{00000000-0005-0000-0000-00005B720000}"/>
    <cellStyle name="Финансовый 2 9 3 3 6" xfId="50096" xr:uid="{00000000-0005-0000-0000-00005C720000}"/>
    <cellStyle name="Финансовый 2 9 3 4" xfId="831" xr:uid="{00000000-0005-0000-0000-00005D720000}"/>
    <cellStyle name="Финансовый 2 9 3 4 2" xfId="6871" xr:uid="{00000000-0005-0000-0000-00005E720000}"/>
    <cellStyle name="Финансовый 2 9 3 4 2 2" xfId="18849" xr:uid="{00000000-0005-0000-0000-00005F720000}"/>
    <cellStyle name="Финансовый 2 9 3 4 2 2 2" xfId="42804" xr:uid="{00000000-0005-0000-0000-000060720000}"/>
    <cellStyle name="Финансовый 2 9 3 4 2 3" xfId="30826" xr:uid="{00000000-0005-0000-0000-000061720000}"/>
    <cellStyle name="Финансовый 2 9 3 4 3" xfId="12812" xr:uid="{00000000-0005-0000-0000-000062720000}"/>
    <cellStyle name="Финансовый 2 9 3 4 3 2" xfId="36767" xr:uid="{00000000-0005-0000-0000-000063720000}"/>
    <cellStyle name="Финансовый 2 9 3 4 4" xfId="24790" xr:uid="{00000000-0005-0000-0000-000064720000}"/>
    <cellStyle name="Финансовый 2 9 3 5" xfId="3008" xr:uid="{00000000-0005-0000-0000-000065720000}"/>
    <cellStyle name="Финансовый 2 9 3 5 2" xfId="14987" xr:uid="{00000000-0005-0000-0000-000066720000}"/>
    <cellStyle name="Финансовый 2 9 3 5 2 2" xfId="38942" xr:uid="{00000000-0005-0000-0000-000067720000}"/>
    <cellStyle name="Финансовый 2 9 3 5 3" xfId="26965" xr:uid="{00000000-0005-0000-0000-000068720000}"/>
    <cellStyle name="Финансовый 2 9 3 6" xfId="4652" xr:uid="{00000000-0005-0000-0000-000069720000}"/>
    <cellStyle name="Финансовый 2 9 3 6 2" xfId="16631" xr:uid="{00000000-0005-0000-0000-00006A720000}"/>
    <cellStyle name="Финансовый 2 9 3 6 2 2" xfId="40586" xr:uid="{00000000-0005-0000-0000-00006B720000}"/>
    <cellStyle name="Финансовый 2 9 3 6 3" xfId="28609" xr:uid="{00000000-0005-0000-0000-00006C720000}"/>
    <cellStyle name="Финансовый 2 9 3 7" xfId="6451" xr:uid="{00000000-0005-0000-0000-00006D720000}"/>
    <cellStyle name="Финансовый 2 9 3 7 2" xfId="18429" xr:uid="{00000000-0005-0000-0000-00006E720000}"/>
    <cellStyle name="Финансовый 2 9 3 7 2 2" xfId="42384" xr:uid="{00000000-0005-0000-0000-00006F720000}"/>
    <cellStyle name="Финансовый 2 9 3 7 3" xfId="30406" xr:uid="{00000000-0005-0000-0000-000070720000}"/>
    <cellStyle name="Финансовый 2 9 3 8" xfId="9046" xr:uid="{00000000-0005-0000-0000-000071720000}"/>
    <cellStyle name="Финансовый 2 9 3 8 2" xfId="21024" xr:uid="{00000000-0005-0000-0000-000072720000}"/>
    <cellStyle name="Финансовый 2 9 3 8 2 2" xfId="44979" xr:uid="{00000000-0005-0000-0000-000073720000}"/>
    <cellStyle name="Финансовый 2 9 3 8 3" xfId="33001" xr:uid="{00000000-0005-0000-0000-000074720000}"/>
    <cellStyle name="Финансовый 2 9 3 9" xfId="12392" xr:uid="{00000000-0005-0000-0000-000075720000}"/>
    <cellStyle name="Финансовый 2 9 3 9 2" xfId="36347" xr:uid="{00000000-0005-0000-0000-000076720000}"/>
    <cellStyle name="Финансовый 2 9 4" xfId="1511" xr:uid="{00000000-0005-0000-0000-000077720000}"/>
    <cellStyle name="Финансовый 2 9 4 2" xfId="1934" xr:uid="{00000000-0005-0000-0000-000078720000}"/>
    <cellStyle name="Финансовый 2 9 4 2 2" xfId="3579" xr:uid="{00000000-0005-0000-0000-000079720000}"/>
    <cellStyle name="Финансовый 2 9 4 2 2 2" xfId="11319" xr:uid="{00000000-0005-0000-0000-00007A720000}"/>
    <cellStyle name="Финансовый 2 9 4 2 2 2 2" xfId="23297" xr:uid="{00000000-0005-0000-0000-00007B720000}"/>
    <cellStyle name="Финансовый 2 9 4 2 2 2 2 2" xfId="47252" xr:uid="{00000000-0005-0000-0000-00007C720000}"/>
    <cellStyle name="Финансовый 2 9 4 2 2 2 3" xfId="35274" xr:uid="{00000000-0005-0000-0000-00007D720000}"/>
    <cellStyle name="Финансовый 2 9 4 2 2 3" xfId="15558" xr:uid="{00000000-0005-0000-0000-00007E720000}"/>
    <cellStyle name="Финансовый 2 9 4 2 2 3 2" xfId="39513" xr:uid="{00000000-0005-0000-0000-00007F720000}"/>
    <cellStyle name="Финансовый 2 9 4 2 2 4" xfId="27536" xr:uid="{00000000-0005-0000-0000-000080720000}"/>
    <cellStyle name="Финансовый 2 9 4 2 2 5" xfId="50805" xr:uid="{00000000-0005-0000-0000-000081720000}"/>
    <cellStyle name="Финансовый 2 9 4 2 3" xfId="5362" xr:uid="{00000000-0005-0000-0000-000082720000}"/>
    <cellStyle name="Финансовый 2 9 4 2 3 2" xfId="17340" xr:uid="{00000000-0005-0000-0000-000083720000}"/>
    <cellStyle name="Финансовый 2 9 4 2 3 2 2" xfId="41295" xr:uid="{00000000-0005-0000-0000-000084720000}"/>
    <cellStyle name="Финансовый 2 9 4 2 3 3" xfId="29317" xr:uid="{00000000-0005-0000-0000-000085720000}"/>
    <cellStyle name="Финансовый 2 9 4 2 4" xfId="7972" xr:uid="{00000000-0005-0000-0000-000086720000}"/>
    <cellStyle name="Финансовый 2 9 4 2 4 2" xfId="19950" xr:uid="{00000000-0005-0000-0000-000087720000}"/>
    <cellStyle name="Финансовый 2 9 4 2 4 2 2" xfId="43905" xr:uid="{00000000-0005-0000-0000-000088720000}"/>
    <cellStyle name="Финансовый 2 9 4 2 4 3" xfId="31927" xr:uid="{00000000-0005-0000-0000-000089720000}"/>
    <cellStyle name="Финансовый 2 9 4 2 5" xfId="9755" xr:uid="{00000000-0005-0000-0000-00008A720000}"/>
    <cellStyle name="Финансовый 2 9 4 2 5 2" xfId="21733" xr:uid="{00000000-0005-0000-0000-00008B720000}"/>
    <cellStyle name="Финансовый 2 9 4 2 5 2 2" xfId="45688" xr:uid="{00000000-0005-0000-0000-00008C720000}"/>
    <cellStyle name="Финансовый 2 9 4 2 5 3" xfId="33710" xr:uid="{00000000-0005-0000-0000-00008D720000}"/>
    <cellStyle name="Финансовый 2 9 4 2 6" xfId="13913" xr:uid="{00000000-0005-0000-0000-00008E720000}"/>
    <cellStyle name="Финансовый 2 9 4 2 6 2" xfId="37868" xr:uid="{00000000-0005-0000-0000-00008F720000}"/>
    <cellStyle name="Финансовый 2 9 4 2 7" xfId="25891" xr:uid="{00000000-0005-0000-0000-000090720000}"/>
    <cellStyle name="Финансовый 2 9 4 2 8" xfId="49024" xr:uid="{00000000-0005-0000-0000-000091720000}"/>
    <cellStyle name="Финансовый 2 9 4 3" xfId="4939" xr:uid="{00000000-0005-0000-0000-000092720000}"/>
    <cellStyle name="Финансовый 2 9 4 3 2" xfId="16917" xr:uid="{00000000-0005-0000-0000-000093720000}"/>
    <cellStyle name="Финансовый 2 9 4 3 2 2" xfId="40872" xr:uid="{00000000-0005-0000-0000-000094720000}"/>
    <cellStyle name="Финансовый 2 9 4 3 3" xfId="28894" xr:uid="{00000000-0005-0000-0000-000095720000}"/>
    <cellStyle name="Финансовый 2 9 4 3 4" xfId="50382" xr:uid="{00000000-0005-0000-0000-000096720000}"/>
    <cellStyle name="Финансовый 2 9 4 4" xfId="7549" xr:uid="{00000000-0005-0000-0000-000097720000}"/>
    <cellStyle name="Финансовый 2 9 4 4 2" xfId="19527" xr:uid="{00000000-0005-0000-0000-000098720000}"/>
    <cellStyle name="Финансовый 2 9 4 4 2 2" xfId="43482" xr:uid="{00000000-0005-0000-0000-000099720000}"/>
    <cellStyle name="Финансовый 2 9 4 4 3" xfId="31504" xr:uid="{00000000-0005-0000-0000-00009A720000}"/>
    <cellStyle name="Финансовый 2 9 4 5" xfId="9332" xr:uid="{00000000-0005-0000-0000-00009B720000}"/>
    <cellStyle name="Финансовый 2 9 4 5 2" xfId="21310" xr:uid="{00000000-0005-0000-0000-00009C720000}"/>
    <cellStyle name="Финансовый 2 9 4 5 2 2" xfId="45265" xr:uid="{00000000-0005-0000-0000-00009D720000}"/>
    <cellStyle name="Финансовый 2 9 4 5 3" xfId="33287" xr:uid="{00000000-0005-0000-0000-00009E720000}"/>
    <cellStyle name="Финансовый 2 9 4 6" xfId="13490" xr:uid="{00000000-0005-0000-0000-00009F720000}"/>
    <cellStyle name="Финансовый 2 9 4 6 2" xfId="37445" xr:uid="{00000000-0005-0000-0000-0000A0720000}"/>
    <cellStyle name="Финансовый 2 9 4 7" xfId="25468" xr:uid="{00000000-0005-0000-0000-0000A1720000}"/>
    <cellStyle name="Финансовый 2 9 4 8" xfId="48601" xr:uid="{00000000-0005-0000-0000-0000A2720000}"/>
    <cellStyle name="Финансовый 2 9 5" xfId="1810" xr:uid="{00000000-0005-0000-0000-0000A3720000}"/>
    <cellStyle name="Финансовый 2 9 5 2" xfId="3455" xr:uid="{00000000-0005-0000-0000-0000A4720000}"/>
    <cellStyle name="Финансовый 2 9 5 2 2" xfId="11203" xr:uid="{00000000-0005-0000-0000-0000A5720000}"/>
    <cellStyle name="Финансовый 2 9 5 2 2 2" xfId="23181" xr:uid="{00000000-0005-0000-0000-0000A6720000}"/>
    <cellStyle name="Финансовый 2 9 5 2 2 2 2" xfId="47136" xr:uid="{00000000-0005-0000-0000-0000A7720000}"/>
    <cellStyle name="Финансовый 2 9 5 2 2 3" xfId="35158" xr:uid="{00000000-0005-0000-0000-0000A8720000}"/>
    <cellStyle name="Финансовый 2 9 5 2 3" xfId="15434" xr:uid="{00000000-0005-0000-0000-0000A9720000}"/>
    <cellStyle name="Финансовый 2 9 5 2 3 2" xfId="39389" xr:uid="{00000000-0005-0000-0000-0000AA720000}"/>
    <cellStyle name="Финансовый 2 9 5 2 4" xfId="27412" xr:uid="{00000000-0005-0000-0000-0000AB720000}"/>
    <cellStyle name="Финансовый 2 9 5 2 5" xfId="50681" xr:uid="{00000000-0005-0000-0000-0000AC720000}"/>
    <cellStyle name="Финансовый 2 9 5 3" xfId="5238" xr:uid="{00000000-0005-0000-0000-0000AD720000}"/>
    <cellStyle name="Финансовый 2 9 5 3 2" xfId="17216" xr:uid="{00000000-0005-0000-0000-0000AE720000}"/>
    <cellStyle name="Финансовый 2 9 5 3 2 2" xfId="41171" xr:uid="{00000000-0005-0000-0000-0000AF720000}"/>
    <cellStyle name="Финансовый 2 9 5 3 3" xfId="29193" xr:uid="{00000000-0005-0000-0000-0000B0720000}"/>
    <cellStyle name="Финансовый 2 9 5 4" xfId="7848" xr:uid="{00000000-0005-0000-0000-0000B1720000}"/>
    <cellStyle name="Финансовый 2 9 5 4 2" xfId="19826" xr:uid="{00000000-0005-0000-0000-0000B2720000}"/>
    <cellStyle name="Финансовый 2 9 5 4 2 2" xfId="43781" xr:uid="{00000000-0005-0000-0000-0000B3720000}"/>
    <cellStyle name="Финансовый 2 9 5 4 3" xfId="31803" xr:uid="{00000000-0005-0000-0000-0000B4720000}"/>
    <cellStyle name="Финансовый 2 9 5 5" xfId="9631" xr:uid="{00000000-0005-0000-0000-0000B5720000}"/>
    <cellStyle name="Финансовый 2 9 5 5 2" xfId="21609" xr:uid="{00000000-0005-0000-0000-0000B6720000}"/>
    <cellStyle name="Финансовый 2 9 5 5 2 2" xfId="45564" xr:uid="{00000000-0005-0000-0000-0000B7720000}"/>
    <cellStyle name="Финансовый 2 9 5 5 3" xfId="33586" xr:uid="{00000000-0005-0000-0000-0000B8720000}"/>
    <cellStyle name="Финансовый 2 9 5 6" xfId="13789" xr:uid="{00000000-0005-0000-0000-0000B9720000}"/>
    <cellStyle name="Финансовый 2 9 5 6 2" xfId="37744" xr:uid="{00000000-0005-0000-0000-0000BA720000}"/>
    <cellStyle name="Финансовый 2 9 5 7" xfId="25767" xr:uid="{00000000-0005-0000-0000-0000BB720000}"/>
    <cellStyle name="Финансовый 2 9 5 8" xfId="48900" xr:uid="{00000000-0005-0000-0000-0000BC720000}"/>
    <cellStyle name="Финансовый 2 9 6" xfId="2455" xr:uid="{00000000-0005-0000-0000-0000BD720000}"/>
    <cellStyle name="Финансовый 2 9 6 2" xfId="4100" xr:uid="{00000000-0005-0000-0000-0000BE720000}"/>
    <cellStyle name="Финансовый 2 9 6 2 2" xfId="11832" xr:uid="{00000000-0005-0000-0000-0000BF720000}"/>
    <cellStyle name="Финансовый 2 9 6 2 2 2" xfId="23810" xr:uid="{00000000-0005-0000-0000-0000C0720000}"/>
    <cellStyle name="Финансовый 2 9 6 2 2 2 2" xfId="47765" xr:uid="{00000000-0005-0000-0000-0000C1720000}"/>
    <cellStyle name="Финансовый 2 9 6 2 2 3" xfId="35787" xr:uid="{00000000-0005-0000-0000-0000C2720000}"/>
    <cellStyle name="Финансовый 2 9 6 2 3" xfId="16079" xr:uid="{00000000-0005-0000-0000-0000C3720000}"/>
    <cellStyle name="Финансовый 2 9 6 2 3 2" xfId="40034" xr:uid="{00000000-0005-0000-0000-0000C4720000}"/>
    <cellStyle name="Финансовый 2 9 6 2 4" xfId="28057" xr:uid="{00000000-0005-0000-0000-0000C5720000}"/>
    <cellStyle name="Финансовый 2 9 6 2 5" xfId="51326" xr:uid="{00000000-0005-0000-0000-0000C6720000}"/>
    <cellStyle name="Финансовый 2 9 6 3" xfId="5883" xr:uid="{00000000-0005-0000-0000-0000C7720000}"/>
    <cellStyle name="Финансовый 2 9 6 3 2" xfId="17861" xr:uid="{00000000-0005-0000-0000-0000C8720000}"/>
    <cellStyle name="Финансовый 2 9 6 3 2 2" xfId="41816" xr:uid="{00000000-0005-0000-0000-0000C9720000}"/>
    <cellStyle name="Финансовый 2 9 6 3 3" xfId="29838" xr:uid="{00000000-0005-0000-0000-0000CA720000}"/>
    <cellStyle name="Финансовый 2 9 6 4" xfId="8493" xr:uid="{00000000-0005-0000-0000-0000CB720000}"/>
    <cellStyle name="Финансовый 2 9 6 4 2" xfId="20471" xr:uid="{00000000-0005-0000-0000-0000CC720000}"/>
    <cellStyle name="Финансовый 2 9 6 4 2 2" xfId="44426" xr:uid="{00000000-0005-0000-0000-0000CD720000}"/>
    <cellStyle name="Финансовый 2 9 6 4 3" xfId="32448" xr:uid="{00000000-0005-0000-0000-0000CE720000}"/>
    <cellStyle name="Финансовый 2 9 6 5" xfId="10276" xr:uid="{00000000-0005-0000-0000-0000CF720000}"/>
    <cellStyle name="Финансовый 2 9 6 5 2" xfId="22254" xr:uid="{00000000-0005-0000-0000-0000D0720000}"/>
    <cellStyle name="Финансовый 2 9 6 5 2 2" xfId="46209" xr:uid="{00000000-0005-0000-0000-0000D1720000}"/>
    <cellStyle name="Финансовый 2 9 6 5 3" xfId="34231" xr:uid="{00000000-0005-0000-0000-0000D2720000}"/>
    <cellStyle name="Финансовый 2 9 6 6" xfId="14434" xr:uid="{00000000-0005-0000-0000-0000D3720000}"/>
    <cellStyle name="Финансовый 2 9 6 6 2" xfId="38389" xr:uid="{00000000-0005-0000-0000-0000D4720000}"/>
    <cellStyle name="Финансовый 2 9 6 7" xfId="26412" xr:uid="{00000000-0005-0000-0000-0000D5720000}"/>
    <cellStyle name="Финансовый 2 9 6 8" xfId="49545" xr:uid="{00000000-0005-0000-0000-0000D6720000}"/>
    <cellStyle name="Финансовый 2 9 7" xfId="1682" xr:uid="{00000000-0005-0000-0000-0000D7720000}"/>
    <cellStyle name="Финансовый 2 9 7 2" xfId="3327" xr:uid="{00000000-0005-0000-0000-0000D8720000}"/>
    <cellStyle name="Финансовый 2 9 7 2 2" xfId="11075" xr:uid="{00000000-0005-0000-0000-0000D9720000}"/>
    <cellStyle name="Финансовый 2 9 7 2 2 2" xfId="23053" xr:uid="{00000000-0005-0000-0000-0000DA720000}"/>
    <cellStyle name="Финансовый 2 9 7 2 2 2 2" xfId="47008" xr:uid="{00000000-0005-0000-0000-0000DB720000}"/>
    <cellStyle name="Финансовый 2 9 7 2 2 3" xfId="35030" xr:uid="{00000000-0005-0000-0000-0000DC720000}"/>
    <cellStyle name="Финансовый 2 9 7 2 3" xfId="15306" xr:uid="{00000000-0005-0000-0000-0000DD720000}"/>
    <cellStyle name="Финансовый 2 9 7 2 3 2" xfId="39261" xr:uid="{00000000-0005-0000-0000-0000DE720000}"/>
    <cellStyle name="Финансовый 2 9 7 2 4" xfId="27284" xr:uid="{00000000-0005-0000-0000-0000DF720000}"/>
    <cellStyle name="Финансовый 2 9 7 2 5" xfId="50553" xr:uid="{00000000-0005-0000-0000-0000E0720000}"/>
    <cellStyle name="Финансовый 2 9 7 3" xfId="5110" xr:uid="{00000000-0005-0000-0000-0000E1720000}"/>
    <cellStyle name="Финансовый 2 9 7 3 2" xfId="17088" xr:uid="{00000000-0005-0000-0000-0000E2720000}"/>
    <cellStyle name="Финансовый 2 9 7 3 2 2" xfId="41043" xr:uid="{00000000-0005-0000-0000-0000E3720000}"/>
    <cellStyle name="Финансовый 2 9 7 3 3" xfId="29065" xr:uid="{00000000-0005-0000-0000-0000E4720000}"/>
    <cellStyle name="Финансовый 2 9 7 4" xfId="7720" xr:uid="{00000000-0005-0000-0000-0000E5720000}"/>
    <cellStyle name="Финансовый 2 9 7 4 2" xfId="19698" xr:uid="{00000000-0005-0000-0000-0000E6720000}"/>
    <cellStyle name="Финансовый 2 9 7 4 2 2" xfId="43653" xr:uid="{00000000-0005-0000-0000-0000E7720000}"/>
    <cellStyle name="Финансовый 2 9 7 4 3" xfId="31675" xr:uid="{00000000-0005-0000-0000-0000E8720000}"/>
    <cellStyle name="Финансовый 2 9 7 5" xfId="9503" xr:uid="{00000000-0005-0000-0000-0000E9720000}"/>
    <cellStyle name="Финансовый 2 9 7 5 2" xfId="21481" xr:uid="{00000000-0005-0000-0000-0000EA720000}"/>
    <cellStyle name="Финансовый 2 9 7 5 2 2" xfId="45436" xr:uid="{00000000-0005-0000-0000-0000EB720000}"/>
    <cellStyle name="Финансовый 2 9 7 5 3" xfId="33458" xr:uid="{00000000-0005-0000-0000-0000EC720000}"/>
    <cellStyle name="Финансовый 2 9 7 6" xfId="13661" xr:uid="{00000000-0005-0000-0000-0000ED720000}"/>
    <cellStyle name="Финансовый 2 9 7 6 2" xfId="37616" xr:uid="{00000000-0005-0000-0000-0000EE720000}"/>
    <cellStyle name="Финансовый 2 9 7 7" xfId="25639" xr:uid="{00000000-0005-0000-0000-0000EF720000}"/>
    <cellStyle name="Финансовый 2 9 7 8" xfId="48772" xr:uid="{00000000-0005-0000-0000-0000F0720000}"/>
    <cellStyle name="Финансовый 2 9 8" xfId="959" xr:uid="{00000000-0005-0000-0000-0000F1720000}"/>
    <cellStyle name="Финансовый 2 9 8 2" xfId="6999" xr:uid="{00000000-0005-0000-0000-0000F2720000}"/>
    <cellStyle name="Финансовый 2 9 8 2 2" xfId="18977" xr:uid="{00000000-0005-0000-0000-0000F3720000}"/>
    <cellStyle name="Финансовый 2 9 8 2 2 2" xfId="42932" xr:uid="{00000000-0005-0000-0000-0000F4720000}"/>
    <cellStyle name="Финансовый 2 9 8 2 3" xfId="30954" xr:uid="{00000000-0005-0000-0000-0000F5720000}"/>
    <cellStyle name="Финансовый 2 9 8 3" xfId="10547" xr:uid="{00000000-0005-0000-0000-0000F6720000}"/>
    <cellStyle name="Финансовый 2 9 8 3 2" xfId="22525" xr:uid="{00000000-0005-0000-0000-0000F7720000}"/>
    <cellStyle name="Финансовый 2 9 8 3 2 2" xfId="46480" xr:uid="{00000000-0005-0000-0000-0000F8720000}"/>
    <cellStyle name="Финансовый 2 9 8 3 3" xfId="34502" xr:uid="{00000000-0005-0000-0000-0000F9720000}"/>
    <cellStyle name="Финансовый 2 9 8 4" xfId="12940" xr:uid="{00000000-0005-0000-0000-0000FA720000}"/>
    <cellStyle name="Финансовый 2 9 8 4 2" xfId="36895" xr:uid="{00000000-0005-0000-0000-0000FB720000}"/>
    <cellStyle name="Финансовый 2 9 8 5" xfId="24918" xr:uid="{00000000-0005-0000-0000-0000FC720000}"/>
    <cellStyle name="Финансовый 2 9 8 6" xfId="49824" xr:uid="{00000000-0005-0000-0000-0000FD720000}"/>
    <cellStyle name="Финансовый 2 9 9" xfId="547" xr:uid="{00000000-0005-0000-0000-0000FE720000}"/>
    <cellStyle name="Финансовый 2 9 9 2" xfId="6587" xr:uid="{00000000-0005-0000-0000-0000FF720000}"/>
    <cellStyle name="Финансовый 2 9 9 2 2" xfId="18565" xr:uid="{00000000-0005-0000-0000-000000730000}"/>
    <cellStyle name="Финансовый 2 9 9 2 2 2" xfId="42520" xr:uid="{00000000-0005-0000-0000-000001730000}"/>
    <cellStyle name="Финансовый 2 9 9 2 3" xfId="30542" xr:uid="{00000000-0005-0000-0000-000002730000}"/>
    <cellStyle name="Финансовый 2 9 9 3" xfId="12528" xr:uid="{00000000-0005-0000-0000-000003730000}"/>
    <cellStyle name="Финансовый 2 9 9 3 2" xfId="36483" xr:uid="{00000000-0005-0000-0000-000004730000}"/>
    <cellStyle name="Финансовый 2 9 9 4" xfId="24506" xr:uid="{00000000-0005-0000-0000-000005730000}"/>
    <cellStyle name="Финансовый 20" xfId="2331" xr:uid="{00000000-0005-0000-0000-000006730000}"/>
    <cellStyle name="Финансовый 20 2" xfId="3976" xr:uid="{00000000-0005-0000-0000-000007730000}"/>
    <cellStyle name="Финансовый 20 2 2" xfId="11716" xr:uid="{00000000-0005-0000-0000-000008730000}"/>
    <cellStyle name="Финансовый 20 2 2 2" xfId="23694" xr:uid="{00000000-0005-0000-0000-000009730000}"/>
    <cellStyle name="Финансовый 20 2 2 2 2" xfId="47649" xr:uid="{00000000-0005-0000-0000-00000A730000}"/>
    <cellStyle name="Финансовый 20 2 2 3" xfId="35671" xr:uid="{00000000-0005-0000-0000-00000B730000}"/>
    <cellStyle name="Финансовый 20 2 3" xfId="15955" xr:uid="{00000000-0005-0000-0000-00000C730000}"/>
    <cellStyle name="Финансовый 20 2 3 2" xfId="39910" xr:uid="{00000000-0005-0000-0000-00000D730000}"/>
    <cellStyle name="Финансовый 20 2 4" xfId="27933" xr:uid="{00000000-0005-0000-0000-00000E730000}"/>
    <cellStyle name="Финансовый 20 2 5" xfId="51202" xr:uid="{00000000-0005-0000-0000-00000F730000}"/>
    <cellStyle name="Финансовый 20 3" xfId="5759" xr:uid="{00000000-0005-0000-0000-000010730000}"/>
    <cellStyle name="Финансовый 20 3 2" xfId="17737" xr:uid="{00000000-0005-0000-0000-000011730000}"/>
    <cellStyle name="Финансовый 20 3 2 2" xfId="41692" xr:uid="{00000000-0005-0000-0000-000012730000}"/>
    <cellStyle name="Финансовый 20 3 3" xfId="29714" xr:uid="{00000000-0005-0000-0000-000013730000}"/>
    <cellStyle name="Финансовый 20 4" xfId="8369" xr:uid="{00000000-0005-0000-0000-000014730000}"/>
    <cellStyle name="Финансовый 20 4 2" xfId="20347" xr:uid="{00000000-0005-0000-0000-000015730000}"/>
    <cellStyle name="Финансовый 20 4 2 2" xfId="44302" xr:uid="{00000000-0005-0000-0000-000016730000}"/>
    <cellStyle name="Финансовый 20 4 3" xfId="32324" xr:uid="{00000000-0005-0000-0000-000017730000}"/>
    <cellStyle name="Финансовый 20 5" xfId="10152" xr:uid="{00000000-0005-0000-0000-000018730000}"/>
    <cellStyle name="Финансовый 20 5 2" xfId="22130" xr:uid="{00000000-0005-0000-0000-000019730000}"/>
    <cellStyle name="Финансовый 20 5 2 2" xfId="46085" xr:uid="{00000000-0005-0000-0000-00001A730000}"/>
    <cellStyle name="Финансовый 20 5 3" xfId="34107" xr:uid="{00000000-0005-0000-0000-00001B730000}"/>
    <cellStyle name="Финансовый 20 6" xfId="14310" xr:uid="{00000000-0005-0000-0000-00001C730000}"/>
    <cellStyle name="Финансовый 20 6 2" xfId="38265" xr:uid="{00000000-0005-0000-0000-00001D730000}"/>
    <cellStyle name="Финансовый 20 7" xfId="26288" xr:uid="{00000000-0005-0000-0000-00001E730000}"/>
    <cellStyle name="Финансовый 20 8" xfId="49421" xr:uid="{00000000-0005-0000-0000-00001F730000}"/>
    <cellStyle name="Финансовый 21" xfId="2393" xr:uid="{00000000-0005-0000-0000-000020730000}"/>
    <cellStyle name="Финансовый 21 2" xfId="4038" xr:uid="{00000000-0005-0000-0000-000021730000}"/>
    <cellStyle name="Финансовый 21 2 2" xfId="11778" xr:uid="{00000000-0005-0000-0000-000022730000}"/>
    <cellStyle name="Финансовый 21 2 2 2" xfId="23756" xr:uid="{00000000-0005-0000-0000-000023730000}"/>
    <cellStyle name="Финансовый 21 2 2 2 2" xfId="47711" xr:uid="{00000000-0005-0000-0000-000024730000}"/>
    <cellStyle name="Финансовый 21 2 2 3" xfId="35733" xr:uid="{00000000-0005-0000-0000-000025730000}"/>
    <cellStyle name="Финансовый 21 2 3" xfId="16017" xr:uid="{00000000-0005-0000-0000-000026730000}"/>
    <cellStyle name="Финансовый 21 2 3 2" xfId="39972" xr:uid="{00000000-0005-0000-0000-000027730000}"/>
    <cellStyle name="Финансовый 21 2 4" xfId="27995" xr:uid="{00000000-0005-0000-0000-000028730000}"/>
    <cellStyle name="Финансовый 21 2 5" xfId="51264" xr:uid="{00000000-0005-0000-0000-000029730000}"/>
    <cellStyle name="Финансовый 21 3" xfId="5821" xr:uid="{00000000-0005-0000-0000-00002A730000}"/>
    <cellStyle name="Финансовый 21 3 2" xfId="17799" xr:uid="{00000000-0005-0000-0000-00002B730000}"/>
    <cellStyle name="Финансовый 21 3 2 2" xfId="41754" xr:uid="{00000000-0005-0000-0000-00002C730000}"/>
    <cellStyle name="Финансовый 21 3 3" xfId="29776" xr:uid="{00000000-0005-0000-0000-00002D730000}"/>
    <cellStyle name="Финансовый 21 4" xfId="8431" xr:uid="{00000000-0005-0000-0000-00002E730000}"/>
    <cellStyle name="Финансовый 21 4 2" xfId="20409" xr:uid="{00000000-0005-0000-0000-00002F730000}"/>
    <cellStyle name="Финансовый 21 4 2 2" xfId="44364" xr:uid="{00000000-0005-0000-0000-000030730000}"/>
    <cellStyle name="Финансовый 21 4 3" xfId="32386" xr:uid="{00000000-0005-0000-0000-000031730000}"/>
    <cellStyle name="Финансовый 21 5" xfId="10214" xr:uid="{00000000-0005-0000-0000-000032730000}"/>
    <cellStyle name="Финансовый 21 5 2" xfId="22192" xr:uid="{00000000-0005-0000-0000-000033730000}"/>
    <cellStyle name="Финансовый 21 5 2 2" xfId="46147" xr:uid="{00000000-0005-0000-0000-000034730000}"/>
    <cellStyle name="Финансовый 21 5 3" xfId="34169" xr:uid="{00000000-0005-0000-0000-000035730000}"/>
    <cellStyle name="Финансовый 21 6" xfId="14372" xr:uid="{00000000-0005-0000-0000-000036730000}"/>
    <cellStyle name="Финансовый 21 6 2" xfId="38327" xr:uid="{00000000-0005-0000-0000-000037730000}"/>
    <cellStyle name="Финансовый 21 7" xfId="26350" xr:uid="{00000000-0005-0000-0000-000038730000}"/>
    <cellStyle name="Финансовый 21 8" xfId="49483" xr:uid="{00000000-0005-0000-0000-000039730000}"/>
    <cellStyle name="Финансовый 22" xfId="2606" xr:uid="{00000000-0005-0000-0000-00003A730000}"/>
    <cellStyle name="Финансовый 22 2" xfId="4251" xr:uid="{00000000-0005-0000-0000-00003B730000}"/>
    <cellStyle name="Финансовый 22 2 2" xfId="11975" xr:uid="{00000000-0005-0000-0000-00003C730000}"/>
    <cellStyle name="Финансовый 22 2 2 2" xfId="23953" xr:uid="{00000000-0005-0000-0000-00003D730000}"/>
    <cellStyle name="Финансовый 22 2 2 2 2" xfId="47908" xr:uid="{00000000-0005-0000-0000-00003E730000}"/>
    <cellStyle name="Финансовый 22 2 2 3" xfId="35930" xr:uid="{00000000-0005-0000-0000-00003F730000}"/>
    <cellStyle name="Финансовый 22 2 3" xfId="16230" xr:uid="{00000000-0005-0000-0000-000040730000}"/>
    <cellStyle name="Финансовый 22 2 3 2" xfId="40185" xr:uid="{00000000-0005-0000-0000-000041730000}"/>
    <cellStyle name="Финансовый 22 2 4" xfId="28208" xr:uid="{00000000-0005-0000-0000-000042730000}"/>
    <cellStyle name="Финансовый 22 2 5" xfId="51477" xr:uid="{00000000-0005-0000-0000-000043730000}"/>
    <cellStyle name="Финансовый 22 3" xfId="6034" xr:uid="{00000000-0005-0000-0000-000044730000}"/>
    <cellStyle name="Финансовый 22 3 2" xfId="18012" xr:uid="{00000000-0005-0000-0000-000045730000}"/>
    <cellStyle name="Финансовый 22 3 2 2" xfId="41967" xr:uid="{00000000-0005-0000-0000-000046730000}"/>
    <cellStyle name="Финансовый 22 3 3" xfId="29989" xr:uid="{00000000-0005-0000-0000-000047730000}"/>
    <cellStyle name="Финансовый 22 4" xfId="8644" xr:uid="{00000000-0005-0000-0000-000048730000}"/>
    <cellStyle name="Финансовый 22 4 2" xfId="20622" xr:uid="{00000000-0005-0000-0000-000049730000}"/>
    <cellStyle name="Финансовый 22 4 2 2" xfId="44577" xr:uid="{00000000-0005-0000-0000-00004A730000}"/>
    <cellStyle name="Финансовый 22 4 3" xfId="32599" xr:uid="{00000000-0005-0000-0000-00004B730000}"/>
    <cellStyle name="Финансовый 22 5" xfId="10427" xr:uid="{00000000-0005-0000-0000-00004C730000}"/>
    <cellStyle name="Финансовый 22 5 2" xfId="22405" xr:uid="{00000000-0005-0000-0000-00004D730000}"/>
    <cellStyle name="Финансовый 22 5 2 2" xfId="46360" xr:uid="{00000000-0005-0000-0000-00004E730000}"/>
    <cellStyle name="Финансовый 22 5 3" xfId="34382" xr:uid="{00000000-0005-0000-0000-00004F730000}"/>
    <cellStyle name="Финансовый 22 6" xfId="14585" xr:uid="{00000000-0005-0000-0000-000050730000}"/>
    <cellStyle name="Финансовый 22 6 2" xfId="38540" xr:uid="{00000000-0005-0000-0000-000051730000}"/>
    <cellStyle name="Финансовый 22 7" xfId="26563" xr:uid="{00000000-0005-0000-0000-000052730000}"/>
    <cellStyle name="Финансовый 22 8" xfId="49696" xr:uid="{00000000-0005-0000-0000-000053730000}"/>
    <cellStyle name="Финансовый 23" xfId="2604" xr:uid="{00000000-0005-0000-0000-000054730000}"/>
    <cellStyle name="Финансовый 23 2" xfId="4249" xr:uid="{00000000-0005-0000-0000-000055730000}"/>
    <cellStyle name="Финансовый 23 2 2" xfId="11973" xr:uid="{00000000-0005-0000-0000-000056730000}"/>
    <cellStyle name="Финансовый 23 2 2 2" xfId="23951" xr:uid="{00000000-0005-0000-0000-000057730000}"/>
    <cellStyle name="Финансовый 23 2 2 2 2" xfId="47906" xr:uid="{00000000-0005-0000-0000-000058730000}"/>
    <cellStyle name="Финансовый 23 2 2 3" xfId="35928" xr:uid="{00000000-0005-0000-0000-000059730000}"/>
    <cellStyle name="Финансовый 23 2 3" xfId="16228" xr:uid="{00000000-0005-0000-0000-00005A730000}"/>
    <cellStyle name="Финансовый 23 2 3 2" xfId="40183" xr:uid="{00000000-0005-0000-0000-00005B730000}"/>
    <cellStyle name="Финансовый 23 2 4" xfId="28206" xr:uid="{00000000-0005-0000-0000-00005C730000}"/>
    <cellStyle name="Финансовый 23 2 5" xfId="51475" xr:uid="{00000000-0005-0000-0000-00005D730000}"/>
    <cellStyle name="Финансовый 23 3" xfId="6032" xr:uid="{00000000-0005-0000-0000-00005E730000}"/>
    <cellStyle name="Финансовый 23 3 2" xfId="18010" xr:uid="{00000000-0005-0000-0000-00005F730000}"/>
    <cellStyle name="Финансовый 23 3 2 2" xfId="41965" xr:uid="{00000000-0005-0000-0000-000060730000}"/>
    <cellStyle name="Финансовый 23 3 3" xfId="29987" xr:uid="{00000000-0005-0000-0000-000061730000}"/>
    <cellStyle name="Финансовый 23 4" xfId="8642" xr:uid="{00000000-0005-0000-0000-000062730000}"/>
    <cellStyle name="Финансовый 23 4 2" xfId="20620" xr:uid="{00000000-0005-0000-0000-000063730000}"/>
    <cellStyle name="Финансовый 23 4 2 2" xfId="44575" xr:uid="{00000000-0005-0000-0000-000064730000}"/>
    <cellStyle name="Финансовый 23 4 3" xfId="32597" xr:uid="{00000000-0005-0000-0000-000065730000}"/>
    <cellStyle name="Финансовый 23 5" xfId="10425" xr:uid="{00000000-0005-0000-0000-000066730000}"/>
    <cellStyle name="Финансовый 23 5 2" xfId="22403" xr:uid="{00000000-0005-0000-0000-000067730000}"/>
    <cellStyle name="Финансовый 23 5 2 2" xfId="46358" xr:uid="{00000000-0005-0000-0000-000068730000}"/>
    <cellStyle name="Финансовый 23 5 3" xfId="34380" xr:uid="{00000000-0005-0000-0000-000069730000}"/>
    <cellStyle name="Финансовый 23 6" xfId="14583" xr:uid="{00000000-0005-0000-0000-00006A730000}"/>
    <cellStyle name="Финансовый 23 6 2" xfId="38538" xr:uid="{00000000-0005-0000-0000-00006B730000}"/>
    <cellStyle name="Финансовый 23 7" xfId="26561" xr:uid="{00000000-0005-0000-0000-00006C730000}"/>
    <cellStyle name="Финансовый 23 8" xfId="49694" xr:uid="{00000000-0005-0000-0000-00006D730000}"/>
    <cellStyle name="Финансовый 24" xfId="2610" xr:uid="{00000000-0005-0000-0000-00006E730000}"/>
    <cellStyle name="Финансовый 24 2" xfId="4255" xr:uid="{00000000-0005-0000-0000-00006F730000}"/>
    <cellStyle name="Финансовый 24 2 2" xfId="11979" xr:uid="{00000000-0005-0000-0000-000070730000}"/>
    <cellStyle name="Финансовый 24 2 2 2" xfId="23957" xr:uid="{00000000-0005-0000-0000-000071730000}"/>
    <cellStyle name="Финансовый 24 2 2 2 2" xfId="47912" xr:uid="{00000000-0005-0000-0000-000072730000}"/>
    <cellStyle name="Финансовый 24 2 2 3" xfId="35934" xr:uid="{00000000-0005-0000-0000-000073730000}"/>
    <cellStyle name="Финансовый 24 2 3" xfId="16234" xr:uid="{00000000-0005-0000-0000-000074730000}"/>
    <cellStyle name="Финансовый 24 2 3 2" xfId="40189" xr:uid="{00000000-0005-0000-0000-000075730000}"/>
    <cellStyle name="Финансовый 24 2 4" xfId="28212" xr:uid="{00000000-0005-0000-0000-000076730000}"/>
    <cellStyle name="Финансовый 24 2 5" xfId="51481" xr:uid="{00000000-0005-0000-0000-000077730000}"/>
    <cellStyle name="Финансовый 24 3" xfId="6038" xr:uid="{00000000-0005-0000-0000-000078730000}"/>
    <cellStyle name="Финансовый 24 3 2" xfId="18016" xr:uid="{00000000-0005-0000-0000-000079730000}"/>
    <cellStyle name="Финансовый 24 3 2 2" xfId="41971" xr:uid="{00000000-0005-0000-0000-00007A730000}"/>
    <cellStyle name="Финансовый 24 3 3" xfId="29993" xr:uid="{00000000-0005-0000-0000-00007B730000}"/>
    <cellStyle name="Финансовый 24 4" xfId="8648" xr:uid="{00000000-0005-0000-0000-00007C730000}"/>
    <cellStyle name="Финансовый 24 4 2" xfId="20626" xr:uid="{00000000-0005-0000-0000-00007D730000}"/>
    <cellStyle name="Финансовый 24 4 2 2" xfId="44581" xr:uid="{00000000-0005-0000-0000-00007E730000}"/>
    <cellStyle name="Финансовый 24 4 3" xfId="32603" xr:uid="{00000000-0005-0000-0000-00007F730000}"/>
    <cellStyle name="Финансовый 24 5" xfId="10431" xr:uid="{00000000-0005-0000-0000-000080730000}"/>
    <cellStyle name="Финансовый 24 5 2" xfId="22409" xr:uid="{00000000-0005-0000-0000-000081730000}"/>
    <cellStyle name="Финансовый 24 5 2 2" xfId="46364" xr:uid="{00000000-0005-0000-0000-000082730000}"/>
    <cellStyle name="Финансовый 24 5 3" xfId="34386" xr:uid="{00000000-0005-0000-0000-000083730000}"/>
    <cellStyle name="Финансовый 24 6" xfId="14589" xr:uid="{00000000-0005-0000-0000-000084730000}"/>
    <cellStyle name="Финансовый 24 6 2" xfId="38544" xr:uid="{00000000-0005-0000-0000-000085730000}"/>
    <cellStyle name="Финансовый 24 7" xfId="26567" xr:uid="{00000000-0005-0000-0000-000086730000}"/>
    <cellStyle name="Финансовый 24 8" xfId="49700" xr:uid="{00000000-0005-0000-0000-000087730000}"/>
    <cellStyle name="Финансовый 25" xfId="2608" xr:uid="{00000000-0005-0000-0000-000088730000}"/>
    <cellStyle name="Финансовый 25 2" xfId="4253" xr:uid="{00000000-0005-0000-0000-000089730000}"/>
    <cellStyle name="Финансовый 25 2 2" xfId="11977" xr:uid="{00000000-0005-0000-0000-00008A730000}"/>
    <cellStyle name="Финансовый 25 2 2 2" xfId="23955" xr:uid="{00000000-0005-0000-0000-00008B730000}"/>
    <cellStyle name="Финансовый 25 2 2 2 2" xfId="47910" xr:uid="{00000000-0005-0000-0000-00008C730000}"/>
    <cellStyle name="Финансовый 25 2 2 3" xfId="35932" xr:uid="{00000000-0005-0000-0000-00008D730000}"/>
    <cellStyle name="Финансовый 25 2 3" xfId="16232" xr:uid="{00000000-0005-0000-0000-00008E730000}"/>
    <cellStyle name="Финансовый 25 2 3 2" xfId="40187" xr:uid="{00000000-0005-0000-0000-00008F730000}"/>
    <cellStyle name="Финансовый 25 2 4" xfId="28210" xr:uid="{00000000-0005-0000-0000-000090730000}"/>
    <cellStyle name="Финансовый 25 2 5" xfId="51479" xr:uid="{00000000-0005-0000-0000-000091730000}"/>
    <cellStyle name="Финансовый 25 3" xfId="6036" xr:uid="{00000000-0005-0000-0000-000092730000}"/>
    <cellStyle name="Финансовый 25 3 2" xfId="18014" xr:uid="{00000000-0005-0000-0000-000093730000}"/>
    <cellStyle name="Финансовый 25 3 2 2" xfId="41969" xr:uid="{00000000-0005-0000-0000-000094730000}"/>
    <cellStyle name="Финансовый 25 3 3" xfId="29991" xr:uid="{00000000-0005-0000-0000-000095730000}"/>
    <cellStyle name="Финансовый 25 4" xfId="8646" xr:uid="{00000000-0005-0000-0000-000096730000}"/>
    <cellStyle name="Финансовый 25 4 2" xfId="20624" xr:uid="{00000000-0005-0000-0000-000097730000}"/>
    <cellStyle name="Финансовый 25 4 2 2" xfId="44579" xr:uid="{00000000-0005-0000-0000-000098730000}"/>
    <cellStyle name="Финансовый 25 4 3" xfId="32601" xr:uid="{00000000-0005-0000-0000-000099730000}"/>
    <cellStyle name="Финансовый 25 5" xfId="10429" xr:uid="{00000000-0005-0000-0000-00009A730000}"/>
    <cellStyle name="Финансовый 25 5 2" xfId="22407" xr:uid="{00000000-0005-0000-0000-00009B730000}"/>
    <cellStyle name="Финансовый 25 5 2 2" xfId="46362" xr:uid="{00000000-0005-0000-0000-00009C730000}"/>
    <cellStyle name="Финансовый 25 5 3" xfId="34384" xr:uid="{00000000-0005-0000-0000-00009D730000}"/>
    <cellStyle name="Финансовый 25 6" xfId="14587" xr:uid="{00000000-0005-0000-0000-00009E730000}"/>
    <cellStyle name="Финансовый 25 6 2" xfId="38542" xr:uid="{00000000-0005-0000-0000-00009F730000}"/>
    <cellStyle name="Финансовый 25 7" xfId="26565" xr:uid="{00000000-0005-0000-0000-0000A0730000}"/>
    <cellStyle name="Финансовый 25 8" xfId="49698" xr:uid="{00000000-0005-0000-0000-0000A1730000}"/>
    <cellStyle name="Финансовый 26" xfId="2607" xr:uid="{00000000-0005-0000-0000-0000A2730000}"/>
    <cellStyle name="Финансовый 26 2" xfId="4252" xr:uid="{00000000-0005-0000-0000-0000A3730000}"/>
    <cellStyle name="Финансовый 26 2 2" xfId="11976" xr:uid="{00000000-0005-0000-0000-0000A4730000}"/>
    <cellStyle name="Финансовый 26 2 2 2" xfId="23954" xr:uid="{00000000-0005-0000-0000-0000A5730000}"/>
    <cellStyle name="Финансовый 26 2 2 2 2" xfId="47909" xr:uid="{00000000-0005-0000-0000-0000A6730000}"/>
    <cellStyle name="Финансовый 26 2 2 3" xfId="35931" xr:uid="{00000000-0005-0000-0000-0000A7730000}"/>
    <cellStyle name="Финансовый 26 2 3" xfId="16231" xr:uid="{00000000-0005-0000-0000-0000A8730000}"/>
    <cellStyle name="Финансовый 26 2 3 2" xfId="40186" xr:uid="{00000000-0005-0000-0000-0000A9730000}"/>
    <cellStyle name="Финансовый 26 2 4" xfId="28209" xr:uid="{00000000-0005-0000-0000-0000AA730000}"/>
    <cellStyle name="Финансовый 26 2 5" xfId="51478" xr:uid="{00000000-0005-0000-0000-0000AB730000}"/>
    <cellStyle name="Финансовый 26 3" xfId="6035" xr:uid="{00000000-0005-0000-0000-0000AC730000}"/>
    <cellStyle name="Финансовый 26 3 2" xfId="18013" xr:uid="{00000000-0005-0000-0000-0000AD730000}"/>
    <cellStyle name="Финансовый 26 3 2 2" xfId="41968" xr:uid="{00000000-0005-0000-0000-0000AE730000}"/>
    <cellStyle name="Финансовый 26 3 3" xfId="29990" xr:uid="{00000000-0005-0000-0000-0000AF730000}"/>
    <cellStyle name="Финансовый 26 4" xfId="8645" xr:uid="{00000000-0005-0000-0000-0000B0730000}"/>
    <cellStyle name="Финансовый 26 4 2" xfId="20623" xr:uid="{00000000-0005-0000-0000-0000B1730000}"/>
    <cellStyle name="Финансовый 26 4 2 2" xfId="44578" xr:uid="{00000000-0005-0000-0000-0000B2730000}"/>
    <cellStyle name="Финансовый 26 4 3" xfId="32600" xr:uid="{00000000-0005-0000-0000-0000B3730000}"/>
    <cellStyle name="Финансовый 26 5" xfId="10428" xr:uid="{00000000-0005-0000-0000-0000B4730000}"/>
    <cellStyle name="Финансовый 26 5 2" xfId="22406" xr:uid="{00000000-0005-0000-0000-0000B5730000}"/>
    <cellStyle name="Финансовый 26 5 2 2" xfId="46361" xr:uid="{00000000-0005-0000-0000-0000B6730000}"/>
    <cellStyle name="Финансовый 26 5 3" xfId="34383" xr:uid="{00000000-0005-0000-0000-0000B7730000}"/>
    <cellStyle name="Финансовый 26 6" xfId="14586" xr:uid="{00000000-0005-0000-0000-0000B8730000}"/>
    <cellStyle name="Финансовый 26 6 2" xfId="38541" xr:uid="{00000000-0005-0000-0000-0000B9730000}"/>
    <cellStyle name="Финансовый 26 7" xfId="26564" xr:uid="{00000000-0005-0000-0000-0000BA730000}"/>
    <cellStyle name="Финансовый 26 8" xfId="49697" xr:uid="{00000000-0005-0000-0000-0000BB730000}"/>
    <cellStyle name="Финансовый 27" xfId="2605" xr:uid="{00000000-0005-0000-0000-0000BC730000}"/>
    <cellStyle name="Финансовый 27 2" xfId="4250" xr:uid="{00000000-0005-0000-0000-0000BD730000}"/>
    <cellStyle name="Финансовый 27 2 2" xfId="11974" xr:uid="{00000000-0005-0000-0000-0000BE730000}"/>
    <cellStyle name="Финансовый 27 2 2 2" xfId="23952" xr:uid="{00000000-0005-0000-0000-0000BF730000}"/>
    <cellStyle name="Финансовый 27 2 2 2 2" xfId="47907" xr:uid="{00000000-0005-0000-0000-0000C0730000}"/>
    <cellStyle name="Финансовый 27 2 2 3" xfId="35929" xr:uid="{00000000-0005-0000-0000-0000C1730000}"/>
    <cellStyle name="Финансовый 27 2 3" xfId="16229" xr:uid="{00000000-0005-0000-0000-0000C2730000}"/>
    <cellStyle name="Финансовый 27 2 3 2" xfId="40184" xr:uid="{00000000-0005-0000-0000-0000C3730000}"/>
    <cellStyle name="Финансовый 27 2 4" xfId="28207" xr:uid="{00000000-0005-0000-0000-0000C4730000}"/>
    <cellStyle name="Финансовый 27 2 5" xfId="51476" xr:uid="{00000000-0005-0000-0000-0000C5730000}"/>
    <cellStyle name="Финансовый 27 3" xfId="6033" xr:uid="{00000000-0005-0000-0000-0000C6730000}"/>
    <cellStyle name="Финансовый 27 3 2" xfId="18011" xr:uid="{00000000-0005-0000-0000-0000C7730000}"/>
    <cellStyle name="Финансовый 27 3 2 2" xfId="41966" xr:uid="{00000000-0005-0000-0000-0000C8730000}"/>
    <cellStyle name="Финансовый 27 3 3" xfId="29988" xr:uid="{00000000-0005-0000-0000-0000C9730000}"/>
    <cellStyle name="Финансовый 27 4" xfId="8643" xr:uid="{00000000-0005-0000-0000-0000CA730000}"/>
    <cellStyle name="Финансовый 27 4 2" xfId="20621" xr:uid="{00000000-0005-0000-0000-0000CB730000}"/>
    <cellStyle name="Финансовый 27 4 2 2" xfId="44576" xr:uid="{00000000-0005-0000-0000-0000CC730000}"/>
    <cellStyle name="Финансовый 27 4 3" xfId="32598" xr:uid="{00000000-0005-0000-0000-0000CD730000}"/>
    <cellStyle name="Финансовый 27 5" xfId="10426" xr:uid="{00000000-0005-0000-0000-0000CE730000}"/>
    <cellStyle name="Финансовый 27 5 2" xfId="22404" xr:uid="{00000000-0005-0000-0000-0000CF730000}"/>
    <cellStyle name="Финансовый 27 5 2 2" xfId="46359" xr:uid="{00000000-0005-0000-0000-0000D0730000}"/>
    <cellStyle name="Финансовый 27 5 3" xfId="34381" xr:uid="{00000000-0005-0000-0000-0000D1730000}"/>
    <cellStyle name="Финансовый 27 6" xfId="14584" xr:uid="{00000000-0005-0000-0000-0000D2730000}"/>
    <cellStyle name="Финансовый 27 6 2" xfId="38539" xr:uid="{00000000-0005-0000-0000-0000D3730000}"/>
    <cellStyle name="Финансовый 27 7" xfId="26562" xr:uid="{00000000-0005-0000-0000-0000D4730000}"/>
    <cellStyle name="Финансовый 27 8" xfId="49695" xr:uid="{00000000-0005-0000-0000-0000D5730000}"/>
    <cellStyle name="Финансовый 28" xfId="2609" xr:uid="{00000000-0005-0000-0000-0000D6730000}"/>
    <cellStyle name="Финансовый 28 2" xfId="4254" xr:uid="{00000000-0005-0000-0000-0000D7730000}"/>
    <cellStyle name="Финансовый 28 2 2" xfId="11978" xr:uid="{00000000-0005-0000-0000-0000D8730000}"/>
    <cellStyle name="Финансовый 28 2 2 2" xfId="23956" xr:uid="{00000000-0005-0000-0000-0000D9730000}"/>
    <cellStyle name="Финансовый 28 2 2 2 2" xfId="47911" xr:uid="{00000000-0005-0000-0000-0000DA730000}"/>
    <cellStyle name="Финансовый 28 2 2 3" xfId="35933" xr:uid="{00000000-0005-0000-0000-0000DB730000}"/>
    <cellStyle name="Финансовый 28 2 3" xfId="16233" xr:uid="{00000000-0005-0000-0000-0000DC730000}"/>
    <cellStyle name="Финансовый 28 2 3 2" xfId="40188" xr:uid="{00000000-0005-0000-0000-0000DD730000}"/>
    <cellStyle name="Финансовый 28 2 4" xfId="28211" xr:uid="{00000000-0005-0000-0000-0000DE730000}"/>
    <cellStyle name="Финансовый 28 2 5" xfId="51480" xr:uid="{00000000-0005-0000-0000-0000DF730000}"/>
    <cellStyle name="Финансовый 28 3" xfId="6037" xr:uid="{00000000-0005-0000-0000-0000E0730000}"/>
    <cellStyle name="Финансовый 28 3 2" xfId="18015" xr:uid="{00000000-0005-0000-0000-0000E1730000}"/>
    <cellStyle name="Финансовый 28 3 2 2" xfId="41970" xr:uid="{00000000-0005-0000-0000-0000E2730000}"/>
    <cellStyle name="Финансовый 28 3 3" xfId="29992" xr:uid="{00000000-0005-0000-0000-0000E3730000}"/>
    <cellStyle name="Финансовый 28 4" xfId="8647" xr:uid="{00000000-0005-0000-0000-0000E4730000}"/>
    <cellStyle name="Финансовый 28 4 2" xfId="20625" xr:uid="{00000000-0005-0000-0000-0000E5730000}"/>
    <cellStyle name="Финансовый 28 4 2 2" xfId="44580" xr:uid="{00000000-0005-0000-0000-0000E6730000}"/>
    <cellStyle name="Финансовый 28 4 3" xfId="32602" xr:uid="{00000000-0005-0000-0000-0000E7730000}"/>
    <cellStyle name="Финансовый 28 5" xfId="10430" xr:uid="{00000000-0005-0000-0000-0000E8730000}"/>
    <cellStyle name="Финансовый 28 5 2" xfId="22408" xr:uid="{00000000-0005-0000-0000-0000E9730000}"/>
    <cellStyle name="Финансовый 28 5 2 2" xfId="46363" xr:uid="{00000000-0005-0000-0000-0000EA730000}"/>
    <cellStyle name="Финансовый 28 5 3" xfId="34385" xr:uid="{00000000-0005-0000-0000-0000EB730000}"/>
    <cellStyle name="Финансовый 28 6" xfId="14588" xr:uid="{00000000-0005-0000-0000-0000EC730000}"/>
    <cellStyle name="Финансовый 28 6 2" xfId="38543" xr:uid="{00000000-0005-0000-0000-0000ED730000}"/>
    <cellStyle name="Финансовый 28 7" xfId="26566" xr:uid="{00000000-0005-0000-0000-0000EE730000}"/>
    <cellStyle name="Финансовый 28 8" xfId="49699" xr:uid="{00000000-0005-0000-0000-0000EF730000}"/>
    <cellStyle name="Финансовый 29" xfId="1558" xr:uid="{00000000-0005-0000-0000-0000F0730000}"/>
    <cellStyle name="Финансовый 29 2" xfId="3203" xr:uid="{00000000-0005-0000-0000-0000F1730000}"/>
    <cellStyle name="Финансовый 29 2 2" xfId="10959" xr:uid="{00000000-0005-0000-0000-0000F2730000}"/>
    <cellStyle name="Финансовый 29 2 2 2" xfId="22937" xr:uid="{00000000-0005-0000-0000-0000F3730000}"/>
    <cellStyle name="Финансовый 29 2 2 2 2" xfId="46892" xr:uid="{00000000-0005-0000-0000-0000F4730000}"/>
    <cellStyle name="Финансовый 29 2 2 3" xfId="34914" xr:uid="{00000000-0005-0000-0000-0000F5730000}"/>
    <cellStyle name="Финансовый 29 2 3" xfId="15182" xr:uid="{00000000-0005-0000-0000-0000F6730000}"/>
    <cellStyle name="Финансовый 29 2 3 2" xfId="39137" xr:uid="{00000000-0005-0000-0000-0000F7730000}"/>
    <cellStyle name="Финансовый 29 2 4" xfId="27160" xr:uid="{00000000-0005-0000-0000-0000F8730000}"/>
    <cellStyle name="Финансовый 29 2 5" xfId="50429" xr:uid="{00000000-0005-0000-0000-0000F9730000}"/>
    <cellStyle name="Финансовый 29 3" xfId="4986" xr:uid="{00000000-0005-0000-0000-0000FA730000}"/>
    <cellStyle name="Финансовый 29 3 2" xfId="16964" xr:uid="{00000000-0005-0000-0000-0000FB730000}"/>
    <cellStyle name="Финансовый 29 3 2 2" xfId="40919" xr:uid="{00000000-0005-0000-0000-0000FC730000}"/>
    <cellStyle name="Финансовый 29 3 3" xfId="28941" xr:uid="{00000000-0005-0000-0000-0000FD730000}"/>
    <cellStyle name="Финансовый 29 4" xfId="7596" xr:uid="{00000000-0005-0000-0000-0000FE730000}"/>
    <cellStyle name="Финансовый 29 4 2" xfId="19574" xr:uid="{00000000-0005-0000-0000-0000FF730000}"/>
    <cellStyle name="Финансовый 29 4 2 2" xfId="43529" xr:uid="{00000000-0005-0000-0000-000000740000}"/>
    <cellStyle name="Финансовый 29 4 3" xfId="31551" xr:uid="{00000000-0005-0000-0000-000001740000}"/>
    <cellStyle name="Финансовый 29 5" xfId="9379" xr:uid="{00000000-0005-0000-0000-000002740000}"/>
    <cellStyle name="Финансовый 29 5 2" xfId="21357" xr:uid="{00000000-0005-0000-0000-000003740000}"/>
    <cellStyle name="Финансовый 29 5 2 2" xfId="45312" xr:uid="{00000000-0005-0000-0000-000004740000}"/>
    <cellStyle name="Финансовый 29 5 3" xfId="33334" xr:uid="{00000000-0005-0000-0000-000005740000}"/>
    <cellStyle name="Финансовый 29 6" xfId="13537" xr:uid="{00000000-0005-0000-0000-000006740000}"/>
    <cellStyle name="Финансовый 29 6 2" xfId="37492" xr:uid="{00000000-0005-0000-0000-000007740000}"/>
    <cellStyle name="Финансовый 29 7" xfId="25515" xr:uid="{00000000-0005-0000-0000-000008740000}"/>
    <cellStyle name="Финансовый 29 8" xfId="48648" xr:uid="{00000000-0005-0000-0000-000009740000}"/>
    <cellStyle name="Финансовый 3" xfId="3" xr:uid="{00000000-0005-0000-0000-00000A740000}"/>
    <cellStyle name="Финансовый 3 10" xfId="27" xr:uid="{00000000-0005-0000-0000-00000B740000}"/>
    <cellStyle name="Финансовый 3 10 10" xfId="2639" xr:uid="{00000000-0005-0000-0000-00000C740000}"/>
    <cellStyle name="Финансовый 3 10 10 2" xfId="14618" xr:uid="{00000000-0005-0000-0000-00000D740000}"/>
    <cellStyle name="Финансовый 3 10 10 2 2" xfId="38573" xr:uid="{00000000-0005-0000-0000-00000E740000}"/>
    <cellStyle name="Финансовый 3 10 10 3" xfId="26596" xr:uid="{00000000-0005-0000-0000-00000F740000}"/>
    <cellStyle name="Финансовый 3 10 11" xfId="4282" xr:uid="{00000000-0005-0000-0000-000010740000}"/>
    <cellStyle name="Финансовый 3 10 11 2" xfId="16261" xr:uid="{00000000-0005-0000-0000-000011740000}"/>
    <cellStyle name="Финансовый 3 10 11 2 2" xfId="40216" xr:uid="{00000000-0005-0000-0000-000012740000}"/>
    <cellStyle name="Финансовый 3 10 11 3" xfId="28239" xr:uid="{00000000-0005-0000-0000-000013740000}"/>
    <cellStyle name="Финансовый 3 10 12" xfId="6070" xr:uid="{00000000-0005-0000-0000-000014740000}"/>
    <cellStyle name="Финансовый 3 10 12 2" xfId="18048" xr:uid="{00000000-0005-0000-0000-000015740000}"/>
    <cellStyle name="Финансовый 3 10 12 2 2" xfId="42003" xr:uid="{00000000-0005-0000-0000-000016740000}"/>
    <cellStyle name="Финансовый 3 10 12 3" xfId="30025" xr:uid="{00000000-0005-0000-0000-000017740000}"/>
    <cellStyle name="Финансовый 3 10 13" xfId="8677" xr:uid="{00000000-0005-0000-0000-000018740000}"/>
    <cellStyle name="Финансовый 3 10 13 2" xfId="20655" xr:uid="{00000000-0005-0000-0000-000019740000}"/>
    <cellStyle name="Финансовый 3 10 13 2 2" xfId="44610" xr:uid="{00000000-0005-0000-0000-00001A740000}"/>
    <cellStyle name="Финансовый 3 10 13 3" xfId="32632" xr:uid="{00000000-0005-0000-0000-00001B740000}"/>
    <cellStyle name="Финансовый 3 10 14" xfId="12011" xr:uid="{00000000-0005-0000-0000-00001C740000}"/>
    <cellStyle name="Финансовый 3 10 14 2" xfId="35966" xr:uid="{00000000-0005-0000-0000-00001D740000}"/>
    <cellStyle name="Финансовый 3 10 15" xfId="23989" xr:uid="{00000000-0005-0000-0000-00001E740000}"/>
    <cellStyle name="Финансовый 3 10 16" xfId="47947" xr:uid="{00000000-0005-0000-0000-00001F740000}"/>
    <cellStyle name="Финансовый 3 10 2" xfId="165" xr:uid="{00000000-0005-0000-0000-000020740000}"/>
    <cellStyle name="Финансовый 3 10 2 10" xfId="8813" xr:uid="{00000000-0005-0000-0000-000021740000}"/>
    <cellStyle name="Финансовый 3 10 2 10 2" xfId="20791" xr:uid="{00000000-0005-0000-0000-000022740000}"/>
    <cellStyle name="Финансовый 3 10 2 10 2 2" xfId="44746" xr:uid="{00000000-0005-0000-0000-000023740000}"/>
    <cellStyle name="Финансовый 3 10 2 10 3" xfId="32768" xr:uid="{00000000-0005-0000-0000-000024740000}"/>
    <cellStyle name="Финансовый 3 10 2 11" xfId="12147" xr:uid="{00000000-0005-0000-0000-000025740000}"/>
    <cellStyle name="Финансовый 3 10 2 11 2" xfId="36102" xr:uid="{00000000-0005-0000-0000-000026740000}"/>
    <cellStyle name="Финансовый 3 10 2 12" xfId="24125" xr:uid="{00000000-0005-0000-0000-000027740000}"/>
    <cellStyle name="Финансовый 3 10 2 13" xfId="48083" xr:uid="{00000000-0005-0000-0000-000028740000}"/>
    <cellStyle name="Финансовый 3 10 2 2" xfId="1263" xr:uid="{00000000-0005-0000-0000-000029740000}"/>
    <cellStyle name="Финансовый 3 10 2 2 2" xfId="2229" xr:uid="{00000000-0005-0000-0000-00002A740000}"/>
    <cellStyle name="Финансовый 3 10 2 2 2 2" xfId="3874" xr:uid="{00000000-0005-0000-0000-00002B740000}"/>
    <cellStyle name="Финансовый 3 10 2 2 2 2 2" xfId="11614" xr:uid="{00000000-0005-0000-0000-00002C740000}"/>
    <cellStyle name="Финансовый 3 10 2 2 2 2 2 2" xfId="23592" xr:uid="{00000000-0005-0000-0000-00002D740000}"/>
    <cellStyle name="Финансовый 3 10 2 2 2 2 2 2 2" xfId="47547" xr:uid="{00000000-0005-0000-0000-00002E740000}"/>
    <cellStyle name="Финансовый 3 10 2 2 2 2 2 3" xfId="35569" xr:uid="{00000000-0005-0000-0000-00002F740000}"/>
    <cellStyle name="Финансовый 3 10 2 2 2 2 3" xfId="15853" xr:uid="{00000000-0005-0000-0000-000030740000}"/>
    <cellStyle name="Финансовый 3 10 2 2 2 2 3 2" xfId="39808" xr:uid="{00000000-0005-0000-0000-000031740000}"/>
    <cellStyle name="Финансовый 3 10 2 2 2 2 4" xfId="27831" xr:uid="{00000000-0005-0000-0000-000032740000}"/>
    <cellStyle name="Финансовый 3 10 2 2 2 2 5" xfId="51100" xr:uid="{00000000-0005-0000-0000-000033740000}"/>
    <cellStyle name="Финансовый 3 10 2 2 2 3" xfId="5657" xr:uid="{00000000-0005-0000-0000-000034740000}"/>
    <cellStyle name="Финансовый 3 10 2 2 2 3 2" xfId="17635" xr:uid="{00000000-0005-0000-0000-000035740000}"/>
    <cellStyle name="Финансовый 3 10 2 2 2 3 2 2" xfId="41590" xr:uid="{00000000-0005-0000-0000-000036740000}"/>
    <cellStyle name="Финансовый 3 10 2 2 2 3 3" xfId="29612" xr:uid="{00000000-0005-0000-0000-000037740000}"/>
    <cellStyle name="Финансовый 3 10 2 2 2 4" xfId="8267" xr:uid="{00000000-0005-0000-0000-000038740000}"/>
    <cellStyle name="Финансовый 3 10 2 2 2 4 2" xfId="20245" xr:uid="{00000000-0005-0000-0000-000039740000}"/>
    <cellStyle name="Финансовый 3 10 2 2 2 4 2 2" xfId="44200" xr:uid="{00000000-0005-0000-0000-00003A740000}"/>
    <cellStyle name="Финансовый 3 10 2 2 2 4 3" xfId="32222" xr:uid="{00000000-0005-0000-0000-00003B740000}"/>
    <cellStyle name="Финансовый 3 10 2 2 2 5" xfId="10050" xr:uid="{00000000-0005-0000-0000-00003C740000}"/>
    <cellStyle name="Финансовый 3 10 2 2 2 5 2" xfId="22028" xr:uid="{00000000-0005-0000-0000-00003D740000}"/>
    <cellStyle name="Финансовый 3 10 2 2 2 5 2 2" xfId="45983" xr:uid="{00000000-0005-0000-0000-00003E740000}"/>
    <cellStyle name="Финансовый 3 10 2 2 2 5 3" xfId="34005" xr:uid="{00000000-0005-0000-0000-00003F740000}"/>
    <cellStyle name="Финансовый 3 10 2 2 2 6" xfId="14208" xr:uid="{00000000-0005-0000-0000-000040740000}"/>
    <cellStyle name="Финансовый 3 10 2 2 2 6 2" xfId="38163" xr:uid="{00000000-0005-0000-0000-000041740000}"/>
    <cellStyle name="Финансовый 3 10 2 2 2 7" xfId="26186" xr:uid="{00000000-0005-0000-0000-000042740000}"/>
    <cellStyle name="Финансовый 3 10 2 2 2 8" xfId="49319" xr:uid="{00000000-0005-0000-0000-000043740000}"/>
    <cellStyle name="Финансовый 3 10 2 2 3" xfId="3047" xr:uid="{00000000-0005-0000-0000-000044740000}"/>
    <cellStyle name="Финансовый 3 10 2 2 3 2" xfId="10842" xr:uid="{00000000-0005-0000-0000-000045740000}"/>
    <cellStyle name="Финансовый 3 10 2 2 3 2 2" xfId="22820" xr:uid="{00000000-0005-0000-0000-000046740000}"/>
    <cellStyle name="Финансовый 3 10 2 2 3 2 2 2" xfId="46775" xr:uid="{00000000-0005-0000-0000-000047740000}"/>
    <cellStyle name="Финансовый 3 10 2 2 3 2 3" xfId="34797" xr:uid="{00000000-0005-0000-0000-000048740000}"/>
    <cellStyle name="Финансовый 3 10 2 2 3 3" xfId="15026" xr:uid="{00000000-0005-0000-0000-000049740000}"/>
    <cellStyle name="Финансовый 3 10 2 2 3 3 2" xfId="38981" xr:uid="{00000000-0005-0000-0000-00004A740000}"/>
    <cellStyle name="Финансовый 3 10 2 2 3 4" xfId="27004" xr:uid="{00000000-0005-0000-0000-00004B740000}"/>
    <cellStyle name="Финансовый 3 10 2 2 3 5" xfId="50135" xr:uid="{00000000-0005-0000-0000-00004C740000}"/>
    <cellStyle name="Финансовый 3 10 2 2 4" xfId="4691" xr:uid="{00000000-0005-0000-0000-00004D740000}"/>
    <cellStyle name="Финансовый 3 10 2 2 4 2" xfId="16670" xr:uid="{00000000-0005-0000-0000-00004E740000}"/>
    <cellStyle name="Финансовый 3 10 2 2 4 2 2" xfId="40625" xr:uid="{00000000-0005-0000-0000-00004F740000}"/>
    <cellStyle name="Финансовый 3 10 2 2 4 3" xfId="28648" xr:uid="{00000000-0005-0000-0000-000050740000}"/>
    <cellStyle name="Финансовый 3 10 2 2 5" xfId="7303" xr:uid="{00000000-0005-0000-0000-000051740000}"/>
    <cellStyle name="Финансовый 3 10 2 2 5 2" xfId="19281" xr:uid="{00000000-0005-0000-0000-000052740000}"/>
    <cellStyle name="Финансовый 3 10 2 2 5 2 2" xfId="43236" xr:uid="{00000000-0005-0000-0000-000053740000}"/>
    <cellStyle name="Финансовый 3 10 2 2 5 3" xfId="31258" xr:uid="{00000000-0005-0000-0000-000054740000}"/>
    <cellStyle name="Финансовый 3 10 2 2 6" xfId="9085" xr:uid="{00000000-0005-0000-0000-000055740000}"/>
    <cellStyle name="Финансовый 3 10 2 2 6 2" xfId="21063" xr:uid="{00000000-0005-0000-0000-000056740000}"/>
    <cellStyle name="Финансовый 3 10 2 2 6 2 2" xfId="45018" xr:uid="{00000000-0005-0000-0000-000057740000}"/>
    <cellStyle name="Финансовый 3 10 2 2 6 3" xfId="33040" xr:uid="{00000000-0005-0000-0000-000058740000}"/>
    <cellStyle name="Финансовый 3 10 2 2 7" xfId="13244" xr:uid="{00000000-0005-0000-0000-000059740000}"/>
    <cellStyle name="Финансовый 3 10 2 2 7 2" xfId="37199" xr:uid="{00000000-0005-0000-0000-00005A740000}"/>
    <cellStyle name="Финансовый 3 10 2 2 8" xfId="25222" xr:uid="{00000000-0005-0000-0000-00005B740000}"/>
    <cellStyle name="Финансовый 3 10 2 2 9" xfId="48355" xr:uid="{00000000-0005-0000-0000-00005C740000}"/>
    <cellStyle name="Финансовый 3 10 2 3" xfId="1973" xr:uid="{00000000-0005-0000-0000-00005D740000}"/>
    <cellStyle name="Финансовый 3 10 2 3 2" xfId="3618" xr:uid="{00000000-0005-0000-0000-00005E740000}"/>
    <cellStyle name="Финансовый 3 10 2 3 2 2" xfId="11358" xr:uid="{00000000-0005-0000-0000-00005F740000}"/>
    <cellStyle name="Финансовый 3 10 2 3 2 2 2" xfId="23336" xr:uid="{00000000-0005-0000-0000-000060740000}"/>
    <cellStyle name="Финансовый 3 10 2 3 2 2 2 2" xfId="47291" xr:uid="{00000000-0005-0000-0000-000061740000}"/>
    <cellStyle name="Финансовый 3 10 2 3 2 2 3" xfId="35313" xr:uid="{00000000-0005-0000-0000-000062740000}"/>
    <cellStyle name="Финансовый 3 10 2 3 2 3" xfId="15597" xr:uid="{00000000-0005-0000-0000-000063740000}"/>
    <cellStyle name="Финансовый 3 10 2 3 2 3 2" xfId="39552" xr:uid="{00000000-0005-0000-0000-000064740000}"/>
    <cellStyle name="Финансовый 3 10 2 3 2 4" xfId="27575" xr:uid="{00000000-0005-0000-0000-000065740000}"/>
    <cellStyle name="Финансовый 3 10 2 3 2 5" xfId="50844" xr:uid="{00000000-0005-0000-0000-000066740000}"/>
    <cellStyle name="Финансовый 3 10 2 3 3" xfId="5401" xr:uid="{00000000-0005-0000-0000-000067740000}"/>
    <cellStyle name="Финансовый 3 10 2 3 3 2" xfId="17379" xr:uid="{00000000-0005-0000-0000-000068740000}"/>
    <cellStyle name="Финансовый 3 10 2 3 3 2 2" xfId="41334" xr:uid="{00000000-0005-0000-0000-000069740000}"/>
    <cellStyle name="Финансовый 3 10 2 3 3 3" xfId="29356" xr:uid="{00000000-0005-0000-0000-00006A740000}"/>
    <cellStyle name="Финансовый 3 10 2 3 4" xfId="8011" xr:uid="{00000000-0005-0000-0000-00006B740000}"/>
    <cellStyle name="Финансовый 3 10 2 3 4 2" xfId="19989" xr:uid="{00000000-0005-0000-0000-00006C740000}"/>
    <cellStyle name="Финансовый 3 10 2 3 4 2 2" xfId="43944" xr:uid="{00000000-0005-0000-0000-00006D740000}"/>
    <cellStyle name="Финансовый 3 10 2 3 4 3" xfId="31966" xr:uid="{00000000-0005-0000-0000-00006E740000}"/>
    <cellStyle name="Финансовый 3 10 2 3 5" xfId="9794" xr:uid="{00000000-0005-0000-0000-00006F740000}"/>
    <cellStyle name="Финансовый 3 10 2 3 5 2" xfId="21772" xr:uid="{00000000-0005-0000-0000-000070740000}"/>
    <cellStyle name="Финансовый 3 10 2 3 5 2 2" xfId="45727" xr:uid="{00000000-0005-0000-0000-000071740000}"/>
    <cellStyle name="Финансовый 3 10 2 3 5 3" xfId="33749" xr:uid="{00000000-0005-0000-0000-000072740000}"/>
    <cellStyle name="Финансовый 3 10 2 3 6" xfId="13952" xr:uid="{00000000-0005-0000-0000-000073740000}"/>
    <cellStyle name="Финансовый 3 10 2 3 6 2" xfId="37907" xr:uid="{00000000-0005-0000-0000-000074740000}"/>
    <cellStyle name="Финансовый 3 10 2 3 7" xfId="25930" xr:uid="{00000000-0005-0000-0000-000075740000}"/>
    <cellStyle name="Финансовый 3 10 2 3 8" xfId="49063" xr:uid="{00000000-0005-0000-0000-000076740000}"/>
    <cellStyle name="Финансовый 3 10 2 4" xfId="2494" xr:uid="{00000000-0005-0000-0000-000077740000}"/>
    <cellStyle name="Финансовый 3 10 2 4 2" xfId="4139" xr:uid="{00000000-0005-0000-0000-000078740000}"/>
    <cellStyle name="Финансовый 3 10 2 4 2 2" xfId="11871" xr:uid="{00000000-0005-0000-0000-000079740000}"/>
    <cellStyle name="Финансовый 3 10 2 4 2 2 2" xfId="23849" xr:uid="{00000000-0005-0000-0000-00007A740000}"/>
    <cellStyle name="Финансовый 3 10 2 4 2 2 2 2" xfId="47804" xr:uid="{00000000-0005-0000-0000-00007B740000}"/>
    <cellStyle name="Финансовый 3 10 2 4 2 2 3" xfId="35826" xr:uid="{00000000-0005-0000-0000-00007C740000}"/>
    <cellStyle name="Финансовый 3 10 2 4 2 3" xfId="16118" xr:uid="{00000000-0005-0000-0000-00007D740000}"/>
    <cellStyle name="Финансовый 3 10 2 4 2 3 2" xfId="40073" xr:uid="{00000000-0005-0000-0000-00007E740000}"/>
    <cellStyle name="Финансовый 3 10 2 4 2 4" xfId="28096" xr:uid="{00000000-0005-0000-0000-00007F740000}"/>
    <cellStyle name="Финансовый 3 10 2 4 2 5" xfId="51365" xr:uid="{00000000-0005-0000-0000-000080740000}"/>
    <cellStyle name="Финансовый 3 10 2 4 3" xfId="5922" xr:uid="{00000000-0005-0000-0000-000081740000}"/>
    <cellStyle name="Финансовый 3 10 2 4 3 2" xfId="17900" xr:uid="{00000000-0005-0000-0000-000082740000}"/>
    <cellStyle name="Финансовый 3 10 2 4 3 2 2" xfId="41855" xr:uid="{00000000-0005-0000-0000-000083740000}"/>
    <cellStyle name="Финансовый 3 10 2 4 3 3" xfId="29877" xr:uid="{00000000-0005-0000-0000-000084740000}"/>
    <cellStyle name="Финансовый 3 10 2 4 4" xfId="8532" xr:uid="{00000000-0005-0000-0000-000085740000}"/>
    <cellStyle name="Финансовый 3 10 2 4 4 2" xfId="20510" xr:uid="{00000000-0005-0000-0000-000086740000}"/>
    <cellStyle name="Финансовый 3 10 2 4 4 2 2" xfId="44465" xr:uid="{00000000-0005-0000-0000-000087740000}"/>
    <cellStyle name="Финансовый 3 10 2 4 4 3" xfId="32487" xr:uid="{00000000-0005-0000-0000-000088740000}"/>
    <cellStyle name="Финансовый 3 10 2 4 5" xfId="10315" xr:uid="{00000000-0005-0000-0000-000089740000}"/>
    <cellStyle name="Финансовый 3 10 2 4 5 2" xfId="22293" xr:uid="{00000000-0005-0000-0000-00008A740000}"/>
    <cellStyle name="Финансовый 3 10 2 4 5 2 2" xfId="46248" xr:uid="{00000000-0005-0000-0000-00008B740000}"/>
    <cellStyle name="Финансовый 3 10 2 4 5 3" xfId="34270" xr:uid="{00000000-0005-0000-0000-00008C740000}"/>
    <cellStyle name="Финансовый 3 10 2 4 6" xfId="14473" xr:uid="{00000000-0005-0000-0000-00008D740000}"/>
    <cellStyle name="Финансовый 3 10 2 4 6 2" xfId="38428" xr:uid="{00000000-0005-0000-0000-00008E740000}"/>
    <cellStyle name="Финансовый 3 10 2 4 7" xfId="26451" xr:uid="{00000000-0005-0000-0000-00008F740000}"/>
    <cellStyle name="Финансовый 3 10 2 4 8" xfId="49584" xr:uid="{00000000-0005-0000-0000-000090740000}"/>
    <cellStyle name="Финансовый 3 10 2 5" xfId="998" xr:uid="{00000000-0005-0000-0000-000091740000}"/>
    <cellStyle name="Финансовый 3 10 2 5 2" xfId="7038" xr:uid="{00000000-0005-0000-0000-000092740000}"/>
    <cellStyle name="Финансовый 3 10 2 5 2 2" xfId="19016" xr:uid="{00000000-0005-0000-0000-000093740000}"/>
    <cellStyle name="Финансовый 3 10 2 5 2 2 2" xfId="42971" xr:uid="{00000000-0005-0000-0000-000094740000}"/>
    <cellStyle name="Финансовый 3 10 2 5 2 3" xfId="30993" xr:uid="{00000000-0005-0000-0000-000095740000}"/>
    <cellStyle name="Финансовый 3 10 2 5 3" xfId="10586" xr:uid="{00000000-0005-0000-0000-000096740000}"/>
    <cellStyle name="Финансовый 3 10 2 5 3 2" xfId="22564" xr:uid="{00000000-0005-0000-0000-000097740000}"/>
    <cellStyle name="Финансовый 3 10 2 5 3 2 2" xfId="46519" xr:uid="{00000000-0005-0000-0000-000098740000}"/>
    <cellStyle name="Финансовый 3 10 2 5 3 3" xfId="34541" xr:uid="{00000000-0005-0000-0000-000099740000}"/>
    <cellStyle name="Финансовый 3 10 2 5 4" xfId="12979" xr:uid="{00000000-0005-0000-0000-00009A740000}"/>
    <cellStyle name="Финансовый 3 10 2 5 4 2" xfId="36934" xr:uid="{00000000-0005-0000-0000-00009B740000}"/>
    <cellStyle name="Финансовый 3 10 2 5 5" xfId="24957" xr:uid="{00000000-0005-0000-0000-00009C740000}"/>
    <cellStyle name="Финансовый 3 10 2 5 6" xfId="49863" xr:uid="{00000000-0005-0000-0000-00009D740000}"/>
    <cellStyle name="Финансовый 3 10 2 6" xfId="586" xr:uid="{00000000-0005-0000-0000-00009E740000}"/>
    <cellStyle name="Финансовый 3 10 2 6 2" xfId="6626" xr:uid="{00000000-0005-0000-0000-00009F740000}"/>
    <cellStyle name="Финансовый 3 10 2 6 2 2" xfId="18604" xr:uid="{00000000-0005-0000-0000-0000A0740000}"/>
    <cellStyle name="Финансовый 3 10 2 6 2 2 2" xfId="42559" xr:uid="{00000000-0005-0000-0000-0000A1740000}"/>
    <cellStyle name="Финансовый 3 10 2 6 2 3" xfId="30581" xr:uid="{00000000-0005-0000-0000-0000A2740000}"/>
    <cellStyle name="Финансовый 3 10 2 6 3" xfId="12567" xr:uid="{00000000-0005-0000-0000-0000A3740000}"/>
    <cellStyle name="Финансовый 3 10 2 6 3 2" xfId="36522" xr:uid="{00000000-0005-0000-0000-0000A4740000}"/>
    <cellStyle name="Финансовый 3 10 2 6 4" xfId="24545" xr:uid="{00000000-0005-0000-0000-0000A5740000}"/>
    <cellStyle name="Финансовый 3 10 2 7" xfId="2775" xr:uid="{00000000-0005-0000-0000-0000A6740000}"/>
    <cellStyle name="Финансовый 3 10 2 7 2" xfId="14754" xr:uid="{00000000-0005-0000-0000-0000A7740000}"/>
    <cellStyle name="Финансовый 3 10 2 7 2 2" xfId="38709" xr:uid="{00000000-0005-0000-0000-0000A8740000}"/>
    <cellStyle name="Финансовый 3 10 2 7 3" xfId="26732" xr:uid="{00000000-0005-0000-0000-0000A9740000}"/>
    <cellStyle name="Финансовый 3 10 2 8" xfId="4419" xr:uid="{00000000-0005-0000-0000-0000AA740000}"/>
    <cellStyle name="Финансовый 3 10 2 8 2" xfId="16398" xr:uid="{00000000-0005-0000-0000-0000AB740000}"/>
    <cellStyle name="Финансовый 3 10 2 8 2 2" xfId="40353" xr:uid="{00000000-0005-0000-0000-0000AC740000}"/>
    <cellStyle name="Финансовый 3 10 2 8 3" xfId="28376" xr:uid="{00000000-0005-0000-0000-0000AD740000}"/>
    <cellStyle name="Финансовый 3 10 2 9" xfId="6206" xr:uid="{00000000-0005-0000-0000-0000AE740000}"/>
    <cellStyle name="Финансовый 3 10 2 9 2" xfId="18184" xr:uid="{00000000-0005-0000-0000-0000AF740000}"/>
    <cellStyle name="Финансовый 3 10 2 9 2 2" xfId="42139" xr:uid="{00000000-0005-0000-0000-0000B0740000}"/>
    <cellStyle name="Финансовый 3 10 2 9 3" xfId="30161" xr:uid="{00000000-0005-0000-0000-0000B1740000}"/>
    <cellStyle name="Финансовый 3 10 3" xfId="314" xr:uid="{00000000-0005-0000-0000-0000B2740000}"/>
    <cellStyle name="Финансовый 3 10 3 10" xfId="24273" xr:uid="{00000000-0005-0000-0000-0000B3740000}"/>
    <cellStyle name="Финансовый 3 10 3 11" xfId="48219" xr:uid="{00000000-0005-0000-0000-0000B4740000}"/>
    <cellStyle name="Финансовый 3 10 3 2" xfId="2101" xr:uid="{00000000-0005-0000-0000-0000B5740000}"/>
    <cellStyle name="Финансовый 3 10 3 2 2" xfId="3746" xr:uid="{00000000-0005-0000-0000-0000B6740000}"/>
    <cellStyle name="Финансовый 3 10 3 2 2 2" xfId="11486" xr:uid="{00000000-0005-0000-0000-0000B7740000}"/>
    <cellStyle name="Финансовый 3 10 3 2 2 2 2" xfId="23464" xr:uid="{00000000-0005-0000-0000-0000B8740000}"/>
    <cellStyle name="Финансовый 3 10 3 2 2 2 2 2" xfId="47419" xr:uid="{00000000-0005-0000-0000-0000B9740000}"/>
    <cellStyle name="Финансовый 3 10 3 2 2 2 3" xfId="35441" xr:uid="{00000000-0005-0000-0000-0000BA740000}"/>
    <cellStyle name="Финансовый 3 10 3 2 2 3" xfId="15725" xr:uid="{00000000-0005-0000-0000-0000BB740000}"/>
    <cellStyle name="Финансовый 3 10 3 2 2 3 2" xfId="39680" xr:uid="{00000000-0005-0000-0000-0000BC740000}"/>
    <cellStyle name="Финансовый 3 10 3 2 2 4" xfId="27703" xr:uid="{00000000-0005-0000-0000-0000BD740000}"/>
    <cellStyle name="Финансовый 3 10 3 2 2 5" xfId="50972" xr:uid="{00000000-0005-0000-0000-0000BE740000}"/>
    <cellStyle name="Финансовый 3 10 3 2 3" xfId="5529" xr:uid="{00000000-0005-0000-0000-0000BF740000}"/>
    <cellStyle name="Финансовый 3 10 3 2 3 2" xfId="17507" xr:uid="{00000000-0005-0000-0000-0000C0740000}"/>
    <cellStyle name="Финансовый 3 10 3 2 3 2 2" xfId="41462" xr:uid="{00000000-0005-0000-0000-0000C1740000}"/>
    <cellStyle name="Финансовый 3 10 3 2 3 3" xfId="29484" xr:uid="{00000000-0005-0000-0000-0000C2740000}"/>
    <cellStyle name="Финансовый 3 10 3 2 4" xfId="8139" xr:uid="{00000000-0005-0000-0000-0000C3740000}"/>
    <cellStyle name="Финансовый 3 10 3 2 4 2" xfId="20117" xr:uid="{00000000-0005-0000-0000-0000C4740000}"/>
    <cellStyle name="Финансовый 3 10 3 2 4 2 2" xfId="44072" xr:uid="{00000000-0005-0000-0000-0000C5740000}"/>
    <cellStyle name="Финансовый 3 10 3 2 4 3" xfId="32094" xr:uid="{00000000-0005-0000-0000-0000C6740000}"/>
    <cellStyle name="Финансовый 3 10 3 2 5" xfId="9922" xr:uid="{00000000-0005-0000-0000-0000C7740000}"/>
    <cellStyle name="Финансовый 3 10 3 2 5 2" xfId="21900" xr:uid="{00000000-0005-0000-0000-0000C8740000}"/>
    <cellStyle name="Финансовый 3 10 3 2 5 2 2" xfId="45855" xr:uid="{00000000-0005-0000-0000-0000C9740000}"/>
    <cellStyle name="Финансовый 3 10 3 2 5 3" xfId="33877" xr:uid="{00000000-0005-0000-0000-0000CA740000}"/>
    <cellStyle name="Финансовый 3 10 3 2 6" xfId="14080" xr:uid="{00000000-0005-0000-0000-0000CB740000}"/>
    <cellStyle name="Финансовый 3 10 3 2 6 2" xfId="38035" xr:uid="{00000000-0005-0000-0000-0000CC740000}"/>
    <cellStyle name="Финансовый 3 10 3 2 7" xfId="26058" xr:uid="{00000000-0005-0000-0000-0000CD740000}"/>
    <cellStyle name="Финансовый 3 10 3 2 8" xfId="49191" xr:uid="{00000000-0005-0000-0000-0000CE740000}"/>
    <cellStyle name="Финансовый 3 10 3 3" xfId="1134" xr:uid="{00000000-0005-0000-0000-0000CF740000}"/>
    <cellStyle name="Финансовый 3 10 3 3 2" xfId="7174" xr:uid="{00000000-0005-0000-0000-0000D0740000}"/>
    <cellStyle name="Финансовый 3 10 3 3 2 2" xfId="19152" xr:uid="{00000000-0005-0000-0000-0000D1740000}"/>
    <cellStyle name="Финансовый 3 10 3 3 2 2 2" xfId="43107" xr:uid="{00000000-0005-0000-0000-0000D2740000}"/>
    <cellStyle name="Финансовый 3 10 3 3 2 3" xfId="31129" xr:uid="{00000000-0005-0000-0000-0000D3740000}"/>
    <cellStyle name="Финансовый 3 10 3 3 3" xfId="10714" xr:uid="{00000000-0005-0000-0000-0000D4740000}"/>
    <cellStyle name="Финансовый 3 10 3 3 3 2" xfId="22692" xr:uid="{00000000-0005-0000-0000-0000D5740000}"/>
    <cellStyle name="Финансовый 3 10 3 3 3 2 2" xfId="46647" xr:uid="{00000000-0005-0000-0000-0000D6740000}"/>
    <cellStyle name="Финансовый 3 10 3 3 3 3" xfId="34669" xr:uid="{00000000-0005-0000-0000-0000D7740000}"/>
    <cellStyle name="Финансовый 3 10 3 3 4" xfId="13115" xr:uid="{00000000-0005-0000-0000-0000D8740000}"/>
    <cellStyle name="Финансовый 3 10 3 3 4 2" xfId="37070" xr:uid="{00000000-0005-0000-0000-0000D9740000}"/>
    <cellStyle name="Финансовый 3 10 3 3 5" xfId="25093" xr:uid="{00000000-0005-0000-0000-0000DA740000}"/>
    <cellStyle name="Финансовый 3 10 3 3 6" xfId="49999" xr:uid="{00000000-0005-0000-0000-0000DB740000}"/>
    <cellStyle name="Финансовый 3 10 3 4" xfId="734" xr:uid="{00000000-0005-0000-0000-0000DC740000}"/>
    <cellStyle name="Финансовый 3 10 3 4 2" xfId="6774" xr:uid="{00000000-0005-0000-0000-0000DD740000}"/>
    <cellStyle name="Финансовый 3 10 3 4 2 2" xfId="18752" xr:uid="{00000000-0005-0000-0000-0000DE740000}"/>
    <cellStyle name="Финансовый 3 10 3 4 2 2 2" xfId="42707" xr:uid="{00000000-0005-0000-0000-0000DF740000}"/>
    <cellStyle name="Финансовый 3 10 3 4 2 3" xfId="30729" xr:uid="{00000000-0005-0000-0000-0000E0740000}"/>
    <cellStyle name="Финансовый 3 10 3 4 3" xfId="12715" xr:uid="{00000000-0005-0000-0000-0000E1740000}"/>
    <cellStyle name="Финансовый 3 10 3 4 3 2" xfId="36670" xr:uid="{00000000-0005-0000-0000-0000E2740000}"/>
    <cellStyle name="Финансовый 3 10 3 4 4" xfId="24693" xr:uid="{00000000-0005-0000-0000-0000E3740000}"/>
    <cellStyle name="Финансовый 3 10 3 5" xfId="2911" xr:uid="{00000000-0005-0000-0000-0000E4740000}"/>
    <cellStyle name="Финансовый 3 10 3 5 2" xfId="14890" xr:uid="{00000000-0005-0000-0000-0000E5740000}"/>
    <cellStyle name="Финансовый 3 10 3 5 2 2" xfId="38845" xr:uid="{00000000-0005-0000-0000-0000E6740000}"/>
    <cellStyle name="Финансовый 3 10 3 5 3" xfId="26868" xr:uid="{00000000-0005-0000-0000-0000E7740000}"/>
    <cellStyle name="Финансовый 3 10 3 6" xfId="4555" xr:uid="{00000000-0005-0000-0000-0000E8740000}"/>
    <cellStyle name="Финансовый 3 10 3 6 2" xfId="16534" xr:uid="{00000000-0005-0000-0000-0000E9740000}"/>
    <cellStyle name="Финансовый 3 10 3 6 2 2" xfId="40489" xr:uid="{00000000-0005-0000-0000-0000EA740000}"/>
    <cellStyle name="Финансовый 3 10 3 6 3" xfId="28512" xr:uid="{00000000-0005-0000-0000-0000EB740000}"/>
    <cellStyle name="Финансовый 3 10 3 7" xfId="6354" xr:uid="{00000000-0005-0000-0000-0000EC740000}"/>
    <cellStyle name="Финансовый 3 10 3 7 2" xfId="18332" xr:uid="{00000000-0005-0000-0000-0000ED740000}"/>
    <cellStyle name="Финансовый 3 10 3 7 2 2" xfId="42287" xr:uid="{00000000-0005-0000-0000-0000EE740000}"/>
    <cellStyle name="Финансовый 3 10 3 7 3" xfId="30309" xr:uid="{00000000-0005-0000-0000-0000EF740000}"/>
    <cellStyle name="Финансовый 3 10 3 8" xfId="8949" xr:uid="{00000000-0005-0000-0000-0000F0740000}"/>
    <cellStyle name="Финансовый 3 10 3 8 2" xfId="20927" xr:uid="{00000000-0005-0000-0000-0000F1740000}"/>
    <cellStyle name="Финансовый 3 10 3 8 2 2" xfId="44882" xr:uid="{00000000-0005-0000-0000-0000F2740000}"/>
    <cellStyle name="Финансовый 3 10 3 8 3" xfId="32904" xr:uid="{00000000-0005-0000-0000-0000F3740000}"/>
    <cellStyle name="Финансовый 3 10 3 9" xfId="12295" xr:uid="{00000000-0005-0000-0000-0000F4740000}"/>
    <cellStyle name="Финансовый 3 10 3 9 2" xfId="36250" xr:uid="{00000000-0005-0000-0000-0000F5740000}"/>
    <cellStyle name="Финансовый 3 10 4" xfId="1513" xr:uid="{00000000-0005-0000-0000-0000F6740000}"/>
    <cellStyle name="Финансовый 3 10 4 2" xfId="1837" xr:uid="{00000000-0005-0000-0000-0000F7740000}"/>
    <cellStyle name="Финансовый 3 10 4 2 2" xfId="3482" xr:uid="{00000000-0005-0000-0000-0000F8740000}"/>
    <cellStyle name="Финансовый 3 10 4 2 2 2" xfId="11230" xr:uid="{00000000-0005-0000-0000-0000F9740000}"/>
    <cellStyle name="Финансовый 3 10 4 2 2 2 2" xfId="23208" xr:uid="{00000000-0005-0000-0000-0000FA740000}"/>
    <cellStyle name="Финансовый 3 10 4 2 2 2 2 2" xfId="47163" xr:uid="{00000000-0005-0000-0000-0000FB740000}"/>
    <cellStyle name="Финансовый 3 10 4 2 2 2 3" xfId="35185" xr:uid="{00000000-0005-0000-0000-0000FC740000}"/>
    <cellStyle name="Финансовый 3 10 4 2 2 3" xfId="15461" xr:uid="{00000000-0005-0000-0000-0000FD740000}"/>
    <cellStyle name="Финансовый 3 10 4 2 2 3 2" xfId="39416" xr:uid="{00000000-0005-0000-0000-0000FE740000}"/>
    <cellStyle name="Финансовый 3 10 4 2 2 4" xfId="27439" xr:uid="{00000000-0005-0000-0000-0000FF740000}"/>
    <cellStyle name="Финансовый 3 10 4 2 2 5" xfId="50708" xr:uid="{00000000-0005-0000-0000-000000750000}"/>
    <cellStyle name="Финансовый 3 10 4 2 3" xfId="5265" xr:uid="{00000000-0005-0000-0000-000001750000}"/>
    <cellStyle name="Финансовый 3 10 4 2 3 2" xfId="17243" xr:uid="{00000000-0005-0000-0000-000002750000}"/>
    <cellStyle name="Финансовый 3 10 4 2 3 2 2" xfId="41198" xr:uid="{00000000-0005-0000-0000-000003750000}"/>
    <cellStyle name="Финансовый 3 10 4 2 3 3" xfId="29220" xr:uid="{00000000-0005-0000-0000-000004750000}"/>
    <cellStyle name="Финансовый 3 10 4 2 4" xfId="7875" xr:uid="{00000000-0005-0000-0000-000005750000}"/>
    <cellStyle name="Финансовый 3 10 4 2 4 2" xfId="19853" xr:uid="{00000000-0005-0000-0000-000006750000}"/>
    <cellStyle name="Финансовый 3 10 4 2 4 2 2" xfId="43808" xr:uid="{00000000-0005-0000-0000-000007750000}"/>
    <cellStyle name="Финансовый 3 10 4 2 4 3" xfId="31830" xr:uid="{00000000-0005-0000-0000-000008750000}"/>
    <cellStyle name="Финансовый 3 10 4 2 5" xfId="9658" xr:uid="{00000000-0005-0000-0000-000009750000}"/>
    <cellStyle name="Финансовый 3 10 4 2 5 2" xfId="21636" xr:uid="{00000000-0005-0000-0000-00000A750000}"/>
    <cellStyle name="Финансовый 3 10 4 2 5 2 2" xfId="45591" xr:uid="{00000000-0005-0000-0000-00000B750000}"/>
    <cellStyle name="Финансовый 3 10 4 2 5 3" xfId="33613" xr:uid="{00000000-0005-0000-0000-00000C750000}"/>
    <cellStyle name="Финансовый 3 10 4 2 6" xfId="13816" xr:uid="{00000000-0005-0000-0000-00000D750000}"/>
    <cellStyle name="Финансовый 3 10 4 2 6 2" xfId="37771" xr:uid="{00000000-0005-0000-0000-00000E750000}"/>
    <cellStyle name="Финансовый 3 10 4 2 7" xfId="25794" xr:uid="{00000000-0005-0000-0000-00000F750000}"/>
    <cellStyle name="Финансовый 3 10 4 2 8" xfId="48927" xr:uid="{00000000-0005-0000-0000-000010750000}"/>
    <cellStyle name="Финансовый 3 10 4 3" xfId="4941" xr:uid="{00000000-0005-0000-0000-000011750000}"/>
    <cellStyle name="Финансовый 3 10 4 3 2" xfId="16919" xr:uid="{00000000-0005-0000-0000-000012750000}"/>
    <cellStyle name="Финансовый 3 10 4 3 2 2" xfId="40874" xr:uid="{00000000-0005-0000-0000-000013750000}"/>
    <cellStyle name="Финансовый 3 10 4 3 3" xfId="28896" xr:uid="{00000000-0005-0000-0000-000014750000}"/>
    <cellStyle name="Финансовый 3 10 4 3 4" xfId="50384" xr:uid="{00000000-0005-0000-0000-000015750000}"/>
    <cellStyle name="Финансовый 3 10 4 4" xfId="7551" xr:uid="{00000000-0005-0000-0000-000016750000}"/>
    <cellStyle name="Финансовый 3 10 4 4 2" xfId="19529" xr:uid="{00000000-0005-0000-0000-000017750000}"/>
    <cellStyle name="Финансовый 3 10 4 4 2 2" xfId="43484" xr:uid="{00000000-0005-0000-0000-000018750000}"/>
    <cellStyle name="Финансовый 3 10 4 4 3" xfId="31506" xr:uid="{00000000-0005-0000-0000-000019750000}"/>
    <cellStyle name="Финансовый 3 10 4 5" xfId="9334" xr:uid="{00000000-0005-0000-0000-00001A750000}"/>
    <cellStyle name="Финансовый 3 10 4 5 2" xfId="21312" xr:uid="{00000000-0005-0000-0000-00001B750000}"/>
    <cellStyle name="Финансовый 3 10 4 5 2 2" xfId="45267" xr:uid="{00000000-0005-0000-0000-00001C750000}"/>
    <cellStyle name="Финансовый 3 10 4 5 3" xfId="33289" xr:uid="{00000000-0005-0000-0000-00001D750000}"/>
    <cellStyle name="Финансовый 3 10 4 6" xfId="13492" xr:uid="{00000000-0005-0000-0000-00001E750000}"/>
    <cellStyle name="Финансовый 3 10 4 6 2" xfId="37447" xr:uid="{00000000-0005-0000-0000-00001F750000}"/>
    <cellStyle name="Финансовый 3 10 4 7" xfId="25470" xr:uid="{00000000-0005-0000-0000-000020750000}"/>
    <cellStyle name="Финансовый 3 10 4 8" xfId="48603" xr:uid="{00000000-0005-0000-0000-000021750000}"/>
    <cellStyle name="Финансовый 3 10 5" xfId="1721" xr:uid="{00000000-0005-0000-0000-000022750000}"/>
    <cellStyle name="Финансовый 3 10 5 2" xfId="3366" xr:uid="{00000000-0005-0000-0000-000023750000}"/>
    <cellStyle name="Финансовый 3 10 5 2 2" xfId="11114" xr:uid="{00000000-0005-0000-0000-000024750000}"/>
    <cellStyle name="Финансовый 3 10 5 2 2 2" xfId="23092" xr:uid="{00000000-0005-0000-0000-000025750000}"/>
    <cellStyle name="Финансовый 3 10 5 2 2 2 2" xfId="47047" xr:uid="{00000000-0005-0000-0000-000026750000}"/>
    <cellStyle name="Финансовый 3 10 5 2 2 3" xfId="35069" xr:uid="{00000000-0005-0000-0000-000027750000}"/>
    <cellStyle name="Финансовый 3 10 5 2 3" xfId="15345" xr:uid="{00000000-0005-0000-0000-000028750000}"/>
    <cellStyle name="Финансовый 3 10 5 2 3 2" xfId="39300" xr:uid="{00000000-0005-0000-0000-000029750000}"/>
    <cellStyle name="Финансовый 3 10 5 2 4" xfId="27323" xr:uid="{00000000-0005-0000-0000-00002A750000}"/>
    <cellStyle name="Финансовый 3 10 5 2 5" xfId="50592" xr:uid="{00000000-0005-0000-0000-00002B750000}"/>
    <cellStyle name="Финансовый 3 10 5 3" xfId="5149" xr:uid="{00000000-0005-0000-0000-00002C750000}"/>
    <cellStyle name="Финансовый 3 10 5 3 2" xfId="17127" xr:uid="{00000000-0005-0000-0000-00002D750000}"/>
    <cellStyle name="Финансовый 3 10 5 3 2 2" xfId="41082" xr:uid="{00000000-0005-0000-0000-00002E750000}"/>
    <cellStyle name="Финансовый 3 10 5 3 3" xfId="29104" xr:uid="{00000000-0005-0000-0000-00002F750000}"/>
    <cellStyle name="Финансовый 3 10 5 4" xfId="7759" xr:uid="{00000000-0005-0000-0000-000030750000}"/>
    <cellStyle name="Финансовый 3 10 5 4 2" xfId="19737" xr:uid="{00000000-0005-0000-0000-000031750000}"/>
    <cellStyle name="Финансовый 3 10 5 4 2 2" xfId="43692" xr:uid="{00000000-0005-0000-0000-000032750000}"/>
    <cellStyle name="Финансовый 3 10 5 4 3" xfId="31714" xr:uid="{00000000-0005-0000-0000-000033750000}"/>
    <cellStyle name="Финансовый 3 10 5 5" xfId="9542" xr:uid="{00000000-0005-0000-0000-000034750000}"/>
    <cellStyle name="Финансовый 3 10 5 5 2" xfId="21520" xr:uid="{00000000-0005-0000-0000-000035750000}"/>
    <cellStyle name="Финансовый 3 10 5 5 2 2" xfId="45475" xr:uid="{00000000-0005-0000-0000-000036750000}"/>
    <cellStyle name="Финансовый 3 10 5 5 3" xfId="33497" xr:uid="{00000000-0005-0000-0000-000037750000}"/>
    <cellStyle name="Финансовый 3 10 5 6" xfId="13700" xr:uid="{00000000-0005-0000-0000-000038750000}"/>
    <cellStyle name="Финансовый 3 10 5 6 2" xfId="37655" xr:uid="{00000000-0005-0000-0000-000039750000}"/>
    <cellStyle name="Финансовый 3 10 5 7" xfId="25678" xr:uid="{00000000-0005-0000-0000-00003A750000}"/>
    <cellStyle name="Финансовый 3 10 5 8" xfId="48811" xr:uid="{00000000-0005-0000-0000-00003B750000}"/>
    <cellStyle name="Финансовый 3 10 6" xfId="2357" xr:uid="{00000000-0005-0000-0000-00003C750000}"/>
    <cellStyle name="Финансовый 3 10 6 2" xfId="4002" xr:uid="{00000000-0005-0000-0000-00003D750000}"/>
    <cellStyle name="Финансовый 3 10 6 2 2" xfId="11742" xr:uid="{00000000-0005-0000-0000-00003E750000}"/>
    <cellStyle name="Финансовый 3 10 6 2 2 2" xfId="23720" xr:uid="{00000000-0005-0000-0000-00003F750000}"/>
    <cellStyle name="Финансовый 3 10 6 2 2 2 2" xfId="47675" xr:uid="{00000000-0005-0000-0000-000040750000}"/>
    <cellStyle name="Финансовый 3 10 6 2 2 3" xfId="35697" xr:uid="{00000000-0005-0000-0000-000041750000}"/>
    <cellStyle name="Финансовый 3 10 6 2 3" xfId="15981" xr:uid="{00000000-0005-0000-0000-000042750000}"/>
    <cellStyle name="Финансовый 3 10 6 2 3 2" xfId="39936" xr:uid="{00000000-0005-0000-0000-000043750000}"/>
    <cellStyle name="Финансовый 3 10 6 2 4" xfId="27959" xr:uid="{00000000-0005-0000-0000-000044750000}"/>
    <cellStyle name="Финансовый 3 10 6 2 5" xfId="51228" xr:uid="{00000000-0005-0000-0000-000045750000}"/>
    <cellStyle name="Финансовый 3 10 6 3" xfId="5785" xr:uid="{00000000-0005-0000-0000-000046750000}"/>
    <cellStyle name="Финансовый 3 10 6 3 2" xfId="17763" xr:uid="{00000000-0005-0000-0000-000047750000}"/>
    <cellStyle name="Финансовый 3 10 6 3 2 2" xfId="41718" xr:uid="{00000000-0005-0000-0000-000048750000}"/>
    <cellStyle name="Финансовый 3 10 6 3 3" xfId="29740" xr:uid="{00000000-0005-0000-0000-000049750000}"/>
    <cellStyle name="Финансовый 3 10 6 4" xfId="8395" xr:uid="{00000000-0005-0000-0000-00004A750000}"/>
    <cellStyle name="Финансовый 3 10 6 4 2" xfId="20373" xr:uid="{00000000-0005-0000-0000-00004B750000}"/>
    <cellStyle name="Финансовый 3 10 6 4 2 2" xfId="44328" xr:uid="{00000000-0005-0000-0000-00004C750000}"/>
    <cellStyle name="Финансовый 3 10 6 4 3" xfId="32350" xr:uid="{00000000-0005-0000-0000-00004D750000}"/>
    <cellStyle name="Финансовый 3 10 6 5" xfId="10178" xr:uid="{00000000-0005-0000-0000-00004E750000}"/>
    <cellStyle name="Финансовый 3 10 6 5 2" xfId="22156" xr:uid="{00000000-0005-0000-0000-00004F750000}"/>
    <cellStyle name="Финансовый 3 10 6 5 2 2" xfId="46111" xr:uid="{00000000-0005-0000-0000-000050750000}"/>
    <cellStyle name="Финансовый 3 10 6 5 3" xfId="34133" xr:uid="{00000000-0005-0000-0000-000051750000}"/>
    <cellStyle name="Финансовый 3 10 6 6" xfId="14336" xr:uid="{00000000-0005-0000-0000-000052750000}"/>
    <cellStyle name="Финансовый 3 10 6 6 2" xfId="38291" xr:uid="{00000000-0005-0000-0000-000053750000}"/>
    <cellStyle name="Финансовый 3 10 6 7" xfId="26314" xr:uid="{00000000-0005-0000-0000-000054750000}"/>
    <cellStyle name="Финансовый 3 10 6 8" xfId="49447" xr:uid="{00000000-0005-0000-0000-000055750000}"/>
    <cellStyle name="Финансовый 3 10 7" xfId="1584" xr:uid="{00000000-0005-0000-0000-000056750000}"/>
    <cellStyle name="Финансовый 3 10 7 2" xfId="3229" xr:uid="{00000000-0005-0000-0000-000057750000}"/>
    <cellStyle name="Финансовый 3 10 7 2 2" xfId="10985" xr:uid="{00000000-0005-0000-0000-000058750000}"/>
    <cellStyle name="Финансовый 3 10 7 2 2 2" xfId="22963" xr:uid="{00000000-0005-0000-0000-000059750000}"/>
    <cellStyle name="Финансовый 3 10 7 2 2 2 2" xfId="46918" xr:uid="{00000000-0005-0000-0000-00005A750000}"/>
    <cellStyle name="Финансовый 3 10 7 2 2 3" xfId="34940" xr:uid="{00000000-0005-0000-0000-00005B750000}"/>
    <cellStyle name="Финансовый 3 10 7 2 3" xfId="15208" xr:uid="{00000000-0005-0000-0000-00005C750000}"/>
    <cellStyle name="Финансовый 3 10 7 2 3 2" xfId="39163" xr:uid="{00000000-0005-0000-0000-00005D750000}"/>
    <cellStyle name="Финансовый 3 10 7 2 4" xfId="27186" xr:uid="{00000000-0005-0000-0000-00005E750000}"/>
    <cellStyle name="Финансовый 3 10 7 2 5" xfId="50455" xr:uid="{00000000-0005-0000-0000-00005F750000}"/>
    <cellStyle name="Финансовый 3 10 7 3" xfId="5012" xr:uid="{00000000-0005-0000-0000-000060750000}"/>
    <cellStyle name="Финансовый 3 10 7 3 2" xfId="16990" xr:uid="{00000000-0005-0000-0000-000061750000}"/>
    <cellStyle name="Финансовый 3 10 7 3 2 2" xfId="40945" xr:uid="{00000000-0005-0000-0000-000062750000}"/>
    <cellStyle name="Финансовый 3 10 7 3 3" xfId="28967" xr:uid="{00000000-0005-0000-0000-000063750000}"/>
    <cellStyle name="Финансовый 3 10 7 4" xfId="7622" xr:uid="{00000000-0005-0000-0000-000064750000}"/>
    <cellStyle name="Финансовый 3 10 7 4 2" xfId="19600" xr:uid="{00000000-0005-0000-0000-000065750000}"/>
    <cellStyle name="Финансовый 3 10 7 4 2 2" xfId="43555" xr:uid="{00000000-0005-0000-0000-000066750000}"/>
    <cellStyle name="Финансовый 3 10 7 4 3" xfId="31577" xr:uid="{00000000-0005-0000-0000-000067750000}"/>
    <cellStyle name="Финансовый 3 10 7 5" xfId="9405" xr:uid="{00000000-0005-0000-0000-000068750000}"/>
    <cellStyle name="Финансовый 3 10 7 5 2" xfId="21383" xr:uid="{00000000-0005-0000-0000-000069750000}"/>
    <cellStyle name="Финансовый 3 10 7 5 2 2" xfId="45338" xr:uid="{00000000-0005-0000-0000-00006A750000}"/>
    <cellStyle name="Финансовый 3 10 7 5 3" xfId="33360" xr:uid="{00000000-0005-0000-0000-00006B750000}"/>
    <cellStyle name="Финансовый 3 10 7 6" xfId="13563" xr:uid="{00000000-0005-0000-0000-00006C750000}"/>
    <cellStyle name="Финансовый 3 10 7 6 2" xfId="37518" xr:uid="{00000000-0005-0000-0000-00006D750000}"/>
    <cellStyle name="Финансовый 3 10 7 7" xfId="25541" xr:uid="{00000000-0005-0000-0000-00006E750000}"/>
    <cellStyle name="Финансовый 3 10 7 8" xfId="48674" xr:uid="{00000000-0005-0000-0000-00006F750000}"/>
    <cellStyle name="Финансовый 3 10 8" xfId="870" xr:uid="{00000000-0005-0000-0000-000070750000}"/>
    <cellStyle name="Финансовый 3 10 8 2" xfId="6910" xr:uid="{00000000-0005-0000-0000-000071750000}"/>
    <cellStyle name="Финансовый 3 10 8 2 2" xfId="18888" xr:uid="{00000000-0005-0000-0000-000072750000}"/>
    <cellStyle name="Финансовый 3 10 8 2 2 2" xfId="42843" xr:uid="{00000000-0005-0000-0000-000073750000}"/>
    <cellStyle name="Финансовый 3 10 8 2 3" xfId="30865" xr:uid="{00000000-0005-0000-0000-000074750000}"/>
    <cellStyle name="Финансовый 3 10 8 3" xfId="10458" xr:uid="{00000000-0005-0000-0000-000075750000}"/>
    <cellStyle name="Финансовый 3 10 8 3 2" xfId="22436" xr:uid="{00000000-0005-0000-0000-000076750000}"/>
    <cellStyle name="Финансовый 3 10 8 3 2 2" xfId="46391" xr:uid="{00000000-0005-0000-0000-000077750000}"/>
    <cellStyle name="Финансовый 3 10 8 3 3" xfId="34413" xr:uid="{00000000-0005-0000-0000-000078750000}"/>
    <cellStyle name="Финансовый 3 10 8 4" xfId="12851" xr:uid="{00000000-0005-0000-0000-000079750000}"/>
    <cellStyle name="Финансовый 3 10 8 4 2" xfId="36806" xr:uid="{00000000-0005-0000-0000-00007A750000}"/>
    <cellStyle name="Финансовый 3 10 8 5" xfId="24829" xr:uid="{00000000-0005-0000-0000-00007B750000}"/>
    <cellStyle name="Финансовый 3 10 8 6" xfId="49727" xr:uid="{00000000-0005-0000-0000-00007C750000}"/>
    <cellStyle name="Финансовый 3 10 9" xfId="450" xr:uid="{00000000-0005-0000-0000-00007D750000}"/>
    <cellStyle name="Финансовый 3 10 9 2" xfId="6490" xr:uid="{00000000-0005-0000-0000-00007E750000}"/>
    <cellStyle name="Финансовый 3 10 9 2 2" xfId="18468" xr:uid="{00000000-0005-0000-0000-00007F750000}"/>
    <cellStyle name="Финансовый 3 10 9 2 2 2" xfId="42423" xr:uid="{00000000-0005-0000-0000-000080750000}"/>
    <cellStyle name="Финансовый 3 10 9 2 3" xfId="30445" xr:uid="{00000000-0005-0000-0000-000081750000}"/>
    <cellStyle name="Финансовый 3 10 9 3" xfId="12431" xr:uid="{00000000-0005-0000-0000-000082750000}"/>
    <cellStyle name="Финансовый 3 10 9 3 2" xfId="36386" xr:uid="{00000000-0005-0000-0000-000083750000}"/>
    <cellStyle name="Финансовый 3 10 9 4" xfId="24409" xr:uid="{00000000-0005-0000-0000-000084750000}"/>
    <cellStyle name="Финансовый 3 11" xfId="15" xr:uid="{00000000-0005-0000-0000-000085750000}"/>
    <cellStyle name="Финансовый 3 11 10" xfId="2627" xr:uid="{00000000-0005-0000-0000-000086750000}"/>
    <cellStyle name="Финансовый 3 11 10 2" xfId="14606" xr:uid="{00000000-0005-0000-0000-000087750000}"/>
    <cellStyle name="Финансовый 3 11 10 2 2" xfId="38561" xr:uid="{00000000-0005-0000-0000-000088750000}"/>
    <cellStyle name="Финансовый 3 11 10 3" xfId="26584" xr:uid="{00000000-0005-0000-0000-000089750000}"/>
    <cellStyle name="Финансовый 3 11 11" xfId="4270" xr:uid="{00000000-0005-0000-0000-00008A750000}"/>
    <cellStyle name="Финансовый 3 11 11 2" xfId="16249" xr:uid="{00000000-0005-0000-0000-00008B750000}"/>
    <cellStyle name="Финансовый 3 11 11 2 2" xfId="40204" xr:uid="{00000000-0005-0000-0000-00008C750000}"/>
    <cellStyle name="Финансовый 3 11 11 3" xfId="28227" xr:uid="{00000000-0005-0000-0000-00008D750000}"/>
    <cellStyle name="Финансовый 3 11 12" xfId="6058" xr:uid="{00000000-0005-0000-0000-00008E750000}"/>
    <cellStyle name="Финансовый 3 11 12 2" xfId="18036" xr:uid="{00000000-0005-0000-0000-00008F750000}"/>
    <cellStyle name="Финансовый 3 11 12 2 2" xfId="41991" xr:uid="{00000000-0005-0000-0000-000090750000}"/>
    <cellStyle name="Финансовый 3 11 12 3" xfId="30013" xr:uid="{00000000-0005-0000-0000-000091750000}"/>
    <cellStyle name="Финансовый 3 11 13" xfId="8665" xr:uid="{00000000-0005-0000-0000-000092750000}"/>
    <cellStyle name="Финансовый 3 11 13 2" xfId="20643" xr:uid="{00000000-0005-0000-0000-000093750000}"/>
    <cellStyle name="Финансовый 3 11 13 2 2" xfId="44598" xr:uid="{00000000-0005-0000-0000-000094750000}"/>
    <cellStyle name="Финансовый 3 11 13 3" xfId="32620" xr:uid="{00000000-0005-0000-0000-000095750000}"/>
    <cellStyle name="Финансовый 3 11 14" xfId="11999" xr:uid="{00000000-0005-0000-0000-000096750000}"/>
    <cellStyle name="Финансовый 3 11 14 2" xfId="35954" xr:uid="{00000000-0005-0000-0000-000097750000}"/>
    <cellStyle name="Финансовый 3 11 15" xfId="23977" xr:uid="{00000000-0005-0000-0000-000098750000}"/>
    <cellStyle name="Финансовый 3 11 16" xfId="47935" xr:uid="{00000000-0005-0000-0000-000099750000}"/>
    <cellStyle name="Финансовый 3 11 2" xfId="153" xr:uid="{00000000-0005-0000-0000-00009A750000}"/>
    <cellStyle name="Финансовый 3 11 2 10" xfId="8801" xr:uid="{00000000-0005-0000-0000-00009B750000}"/>
    <cellStyle name="Финансовый 3 11 2 10 2" xfId="20779" xr:uid="{00000000-0005-0000-0000-00009C750000}"/>
    <cellStyle name="Финансовый 3 11 2 10 2 2" xfId="44734" xr:uid="{00000000-0005-0000-0000-00009D750000}"/>
    <cellStyle name="Финансовый 3 11 2 10 3" xfId="32756" xr:uid="{00000000-0005-0000-0000-00009E750000}"/>
    <cellStyle name="Финансовый 3 11 2 11" xfId="12135" xr:uid="{00000000-0005-0000-0000-00009F750000}"/>
    <cellStyle name="Финансовый 3 11 2 11 2" xfId="36090" xr:uid="{00000000-0005-0000-0000-0000A0750000}"/>
    <cellStyle name="Финансовый 3 11 2 12" xfId="24113" xr:uid="{00000000-0005-0000-0000-0000A1750000}"/>
    <cellStyle name="Финансовый 3 11 2 13" xfId="48071" xr:uid="{00000000-0005-0000-0000-0000A2750000}"/>
    <cellStyle name="Финансовый 3 11 2 2" xfId="1251" xr:uid="{00000000-0005-0000-0000-0000A3750000}"/>
    <cellStyle name="Финансовый 3 11 2 2 2" xfId="2217" xr:uid="{00000000-0005-0000-0000-0000A4750000}"/>
    <cellStyle name="Финансовый 3 11 2 2 2 2" xfId="3862" xr:uid="{00000000-0005-0000-0000-0000A5750000}"/>
    <cellStyle name="Финансовый 3 11 2 2 2 2 2" xfId="11602" xr:uid="{00000000-0005-0000-0000-0000A6750000}"/>
    <cellStyle name="Финансовый 3 11 2 2 2 2 2 2" xfId="23580" xr:uid="{00000000-0005-0000-0000-0000A7750000}"/>
    <cellStyle name="Финансовый 3 11 2 2 2 2 2 2 2" xfId="47535" xr:uid="{00000000-0005-0000-0000-0000A8750000}"/>
    <cellStyle name="Финансовый 3 11 2 2 2 2 2 3" xfId="35557" xr:uid="{00000000-0005-0000-0000-0000A9750000}"/>
    <cellStyle name="Финансовый 3 11 2 2 2 2 3" xfId="15841" xr:uid="{00000000-0005-0000-0000-0000AA750000}"/>
    <cellStyle name="Финансовый 3 11 2 2 2 2 3 2" xfId="39796" xr:uid="{00000000-0005-0000-0000-0000AB750000}"/>
    <cellStyle name="Финансовый 3 11 2 2 2 2 4" xfId="27819" xr:uid="{00000000-0005-0000-0000-0000AC750000}"/>
    <cellStyle name="Финансовый 3 11 2 2 2 2 5" xfId="51088" xr:uid="{00000000-0005-0000-0000-0000AD750000}"/>
    <cellStyle name="Финансовый 3 11 2 2 2 3" xfId="5645" xr:uid="{00000000-0005-0000-0000-0000AE750000}"/>
    <cellStyle name="Финансовый 3 11 2 2 2 3 2" xfId="17623" xr:uid="{00000000-0005-0000-0000-0000AF750000}"/>
    <cellStyle name="Финансовый 3 11 2 2 2 3 2 2" xfId="41578" xr:uid="{00000000-0005-0000-0000-0000B0750000}"/>
    <cellStyle name="Финансовый 3 11 2 2 2 3 3" xfId="29600" xr:uid="{00000000-0005-0000-0000-0000B1750000}"/>
    <cellStyle name="Финансовый 3 11 2 2 2 4" xfId="8255" xr:uid="{00000000-0005-0000-0000-0000B2750000}"/>
    <cellStyle name="Финансовый 3 11 2 2 2 4 2" xfId="20233" xr:uid="{00000000-0005-0000-0000-0000B3750000}"/>
    <cellStyle name="Финансовый 3 11 2 2 2 4 2 2" xfId="44188" xr:uid="{00000000-0005-0000-0000-0000B4750000}"/>
    <cellStyle name="Финансовый 3 11 2 2 2 4 3" xfId="32210" xr:uid="{00000000-0005-0000-0000-0000B5750000}"/>
    <cellStyle name="Финансовый 3 11 2 2 2 5" xfId="10038" xr:uid="{00000000-0005-0000-0000-0000B6750000}"/>
    <cellStyle name="Финансовый 3 11 2 2 2 5 2" xfId="22016" xr:uid="{00000000-0005-0000-0000-0000B7750000}"/>
    <cellStyle name="Финансовый 3 11 2 2 2 5 2 2" xfId="45971" xr:uid="{00000000-0005-0000-0000-0000B8750000}"/>
    <cellStyle name="Финансовый 3 11 2 2 2 5 3" xfId="33993" xr:uid="{00000000-0005-0000-0000-0000B9750000}"/>
    <cellStyle name="Финансовый 3 11 2 2 2 6" xfId="14196" xr:uid="{00000000-0005-0000-0000-0000BA750000}"/>
    <cellStyle name="Финансовый 3 11 2 2 2 6 2" xfId="38151" xr:uid="{00000000-0005-0000-0000-0000BB750000}"/>
    <cellStyle name="Финансовый 3 11 2 2 2 7" xfId="26174" xr:uid="{00000000-0005-0000-0000-0000BC750000}"/>
    <cellStyle name="Финансовый 3 11 2 2 2 8" xfId="49307" xr:uid="{00000000-0005-0000-0000-0000BD750000}"/>
    <cellStyle name="Финансовый 3 11 2 2 3" xfId="3035" xr:uid="{00000000-0005-0000-0000-0000BE750000}"/>
    <cellStyle name="Финансовый 3 11 2 2 3 2" xfId="10830" xr:uid="{00000000-0005-0000-0000-0000BF750000}"/>
    <cellStyle name="Финансовый 3 11 2 2 3 2 2" xfId="22808" xr:uid="{00000000-0005-0000-0000-0000C0750000}"/>
    <cellStyle name="Финансовый 3 11 2 2 3 2 2 2" xfId="46763" xr:uid="{00000000-0005-0000-0000-0000C1750000}"/>
    <cellStyle name="Финансовый 3 11 2 2 3 2 3" xfId="34785" xr:uid="{00000000-0005-0000-0000-0000C2750000}"/>
    <cellStyle name="Финансовый 3 11 2 2 3 3" xfId="15014" xr:uid="{00000000-0005-0000-0000-0000C3750000}"/>
    <cellStyle name="Финансовый 3 11 2 2 3 3 2" xfId="38969" xr:uid="{00000000-0005-0000-0000-0000C4750000}"/>
    <cellStyle name="Финансовый 3 11 2 2 3 4" xfId="26992" xr:uid="{00000000-0005-0000-0000-0000C5750000}"/>
    <cellStyle name="Финансовый 3 11 2 2 3 5" xfId="50123" xr:uid="{00000000-0005-0000-0000-0000C6750000}"/>
    <cellStyle name="Финансовый 3 11 2 2 4" xfId="4679" xr:uid="{00000000-0005-0000-0000-0000C7750000}"/>
    <cellStyle name="Финансовый 3 11 2 2 4 2" xfId="16658" xr:uid="{00000000-0005-0000-0000-0000C8750000}"/>
    <cellStyle name="Финансовый 3 11 2 2 4 2 2" xfId="40613" xr:uid="{00000000-0005-0000-0000-0000C9750000}"/>
    <cellStyle name="Финансовый 3 11 2 2 4 3" xfId="28636" xr:uid="{00000000-0005-0000-0000-0000CA750000}"/>
    <cellStyle name="Финансовый 3 11 2 2 5" xfId="7291" xr:uid="{00000000-0005-0000-0000-0000CB750000}"/>
    <cellStyle name="Финансовый 3 11 2 2 5 2" xfId="19269" xr:uid="{00000000-0005-0000-0000-0000CC750000}"/>
    <cellStyle name="Финансовый 3 11 2 2 5 2 2" xfId="43224" xr:uid="{00000000-0005-0000-0000-0000CD750000}"/>
    <cellStyle name="Финансовый 3 11 2 2 5 3" xfId="31246" xr:uid="{00000000-0005-0000-0000-0000CE750000}"/>
    <cellStyle name="Финансовый 3 11 2 2 6" xfId="9073" xr:uid="{00000000-0005-0000-0000-0000CF750000}"/>
    <cellStyle name="Финансовый 3 11 2 2 6 2" xfId="21051" xr:uid="{00000000-0005-0000-0000-0000D0750000}"/>
    <cellStyle name="Финансовый 3 11 2 2 6 2 2" xfId="45006" xr:uid="{00000000-0005-0000-0000-0000D1750000}"/>
    <cellStyle name="Финансовый 3 11 2 2 6 3" xfId="33028" xr:uid="{00000000-0005-0000-0000-0000D2750000}"/>
    <cellStyle name="Финансовый 3 11 2 2 7" xfId="13232" xr:uid="{00000000-0005-0000-0000-0000D3750000}"/>
    <cellStyle name="Финансовый 3 11 2 2 7 2" xfId="37187" xr:uid="{00000000-0005-0000-0000-0000D4750000}"/>
    <cellStyle name="Финансовый 3 11 2 2 8" xfId="25210" xr:uid="{00000000-0005-0000-0000-0000D5750000}"/>
    <cellStyle name="Финансовый 3 11 2 2 9" xfId="48343" xr:uid="{00000000-0005-0000-0000-0000D6750000}"/>
    <cellStyle name="Финансовый 3 11 2 3" xfId="1961" xr:uid="{00000000-0005-0000-0000-0000D7750000}"/>
    <cellStyle name="Финансовый 3 11 2 3 2" xfId="3606" xr:uid="{00000000-0005-0000-0000-0000D8750000}"/>
    <cellStyle name="Финансовый 3 11 2 3 2 2" xfId="11346" xr:uid="{00000000-0005-0000-0000-0000D9750000}"/>
    <cellStyle name="Финансовый 3 11 2 3 2 2 2" xfId="23324" xr:uid="{00000000-0005-0000-0000-0000DA750000}"/>
    <cellStyle name="Финансовый 3 11 2 3 2 2 2 2" xfId="47279" xr:uid="{00000000-0005-0000-0000-0000DB750000}"/>
    <cellStyle name="Финансовый 3 11 2 3 2 2 3" xfId="35301" xr:uid="{00000000-0005-0000-0000-0000DC750000}"/>
    <cellStyle name="Финансовый 3 11 2 3 2 3" xfId="15585" xr:uid="{00000000-0005-0000-0000-0000DD750000}"/>
    <cellStyle name="Финансовый 3 11 2 3 2 3 2" xfId="39540" xr:uid="{00000000-0005-0000-0000-0000DE750000}"/>
    <cellStyle name="Финансовый 3 11 2 3 2 4" xfId="27563" xr:uid="{00000000-0005-0000-0000-0000DF750000}"/>
    <cellStyle name="Финансовый 3 11 2 3 2 5" xfId="50832" xr:uid="{00000000-0005-0000-0000-0000E0750000}"/>
    <cellStyle name="Финансовый 3 11 2 3 3" xfId="5389" xr:uid="{00000000-0005-0000-0000-0000E1750000}"/>
    <cellStyle name="Финансовый 3 11 2 3 3 2" xfId="17367" xr:uid="{00000000-0005-0000-0000-0000E2750000}"/>
    <cellStyle name="Финансовый 3 11 2 3 3 2 2" xfId="41322" xr:uid="{00000000-0005-0000-0000-0000E3750000}"/>
    <cellStyle name="Финансовый 3 11 2 3 3 3" xfId="29344" xr:uid="{00000000-0005-0000-0000-0000E4750000}"/>
    <cellStyle name="Финансовый 3 11 2 3 4" xfId="7999" xr:uid="{00000000-0005-0000-0000-0000E5750000}"/>
    <cellStyle name="Финансовый 3 11 2 3 4 2" xfId="19977" xr:uid="{00000000-0005-0000-0000-0000E6750000}"/>
    <cellStyle name="Финансовый 3 11 2 3 4 2 2" xfId="43932" xr:uid="{00000000-0005-0000-0000-0000E7750000}"/>
    <cellStyle name="Финансовый 3 11 2 3 4 3" xfId="31954" xr:uid="{00000000-0005-0000-0000-0000E8750000}"/>
    <cellStyle name="Финансовый 3 11 2 3 5" xfId="9782" xr:uid="{00000000-0005-0000-0000-0000E9750000}"/>
    <cellStyle name="Финансовый 3 11 2 3 5 2" xfId="21760" xr:uid="{00000000-0005-0000-0000-0000EA750000}"/>
    <cellStyle name="Финансовый 3 11 2 3 5 2 2" xfId="45715" xr:uid="{00000000-0005-0000-0000-0000EB750000}"/>
    <cellStyle name="Финансовый 3 11 2 3 5 3" xfId="33737" xr:uid="{00000000-0005-0000-0000-0000EC750000}"/>
    <cellStyle name="Финансовый 3 11 2 3 6" xfId="13940" xr:uid="{00000000-0005-0000-0000-0000ED750000}"/>
    <cellStyle name="Финансовый 3 11 2 3 6 2" xfId="37895" xr:uid="{00000000-0005-0000-0000-0000EE750000}"/>
    <cellStyle name="Финансовый 3 11 2 3 7" xfId="25918" xr:uid="{00000000-0005-0000-0000-0000EF750000}"/>
    <cellStyle name="Финансовый 3 11 2 3 8" xfId="49051" xr:uid="{00000000-0005-0000-0000-0000F0750000}"/>
    <cellStyle name="Финансовый 3 11 2 4" xfId="2482" xr:uid="{00000000-0005-0000-0000-0000F1750000}"/>
    <cellStyle name="Финансовый 3 11 2 4 2" xfId="4127" xr:uid="{00000000-0005-0000-0000-0000F2750000}"/>
    <cellStyle name="Финансовый 3 11 2 4 2 2" xfId="11859" xr:uid="{00000000-0005-0000-0000-0000F3750000}"/>
    <cellStyle name="Финансовый 3 11 2 4 2 2 2" xfId="23837" xr:uid="{00000000-0005-0000-0000-0000F4750000}"/>
    <cellStyle name="Финансовый 3 11 2 4 2 2 2 2" xfId="47792" xr:uid="{00000000-0005-0000-0000-0000F5750000}"/>
    <cellStyle name="Финансовый 3 11 2 4 2 2 3" xfId="35814" xr:uid="{00000000-0005-0000-0000-0000F6750000}"/>
    <cellStyle name="Финансовый 3 11 2 4 2 3" xfId="16106" xr:uid="{00000000-0005-0000-0000-0000F7750000}"/>
    <cellStyle name="Финансовый 3 11 2 4 2 3 2" xfId="40061" xr:uid="{00000000-0005-0000-0000-0000F8750000}"/>
    <cellStyle name="Финансовый 3 11 2 4 2 4" xfId="28084" xr:uid="{00000000-0005-0000-0000-0000F9750000}"/>
    <cellStyle name="Финансовый 3 11 2 4 2 5" xfId="51353" xr:uid="{00000000-0005-0000-0000-0000FA750000}"/>
    <cellStyle name="Финансовый 3 11 2 4 3" xfId="5910" xr:uid="{00000000-0005-0000-0000-0000FB750000}"/>
    <cellStyle name="Финансовый 3 11 2 4 3 2" xfId="17888" xr:uid="{00000000-0005-0000-0000-0000FC750000}"/>
    <cellStyle name="Финансовый 3 11 2 4 3 2 2" xfId="41843" xr:uid="{00000000-0005-0000-0000-0000FD750000}"/>
    <cellStyle name="Финансовый 3 11 2 4 3 3" xfId="29865" xr:uid="{00000000-0005-0000-0000-0000FE750000}"/>
    <cellStyle name="Финансовый 3 11 2 4 4" xfId="8520" xr:uid="{00000000-0005-0000-0000-0000FF750000}"/>
    <cellStyle name="Финансовый 3 11 2 4 4 2" xfId="20498" xr:uid="{00000000-0005-0000-0000-000000760000}"/>
    <cellStyle name="Финансовый 3 11 2 4 4 2 2" xfId="44453" xr:uid="{00000000-0005-0000-0000-000001760000}"/>
    <cellStyle name="Финансовый 3 11 2 4 4 3" xfId="32475" xr:uid="{00000000-0005-0000-0000-000002760000}"/>
    <cellStyle name="Финансовый 3 11 2 4 5" xfId="10303" xr:uid="{00000000-0005-0000-0000-000003760000}"/>
    <cellStyle name="Финансовый 3 11 2 4 5 2" xfId="22281" xr:uid="{00000000-0005-0000-0000-000004760000}"/>
    <cellStyle name="Финансовый 3 11 2 4 5 2 2" xfId="46236" xr:uid="{00000000-0005-0000-0000-000005760000}"/>
    <cellStyle name="Финансовый 3 11 2 4 5 3" xfId="34258" xr:uid="{00000000-0005-0000-0000-000006760000}"/>
    <cellStyle name="Финансовый 3 11 2 4 6" xfId="14461" xr:uid="{00000000-0005-0000-0000-000007760000}"/>
    <cellStyle name="Финансовый 3 11 2 4 6 2" xfId="38416" xr:uid="{00000000-0005-0000-0000-000008760000}"/>
    <cellStyle name="Финансовый 3 11 2 4 7" xfId="26439" xr:uid="{00000000-0005-0000-0000-000009760000}"/>
    <cellStyle name="Финансовый 3 11 2 4 8" xfId="49572" xr:uid="{00000000-0005-0000-0000-00000A760000}"/>
    <cellStyle name="Финансовый 3 11 2 5" xfId="986" xr:uid="{00000000-0005-0000-0000-00000B760000}"/>
    <cellStyle name="Финансовый 3 11 2 5 2" xfId="7026" xr:uid="{00000000-0005-0000-0000-00000C760000}"/>
    <cellStyle name="Финансовый 3 11 2 5 2 2" xfId="19004" xr:uid="{00000000-0005-0000-0000-00000D760000}"/>
    <cellStyle name="Финансовый 3 11 2 5 2 2 2" xfId="42959" xr:uid="{00000000-0005-0000-0000-00000E760000}"/>
    <cellStyle name="Финансовый 3 11 2 5 2 3" xfId="30981" xr:uid="{00000000-0005-0000-0000-00000F760000}"/>
    <cellStyle name="Финансовый 3 11 2 5 3" xfId="10574" xr:uid="{00000000-0005-0000-0000-000010760000}"/>
    <cellStyle name="Финансовый 3 11 2 5 3 2" xfId="22552" xr:uid="{00000000-0005-0000-0000-000011760000}"/>
    <cellStyle name="Финансовый 3 11 2 5 3 2 2" xfId="46507" xr:uid="{00000000-0005-0000-0000-000012760000}"/>
    <cellStyle name="Финансовый 3 11 2 5 3 3" xfId="34529" xr:uid="{00000000-0005-0000-0000-000013760000}"/>
    <cellStyle name="Финансовый 3 11 2 5 4" xfId="12967" xr:uid="{00000000-0005-0000-0000-000014760000}"/>
    <cellStyle name="Финансовый 3 11 2 5 4 2" xfId="36922" xr:uid="{00000000-0005-0000-0000-000015760000}"/>
    <cellStyle name="Финансовый 3 11 2 5 5" xfId="24945" xr:uid="{00000000-0005-0000-0000-000016760000}"/>
    <cellStyle name="Финансовый 3 11 2 5 6" xfId="49851" xr:uid="{00000000-0005-0000-0000-000017760000}"/>
    <cellStyle name="Финансовый 3 11 2 6" xfId="574" xr:uid="{00000000-0005-0000-0000-000018760000}"/>
    <cellStyle name="Финансовый 3 11 2 6 2" xfId="6614" xr:uid="{00000000-0005-0000-0000-000019760000}"/>
    <cellStyle name="Финансовый 3 11 2 6 2 2" xfId="18592" xr:uid="{00000000-0005-0000-0000-00001A760000}"/>
    <cellStyle name="Финансовый 3 11 2 6 2 2 2" xfId="42547" xr:uid="{00000000-0005-0000-0000-00001B760000}"/>
    <cellStyle name="Финансовый 3 11 2 6 2 3" xfId="30569" xr:uid="{00000000-0005-0000-0000-00001C760000}"/>
    <cellStyle name="Финансовый 3 11 2 6 3" xfId="12555" xr:uid="{00000000-0005-0000-0000-00001D760000}"/>
    <cellStyle name="Финансовый 3 11 2 6 3 2" xfId="36510" xr:uid="{00000000-0005-0000-0000-00001E760000}"/>
    <cellStyle name="Финансовый 3 11 2 6 4" xfId="24533" xr:uid="{00000000-0005-0000-0000-00001F760000}"/>
    <cellStyle name="Финансовый 3 11 2 7" xfId="2763" xr:uid="{00000000-0005-0000-0000-000020760000}"/>
    <cellStyle name="Финансовый 3 11 2 7 2" xfId="14742" xr:uid="{00000000-0005-0000-0000-000021760000}"/>
    <cellStyle name="Финансовый 3 11 2 7 2 2" xfId="38697" xr:uid="{00000000-0005-0000-0000-000022760000}"/>
    <cellStyle name="Финансовый 3 11 2 7 3" xfId="26720" xr:uid="{00000000-0005-0000-0000-000023760000}"/>
    <cellStyle name="Финансовый 3 11 2 8" xfId="4407" xr:uid="{00000000-0005-0000-0000-000024760000}"/>
    <cellStyle name="Финансовый 3 11 2 8 2" xfId="16386" xr:uid="{00000000-0005-0000-0000-000025760000}"/>
    <cellStyle name="Финансовый 3 11 2 8 2 2" xfId="40341" xr:uid="{00000000-0005-0000-0000-000026760000}"/>
    <cellStyle name="Финансовый 3 11 2 8 3" xfId="28364" xr:uid="{00000000-0005-0000-0000-000027760000}"/>
    <cellStyle name="Финансовый 3 11 2 9" xfId="6194" xr:uid="{00000000-0005-0000-0000-000028760000}"/>
    <cellStyle name="Финансовый 3 11 2 9 2" xfId="18172" xr:uid="{00000000-0005-0000-0000-000029760000}"/>
    <cellStyle name="Финансовый 3 11 2 9 2 2" xfId="42127" xr:uid="{00000000-0005-0000-0000-00002A760000}"/>
    <cellStyle name="Финансовый 3 11 2 9 3" xfId="30149" xr:uid="{00000000-0005-0000-0000-00002B760000}"/>
    <cellStyle name="Финансовый 3 11 3" xfId="302" xr:uid="{00000000-0005-0000-0000-00002C760000}"/>
    <cellStyle name="Финансовый 3 11 3 10" xfId="24261" xr:uid="{00000000-0005-0000-0000-00002D760000}"/>
    <cellStyle name="Финансовый 3 11 3 11" xfId="48207" xr:uid="{00000000-0005-0000-0000-00002E760000}"/>
    <cellStyle name="Финансовый 3 11 3 2" xfId="2089" xr:uid="{00000000-0005-0000-0000-00002F760000}"/>
    <cellStyle name="Финансовый 3 11 3 2 2" xfId="3734" xr:uid="{00000000-0005-0000-0000-000030760000}"/>
    <cellStyle name="Финансовый 3 11 3 2 2 2" xfId="11474" xr:uid="{00000000-0005-0000-0000-000031760000}"/>
    <cellStyle name="Финансовый 3 11 3 2 2 2 2" xfId="23452" xr:uid="{00000000-0005-0000-0000-000032760000}"/>
    <cellStyle name="Финансовый 3 11 3 2 2 2 2 2" xfId="47407" xr:uid="{00000000-0005-0000-0000-000033760000}"/>
    <cellStyle name="Финансовый 3 11 3 2 2 2 3" xfId="35429" xr:uid="{00000000-0005-0000-0000-000034760000}"/>
    <cellStyle name="Финансовый 3 11 3 2 2 3" xfId="15713" xr:uid="{00000000-0005-0000-0000-000035760000}"/>
    <cellStyle name="Финансовый 3 11 3 2 2 3 2" xfId="39668" xr:uid="{00000000-0005-0000-0000-000036760000}"/>
    <cellStyle name="Финансовый 3 11 3 2 2 4" xfId="27691" xr:uid="{00000000-0005-0000-0000-000037760000}"/>
    <cellStyle name="Финансовый 3 11 3 2 2 5" xfId="50960" xr:uid="{00000000-0005-0000-0000-000038760000}"/>
    <cellStyle name="Финансовый 3 11 3 2 3" xfId="5517" xr:uid="{00000000-0005-0000-0000-000039760000}"/>
    <cellStyle name="Финансовый 3 11 3 2 3 2" xfId="17495" xr:uid="{00000000-0005-0000-0000-00003A760000}"/>
    <cellStyle name="Финансовый 3 11 3 2 3 2 2" xfId="41450" xr:uid="{00000000-0005-0000-0000-00003B760000}"/>
    <cellStyle name="Финансовый 3 11 3 2 3 3" xfId="29472" xr:uid="{00000000-0005-0000-0000-00003C760000}"/>
    <cellStyle name="Финансовый 3 11 3 2 4" xfId="8127" xr:uid="{00000000-0005-0000-0000-00003D760000}"/>
    <cellStyle name="Финансовый 3 11 3 2 4 2" xfId="20105" xr:uid="{00000000-0005-0000-0000-00003E760000}"/>
    <cellStyle name="Финансовый 3 11 3 2 4 2 2" xfId="44060" xr:uid="{00000000-0005-0000-0000-00003F760000}"/>
    <cellStyle name="Финансовый 3 11 3 2 4 3" xfId="32082" xr:uid="{00000000-0005-0000-0000-000040760000}"/>
    <cellStyle name="Финансовый 3 11 3 2 5" xfId="9910" xr:uid="{00000000-0005-0000-0000-000041760000}"/>
    <cellStyle name="Финансовый 3 11 3 2 5 2" xfId="21888" xr:uid="{00000000-0005-0000-0000-000042760000}"/>
    <cellStyle name="Финансовый 3 11 3 2 5 2 2" xfId="45843" xr:uid="{00000000-0005-0000-0000-000043760000}"/>
    <cellStyle name="Финансовый 3 11 3 2 5 3" xfId="33865" xr:uid="{00000000-0005-0000-0000-000044760000}"/>
    <cellStyle name="Финансовый 3 11 3 2 6" xfId="14068" xr:uid="{00000000-0005-0000-0000-000045760000}"/>
    <cellStyle name="Финансовый 3 11 3 2 6 2" xfId="38023" xr:uid="{00000000-0005-0000-0000-000046760000}"/>
    <cellStyle name="Финансовый 3 11 3 2 7" xfId="26046" xr:uid="{00000000-0005-0000-0000-000047760000}"/>
    <cellStyle name="Финансовый 3 11 3 2 8" xfId="49179" xr:uid="{00000000-0005-0000-0000-000048760000}"/>
    <cellStyle name="Финансовый 3 11 3 3" xfId="1122" xr:uid="{00000000-0005-0000-0000-000049760000}"/>
    <cellStyle name="Финансовый 3 11 3 3 2" xfId="7162" xr:uid="{00000000-0005-0000-0000-00004A760000}"/>
    <cellStyle name="Финансовый 3 11 3 3 2 2" xfId="19140" xr:uid="{00000000-0005-0000-0000-00004B760000}"/>
    <cellStyle name="Финансовый 3 11 3 3 2 2 2" xfId="43095" xr:uid="{00000000-0005-0000-0000-00004C760000}"/>
    <cellStyle name="Финансовый 3 11 3 3 2 3" xfId="31117" xr:uid="{00000000-0005-0000-0000-00004D760000}"/>
    <cellStyle name="Финансовый 3 11 3 3 3" xfId="10702" xr:uid="{00000000-0005-0000-0000-00004E760000}"/>
    <cellStyle name="Финансовый 3 11 3 3 3 2" xfId="22680" xr:uid="{00000000-0005-0000-0000-00004F760000}"/>
    <cellStyle name="Финансовый 3 11 3 3 3 2 2" xfId="46635" xr:uid="{00000000-0005-0000-0000-000050760000}"/>
    <cellStyle name="Финансовый 3 11 3 3 3 3" xfId="34657" xr:uid="{00000000-0005-0000-0000-000051760000}"/>
    <cellStyle name="Финансовый 3 11 3 3 4" xfId="13103" xr:uid="{00000000-0005-0000-0000-000052760000}"/>
    <cellStyle name="Финансовый 3 11 3 3 4 2" xfId="37058" xr:uid="{00000000-0005-0000-0000-000053760000}"/>
    <cellStyle name="Финансовый 3 11 3 3 5" xfId="25081" xr:uid="{00000000-0005-0000-0000-000054760000}"/>
    <cellStyle name="Финансовый 3 11 3 3 6" xfId="49987" xr:uid="{00000000-0005-0000-0000-000055760000}"/>
    <cellStyle name="Финансовый 3 11 3 4" xfId="722" xr:uid="{00000000-0005-0000-0000-000056760000}"/>
    <cellStyle name="Финансовый 3 11 3 4 2" xfId="6762" xr:uid="{00000000-0005-0000-0000-000057760000}"/>
    <cellStyle name="Финансовый 3 11 3 4 2 2" xfId="18740" xr:uid="{00000000-0005-0000-0000-000058760000}"/>
    <cellStyle name="Финансовый 3 11 3 4 2 2 2" xfId="42695" xr:uid="{00000000-0005-0000-0000-000059760000}"/>
    <cellStyle name="Финансовый 3 11 3 4 2 3" xfId="30717" xr:uid="{00000000-0005-0000-0000-00005A760000}"/>
    <cellStyle name="Финансовый 3 11 3 4 3" xfId="12703" xr:uid="{00000000-0005-0000-0000-00005B760000}"/>
    <cellStyle name="Финансовый 3 11 3 4 3 2" xfId="36658" xr:uid="{00000000-0005-0000-0000-00005C760000}"/>
    <cellStyle name="Финансовый 3 11 3 4 4" xfId="24681" xr:uid="{00000000-0005-0000-0000-00005D760000}"/>
    <cellStyle name="Финансовый 3 11 3 5" xfId="2899" xr:uid="{00000000-0005-0000-0000-00005E760000}"/>
    <cellStyle name="Финансовый 3 11 3 5 2" xfId="14878" xr:uid="{00000000-0005-0000-0000-00005F760000}"/>
    <cellStyle name="Финансовый 3 11 3 5 2 2" xfId="38833" xr:uid="{00000000-0005-0000-0000-000060760000}"/>
    <cellStyle name="Финансовый 3 11 3 5 3" xfId="26856" xr:uid="{00000000-0005-0000-0000-000061760000}"/>
    <cellStyle name="Финансовый 3 11 3 6" xfId="4543" xr:uid="{00000000-0005-0000-0000-000062760000}"/>
    <cellStyle name="Финансовый 3 11 3 6 2" xfId="16522" xr:uid="{00000000-0005-0000-0000-000063760000}"/>
    <cellStyle name="Финансовый 3 11 3 6 2 2" xfId="40477" xr:uid="{00000000-0005-0000-0000-000064760000}"/>
    <cellStyle name="Финансовый 3 11 3 6 3" xfId="28500" xr:uid="{00000000-0005-0000-0000-000065760000}"/>
    <cellStyle name="Финансовый 3 11 3 7" xfId="6342" xr:uid="{00000000-0005-0000-0000-000066760000}"/>
    <cellStyle name="Финансовый 3 11 3 7 2" xfId="18320" xr:uid="{00000000-0005-0000-0000-000067760000}"/>
    <cellStyle name="Финансовый 3 11 3 7 2 2" xfId="42275" xr:uid="{00000000-0005-0000-0000-000068760000}"/>
    <cellStyle name="Финансовый 3 11 3 7 3" xfId="30297" xr:uid="{00000000-0005-0000-0000-000069760000}"/>
    <cellStyle name="Финансовый 3 11 3 8" xfId="8937" xr:uid="{00000000-0005-0000-0000-00006A760000}"/>
    <cellStyle name="Финансовый 3 11 3 8 2" xfId="20915" xr:uid="{00000000-0005-0000-0000-00006B760000}"/>
    <cellStyle name="Финансовый 3 11 3 8 2 2" xfId="44870" xr:uid="{00000000-0005-0000-0000-00006C760000}"/>
    <cellStyle name="Финансовый 3 11 3 8 3" xfId="32892" xr:uid="{00000000-0005-0000-0000-00006D760000}"/>
    <cellStyle name="Финансовый 3 11 3 9" xfId="12283" xr:uid="{00000000-0005-0000-0000-00006E760000}"/>
    <cellStyle name="Финансовый 3 11 3 9 2" xfId="36238" xr:uid="{00000000-0005-0000-0000-00006F760000}"/>
    <cellStyle name="Финансовый 3 11 4" xfId="1514" xr:uid="{00000000-0005-0000-0000-000070760000}"/>
    <cellStyle name="Финансовый 3 11 4 2" xfId="1825" xr:uid="{00000000-0005-0000-0000-000071760000}"/>
    <cellStyle name="Финансовый 3 11 4 2 2" xfId="3470" xr:uid="{00000000-0005-0000-0000-000072760000}"/>
    <cellStyle name="Финансовый 3 11 4 2 2 2" xfId="11218" xr:uid="{00000000-0005-0000-0000-000073760000}"/>
    <cellStyle name="Финансовый 3 11 4 2 2 2 2" xfId="23196" xr:uid="{00000000-0005-0000-0000-000074760000}"/>
    <cellStyle name="Финансовый 3 11 4 2 2 2 2 2" xfId="47151" xr:uid="{00000000-0005-0000-0000-000075760000}"/>
    <cellStyle name="Финансовый 3 11 4 2 2 2 3" xfId="35173" xr:uid="{00000000-0005-0000-0000-000076760000}"/>
    <cellStyle name="Финансовый 3 11 4 2 2 3" xfId="15449" xr:uid="{00000000-0005-0000-0000-000077760000}"/>
    <cellStyle name="Финансовый 3 11 4 2 2 3 2" xfId="39404" xr:uid="{00000000-0005-0000-0000-000078760000}"/>
    <cellStyle name="Финансовый 3 11 4 2 2 4" xfId="27427" xr:uid="{00000000-0005-0000-0000-000079760000}"/>
    <cellStyle name="Финансовый 3 11 4 2 2 5" xfId="50696" xr:uid="{00000000-0005-0000-0000-00007A760000}"/>
    <cellStyle name="Финансовый 3 11 4 2 3" xfId="5253" xr:uid="{00000000-0005-0000-0000-00007B760000}"/>
    <cellStyle name="Финансовый 3 11 4 2 3 2" xfId="17231" xr:uid="{00000000-0005-0000-0000-00007C760000}"/>
    <cellStyle name="Финансовый 3 11 4 2 3 2 2" xfId="41186" xr:uid="{00000000-0005-0000-0000-00007D760000}"/>
    <cellStyle name="Финансовый 3 11 4 2 3 3" xfId="29208" xr:uid="{00000000-0005-0000-0000-00007E760000}"/>
    <cellStyle name="Финансовый 3 11 4 2 4" xfId="7863" xr:uid="{00000000-0005-0000-0000-00007F760000}"/>
    <cellStyle name="Финансовый 3 11 4 2 4 2" xfId="19841" xr:uid="{00000000-0005-0000-0000-000080760000}"/>
    <cellStyle name="Финансовый 3 11 4 2 4 2 2" xfId="43796" xr:uid="{00000000-0005-0000-0000-000081760000}"/>
    <cellStyle name="Финансовый 3 11 4 2 4 3" xfId="31818" xr:uid="{00000000-0005-0000-0000-000082760000}"/>
    <cellStyle name="Финансовый 3 11 4 2 5" xfId="9646" xr:uid="{00000000-0005-0000-0000-000083760000}"/>
    <cellStyle name="Финансовый 3 11 4 2 5 2" xfId="21624" xr:uid="{00000000-0005-0000-0000-000084760000}"/>
    <cellStyle name="Финансовый 3 11 4 2 5 2 2" xfId="45579" xr:uid="{00000000-0005-0000-0000-000085760000}"/>
    <cellStyle name="Финансовый 3 11 4 2 5 3" xfId="33601" xr:uid="{00000000-0005-0000-0000-000086760000}"/>
    <cellStyle name="Финансовый 3 11 4 2 6" xfId="13804" xr:uid="{00000000-0005-0000-0000-000087760000}"/>
    <cellStyle name="Финансовый 3 11 4 2 6 2" xfId="37759" xr:uid="{00000000-0005-0000-0000-000088760000}"/>
    <cellStyle name="Финансовый 3 11 4 2 7" xfId="25782" xr:uid="{00000000-0005-0000-0000-000089760000}"/>
    <cellStyle name="Финансовый 3 11 4 2 8" xfId="48915" xr:uid="{00000000-0005-0000-0000-00008A760000}"/>
    <cellStyle name="Финансовый 3 11 4 3" xfId="4942" xr:uid="{00000000-0005-0000-0000-00008B760000}"/>
    <cellStyle name="Финансовый 3 11 4 3 2" xfId="16920" xr:uid="{00000000-0005-0000-0000-00008C760000}"/>
    <cellStyle name="Финансовый 3 11 4 3 2 2" xfId="40875" xr:uid="{00000000-0005-0000-0000-00008D760000}"/>
    <cellStyle name="Финансовый 3 11 4 3 3" xfId="28897" xr:uid="{00000000-0005-0000-0000-00008E760000}"/>
    <cellStyle name="Финансовый 3 11 4 3 4" xfId="50385" xr:uid="{00000000-0005-0000-0000-00008F760000}"/>
    <cellStyle name="Финансовый 3 11 4 4" xfId="7552" xr:uid="{00000000-0005-0000-0000-000090760000}"/>
    <cellStyle name="Финансовый 3 11 4 4 2" xfId="19530" xr:uid="{00000000-0005-0000-0000-000091760000}"/>
    <cellStyle name="Финансовый 3 11 4 4 2 2" xfId="43485" xr:uid="{00000000-0005-0000-0000-000092760000}"/>
    <cellStyle name="Финансовый 3 11 4 4 3" xfId="31507" xr:uid="{00000000-0005-0000-0000-000093760000}"/>
    <cellStyle name="Финансовый 3 11 4 5" xfId="9335" xr:uid="{00000000-0005-0000-0000-000094760000}"/>
    <cellStyle name="Финансовый 3 11 4 5 2" xfId="21313" xr:uid="{00000000-0005-0000-0000-000095760000}"/>
    <cellStyle name="Финансовый 3 11 4 5 2 2" xfId="45268" xr:uid="{00000000-0005-0000-0000-000096760000}"/>
    <cellStyle name="Финансовый 3 11 4 5 3" xfId="33290" xr:uid="{00000000-0005-0000-0000-000097760000}"/>
    <cellStyle name="Финансовый 3 11 4 6" xfId="13493" xr:uid="{00000000-0005-0000-0000-000098760000}"/>
    <cellStyle name="Финансовый 3 11 4 6 2" xfId="37448" xr:uid="{00000000-0005-0000-0000-000099760000}"/>
    <cellStyle name="Финансовый 3 11 4 7" xfId="25471" xr:uid="{00000000-0005-0000-0000-00009A760000}"/>
    <cellStyle name="Финансовый 3 11 4 8" xfId="48604" xr:uid="{00000000-0005-0000-0000-00009B760000}"/>
    <cellStyle name="Финансовый 3 11 5" xfId="1709" xr:uid="{00000000-0005-0000-0000-00009C760000}"/>
    <cellStyle name="Финансовый 3 11 5 2" xfId="3354" xr:uid="{00000000-0005-0000-0000-00009D760000}"/>
    <cellStyle name="Финансовый 3 11 5 2 2" xfId="11102" xr:uid="{00000000-0005-0000-0000-00009E760000}"/>
    <cellStyle name="Финансовый 3 11 5 2 2 2" xfId="23080" xr:uid="{00000000-0005-0000-0000-00009F760000}"/>
    <cellStyle name="Финансовый 3 11 5 2 2 2 2" xfId="47035" xr:uid="{00000000-0005-0000-0000-0000A0760000}"/>
    <cellStyle name="Финансовый 3 11 5 2 2 3" xfId="35057" xr:uid="{00000000-0005-0000-0000-0000A1760000}"/>
    <cellStyle name="Финансовый 3 11 5 2 3" xfId="15333" xr:uid="{00000000-0005-0000-0000-0000A2760000}"/>
    <cellStyle name="Финансовый 3 11 5 2 3 2" xfId="39288" xr:uid="{00000000-0005-0000-0000-0000A3760000}"/>
    <cellStyle name="Финансовый 3 11 5 2 4" xfId="27311" xr:uid="{00000000-0005-0000-0000-0000A4760000}"/>
    <cellStyle name="Финансовый 3 11 5 2 5" xfId="50580" xr:uid="{00000000-0005-0000-0000-0000A5760000}"/>
    <cellStyle name="Финансовый 3 11 5 3" xfId="5137" xr:uid="{00000000-0005-0000-0000-0000A6760000}"/>
    <cellStyle name="Финансовый 3 11 5 3 2" xfId="17115" xr:uid="{00000000-0005-0000-0000-0000A7760000}"/>
    <cellStyle name="Финансовый 3 11 5 3 2 2" xfId="41070" xr:uid="{00000000-0005-0000-0000-0000A8760000}"/>
    <cellStyle name="Финансовый 3 11 5 3 3" xfId="29092" xr:uid="{00000000-0005-0000-0000-0000A9760000}"/>
    <cellStyle name="Финансовый 3 11 5 4" xfId="7747" xr:uid="{00000000-0005-0000-0000-0000AA760000}"/>
    <cellStyle name="Финансовый 3 11 5 4 2" xfId="19725" xr:uid="{00000000-0005-0000-0000-0000AB760000}"/>
    <cellStyle name="Финансовый 3 11 5 4 2 2" xfId="43680" xr:uid="{00000000-0005-0000-0000-0000AC760000}"/>
    <cellStyle name="Финансовый 3 11 5 4 3" xfId="31702" xr:uid="{00000000-0005-0000-0000-0000AD760000}"/>
    <cellStyle name="Финансовый 3 11 5 5" xfId="9530" xr:uid="{00000000-0005-0000-0000-0000AE760000}"/>
    <cellStyle name="Финансовый 3 11 5 5 2" xfId="21508" xr:uid="{00000000-0005-0000-0000-0000AF760000}"/>
    <cellStyle name="Финансовый 3 11 5 5 2 2" xfId="45463" xr:uid="{00000000-0005-0000-0000-0000B0760000}"/>
    <cellStyle name="Финансовый 3 11 5 5 3" xfId="33485" xr:uid="{00000000-0005-0000-0000-0000B1760000}"/>
    <cellStyle name="Финансовый 3 11 5 6" xfId="13688" xr:uid="{00000000-0005-0000-0000-0000B2760000}"/>
    <cellStyle name="Финансовый 3 11 5 6 2" xfId="37643" xr:uid="{00000000-0005-0000-0000-0000B3760000}"/>
    <cellStyle name="Финансовый 3 11 5 7" xfId="25666" xr:uid="{00000000-0005-0000-0000-0000B4760000}"/>
    <cellStyle name="Финансовый 3 11 5 8" xfId="48799" xr:uid="{00000000-0005-0000-0000-0000B5760000}"/>
    <cellStyle name="Финансовый 3 11 6" xfId="2345" xr:uid="{00000000-0005-0000-0000-0000B6760000}"/>
    <cellStyle name="Финансовый 3 11 6 2" xfId="3990" xr:uid="{00000000-0005-0000-0000-0000B7760000}"/>
    <cellStyle name="Финансовый 3 11 6 2 2" xfId="11730" xr:uid="{00000000-0005-0000-0000-0000B8760000}"/>
    <cellStyle name="Финансовый 3 11 6 2 2 2" xfId="23708" xr:uid="{00000000-0005-0000-0000-0000B9760000}"/>
    <cellStyle name="Финансовый 3 11 6 2 2 2 2" xfId="47663" xr:uid="{00000000-0005-0000-0000-0000BA760000}"/>
    <cellStyle name="Финансовый 3 11 6 2 2 3" xfId="35685" xr:uid="{00000000-0005-0000-0000-0000BB760000}"/>
    <cellStyle name="Финансовый 3 11 6 2 3" xfId="15969" xr:uid="{00000000-0005-0000-0000-0000BC760000}"/>
    <cellStyle name="Финансовый 3 11 6 2 3 2" xfId="39924" xr:uid="{00000000-0005-0000-0000-0000BD760000}"/>
    <cellStyle name="Финансовый 3 11 6 2 4" xfId="27947" xr:uid="{00000000-0005-0000-0000-0000BE760000}"/>
    <cellStyle name="Финансовый 3 11 6 2 5" xfId="51216" xr:uid="{00000000-0005-0000-0000-0000BF760000}"/>
    <cellStyle name="Финансовый 3 11 6 3" xfId="5773" xr:uid="{00000000-0005-0000-0000-0000C0760000}"/>
    <cellStyle name="Финансовый 3 11 6 3 2" xfId="17751" xr:uid="{00000000-0005-0000-0000-0000C1760000}"/>
    <cellStyle name="Финансовый 3 11 6 3 2 2" xfId="41706" xr:uid="{00000000-0005-0000-0000-0000C2760000}"/>
    <cellStyle name="Финансовый 3 11 6 3 3" xfId="29728" xr:uid="{00000000-0005-0000-0000-0000C3760000}"/>
    <cellStyle name="Финансовый 3 11 6 4" xfId="8383" xr:uid="{00000000-0005-0000-0000-0000C4760000}"/>
    <cellStyle name="Финансовый 3 11 6 4 2" xfId="20361" xr:uid="{00000000-0005-0000-0000-0000C5760000}"/>
    <cellStyle name="Финансовый 3 11 6 4 2 2" xfId="44316" xr:uid="{00000000-0005-0000-0000-0000C6760000}"/>
    <cellStyle name="Финансовый 3 11 6 4 3" xfId="32338" xr:uid="{00000000-0005-0000-0000-0000C7760000}"/>
    <cellStyle name="Финансовый 3 11 6 5" xfId="10166" xr:uid="{00000000-0005-0000-0000-0000C8760000}"/>
    <cellStyle name="Финансовый 3 11 6 5 2" xfId="22144" xr:uid="{00000000-0005-0000-0000-0000C9760000}"/>
    <cellStyle name="Финансовый 3 11 6 5 2 2" xfId="46099" xr:uid="{00000000-0005-0000-0000-0000CA760000}"/>
    <cellStyle name="Финансовый 3 11 6 5 3" xfId="34121" xr:uid="{00000000-0005-0000-0000-0000CB760000}"/>
    <cellStyle name="Финансовый 3 11 6 6" xfId="14324" xr:uid="{00000000-0005-0000-0000-0000CC760000}"/>
    <cellStyle name="Финансовый 3 11 6 6 2" xfId="38279" xr:uid="{00000000-0005-0000-0000-0000CD760000}"/>
    <cellStyle name="Финансовый 3 11 6 7" xfId="26302" xr:uid="{00000000-0005-0000-0000-0000CE760000}"/>
    <cellStyle name="Финансовый 3 11 6 8" xfId="49435" xr:uid="{00000000-0005-0000-0000-0000CF760000}"/>
    <cellStyle name="Финансовый 3 11 7" xfId="1572" xr:uid="{00000000-0005-0000-0000-0000D0760000}"/>
    <cellStyle name="Финансовый 3 11 7 2" xfId="3217" xr:uid="{00000000-0005-0000-0000-0000D1760000}"/>
    <cellStyle name="Финансовый 3 11 7 2 2" xfId="10973" xr:uid="{00000000-0005-0000-0000-0000D2760000}"/>
    <cellStyle name="Финансовый 3 11 7 2 2 2" xfId="22951" xr:uid="{00000000-0005-0000-0000-0000D3760000}"/>
    <cellStyle name="Финансовый 3 11 7 2 2 2 2" xfId="46906" xr:uid="{00000000-0005-0000-0000-0000D4760000}"/>
    <cellStyle name="Финансовый 3 11 7 2 2 3" xfId="34928" xr:uid="{00000000-0005-0000-0000-0000D5760000}"/>
    <cellStyle name="Финансовый 3 11 7 2 3" xfId="15196" xr:uid="{00000000-0005-0000-0000-0000D6760000}"/>
    <cellStyle name="Финансовый 3 11 7 2 3 2" xfId="39151" xr:uid="{00000000-0005-0000-0000-0000D7760000}"/>
    <cellStyle name="Финансовый 3 11 7 2 4" xfId="27174" xr:uid="{00000000-0005-0000-0000-0000D8760000}"/>
    <cellStyle name="Финансовый 3 11 7 2 5" xfId="50443" xr:uid="{00000000-0005-0000-0000-0000D9760000}"/>
    <cellStyle name="Финансовый 3 11 7 3" xfId="5000" xr:uid="{00000000-0005-0000-0000-0000DA760000}"/>
    <cellStyle name="Финансовый 3 11 7 3 2" xfId="16978" xr:uid="{00000000-0005-0000-0000-0000DB760000}"/>
    <cellStyle name="Финансовый 3 11 7 3 2 2" xfId="40933" xr:uid="{00000000-0005-0000-0000-0000DC760000}"/>
    <cellStyle name="Финансовый 3 11 7 3 3" xfId="28955" xr:uid="{00000000-0005-0000-0000-0000DD760000}"/>
    <cellStyle name="Финансовый 3 11 7 4" xfId="7610" xr:uid="{00000000-0005-0000-0000-0000DE760000}"/>
    <cellStyle name="Финансовый 3 11 7 4 2" xfId="19588" xr:uid="{00000000-0005-0000-0000-0000DF760000}"/>
    <cellStyle name="Финансовый 3 11 7 4 2 2" xfId="43543" xr:uid="{00000000-0005-0000-0000-0000E0760000}"/>
    <cellStyle name="Финансовый 3 11 7 4 3" xfId="31565" xr:uid="{00000000-0005-0000-0000-0000E1760000}"/>
    <cellStyle name="Финансовый 3 11 7 5" xfId="9393" xr:uid="{00000000-0005-0000-0000-0000E2760000}"/>
    <cellStyle name="Финансовый 3 11 7 5 2" xfId="21371" xr:uid="{00000000-0005-0000-0000-0000E3760000}"/>
    <cellStyle name="Финансовый 3 11 7 5 2 2" xfId="45326" xr:uid="{00000000-0005-0000-0000-0000E4760000}"/>
    <cellStyle name="Финансовый 3 11 7 5 3" xfId="33348" xr:uid="{00000000-0005-0000-0000-0000E5760000}"/>
    <cellStyle name="Финансовый 3 11 7 6" xfId="13551" xr:uid="{00000000-0005-0000-0000-0000E6760000}"/>
    <cellStyle name="Финансовый 3 11 7 6 2" xfId="37506" xr:uid="{00000000-0005-0000-0000-0000E7760000}"/>
    <cellStyle name="Финансовый 3 11 7 7" xfId="25529" xr:uid="{00000000-0005-0000-0000-0000E8760000}"/>
    <cellStyle name="Финансовый 3 11 7 8" xfId="48662" xr:uid="{00000000-0005-0000-0000-0000E9760000}"/>
    <cellStyle name="Финансовый 3 11 8" xfId="858" xr:uid="{00000000-0005-0000-0000-0000EA760000}"/>
    <cellStyle name="Финансовый 3 11 8 2" xfId="6898" xr:uid="{00000000-0005-0000-0000-0000EB760000}"/>
    <cellStyle name="Финансовый 3 11 8 2 2" xfId="18876" xr:uid="{00000000-0005-0000-0000-0000EC760000}"/>
    <cellStyle name="Финансовый 3 11 8 2 2 2" xfId="42831" xr:uid="{00000000-0005-0000-0000-0000ED760000}"/>
    <cellStyle name="Финансовый 3 11 8 2 3" xfId="30853" xr:uid="{00000000-0005-0000-0000-0000EE760000}"/>
    <cellStyle name="Финансовый 3 11 8 3" xfId="10446" xr:uid="{00000000-0005-0000-0000-0000EF760000}"/>
    <cellStyle name="Финансовый 3 11 8 3 2" xfId="22424" xr:uid="{00000000-0005-0000-0000-0000F0760000}"/>
    <cellStyle name="Финансовый 3 11 8 3 2 2" xfId="46379" xr:uid="{00000000-0005-0000-0000-0000F1760000}"/>
    <cellStyle name="Финансовый 3 11 8 3 3" xfId="34401" xr:uid="{00000000-0005-0000-0000-0000F2760000}"/>
    <cellStyle name="Финансовый 3 11 8 4" xfId="12839" xr:uid="{00000000-0005-0000-0000-0000F3760000}"/>
    <cellStyle name="Финансовый 3 11 8 4 2" xfId="36794" xr:uid="{00000000-0005-0000-0000-0000F4760000}"/>
    <cellStyle name="Финансовый 3 11 8 5" xfId="24817" xr:uid="{00000000-0005-0000-0000-0000F5760000}"/>
    <cellStyle name="Финансовый 3 11 8 6" xfId="49715" xr:uid="{00000000-0005-0000-0000-0000F6760000}"/>
    <cellStyle name="Финансовый 3 11 9" xfId="438" xr:uid="{00000000-0005-0000-0000-0000F7760000}"/>
    <cellStyle name="Финансовый 3 11 9 2" xfId="6478" xr:uid="{00000000-0005-0000-0000-0000F8760000}"/>
    <cellStyle name="Финансовый 3 11 9 2 2" xfId="18456" xr:uid="{00000000-0005-0000-0000-0000F9760000}"/>
    <cellStyle name="Финансовый 3 11 9 2 2 2" xfId="42411" xr:uid="{00000000-0005-0000-0000-0000FA760000}"/>
    <cellStyle name="Финансовый 3 11 9 2 3" xfId="30433" xr:uid="{00000000-0005-0000-0000-0000FB760000}"/>
    <cellStyle name="Финансовый 3 11 9 3" xfId="12419" xr:uid="{00000000-0005-0000-0000-0000FC760000}"/>
    <cellStyle name="Финансовый 3 11 9 3 2" xfId="36374" xr:uid="{00000000-0005-0000-0000-0000FD760000}"/>
    <cellStyle name="Финансовый 3 11 9 4" xfId="24397" xr:uid="{00000000-0005-0000-0000-0000FE760000}"/>
    <cellStyle name="Финансовый 3 12" xfId="141" xr:uid="{00000000-0005-0000-0000-0000FF760000}"/>
    <cellStyle name="Финансовый 3 12 10" xfId="8789" xr:uid="{00000000-0005-0000-0000-000000770000}"/>
    <cellStyle name="Финансовый 3 12 10 2" xfId="20767" xr:uid="{00000000-0005-0000-0000-000001770000}"/>
    <cellStyle name="Финансовый 3 12 10 2 2" xfId="44722" xr:uid="{00000000-0005-0000-0000-000002770000}"/>
    <cellStyle name="Финансовый 3 12 10 3" xfId="32744" xr:uid="{00000000-0005-0000-0000-000003770000}"/>
    <cellStyle name="Финансовый 3 12 11" xfId="12123" xr:uid="{00000000-0005-0000-0000-000004770000}"/>
    <cellStyle name="Финансовый 3 12 11 2" xfId="36078" xr:uid="{00000000-0005-0000-0000-000005770000}"/>
    <cellStyle name="Финансовый 3 12 12" xfId="24101" xr:uid="{00000000-0005-0000-0000-000006770000}"/>
    <cellStyle name="Финансовый 3 12 13" xfId="48059" xr:uid="{00000000-0005-0000-0000-000007770000}"/>
    <cellStyle name="Финансовый 3 12 2" xfId="1239" xr:uid="{00000000-0005-0000-0000-000008770000}"/>
    <cellStyle name="Финансовый 3 12 2 2" xfId="2205" xr:uid="{00000000-0005-0000-0000-000009770000}"/>
    <cellStyle name="Финансовый 3 12 2 2 2" xfId="3850" xr:uid="{00000000-0005-0000-0000-00000A770000}"/>
    <cellStyle name="Финансовый 3 12 2 2 2 2" xfId="11590" xr:uid="{00000000-0005-0000-0000-00000B770000}"/>
    <cellStyle name="Финансовый 3 12 2 2 2 2 2" xfId="23568" xr:uid="{00000000-0005-0000-0000-00000C770000}"/>
    <cellStyle name="Финансовый 3 12 2 2 2 2 2 2" xfId="47523" xr:uid="{00000000-0005-0000-0000-00000D770000}"/>
    <cellStyle name="Финансовый 3 12 2 2 2 2 3" xfId="35545" xr:uid="{00000000-0005-0000-0000-00000E770000}"/>
    <cellStyle name="Финансовый 3 12 2 2 2 3" xfId="15829" xr:uid="{00000000-0005-0000-0000-00000F770000}"/>
    <cellStyle name="Финансовый 3 12 2 2 2 3 2" xfId="39784" xr:uid="{00000000-0005-0000-0000-000010770000}"/>
    <cellStyle name="Финансовый 3 12 2 2 2 4" xfId="27807" xr:uid="{00000000-0005-0000-0000-000011770000}"/>
    <cellStyle name="Финансовый 3 12 2 2 2 5" xfId="51076" xr:uid="{00000000-0005-0000-0000-000012770000}"/>
    <cellStyle name="Финансовый 3 12 2 2 3" xfId="5633" xr:uid="{00000000-0005-0000-0000-000013770000}"/>
    <cellStyle name="Финансовый 3 12 2 2 3 2" xfId="17611" xr:uid="{00000000-0005-0000-0000-000014770000}"/>
    <cellStyle name="Финансовый 3 12 2 2 3 2 2" xfId="41566" xr:uid="{00000000-0005-0000-0000-000015770000}"/>
    <cellStyle name="Финансовый 3 12 2 2 3 3" xfId="29588" xr:uid="{00000000-0005-0000-0000-000016770000}"/>
    <cellStyle name="Финансовый 3 12 2 2 4" xfId="8243" xr:uid="{00000000-0005-0000-0000-000017770000}"/>
    <cellStyle name="Финансовый 3 12 2 2 4 2" xfId="20221" xr:uid="{00000000-0005-0000-0000-000018770000}"/>
    <cellStyle name="Финансовый 3 12 2 2 4 2 2" xfId="44176" xr:uid="{00000000-0005-0000-0000-000019770000}"/>
    <cellStyle name="Финансовый 3 12 2 2 4 3" xfId="32198" xr:uid="{00000000-0005-0000-0000-00001A770000}"/>
    <cellStyle name="Финансовый 3 12 2 2 5" xfId="10026" xr:uid="{00000000-0005-0000-0000-00001B770000}"/>
    <cellStyle name="Финансовый 3 12 2 2 5 2" xfId="22004" xr:uid="{00000000-0005-0000-0000-00001C770000}"/>
    <cellStyle name="Финансовый 3 12 2 2 5 2 2" xfId="45959" xr:uid="{00000000-0005-0000-0000-00001D770000}"/>
    <cellStyle name="Финансовый 3 12 2 2 5 3" xfId="33981" xr:uid="{00000000-0005-0000-0000-00001E770000}"/>
    <cellStyle name="Финансовый 3 12 2 2 6" xfId="14184" xr:uid="{00000000-0005-0000-0000-00001F770000}"/>
    <cellStyle name="Финансовый 3 12 2 2 6 2" xfId="38139" xr:uid="{00000000-0005-0000-0000-000020770000}"/>
    <cellStyle name="Финансовый 3 12 2 2 7" xfId="26162" xr:uid="{00000000-0005-0000-0000-000021770000}"/>
    <cellStyle name="Финансовый 3 12 2 2 8" xfId="49295" xr:uid="{00000000-0005-0000-0000-000022770000}"/>
    <cellStyle name="Финансовый 3 12 2 3" xfId="3023" xr:uid="{00000000-0005-0000-0000-000023770000}"/>
    <cellStyle name="Финансовый 3 12 2 3 2" xfId="10818" xr:uid="{00000000-0005-0000-0000-000024770000}"/>
    <cellStyle name="Финансовый 3 12 2 3 2 2" xfId="22796" xr:uid="{00000000-0005-0000-0000-000025770000}"/>
    <cellStyle name="Финансовый 3 12 2 3 2 2 2" xfId="46751" xr:uid="{00000000-0005-0000-0000-000026770000}"/>
    <cellStyle name="Финансовый 3 12 2 3 2 3" xfId="34773" xr:uid="{00000000-0005-0000-0000-000027770000}"/>
    <cellStyle name="Финансовый 3 12 2 3 3" xfId="15002" xr:uid="{00000000-0005-0000-0000-000028770000}"/>
    <cellStyle name="Финансовый 3 12 2 3 3 2" xfId="38957" xr:uid="{00000000-0005-0000-0000-000029770000}"/>
    <cellStyle name="Финансовый 3 12 2 3 4" xfId="26980" xr:uid="{00000000-0005-0000-0000-00002A770000}"/>
    <cellStyle name="Финансовый 3 12 2 3 5" xfId="50111" xr:uid="{00000000-0005-0000-0000-00002B770000}"/>
    <cellStyle name="Финансовый 3 12 2 4" xfId="4667" xr:uid="{00000000-0005-0000-0000-00002C770000}"/>
    <cellStyle name="Финансовый 3 12 2 4 2" xfId="16646" xr:uid="{00000000-0005-0000-0000-00002D770000}"/>
    <cellStyle name="Финансовый 3 12 2 4 2 2" xfId="40601" xr:uid="{00000000-0005-0000-0000-00002E770000}"/>
    <cellStyle name="Финансовый 3 12 2 4 3" xfId="28624" xr:uid="{00000000-0005-0000-0000-00002F770000}"/>
    <cellStyle name="Финансовый 3 12 2 5" xfId="7279" xr:uid="{00000000-0005-0000-0000-000030770000}"/>
    <cellStyle name="Финансовый 3 12 2 5 2" xfId="19257" xr:uid="{00000000-0005-0000-0000-000031770000}"/>
    <cellStyle name="Финансовый 3 12 2 5 2 2" xfId="43212" xr:uid="{00000000-0005-0000-0000-000032770000}"/>
    <cellStyle name="Финансовый 3 12 2 5 3" xfId="31234" xr:uid="{00000000-0005-0000-0000-000033770000}"/>
    <cellStyle name="Финансовый 3 12 2 6" xfId="9061" xr:uid="{00000000-0005-0000-0000-000034770000}"/>
    <cellStyle name="Финансовый 3 12 2 6 2" xfId="21039" xr:uid="{00000000-0005-0000-0000-000035770000}"/>
    <cellStyle name="Финансовый 3 12 2 6 2 2" xfId="44994" xr:uid="{00000000-0005-0000-0000-000036770000}"/>
    <cellStyle name="Финансовый 3 12 2 6 3" xfId="33016" xr:uid="{00000000-0005-0000-0000-000037770000}"/>
    <cellStyle name="Финансовый 3 12 2 7" xfId="13220" xr:uid="{00000000-0005-0000-0000-000038770000}"/>
    <cellStyle name="Финансовый 3 12 2 7 2" xfId="37175" xr:uid="{00000000-0005-0000-0000-000039770000}"/>
    <cellStyle name="Финансовый 3 12 2 8" xfId="25198" xr:uid="{00000000-0005-0000-0000-00003A770000}"/>
    <cellStyle name="Финансовый 3 12 2 9" xfId="48331" xr:uid="{00000000-0005-0000-0000-00003B770000}"/>
    <cellStyle name="Финансовый 3 12 3" xfId="1949" xr:uid="{00000000-0005-0000-0000-00003C770000}"/>
    <cellStyle name="Финансовый 3 12 3 2" xfId="3594" xr:uid="{00000000-0005-0000-0000-00003D770000}"/>
    <cellStyle name="Финансовый 3 12 3 2 2" xfId="11334" xr:uid="{00000000-0005-0000-0000-00003E770000}"/>
    <cellStyle name="Финансовый 3 12 3 2 2 2" xfId="23312" xr:uid="{00000000-0005-0000-0000-00003F770000}"/>
    <cellStyle name="Финансовый 3 12 3 2 2 2 2" xfId="47267" xr:uid="{00000000-0005-0000-0000-000040770000}"/>
    <cellStyle name="Финансовый 3 12 3 2 2 3" xfId="35289" xr:uid="{00000000-0005-0000-0000-000041770000}"/>
    <cellStyle name="Финансовый 3 12 3 2 3" xfId="15573" xr:uid="{00000000-0005-0000-0000-000042770000}"/>
    <cellStyle name="Финансовый 3 12 3 2 3 2" xfId="39528" xr:uid="{00000000-0005-0000-0000-000043770000}"/>
    <cellStyle name="Финансовый 3 12 3 2 4" xfId="27551" xr:uid="{00000000-0005-0000-0000-000044770000}"/>
    <cellStyle name="Финансовый 3 12 3 2 5" xfId="50820" xr:uid="{00000000-0005-0000-0000-000045770000}"/>
    <cellStyle name="Финансовый 3 12 3 3" xfId="5377" xr:uid="{00000000-0005-0000-0000-000046770000}"/>
    <cellStyle name="Финансовый 3 12 3 3 2" xfId="17355" xr:uid="{00000000-0005-0000-0000-000047770000}"/>
    <cellStyle name="Финансовый 3 12 3 3 2 2" xfId="41310" xr:uid="{00000000-0005-0000-0000-000048770000}"/>
    <cellStyle name="Финансовый 3 12 3 3 3" xfId="29332" xr:uid="{00000000-0005-0000-0000-000049770000}"/>
    <cellStyle name="Финансовый 3 12 3 4" xfId="7987" xr:uid="{00000000-0005-0000-0000-00004A770000}"/>
    <cellStyle name="Финансовый 3 12 3 4 2" xfId="19965" xr:uid="{00000000-0005-0000-0000-00004B770000}"/>
    <cellStyle name="Финансовый 3 12 3 4 2 2" xfId="43920" xr:uid="{00000000-0005-0000-0000-00004C770000}"/>
    <cellStyle name="Финансовый 3 12 3 4 3" xfId="31942" xr:uid="{00000000-0005-0000-0000-00004D770000}"/>
    <cellStyle name="Финансовый 3 12 3 5" xfId="9770" xr:uid="{00000000-0005-0000-0000-00004E770000}"/>
    <cellStyle name="Финансовый 3 12 3 5 2" xfId="21748" xr:uid="{00000000-0005-0000-0000-00004F770000}"/>
    <cellStyle name="Финансовый 3 12 3 5 2 2" xfId="45703" xr:uid="{00000000-0005-0000-0000-000050770000}"/>
    <cellStyle name="Финансовый 3 12 3 5 3" xfId="33725" xr:uid="{00000000-0005-0000-0000-000051770000}"/>
    <cellStyle name="Финансовый 3 12 3 6" xfId="13928" xr:uid="{00000000-0005-0000-0000-000052770000}"/>
    <cellStyle name="Финансовый 3 12 3 6 2" xfId="37883" xr:uid="{00000000-0005-0000-0000-000053770000}"/>
    <cellStyle name="Финансовый 3 12 3 7" xfId="25906" xr:uid="{00000000-0005-0000-0000-000054770000}"/>
    <cellStyle name="Финансовый 3 12 3 8" xfId="49039" xr:uid="{00000000-0005-0000-0000-000055770000}"/>
    <cellStyle name="Финансовый 3 12 4" xfId="2470" xr:uid="{00000000-0005-0000-0000-000056770000}"/>
    <cellStyle name="Финансовый 3 12 4 2" xfId="4115" xr:uid="{00000000-0005-0000-0000-000057770000}"/>
    <cellStyle name="Финансовый 3 12 4 2 2" xfId="11847" xr:uid="{00000000-0005-0000-0000-000058770000}"/>
    <cellStyle name="Финансовый 3 12 4 2 2 2" xfId="23825" xr:uid="{00000000-0005-0000-0000-000059770000}"/>
    <cellStyle name="Финансовый 3 12 4 2 2 2 2" xfId="47780" xr:uid="{00000000-0005-0000-0000-00005A770000}"/>
    <cellStyle name="Финансовый 3 12 4 2 2 3" xfId="35802" xr:uid="{00000000-0005-0000-0000-00005B770000}"/>
    <cellStyle name="Финансовый 3 12 4 2 3" xfId="16094" xr:uid="{00000000-0005-0000-0000-00005C770000}"/>
    <cellStyle name="Финансовый 3 12 4 2 3 2" xfId="40049" xr:uid="{00000000-0005-0000-0000-00005D770000}"/>
    <cellStyle name="Финансовый 3 12 4 2 4" xfId="28072" xr:uid="{00000000-0005-0000-0000-00005E770000}"/>
    <cellStyle name="Финансовый 3 12 4 2 5" xfId="51341" xr:uid="{00000000-0005-0000-0000-00005F770000}"/>
    <cellStyle name="Финансовый 3 12 4 3" xfId="5898" xr:uid="{00000000-0005-0000-0000-000060770000}"/>
    <cellStyle name="Финансовый 3 12 4 3 2" xfId="17876" xr:uid="{00000000-0005-0000-0000-000061770000}"/>
    <cellStyle name="Финансовый 3 12 4 3 2 2" xfId="41831" xr:uid="{00000000-0005-0000-0000-000062770000}"/>
    <cellStyle name="Финансовый 3 12 4 3 3" xfId="29853" xr:uid="{00000000-0005-0000-0000-000063770000}"/>
    <cellStyle name="Финансовый 3 12 4 4" xfId="8508" xr:uid="{00000000-0005-0000-0000-000064770000}"/>
    <cellStyle name="Финансовый 3 12 4 4 2" xfId="20486" xr:uid="{00000000-0005-0000-0000-000065770000}"/>
    <cellStyle name="Финансовый 3 12 4 4 2 2" xfId="44441" xr:uid="{00000000-0005-0000-0000-000066770000}"/>
    <cellStyle name="Финансовый 3 12 4 4 3" xfId="32463" xr:uid="{00000000-0005-0000-0000-000067770000}"/>
    <cellStyle name="Финансовый 3 12 4 5" xfId="10291" xr:uid="{00000000-0005-0000-0000-000068770000}"/>
    <cellStyle name="Финансовый 3 12 4 5 2" xfId="22269" xr:uid="{00000000-0005-0000-0000-000069770000}"/>
    <cellStyle name="Финансовый 3 12 4 5 2 2" xfId="46224" xr:uid="{00000000-0005-0000-0000-00006A770000}"/>
    <cellStyle name="Финансовый 3 12 4 5 3" xfId="34246" xr:uid="{00000000-0005-0000-0000-00006B770000}"/>
    <cellStyle name="Финансовый 3 12 4 6" xfId="14449" xr:uid="{00000000-0005-0000-0000-00006C770000}"/>
    <cellStyle name="Финансовый 3 12 4 6 2" xfId="38404" xr:uid="{00000000-0005-0000-0000-00006D770000}"/>
    <cellStyle name="Финансовый 3 12 4 7" xfId="26427" xr:uid="{00000000-0005-0000-0000-00006E770000}"/>
    <cellStyle name="Финансовый 3 12 4 8" xfId="49560" xr:uid="{00000000-0005-0000-0000-00006F770000}"/>
    <cellStyle name="Финансовый 3 12 5" xfId="974" xr:uid="{00000000-0005-0000-0000-000070770000}"/>
    <cellStyle name="Финансовый 3 12 5 2" xfId="7014" xr:uid="{00000000-0005-0000-0000-000071770000}"/>
    <cellStyle name="Финансовый 3 12 5 2 2" xfId="18992" xr:uid="{00000000-0005-0000-0000-000072770000}"/>
    <cellStyle name="Финансовый 3 12 5 2 2 2" xfId="42947" xr:uid="{00000000-0005-0000-0000-000073770000}"/>
    <cellStyle name="Финансовый 3 12 5 2 3" xfId="30969" xr:uid="{00000000-0005-0000-0000-000074770000}"/>
    <cellStyle name="Финансовый 3 12 5 3" xfId="10562" xr:uid="{00000000-0005-0000-0000-000075770000}"/>
    <cellStyle name="Финансовый 3 12 5 3 2" xfId="22540" xr:uid="{00000000-0005-0000-0000-000076770000}"/>
    <cellStyle name="Финансовый 3 12 5 3 2 2" xfId="46495" xr:uid="{00000000-0005-0000-0000-000077770000}"/>
    <cellStyle name="Финансовый 3 12 5 3 3" xfId="34517" xr:uid="{00000000-0005-0000-0000-000078770000}"/>
    <cellStyle name="Финансовый 3 12 5 4" xfId="12955" xr:uid="{00000000-0005-0000-0000-000079770000}"/>
    <cellStyle name="Финансовый 3 12 5 4 2" xfId="36910" xr:uid="{00000000-0005-0000-0000-00007A770000}"/>
    <cellStyle name="Финансовый 3 12 5 5" xfId="24933" xr:uid="{00000000-0005-0000-0000-00007B770000}"/>
    <cellStyle name="Финансовый 3 12 5 6" xfId="49839" xr:uid="{00000000-0005-0000-0000-00007C770000}"/>
    <cellStyle name="Финансовый 3 12 6" xfId="562" xr:uid="{00000000-0005-0000-0000-00007D770000}"/>
    <cellStyle name="Финансовый 3 12 6 2" xfId="6602" xr:uid="{00000000-0005-0000-0000-00007E770000}"/>
    <cellStyle name="Финансовый 3 12 6 2 2" xfId="18580" xr:uid="{00000000-0005-0000-0000-00007F770000}"/>
    <cellStyle name="Финансовый 3 12 6 2 2 2" xfId="42535" xr:uid="{00000000-0005-0000-0000-000080770000}"/>
    <cellStyle name="Финансовый 3 12 6 2 3" xfId="30557" xr:uid="{00000000-0005-0000-0000-000081770000}"/>
    <cellStyle name="Финансовый 3 12 6 3" xfId="12543" xr:uid="{00000000-0005-0000-0000-000082770000}"/>
    <cellStyle name="Финансовый 3 12 6 3 2" xfId="36498" xr:uid="{00000000-0005-0000-0000-000083770000}"/>
    <cellStyle name="Финансовый 3 12 6 4" xfId="24521" xr:uid="{00000000-0005-0000-0000-000084770000}"/>
    <cellStyle name="Финансовый 3 12 7" xfId="2751" xr:uid="{00000000-0005-0000-0000-000085770000}"/>
    <cellStyle name="Финансовый 3 12 7 2" xfId="14730" xr:uid="{00000000-0005-0000-0000-000086770000}"/>
    <cellStyle name="Финансовый 3 12 7 2 2" xfId="38685" xr:uid="{00000000-0005-0000-0000-000087770000}"/>
    <cellStyle name="Финансовый 3 12 7 3" xfId="26708" xr:uid="{00000000-0005-0000-0000-000088770000}"/>
    <cellStyle name="Финансовый 3 12 8" xfId="4395" xr:uid="{00000000-0005-0000-0000-000089770000}"/>
    <cellStyle name="Финансовый 3 12 8 2" xfId="16374" xr:uid="{00000000-0005-0000-0000-00008A770000}"/>
    <cellStyle name="Финансовый 3 12 8 2 2" xfId="40329" xr:uid="{00000000-0005-0000-0000-00008B770000}"/>
    <cellStyle name="Финансовый 3 12 8 3" xfId="28352" xr:uid="{00000000-0005-0000-0000-00008C770000}"/>
    <cellStyle name="Финансовый 3 12 9" xfId="6182" xr:uid="{00000000-0005-0000-0000-00008D770000}"/>
    <cellStyle name="Финансовый 3 12 9 2" xfId="18160" xr:uid="{00000000-0005-0000-0000-00008E770000}"/>
    <cellStyle name="Финансовый 3 12 9 2 2" xfId="42115" xr:uid="{00000000-0005-0000-0000-00008F770000}"/>
    <cellStyle name="Финансовый 3 12 9 3" xfId="30137" xr:uid="{00000000-0005-0000-0000-000090770000}"/>
    <cellStyle name="Финансовый 3 13" xfId="277" xr:uid="{00000000-0005-0000-0000-000091770000}"/>
    <cellStyle name="Финансовый 3 13 10" xfId="24237" xr:uid="{00000000-0005-0000-0000-000092770000}"/>
    <cellStyle name="Финансовый 3 13 11" xfId="48467" xr:uid="{00000000-0005-0000-0000-000093770000}"/>
    <cellStyle name="Финансовый 3 13 2" xfId="2077" xr:uid="{00000000-0005-0000-0000-000094770000}"/>
    <cellStyle name="Финансовый 3 13 2 2" xfId="3722" xr:uid="{00000000-0005-0000-0000-000095770000}"/>
    <cellStyle name="Финансовый 3 13 2 2 2" xfId="11462" xr:uid="{00000000-0005-0000-0000-000096770000}"/>
    <cellStyle name="Финансовый 3 13 2 2 2 2" xfId="23440" xr:uid="{00000000-0005-0000-0000-000097770000}"/>
    <cellStyle name="Финансовый 3 13 2 2 2 2 2" xfId="47395" xr:uid="{00000000-0005-0000-0000-000098770000}"/>
    <cellStyle name="Финансовый 3 13 2 2 2 3" xfId="35417" xr:uid="{00000000-0005-0000-0000-000099770000}"/>
    <cellStyle name="Финансовый 3 13 2 2 3" xfId="15701" xr:uid="{00000000-0005-0000-0000-00009A770000}"/>
    <cellStyle name="Финансовый 3 13 2 2 3 2" xfId="39656" xr:uid="{00000000-0005-0000-0000-00009B770000}"/>
    <cellStyle name="Финансовый 3 13 2 2 4" xfId="27679" xr:uid="{00000000-0005-0000-0000-00009C770000}"/>
    <cellStyle name="Финансовый 3 13 2 2 5" xfId="50948" xr:uid="{00000000-0005-0000-0000-00009D770000}"/>
    <cellStyle name="Финансовый 3 13 2 3" xfId="5505" xr:uid="{00000000-0005-0000-0000-00009E770000}"/>
    <cellStyle name="Финансовый 3 13 2 3 2" xfId="17483" xr:uid="{00000000-0005-0000-0000-00009F770000}"/>
    <cellStyle name="Финансовый 3 13 2 3 2 2" xfId="41438" xr:uid="{00000000-0005-0000-0000-0000A0770000}"/>
    <cellStyle name="Финансовый 3 13 2 3 3" xfId="29460" xr:uid="{00000000-0005-0000-0000-0000A1770000}"/>
    <cellStyle name="Финансовый 3 13 2 4" xfId="8115" xr:uid="{00000000-0005-0000-0000-0000A2770000}"/>
    <cellStyle name="Финансовый 3 13 2 4 2" xfId="20093" xr:uid="{00000000-0005-0000-0000-0000A3770000}"/>
    <cellStyle name="Финансовый 3 13 2 4 2 2" xfId="44048" xr:uid="{00000000-0005-0000-0000-0000A4770000}"/>
    <cellStyle name="Финансовый 3 13 2 4 3" xfId="32070" xr:uid="{00000000-0005-0000-0000-0000A5770000}"/>
    <cellStyle name="Финансовый 3 13 2 5" xfId="9898" xr:uid="{00000000-0005-0000-0000-0000A6770000}"/>
    <cellStyle name="Финансовый 3 13 2 5 2" xfId="21876" xr:uid="{00000000-0005-0000-0000-0000A7770000}"/>
    <cellStyle name="Финансовый 3 13 2 5 2 2" xfId="45831" xr:uid="{00000000-0005-0000-0000-0000A8770000}"/>
    <cellStyle name="Финансовый 3 13 2 5 3" xfId="33853" xr:uid="{00000000-0005-0000-0000-0000A9770000}"/>
    <cellStyle name="Финансовый 3 13 2 6" xfId="14056" xr:uid="{00000000-0005-0000-0000-0000AA770000}"/>
    <cellStyle name="Финансовый 3 13 2 6 2" xfId="38011" xr:uid="{00000000-0005-0000-0000-0000AB770000}"/>
    <cellStyle name="Финансовый 3 13 2 7" xfId="26034" xr:uid="{00000000-0005-0000-0000-0000AC770000}"/>
    <cellStyle name="Финансовый 3 13 2 8" xfId="49167" xr:uid="{00000000-0005-0000-0000-0000AD770000}"/>
    <cellStyle name="Финансовый 3 13 3" xfId="1375" xr:uid="{00000000-0005-0000-0000-0000AE770000}"/>
    <cellStyle name="Финансовый 3 13 3 2" xfId="7415" xr:uid="{00000000-0005-0000-0000-0000AF770000}"/>
    <cellStyle name="Финансовый 3 13 3 2 2" xfId="19393" xr:uid="{00000000-0005-0000-0000-0000B0770000}"/>
    <cellStyle name="Финансовый 3 13 3 2 2 2" xfId="43348" xr:uid="{00000000-0005-0000-0000-0000B1770000}"/>
    <cellStyle name="Финансовый 3 13 3 2 3" xfId="31370" xr:uid="{00000000-0005-0000-0000-0000B2770000}"/>
    <cellStyle name="Финансовый 3 13 3 3" xfId="10946" xr:uid="{00000000-0005-0000-0000-0000B3770000}"/>
    <cellStyle name="Финансовый 3 13 3 3 2" xfId="22924" xr:uid="{00000000-0005-0000-0000-0000B4770000}"/>
    <cellStyle name="Финансовый 3 13 3 3 2 2" xfId="46879" xr:uid="{00000000-0005-0000-0000-0000B5770000}"/>
    <cellStyle name="Финансовый 3 13 3 3 3" xfId="34901" xr:uid="{00000000-0005-0000-0000-0000B6770000}"/>
    <cellStyle name="Финансовый 3 13 3 4" xfId="13356" xr:uid="{00000000-0005-0000-0000-0000B7770000}"/>
    <cellStyle name="Финансовый 3 13 3 4 2" xfId="37311" xr:uid="{00000000-0005-0000-0000-0000B8770000}"/>
    <cellStyle name="Финансовый 3 13 3 5" xfId="25334" xr:uid="{00000000-0005-0000-0000-0000B9770000}"/>
    <cellStyle name="Финансовый 3 13 3 6" xfId="50247" xr:uid="{00000000-0005-0000-0000-0000BA770000}"/>
    <cellStyle name="Финансовый 3 13 4" xfId="698" xr:uid="{00000000-0005-0000-0000-0000BB770000}"/>
    <cellStyle name="Финансовый 3 13 4 2" xfId="6738" xr:uid="{00000000-0005-0000-0000-0000BC770000}"/>
    <cellStyle name="Финансовый 3 13 4 2 2" xfId="18716" xr:uid="{00000000-0005-0000-0000-0000BD770000}"/>
    <cellStyle name="Финансовый 3 13 4 2 2 2" xfId="42671" xr:uid="{00000000-0005-0000-0000-0000BE770000}"/>
    <cellStyle name="Финансовый 3 13 4 2 3" xfId="30693" xr:uid="{00000000-0005-0000-0000-0000BF770000}"/>
    <cellStyle name="Финансовый 3 13 4 3" xfId="12679" xr:uid="{00000000-0005-0000-0000-0000C0770000}"/>
    <cellStyle name="Финансовый 3 13 4 3 2" xfId="36634" xr:uid="{00000000-0005-0000-0000-0000C1770000}"/>
    <cellStyle name="Финансовый 3 13 4 4" xfId="24657" xr:uid="{00000000-0005-0000-0000-0000C2770000}"/>
    <cellStyle name="Финансовый 3 13 5" xfId="3159" xr:uid="{00000000-0005-0000-0000-0000C3770000}"/>
    <cellStyle name="Финансовый 3 13 5 2" xfId="15138" xr:uid="{00000000-0005-0000-0000-0000C4770000}"/>
    <cellStyle name="Финансовый 3 13 5 2 2" xfId="39093" xr:uid="{00000000-0005-0000-0000-0000C5770000}"/>
    <cellStyle name="Финансовый 3 13 5 3" xfId="27116" xr:uid="{00000000-0005-0000-0000-0000C6770000}"/>
    <cellStyle name="Финансовый 3 13 6" xfId="4803" xr:uid="{00000000-0005-0000-0000-0000C7770000}"/>
    <cellStyle name="Финансовый 3 13 6 2" xfId="16782" xr:uid="{00000000-0005-0000-0000-0000C8770000}"/>
    <cellStyle name="Финансовый 3 13 6 2 2" xfId="40737" xr:uid="{00000000-0005-0000-0000-0000C9770000}"/>
    <cellStyle name="Финансовый 3 13 6 3" xfId="28760" xr:uid="{00000000-0005-0000-0000-0000CA770000}"/>
    <cellStyle name="Финансовый 3 13 7" xfId="6318" xr:uid="{00000000-0005-0000-0000-0000CB770000}"/>
    <cellStyle name="Финансовый 3 13 7 2" xfId="18296" xr:uid="{00000000-0005-0000-0000-0000CC770000}"/>
    <cellStyle name="Финансовый 3 13 7 2 2" xfId="42251" xr:uid="{00000000-0005-0000-0000-0000CD770000}"/>
    <cellStyle name="Финансовый 3 13 7 3" xfId="30273" xr:uid="{00000000-0005-0000-0000-0000CE770000}"/>
    <cellStyle name="Финансовый 3 13 8" xfId="9197" xr:uid="{00000000-0005-0000-0000-0000CF770000}"/>
    <cellStyle name="Финансовый 3 13 8 2" xfId="21175" xr:uid="{00000000-0005-0000-0000-0000D0770000}"/>
    <cellStyle name="Финансовый 3 13 8 2 2" xfId="45130" xr:uid="{00000000-0005-0000-0000-0000D1770000}"/>
    <cellStyle name="Финансовый 3 13 8 3" xfId="33152" xr:uid="{00000000-0005-0000-0000-0000D2770000}"/>
    <cellStyle name="Финансовый 3 13 9" xfId="12259" xr:uid="{00000000-0005-0000-0000-0000D3770000}"/>
    <cellStyle name="Финансовый 3 13 9 2" xfId="36214" xr:uid="{00000000-0005-0000-0000-0000D4770000}"/>
    <cellStyle name="Финансовый 3 14" xfId="290" xr:uid="{00000000-0005-0000-0000-0000D5770000}"/>
    <cellStyle name="Финансовый 3 14 10" xfId="48195" xr:uid="{00000000-0005-0000-0000-0000D6770000}"/>
    <cellStyle name="Финансовый 3 14 2" xfId="1110" xr:uid="{00000000-0005-0000-0000-0000D7770000}"/>
    <cellStyle name="Финансовый 3 14 2 2" xfId="7150" xr:uid="{00000000-0005-0000-0000-0000D8770000}"/>
    <cellStyle name="Финансовый 3 14 2 2 2" xfId="19128" xr:uid="{00000000-0005-0000-0000-0000D9770000}"/>
    <cellStyle name="Финансовый 3 14 2 2 2 2" xfId="43083" xr:uid="{00000000-0005-0000-0000-0000DA770000}"/>
    <cellStyle name="Финансовый 3 14 2 2 3" xfId="31105" xr:uid="{00000000-0005-0000-0000-0000DB770000}"/>
    <cellStyle name="Финансовый 3 14 2 3" xfId="10690" xr:uid="{00000000-0005-0000-0000-0000DC770000}"/>
    <cellStyle name="Финансовый 3 14 2 3 2" xfId="22668" xr:uid="{00000000-0005-0000-0000-0000DD770000}"/>
    <cellStyle name="Финансовый 3 14 2 3 2 2" xfId="46623" xr:uid="{00000000-0005-0000-0000-0000DE770000}"/>
    <cellStyle name="Финансовый 3 14 2 3 3" xfId="34645" xr:uid="{00000000-0005-0000-0000-0000DF770000}"/>
    <cellStyle name="Финансовый 3 14 2 4" xfId="13091" xr:uid="{00000000-0005-0000-0000-0000E0770000}"/>
    <cellStyle name="Финансовый 3 14 2 4 2" xfId="37046" xr:uid="{00000000-0005-0000-0000-0000E1770000}"/>
    <cellStyle name="Финансовый 3 14 2 5" xfId="25069" xr:uid="{00000000-0005-0000-0000-0000E2770000}"/>
    <cellStyle name="Финансовый 3 14 2 6" xfId="49975" xr:uid="{00000000-0005-0000-0000-0000E3770000}"/>
    <cellStyle name="Финансовый 3 14 3" xfId="710" xr:uid="{00000000-0005-0000-0000-0000E4770000}"/>
    <cellStyle name="Финансовый 3 14 3 2" xfId="6750" xr:uid="{00000000-0005-0000-0000-0000E5770000}"/>
    <cellStyle name="Финансовый 3 14 3 2 2" xfId="18728" xr:uid="{00000000-0005-0000-0000-0000E6770000}"/>
    <cellStyle name="Финансовый 3 14 3 2 2 2" xfId="42683" xr:uid="{00000000-0005-0000-0000-0000E7770000}"/>
    <cellStyle name="Финансовый 3 14 3 2 3" xfId="30705" xr:uid="{00000000-0005-0000-0000-0000E8770000}"/>
    <cellStyle name="Финансовый 3 14 3 3" xfId="12691" xr:uid="{00000000-0005-0000-0000-0000E9770000}"/>
    <cellStyle name="Финансовый 3 14 3 3 2" xfId="36646" xr:uid="{00000000-0005-0000-0000-0000EA770000}"/>
    <cellStyle name="Финансовый 3 14 3 4" xfId="24669" xr:uid="{00000000-0005-0000-0000-0000EB770000}"/>
    <cellStyle name="Финансовый 3 14 4" xfId="2887" xr:uid="{00000000-0005-0000-0000-0000EC770000}"/>
    <cellStyle name="Финансовый 3 14 4 2" xfId="14866" xr:uid="{00000000-0005-0000-0000-0000ED770000}"/>
    <cellStyle name="Финансовый 3 14 4 2 2" xfId="38821" xr:uid="{00000000-0005-0000-0000-0000EE770000}"/>
    <cellStyle name="Финансовый 3 14 4 3" xfId="26844" xr:uid="{00000000-0005-0000-0000-0000EF770000}"/>
    <cellStyle name="Финансовый 3 14 5" xfId="4531" xr:uid="{00000000-0005-0000-0000-0000F0770000}"/>
    <cellStyle name="Финансовый 3 14 5 2" xfId="16510" xr:uid="{00000000-0005-0000-0000-0000F1770000}"/>
    <cellStyle name="Финансовый 3 14 5 2 2" xfId="40465" xr:uid="{00000000-0005-0000-0000-0000F2770000}"/>
    <cellStyle name="Финансовый 3 14 5 3" xfId="28488" xr:uid="{00000000-0005-0000-0000-0000F3770000}"/>
    <cellStyle name="Финансовый 3 14 6" xfId="6330" xr:uid="{00000000-0005-0000-0000-0000F4770000}"/>
    <cellStyle name="Финансовый 3 14 6 2" xfId="18308" xr:uid="{00000000-0005-0000-0000-0000F5770000}"/>
    <cellStyle name="Финансовый 3 14 6 2 2" xfId="42263" xr:uid="{00000000-0005-0000-0000-0000F6770000}"/>
    <cellStyle name="Финансовый 3 14 6 3" xfId="30285" xr:uid="{00000000-0005-0000-0000-0000F7770000}"/>
    <cellStyle name="Финансовый 3 14 7" xfId="8925" xr:uid="{00000000-0005-0000-0000-0000F8770000}"/>
    <cellStyle name="Финансовый 3 14 7 2" xfId="20903" xr:uid="{00000000-0005-0000-0000-0000F9770000}"/>
    <cellStyle name="Финансовый 3 14 7 2 2" xfId="44858" xr:uid="{00000000-0005-0000-0000-0000FA770000}"/>
    <cellStyle name="Финансовый 3 14 7 3" xfId="32880" xr:uid="{00000000-0005-0000-0000-0000FB770000}"/>
    <cellStyle name="Финансовый 3 14 8" xfId="12271" xr:uid="{00000000-0005-0000-0000-0000FC770000}"/>
    <cellStyle name="Финансовый 3 14 8 2" xfId="36226" xr:uid="{00000000-0005-0000-0000-0000FD770000}"/>
    <cellStyle name="Финансовый 3 14 9" xfId="24249" xr:uid="{00000000-0005-0000-0000-0000FE770000}"/>
    <cellStyle name="Финансовый 3 15" xfId="1512" xr:uid="{00000000-0005-0000-0000-0000FF770000}"/>
    <cellStyle name="Финансовый 3 15 2" xfId="1697" xr:uid="{00000000-0005-0000-0000-000000780000}"/>
    <cellStyle name="Финансовый 3 15 2 2" xfId="3342" xr:uid="{00000000-0005-0000-0000-000001780000}"/>
    <cellStyle name="Финансовый 3 15 2 2 2" xfId="11090" xr:uid="{00000000-0005-0000-0000-000002780000}"/>
    <cellStyle name="Финансовый 3 15 2 2 2 2" xfId="23068" xr:uid="{00000000-0005-0000-0000-000003780000}"/>
    <cellStyle name="Финансовый 3 15 2 2 2 2 2" xfId="47023" xr:uid="{00000000-0005-0000-0000-000004780000}"/>
    <cellStyle name="Финансовый 3 15 2 2 2 3" xfId="35045" xr:uid="{00000000-0005-0000-0000-000005780000}"/>
    <cellStyle name="Финансовый 3 15 2 2 3" xfId="15321" xr:uid="{00000000-0005-0000-0000-000006780000}"/>
    <cellStyle name="Финансовый 3 15 2 2 3 2" xfId="39276" xr:uid="{00000000-0005-0000-0000-000007780000}"/>
    <cellStyle name="Финансовый 3 15 2 2 4" xfId="27299" xr:uid="{00000000-0005-0000-0000-000008780000}"/>
    <cellStyle name="Финансовый 3 15 2 2 5" xfId="50568" xr:uid="{00000000-0005-0000-0000-000009780000}"/>
    <cellStyle name="Финансовый 3 15 2 3" xfId="5125" xr:uid="{00000000-0005-0000-0000-00000A780000}"/>
    <cellStyle name="Финансовый 3 15 2 3 2" xfId="17103" xr:uid="{00000000-0005-0000-0000-00000B780000}"/>
    <cellStyle name="Финансовый 3 15 2 3 2 2" xfId="41058" xr:uid="{00000000-0005-0000-0000-00000C780000}"/>
    <cellStyle name="Финансовый 3 15 2 3 3" xfId="29080" xr:uid="{00000000-0005-0000-0000-00000D780000}"/>
    <cellStyle name="Финансовый 3 15 2 4" xfId="7735" xr:uid="{00000000-0005-0000-0000-00000E780000}"/>
    <cellStyle name="Финансовый 3 15 2 4 2" xfId="19713" xr:uid="{00000000-0005-0000-0000-00000F780000}"/>
    <cellStyle name="Финансовый 3 15 2 4 2 2" xfId="43668" xr:uid="{00000000-0005-0000-0000-000010780000}"/>
    <cellStyle name="Финансовый 3 15 2 4 3" xfId="31690" xr:uid="{00000000-0005-0000-0000-000011780000}"/>
    <cellStyle name="Финансовый 3 15 2 5" xfId="9518" xr:uid="{00000000-0005-0000-0000-000012780000}"/>
    <cellStyle name="Финансовый 3 15 2 5 2" xfId="21496" xr:uid="{00000000-0005-0000-0000-000013780000}"/>
    <cellStyle name="Финансовый 3 15 2 5 2 2" xfId="45451" xr:uid="{00000000-0005-0000-0000-000014780000}"/>
    <cellStyle name="Финансовый 3 15 2 5 3" xfId="33473" xr:uid="{00000000-0005-0000-0000-000015780000}"/>
    <cellStyle name="Финансовый 3 15 2 6" xfId="13676" xr:uid="{00000000-0005-0000-0000-000016780000}"/>
    <cellStyle name="Финансовый 3 15 2 6 2" xfId="37631" xr:uid="{00000000-0005-0000-0000-000017780000}"/>
    <cellStyle name="Финансовый 3 15 2 7" xfId="25654" xr:uid="{00000000-0005-0000-0000-000018780000}"/>
    <cellStyle name="Финансовый 3 15 2 8" xfId="48787" xr:uid="{00000000-0005-0000-0000-000019780000}"/>
    <cellStyle name="Финансовый 3 15 3" xfId="4940" xr:uid="{00000000-0005-0000-0000-00001A780000}"/>
    <cellStyle name="Финансовый 3 15 3 2" xfId="16918" xr:uid="{00000000-0005-0000-0000-00001B780000}"/>
    <cellStyle name="Финансовый 3 15 3 2 2" xfId="40873" xr:uid="{00000000-0005-0000-0000-00001C780000}"/>
    <cellStyle name="Финансовый 3 15 3 3" xfId="28895" xr:uid="{00000000-0005-0000-0000-00001D780000}"/>
    <cellStyle name="Финансовый 3 15 3 4" xfId="50383" xr:uid="{00000000-0005-0000-0000-00001E780000}"/>
    <cellStyle name="Финансовый 3 15 4" xfId="7550" xr:uid="{00000000-0005-0000-0000-00001F780000}"/>
    <cellStyle name="Финансовый 3 15 4 2" xfId="19528" xr:uid="{00000000-0005-0000-0000-000020780000}"/>
    <cellStyle name="Финансовый 3 15 4 2 2" xfId="43483" xr:uid="{00000000-0005-0000-0000-000021780000}"/>
    <cellStyle name="Финансовый 3 15 4 3" xfId="31505" xr:uid="{00000000-0005-0000-0000-000022780000}"/>
    <cellStyle name="Финансовый 3 15 5" xfId="9333" xr:uid="{00000000-0005-0000-0000-000023780000}"/>
    <cellStyle name="Финансовый 3 15 5 2" xfId="21311" xr:uid="{00000000-0005-0000-0000-000024780000}"/>
    <cellStyle name="Финансовый 3 15 5 2 2" xfId="45266" xr:uid="{00000000-0005-0000-0000-000025780000}"/>
    <cellStyle name="Финансовый 3 15 5 3" xfId="33288" xr:uid="{00000000-0005-0000-0000-000026780000}"/>
    <cellStyle name="Финансовый 3 15 6" xfId="13491" xr:uid="{00000000-0005-0000-0000-000027780000}"/>
    <cellStyle name="Финансовый 3 15 6 2" xfId="37446" xr:uid="{00000000-0005-0000-0000-000028780000}"/>
    <cellStyle name="Финансовый 3 15 7" xfId="25469" xr:uid="{00000000-0005-0000-0000-000029780000}"/>
    <cellStyle name="Финансовый 3 15 8" xfId="48602" xr:uid="{00000000-0005-0000-0000-00002A780000}"/>
    <cellStyle name="Финансовый 3 16" xfId="2333" xr:uid="{00000000-0005-0000-0000-00002B780000}"/>
    <cellStyle name="Финансовый 3 16 2" xfId="3978" xr:uid="{00000000-0005-0000-0000-00002C780000}"/>
    <cellStyle name="Финансовый 3 16 2 2" xfId="11718" xr:uid="{00000000-0005-0000-0000-00002D780000}"/>
    <cellStyle name="Финансовый 3 16 2 2 2" xfId="23696" xr:uid="{00000000-0005-0000-0000-00002E780000}"/>
    <cellStyle name="Финансовый 3 16 2 2 2 2" xfId="47651" xr:uid="{00000000-0005-0000-0000-00002F780000}"/>
    <cellStyle name="Финансовый 3 16 2 2 3" xfId="35673" xr:uid="{00000000-0005-0000-0000-000030780000}"/>
    <cellStyle name="Финансовый 3 16 2 3" xfId="15957" xr:uid="{00000000-0005-0000-0000-000031780000}"/>
    <cellStyle name="Финансовый 3 16 2 3 2" xfId="39912" xr:uid="{00000000-0005-0000-0000-000032780000}"/>
    <cellStyle name="Финансовый 3 16 2 4" xfId="27935" xr:uid="{00000000-0005-0000-0000-000033780000}"/>
    <cellStyle name="Финансовый 3 16 2 5" xfId="51204" xr:uid="{00000000-0005-0000-0000-000034780000}"/>
    <cellStyle name="Финансовый 3 16 3" xfId="5761" xr:uid="{00000000-0005-0000-0000-000035780000}"/>
    <cellStyle name="Финансовый 3 16 3 2" xfId="17739" xr:uid="{00000000-0005-0000-0000-000036780000}"/>
    <cellStyle name="Финансовый 3 16 3 2 2" xfId="41694" xr:uid="{00000000-0005-0000-0000-000037780000}"/>
    <cellStyle name="Финансовый 3 16 3 3" xfId="29716" xr:uid="{00000000-0005-0000-0000-000038780000}"/>
    <cellStyle name="Финансовый 3 16 4" xfId="8371" xr:uid="{00000000-0005-0000-0000-000039780000}"/>
    <cellStyle name="Финансовый 3 16 4 2" xfId="20349" xr:uid="{00000000-0005-0000-0000-00003A780000}"/>
    <cellStyle name="Финансовый 3 16 4 2 2" xfId="44304" xr:uid="{00000000-0005-0000-0000-00003B780000}"/>
    <cellStyle name="Финансовый 3 16 4 3" xfId="32326" xr:uid="{00000000-0005-0000-0000-00003C780000}"/>
    <cellStyle name="Финансовый 3 16 5" xfId="10154" xr:uid="{00000000-0005-0000-0000-00003D780000}"/>
    <cellStyle name="Финансовый 3 16 5 2" xfId="22132" xr:uid="{00000000-0005-0000-0000-00003E780000}"/>
    <cellStyle name="Финансовый 3 16 5 2 2" xfId="46087" xr:uid="{00000000-0005-0000-0000-00003F780000}"/>
    <cellStyle name="Финансовый 3 16 5 3" xfId="34109" xr:uid="{00000000-0005-0000-0000-000040780000}"/>
    <cellStyle name="Финансовый 3 16 6" xfId="14312" xr:uid="{00000000-0005-0000-0000-000041780000}"/>
    <cellStyle name="Финансовый 3 16 6 2" xfId="38267" xr:uid="{00000000-0005-0000-0000-000042780000}"/>
    <cellStyle name="Финансовый 3 16 7" xfId="26290" xr:uid="{00000000-0005-0000-0000-000043780000}"/>
    <cellStyle name="Финансовый 3 16 8" xfId="49423" xr:uid="{00000000-0005-0000-0000-000044780000}"/>
    <cellStyle name="Финансовый 3 17" xfId="1560" xr:uid="{00000000-0005-0000-0000-000045780000}"/>
    <cellStyle name="Финансовый 3 17 2" xfId="3205" xr:uid="{00000000-0005-0000-0000-000046780000}"/>
    <cellStyle name="Финансовый 3 17 2 2" xfId="10961" xr:uid="{00000000-0005-0000-0000-000047780000}"/>
    <cellStyle name="Финансовый 3 17 2 2 2" xfId="22939" xr:uid="{00000000-0005-0000-0000-000048780000}"/>
    <cellStyle name="Финансовый 3 17 2 2 2 2" xfId="46894" xr:uid="{00000000-0005-0000-0000-000049780000}"/>
    <cellStyle name="Финансовый 3 17 2 2 3" xfId="34916" xr:uid="{00000000-0005-0000-0000-00004A780000}"/>
    <cellStyle name="Финансовый 3 17 2 3" xfId="15184" xr:uid="{00000000-0005-0000-0000-00004B780000}"/>
    <cellStyle name="Финансовый 3 17 2 3 2" xfId="39139" xr:uid="{00000000-0005-0000-0000-00004C780000}"/>
    <cellStyle name="Финансовый 3 17 2 4" xfId="27162" xr:uid="{00000000-0005-0000-0000-00004D780000}"/>
    <cellStyle name="Финансовый 3 17 2 5" xfId="50431" xr:uid="{00000000-0005-0000-0000-00004E780000}"/>
    <cellStyle name="Финансовый 3 17 3" xfId="4988" xr:uid="{00000000-0005-0000-0000-00004F780000}"/>
    <cellStyle name="Финансовый 3 17 3 2" xfId="16966" xr:uid="{00000000-0005-0000-0000-000050780000}"/>
    <cellStyle name="Финансовый 3 17 3 2 2" xfId="40921" xr:uid="{00000000-0005-0000-0000-000051780000}"/>
    <cellStyle name="Финансовый 3 17 3 3" xfId="28943" xr:uid="{00000000-0005-0000-0000-000052780000}"/>
    <cellStyle name="Финансовый 3 17 4" xfId="7598" xr:uid="{00000000-0005-0000-0000-000053780000}"/>
    <cellStyle name="Финансовый 3 17 4 2" xfId="19576" xr:uid="{00000000-0005-0000-0000-000054780000}"/>
    <cellStyle name="Финансовый 3 17 4 2 2" xfId="43531" xr:uid="{00000000-0005-0000-0000-000055780000}"/>
    <cellStyle name="Финансовый 3 17 4 3" xfId="31553" xr:uid="{00000000-0005-0000-0000-000056780000}"/>
    <cellStyle name="Финансовый 3 17 5" xfId="9381" xr:uid="{00000000-0005-0000-0000-000057780000}"/>
    <cellStyle name="Финансовый 3 17 5 2" xfId="21359" xr:uid="{00000000-0005-0000-0000-000058780000}"/>
    <cellStyle name="Финансовый 3 17 5 2 2" xfId="45314" xr:uid="{00000000-0005-0000-0000-000059780000}"/>
    <cellStyle name="Финансовый 3 17 5 3" xfId="33336" xr:uid="{00000000-0005-0000-0000-00005A780000}"/>
    <cellStyle name="Финансовый 3 17 6" xfId="13539" xr:uid="{00000000-0005-0000-0000-00005B780000}"/>
    <cellStyle name="Финансовый 3 17 6 2" xfId="37494" xr:uid="{00000000-0005-0000-0000-00005C780000}"/>
    <cellStyle name="Финансовый 3 17 7" xfId="25517" xr:uid="{00000000-0005-0000-0000-00005D780000}"/>
    <cellStyle name="Финансовый 3 17 8" xfId="48650" xr:uid="{00000000-0005-0000-0000-00005E780000}"/>
    <cellStyle name="Финансовый 3 18" xfId="846" xr:uid="{00000000-0005-0000-0000-00005F780000}"/>
    <cellStyle name="Финансовый 3 18 2" xfId="6886" xr:uid="{00000000-0005-0000-0000-000060780000}"/>
    <cellStyle name="Финансовый 3 18 2 2" xfId="18864" xr:uid="{00000000-0005-0000-0000-000061780000}"/>
    <cellStyle name="Финансовый 3 18 2 2 2" xfId="42819" xr:uid="{00000000-0005-0000-0000-000062780000}"/>
    <cellStyle name="Финансовый 3 18 2 3" xfId="30841" xr:uid="{00000000-0005-0000-0000-000063780000}"/>
    <cellStyle name="Финансовый 3 18 3" xfId="10434" xr:uid="{00000000-0005-0000-0000-000064780000}"/>
    <cellStyle name="Финансовый 3 18 3 2" xfId="22412" xr:uid="{00000000-0005-0000-0000-000065780000}"/>
    <cellStyle name="Финансовый 3 18 3 2 2" xfId="46367" xr:uid="{00000000-0005-0000-0000-000066780000}"/>
    <cellStyle name="Финансовый 3 18 3 3" xfId="34389" xr:uid="{00000000-0005-0000-0000-000067780000}"/>
    <cellStyle name="Финансовый 3 18 4" xfId="12827" xr:uid="{00000000-0005-0000-0000-000068780000}"/>
    <cellStyle name="Финансовый 3 18 4 2" xfId="36782" xr:uid="{00000000-0005-0000-0000-000069780000}"/>
    <cellStyle name="Финансовый 3 18 5" xfId="24805" xr:uid="{00000000-0005-0000-0000-00006A780000}"/>
    <cellStyle name="Финансовый 3 18 6" xfId="49703" xr:uid="{00000000-0005-0000-0000-00006B780000}"/>
    <cellStyle name="Финансовый 3 19" xfId="426" xr:uid="{00000000-0005-0000-0000-00006C780000}"/>
    <cellStyle name="Финансовый 3 19 2" xfId="6466" xr:uid="{00000000-0005-0000-0000-00006D780000}"/>
    <cellStyle name="Финансовый 3 19 2 2" xfId="18444" xr:uid="{00000000-0005-0000-0000-00006E780000}"/>
    <cellStyle name="Финансовый 3 19 2 2 2" xfId="42399" xr:uid="{00000000-0005-0000-0000-00006F780000}"/>
    <cellStyle name="Финансовый 3 19 2 3" xfId="30421" xr:uid="{00000000-0005-0000-0000-000070780000}"/>
    <cellStyle name="Финансовый 3 19 3" xfId="12407" xr:uid="{00000000-0005-0000-0000-000071780000}"/>
    <cellStyle name="Финансовый 3 19 3 2" xfId="36362" xr:uid="{00000000-0005-0000-0000-000072780000}"/>
    <cellStyle name="Финансовый 3 19 4" xfId="24385" xr:uid="{00000000-0005-0000-0000-000073780000}"/>
    <cellStyle name="Финансовый 3 2" xfId="9" xr:uid="{00000000-0005-0000-0000-000074780000}"/>
    <cellStyle name="Финансовый 3 2 10" xfId="283" xr:uid="{00000000-0005-0000-0000-000075780000}"/>
    <cellStyle name="Финансовый 3 2 10 10" xfId="24243" xr:uid="{00000000-0005-0000-0000-000076780000}"/>
    <cellStyle name="Финансовый 3 2 10 11" xfId="48473" xr:uid="{00000000-0005-0000-0000-000077780000}"/>
    <cellStyle name="Финансовый 3 2 10 2" xfId="2083" xr:uid="{00000000-0005-0000-0000-000078780000}"/>
    <cellStyle name="Финансовый 3 2 10 2 2" xfId="3728" xr:uid="{00000000-0005-0000-0000-000079780000}"/>
    <cellStyle name="Финансовый 3 2 10 2 2 2" xfId="11468" xr:uid="{00000000-0005-0000-0000-00007A780000}"/>
    <cellStyle name="Финансовый 3 2 10 2 2 2 2" xfId="23446" xr:uid="{00000000-0005-0000-0000-00007B780000}"/>
    <cellStyle name="Финансовый 3 2 10 2 2 2 2 2" xfId="47401" xr:uid="{00000000-0005-0000-0000-00007C780000}"/>
    <cellStyle name="Финансовый 3 2 10 2 2 2 3" xfId="35423" xr:uid="{00000000-0005-0000-0000-00007D780000}"/>
    <cellStyle name="Финансовый 3 2 10 2 2 3" xfId="15707" xr:uid="{00000000-0005-0000-0000-00007E780000}"/>
    <cellStyle name="Финансовый 3 2 10 2 2 3 2" xfId="39662" xr:uid="{00000000-0005-0000-0000-00007F780000}"/>
    <cellStyle name="Финансовый 3 2 10 2 2 4" xfId="27685" xr:uid="{00000000-0005-0000-0000-000080780000}"/>
    <cellStyle name="Финансовый 3 2 10 2 2 5" xfId="50954" xr:uid="{00000000-0005-0000-0000-000081780000}"/>
    <cellStyle name="Финансовый 3 2 10 2 3" xfId="5511" xr:uid="{00000000-0005-0000-0000-000082780000}"/>
    <cellStyle name="Финансовый 3 2 10 2 3 2" xfId="17489" xr:uid="{00000000-0005-0000-0000-000083780000}"/>
    <cellStyle name="Финансовый 3 2 10 2 3 2 2" xfId="41444" xr:uid="{00000000-0005-0000-0000-000084780000}"/>
    <cellStyle name="Финансовый 3 2 10 2 3 3" xfId="29466" xr:uid="{00000000-0005-0000-0000-000085780000}"/>
    <cellStyle name="Финансовый 3 2 10 2 4" xfId="8121" xr:uid="{00000000-0005-0000-0000-000086780000}"/>
    <cellStyle name="Финансовый 3 2 10 2 4 2" xfId="20099" xr:uid="{00000000-0005-0000-0000-000087780000}"/>
    <cellStyle name="Финансовый 3 2 10 2 4 2 2" xfId="44054" xr:uid="{00000000-0005-0000-0000-000088780000}"/>
    <cellStyle name="Финансовый 3 2 10 2 4 3" xfId="32076" xr:uid="{00000000-0005-0000-0000-000089780000}"/>
    <cellStyle name="Финансовый 3 2 10 2 5" xfId="9904" xr:uid="{00000000-0005-0000-0000-00008A780000}"/>
    <cellStyle name="Финансовый 3 2 10 2 5 2" xfId="21882" xr:uid="{00000000-0005-0000-0000-00008B780000}"/>
    <cellStyle name="Финансовый 3 2 10 2 5 2 2" xfId="45837" xr:uid="{00000000-0005-0000-0000-00008C780000}"/>
    <cellStyle name="Финансовый 3 2 10 2 5 3" xfId="33859" xr:uid="{00000000-0005-0000-0000-00008D780000}"/>
    <cellStyle name="Финансовый 3 2 10 2 6" xfId="14062" xr:uid="{00000000-0005-0000-0000-00008E780000}"/>
    <cellStyle name="Финансовый 3 2 10 2 6 2" xfId="38017" xr:uid="{00000000-0005-0000-0000-00008F780000}"/>
    <cellStyle name="Финансовый 3 2 10 2 7" xfId="26040" xr:uid="{00000000-0005-0000-0000-000090780000}"/>
    <cellStyle name="Финансовый 3 2 10 2 8" xfId="49173" xr:uid="{00000000-0005-0000-0000-000091780000}"/>
    <cellStyle name="Финансовый 3 2 10 3" xfId="1381" xr:uid="{00000000-0005-0000-0000-000092780000}"/>
    <cellStyle name="Финансовый 3 2 10 3 2" xfId="7421" xr:uid="{00000000-0005-0000-0000-000093780000}"/>
    <cellStyle name="Финансовый 3 2 10 3 2 2" xfId="19399" xr:uid="{00000000-0005-0000-0000-000094780000}"/>
    <cellStyle name="Финансовый 3 2 10 3 2 2 2" xfId="43354" xr:uid="{00000000-0005-0000-0000-000095780000}"/>
    <cellStyle name="Финансовый 3 2 10 3 2 3" xfId="31376" xr:uid="{00000000-0005-0000-0000-000096780000}"/>
    <cellStyle name="Финансовый 3 2 10 3 3" xfId="10952" xr:uid="{00000000-0005-0000-0000-000097780000}"/>
    <cellStyle name="Финансовый 3 2 10 3 3 2" xfId="22930" xr:uid="{00000000-0005-0000-0000-000098780000}"/>
    <cellStyle name="Финансовый 3 2 10 3 3 2 2" xfId="46885" xr:uid="{00000000-0005-0000-0000-000099780000}"/>
    <cellStyle name="Финансовый 3 2 10 3 3 3" xfId="34907" xr:uid="{00000000-0005-0000-0000-00009A780000}"/>
    <cellStyle name="Финансовый 3 2 10 3 4" xfId="13362" xr:uid="{00000000-0005-0000-0000-00009B780000}"/>
    <cellStyle name="Финансовый 3 2 10 3 4 2" xfId="37317" xr:uid="{00000000-0005-0000-0000-00009C780000}"/>
    <cellStyle name="Финансовый 3 2 10 3 5" xfId="25340" xr:uid="{00000000-0005-0000-0000-00009D780000}"/>
    <cellStyle name="Финансовый 3 2 10 3 6" xfId="50253" xr:uid="{00000000-0005-0000-0000-00009E780000}"/>
    <cellStyle name="Финансовый 3 2 10 4" xfId="704" xr:uid="{00000000-0005-0000-0000-00009F780000}"/>
    <cellStyle name="Финансовый 3 2 10 4 2" xfId="6744" xr:uid="{00000000-0005-0000-0000-0000A0780000}"/>
    <cellStyle name="Финансовый 3 2 10 4 2 2" xfId="18722" xr:uid="{00000000-0005-0000-0000-0000A1780000}"/>
    <cellStyle name="Финансовый 3 2 10 4 2 2 2" xfId="42677" xr:uid="{00000000-0005-0000-0000-0000A2780000}"/>
    <cellStyle name="Финансовый 3 2 10 4 2 3" xfId="30699" xr:uid="{00000000-0005-0000-0000-0000A3780000}"/>
    <cellStyle name="Финансовый 3 2 10 4 3" xfId="12685" xr:uid="{00000000-0005-0000-0000-0000A4780000}"/>
    <cellStyle name="Финансовый 3 2 10 4 3 2" xfId="36640" xr:uid="{00000000-0005-0000-0000-0000A5780000}"/>
    <cellStyle name="Финансовый 3 2 10 4 4" xfId="24663" xr:uid="{00000000-0005-0000-0000-0000A6780000}"/>
    <cellStyle name="Финансовый 3 2 10 5" xfId="3165" xr:uid="{00000000-0005-0000-0000-0000A7780000}"/>
    <cellStyle name="Финансовый 3 2 10 5 2" xfId="15144" xr:uid="{00000000-0005-0000-0000-0000A8780000}"/>
    <cellStyle name="Финансовый 3 2 10 5 2 2" xfId="39099" xr:uid="{00000000-0005-0000-0000-0000A9780000}"/>
    <cellStyle name="Финансовый 3 2 10 5 3" xfId="27122" xr:uid="{00000000-0005-0000-0000-0000AA780000}"/>
    <cellStyle name="Финансовый 3 2 10 6" xfId="4809" xr:uid="{00000000-0005-0000-0000-0000AB780000}"/>
    <cellStyle name="Финансовый 3 2 10 6 2" xfId="16788" xr:uid="{00000000-0005-0000-0000-0000AC780000}"/>
    <cellStyle name="Финансовый 3 2 10 6 2 2" xfId="40743" xr:uid="{00000000-0005-0000-0000-0000AD780000}"/>
    <cellStyle name="Финансовый 3 2 10 6 3" xfId="28766" xr:uid="{00000000-0005-0000-0000-0000AE780000}"/>
    <cellStyle name="Финансовый 3 2 10 7" xfId="6324" xr:uid="{00000000-0005-0000-0000-0000AF780000}"/>
    <cellStyle name="Финансовый 3 2 10 7 2" xfId="18302" xr:uid="{00000000-0005-0000-0000-0000B0780000}"/>
    <cellStyle name="Финансовый 3 2 10 7 2 2" xfId="42257" xr:uid="{00000000-0005-0000-0000-0000B1780000}"/>
    <cellStyle name="Финансовый 3 2 10 7 3" xfId="30279" xr:uid="{00000000-0005-0000-0000-0000B2780000}"/>
    <cellStyle name="Финансовый 3 2 10 8" xfId="9203" xr:uid="{00000000-0005-0000-0000-0000B3780000}"/>
    <cellStyle name="Финансовый 3 2 10 8 2" xfId="21181" xr:uid="{00000000-0005-0000-0000-0000B4780000}"/>
    <cellStyle name="Финансовый 3 2 10 8 2 2" xfId="45136" xr:uid="{00000000-0005-0000-0000-0000B5780000}"/>
    <cellStyle name="Финансовый 3 2 10 8 3" xfId="33158" xr:uid="{00000000-0005-0000-0000-0000B6780000}"/>
    <cellStyle name="Финансовый 3 2 10 9" xfId="12265" xr:uid="{00000000-0005-0000-0000-0000B7780000}"/>
    <cellStyle name="Финансовый 3 2 10 9 2" xfId="36220" xr:uid="{00000000-0005-0000-0000-0000B8780000}"/>
    <cellStyle name="Финансовый 3 2 11" xfId="296" xr:uid="{00000000-0005-0000-0000-0000B9780000}"/>
    <cellStyle name="Финансовый 3 2 11 10" xfId="48201" xr:uid="{00000000-0005-0000-0000-0000BA780000}"/>
    <cellStyle name="Финансовый 3 2 11 2" xfId="1116" xr:uid="{00000000-0005-0000-0000-0000BB780000}"/>
    <cellStyle name="Финансовый 3 2 11 2 2" xfId="7156" xr:uid="{00000000-0005-0000-0000-0000BC780000}"/>
    <cellStyle name="Финансовый 3 2 11 2 2 2" xfId="19134" xr:uid="{00000000-0005-0000-0000-0000BD780000}"/>
    <cellStyle name="Финансовый 3 2 11 2 2 2 2" xfId="43089" xr:uid="{00000000-0005-0000-0000-0000BE780000}"/>
    <cellStyle name="Финансовый 3 2 11 2 2 3" xfId="31111" xr:uid="{00000000-0005-0000-0000-0000BF780000}"/>
    <cellStyle name="Финансовый 3 2 11 2 3" xfId="10696" xr:uid="{00000000-0005-0000-0000-0000C0780000}"/>
    <cellStyle name="Финансовый 3 2 11 2 3 2" xfId="22674" xr:uid="{00000000-0005-0000-0000-0000C1780000}"/>
    <cellStyle name="Финансовый 3 2 11 2 3 2 2" xfId="46629" xr:uid="{00000000-0005-0000-0000-0000C2780000}"/>
    <cellStyle name="Финансовый 3 2 11 2 3 3" xfId="34651" xr:uid="{00000000-0005-0000-0000-0000C3780000}"/>
    <cellStyle name="Финансовый 3 2 11 2 4" xfId="13097" xr:uid="{00000000-0005-0000-0000-0000C4780000}"/>
    <cellStyle name="Финансовый 3 2 11 2 4 2" xfId="37052" xr:uid="{00000000-0005-0000-0000-0000C5780000}"/>
    <cellStyle name="Финансовый 3 2 11 2 5" xfId="25075" xr:uid="{00000000-0005-0000-0000-0000C6780000}"/>
    <cellStyle name="Финансовый 3 2 11 2 6" xfId="49981" xr:uid="{00000000-0005-0000-0000-0000C7780000}"/>
    <cellStyle name="Финансовый 3 2 11 3" xfId="716" xr:uid="{00000000-0005-0000-0000-0000C8780000}"/>
    <cellStyle name="Финансовый 3 2 11 3 2" xfId="6756" xr:uid="{00000000-0005-0000-0000-0000C9780000}"/>
    <cellStyle name="Финансовый 3 2 11 3 2 2" xfId="18734" xr:uid="{00000000-0005-0000-0000-0000CA780000}"/>
    <cellStyle name="Финансовый 3 2 11 3 2 2 2" xfId="42689" xr:uid="{00000000-0005-0000-0000-0000CB780000}"/>
    <cellStyle name="Финансовый 3 2 11 3 2 3" xfId="30711" xr:uid="{00000000-0005-0000-0000-0000CC780000}"/>
    <cellStyle name="Финансовый 3 2 11 3 3" xfId="12697" xr:uid="{00000000-0005-0000-0000-0000CD780000}"/>
    <cellStyle name="Финансовый 3 2 11 3 3 2" xfId="36652" xr:uid="{00000000-0005-0000-0000-0000CE780000}"/>
    <cellStyle name="Финансовый 3 2 11 3 4" xfId="24675" xr:uid="{00000000-0005-0000-0000-0000CF780000}"/>
    <cellStyle name="Финансовый 3 2 11 4" xfId="2893" xr:uid="{00000000-0005-0000-0000-0000D0780000}"/>
    <cellStyle name="Финансовый 3 2 11 4 2" xfId="14872" xr:uid="{00000000-0005-0000-0000-0000D1780000}"/>
    <cellStyle name="Финансовый 3 2 11 4 2 2" xfId="38827" xr:uid="{00000000-0005-0000-0000-0000D2780000}"/>
    <cellStyle name="Финансовый 3 2 11 4 3" xfId="26850" xr:uid="{00000000-0005-0000-0000-0000D3780000}"/>
    <cellStyle name="Финансовый 3 2 11 5" xfId="4537" xr:uid="{00000000-0005-0000-0000-0000D4780000}"/>
    <cellStyle name="Финансовый 3 2 11 5 2" xfId="16516" xr:uid="{00000000-0005-0000-0000-0000D5780000}"/>
    <cellStyle name="Финансовый 3 2 11 5 2 2" xfId="40471" xr:uid="{00000000-0005-0000-0000-0000D6780000}"/>
    <cellStyle name="Финансовый 3 2 11 5 3" xfId="28494" xr:uid="{00000000-0005-0000-0000-0000D7780000}"/>
    <cellStyle name="Финансовый 3 2 11 6" xfId="6336" xr:uid="{00000000-0005-0000-0000-0000D8780000}"/>
    <cellStyle name="Финансовый 3 2 11 6 2" xfId="18314" xr:uid="{00000000-0005-0000-0000-0000D9780000}"/>
    <cellStyle name="Финансовый 3 2 11 6 2 2" xfId="42269" xr:uid="{00000000-0005-0000-0000-0000DA780000}"/>
    <cellStyle name="Финансовый 3 2 11 6 3" xfId="30291" xr:uid="{00000000-0005-0000-0000-0000DB780000}"/>
    <cellStyle name="Финансовый 3 2 11 7" xfId="8931" xr:uid="{00000000-0005-0000-0000-0000DC780000}"/>
    <cellStyle name="Финансовый 3 2 11 7 2" xfId="20909" xr:uid="{00000000-0005-0000-0000-0000DD780000}"/>
    <cellStyle name="Финансовый 3 2 11 7 2 2" xfId="44864" xr:uid="{00000000-0005-0000-0000-0000DE780000}"/>
    <cellStyle name="Финансовый 3 2 11 7 3" xfId="32886" xr:uid="{00000000-0005-0000-0000-0000DF780000}"/>
    <cellStyle name="Финансовый 3 2 11 8" xfId="12277" xr:uid="{00000000-0005-0000-0000-0000E0780000}"/>
    <cellStyle name="Финансовый 3 2 11 8 2" xfId="36232" xr:uid="{00000000-0005-0000-0000-0000E1780000}"/>
    <cellStyle name="Финансовый 3 2 11 9" xfId="24255" xr:uid="{00000000-0005-0000-0000-0000E2780000}"/>
    <cellStyle name="Финансовый 3 2 12" xfId="1515" xr:uid="{00000000-0005-0000-0000-0000E3780000}"/>
    <cellStyle name="Финансовый 3 2 12 2" xfId="1703" xr:uid="{00000000-0005-0000-0000-0000E4780000}"/>
    <cellStyle name="Финансовый 3 2 12 2 2" xfId="3348" xr:uid="{00000000-0005-0000-0000-0000E5780000}"/>
    <cellStyle name="Финансовый 3 2 12 2 2 2" xfId="11096" xr:uid="{00000000-0005-0000-0000-0000E6780000}"/>
    <cellStyle name="Финансовый 3 2 12 2 2 2 2" xfId="23074" xr:uid="{00000000-0005-0000-0000-0000E7780000}"/>
    <cellStyle name="Финансовый 3 2 12 2 2 2 2 2" xfId="47029" xr:uid="{00000000-0005-0000-0000-0000E8780000}"/>
    <cellStyle name="Финансовый 3 2 12 2 2 2 3" xfId="35051" xr:uid="{00000000-0005-0000-0000-0000E9780000}"/>
    <cellStyle name="Финансовый 3 2 12 2 2 3" xfId="15327" xr:uid="{00000000-0005-0000-0000-0000EA780000}"/>
    <cellStyle name="Финансовый 3 2 12 2 2 3 2" xfId="39282" xr:uid="{00000000-0005-0000-0000-0000EB780000}"/>
    <cellStyle name="Финансовый 3 2 12 2 2 4" xfId="27305" xr:uid="{00000000-0005-0000-0000-0000EC780000}"/>
    <cellStyle name="Финансовый 3 2 12 2 2 5" xfId="50574" xr:uid="{00000000-0005-0000-0000-0000ED780000}"/>
    <cellStyle name="Финансовый 3 2 12 2 3" xfId="5131" xr:uid="{00000000-0005-0000-0000-0000EE780000}"/>
    <cellStyle name="Финансовый 3 2 12 2 3 2" xfId="17109" xr:uid="{00000000-0005-0000-0000-0000EF780000}"/>
    <cellStyle name="Финансовый 3 2 12 2 3 2 2" xfId="41064" xr:uid="{00000000-0005-0000-0000-0000F0780000}"/>
    <cellStyle name="Финансовый 3 2 12 2 3 3" xfId="29086" xr:uid="{00000000-0005-0000-0000-0000F1780000}"/>
    <cellStyle name="Финансовый 3 2 12 2 4" xfId="7741" xr:uid="{00000000-0005-0000-0000-0000F2780000}"/>
    <cellStyle name="Финансовый 3 2 12 2 4 2" xfId="19719" xr:uid="{00000000-0005-0000-0000-0000F3780000}"/>
    <cellStyle name="Финансовый 3 2 12 2 4 2 2" xfId="43674" xr:uid="{00000000-0005-0000-0000-0000F4780000}"/>
    <cellStyle name="Финансовый 3 2 12 2 4 3" xfId="31696" xr:uid="{00000000-0005-0000-0000-0000F5780000}"/>
    <cellStyle name="Финансовый 3 2 12 2 5" xfId="9524" xr:uid="{00000000-0005-0000-0000-0000F6780000}"/>
    <cellStyle name="Финансовый 3 2 12 2 5 2" xfId="21502" xr:uid="{00000000-0005-0000-0000-0000F7780000}"/>
    <cellStyle name="Финансовый 3 2 12 2 5 2 2" xfId="45457" xr:uid="{00000000-0005-0000-0000-0000F8780000}"/>
    <cellStyle name="Финансовый 3 2 12 2 5 3" xfId="33479" xr:uid="{00000000-0005-0000-0000-0000F9780000}"/>
    <cellStyle name="Финансовый 3 2 12 2 6" xfId="13682" xr:uid="{00000000-0005-0000-0000-0000FA780000}"/>
    <cellStyle name="Финансовый 3 2 12 2 6 2" xfId="37637" xr:uid="{00000000-0005-0000-0000-0000FB780000}"/>
    <cellStyle name="Финансовый 3 2 12 2 7" xfId="25660" xr:uid="{00000000-0005-0000-0000-0000FC780000}"/>
    <cellStyle name="Финансовый 3 2 12 2 8" xfId="48793" xr:uid="{00000000-0005-0000-0000-0000FD780000}"/>
    <cellStyle name="Финансовый 3 2 12 3" xfId="4943" xr:uid="{00000000-0005-0000-0000-0000FE780000}"/>
    <cellStyle name="Финансовый 3 2 12 3 2" xfId="16921" xr:uid="{00000000-0005-0000-0000-0000FF780000}"/>
    <cellStyle name="Финансовый 3 2 12 3 2 2" xfId="40876" xr:uid="{00000000-0005-0000-0000-000000790000}"/>
    <cellStyle name="Финансовый 3 2 12 3 3" xfId="28898" xr:uid="{00000000-0005-0000-0000-000001790000}"/>
    <cellStyle name="Финансовый 3 2 12 3 4" xfId="50386" xr:uid="{00000000-0005-0000-0000-000002790000}"/>
    <cellStyle name="Финансовый 3 2 12 4" xfId="7553" xr:uid="{00000000-0005-0000-0000-000003790000}"/>
    <cellStyle name="Финансовый 3 2 12 4 2" xfId="19531" xr:uid="{00000000-0005-0000-0000-000004790000}"/>
    <cellStyle name="Финансовый 3 2 12 4 2 2" xfId="43486" xr:uid="{00000000-0005-0000-0000-000005790000}"/>
    <cellStyle name="Финансовый 3 2 12 4 3" xfId="31508" xr:uid="{00000000-0005-0000-0000-000006790000}"/>
    <cellStyle name="Финансовый 3 2 12 5" xfId="9336" xr:uid="{00000000-0005-0000-0000-000007790000}"/>
    <cellStyle name="Финансовый 3 2 12 5 2" xfId="21314" xr:uid="{00000000-0005-0000-0000-000008790000}"/>
    <cellStyle name="Финансовый 3 2 12 5 2 2" xfId="45269" xr:uid="{00000000-0005-0000-0000-000009790000}"/>
    <cellStyle name="Финансовый 3 2 12 5 3" xfId="33291" xr:uid="{00000000-0005-0000-0000-00000A790000}"/>
    <cellStyle name="Финансовый 3 2 12 6" xfId="13494" xr:uid="{00000000-0005-0000-0000-00000B790000}"/>
    <cellStyle name="Финансовый 3 2 12 6 2" xfId="37449" xr:uid="{00000000-0005-0000-0000-00000C790000}"/>
    <cellStyle name="Финансовый 3 2 12 7" xfId="25472" xr:uid="{00000000-0005-0000-0000-00000D790000}"/>
    <cellStyle name="Финансовый 3 2 12 8" xfId="48605" xr:uid="{00000000-0005-0000-0000-00000E790000}"/>
    <cellStyle name="Финансовый 3 2 13" xfId="2339" xr:uid="{00000000-0005-0000-0000-00000F790000}"/>
    <cellStyle name="Финансовый 3 2 13 2" xfId="3984" xr:uid="{00000000-0005-0000-0000-000010790000}"/>
    <cellStyle name="Финансовый 3 2 13 2 2" xfId="11724" xr:uid="{00000000-0005-0000-0000-000011790000}"/>
    <cellStyle name="Финансовый 3 2 13 2 2 2" xfId="23702" xr:uid="{00000000-0005-0000-0000-000012790000}"/>
    <cellStyle name="Финансовый 3 2 13 2 2 2 2" xfId="47657" xr:uid="{00000000-0005-0000-0000-000013790000}"/>
    <cellStyle name="Финансовый 3 2 13 2 2 3" xfId="35679" xr:uid="{00000000-0005-0000-0000-000014790000}"/>
    <cellStyle name="Финансовый 3 2 13 2 3" xfId="15963" xr:uid="{00000000-0005-0000-0000-000015790000}"/>
    <cellStyle name="Финансовый 3 2 13 2 3 2" xfId="39918" xr:uid="{00000000-0005-0000-0000-000016790000}"/>
    <cellStyle name="Финансовый 3 2 13 2 4" xfId="27941" xr:uid="{00000000-0005-0000-0000-000017790000}"/>
    <cellStyle name="Финансовый 3 2 13 2 5" xfId="51210" xr:uid="{00000000-0005-0000-0000-000018790000}"/>
    <cellStyle name="Финансовый 3 2 13 3" xfId="5767" xr:uid="{00000000-0005-0000-0000-000019790000}"/>
    <cellStyle name="Финансовый 3 2 13 3 2" xfId="17745" xr:uid="{00000000-0005-0000-0000-00001A790000}"/>
    <cellStyle name="Финансовый 3 2 13 3 2 2" xfId="41700" xr:uid="{00000000-0005-0000-0000-00001B790000}"/>
    <cellStyle name="Финансовый 3 2 13 3 3" xfId="29722" xr:uid="{00000000-0005-0000-0000-00001C790000}"/>
    <cellStyle name="Финансовый 3 2 13 4" xfId="8377" xr:uid="{00000000-0005-0000-0000-00001D790000}"/>
    <cellStyle name="Финансовый 3 2 13 4 2" xfId="20355" xr:uid="{00000000-0005-0000-0000-00001E790000}"/>
    <cellStyle name="Финансовый 3 2 13 4 2 2" xfId="44310" xr:uid="{00000000-0005-0000-0000-00001F790000}"/>
    <cellStyle name="Финансовый 3 2 13 4 3" xfId="32332" xr:uid="{00000000-0005-0000-0000-000020790000}"/>
    <cellStyle name="Финансовый 3 2 13 5" xfId="10160" xr:uid="{00000000-0005-0000-0000-000021790000}"/>
    <cellStyle name="Финансовый 3 2 13 5 2" xfId="22138" xr:uid="{00000000-0005-0000-0000-000022790000}"/>
    <cellStyle name="Финансовый 3 2 13 5 2 2" xfId="46093" xr:uid="{00000000-0005-0000-0000-000023790000}"/>
    <cellStyle name="Финансовый 3 2 13 5 3" xfId="34115" xr:uid="{00000000-0005-0000-0000-000024790000}"/>
    <cellStyle name="Финансовый 3 2 13 6" xfId="14318" xr:uid="{00000000-0005-0000-0000-000025790000}"/>
    <cellStyle name="Финансовый 3 2 13 6 2" xfId="38273" xr:uid="{00000000-0005-0000-0000-000026790000}"/>
    <cellStyle name="Финансовый 3 2 13 7" xfId="26296" xr:uid="{00000000-0005-0000-0000-000027790000}"/>
    <cellStyle name="Финансовый 3 2 13 8" xfId="49429" xr:uid="{00000000-0005-0000-0000-000028790000}"/>
    <cellStyle name="Финансовый 3 2 14" xfId="1566" xr:uid="{00000000-0005-0000-0000-000029790000}"/>
    <cellStyle name="Финансовый 3 2 14 2" xfId="3211" xr:uid="{00000000-0005-0000-0000-00002A790000}"/>
    <cellStyle name="Финансовый 3 2 14 2 2" xfId="10967" xr:uid="{00000000-0005-0000-0000-00002B790000}"/>
    <cellStyle name="Финансовый 3 2 14 2 2 2" xfId="22945" xr:uid="{00000000-0005-0000-0000-00002C790000}"/>
    <cellStyle name="Финансовый 3 2 14 2 2 2 2" xfId="46900" xr:uid="{00000000-0005-0000-0000-00002D790000}"/>
    <cellStyle name="Финансовый 3 2 14 2 2 3" xfId="34922" xr:uid="{00000000-0005-0000-0000-00002E790000}"/>
    <cellStyle name="Финансовый 3 2 14 2 3" xfId="15190" xr:uid="{00000000-0005-0000-0000-00002F790000}"/>
    <cellStyle name="Финансовый 3 2 14 2 3 2" xfId="39145" xr:uid="{00000000-0005-0000-0000-000030790000}"/>
    <cellStyle name="Финансовый 3 2 14 2 4" xfId="27168" xr:uid="{00000000-0005-0000-0000-000031790000}"/>
    <cellStyle name="Финансовый 3 2 14 2 5" xfId="50437" xr:uid="{00000000-0005-0000-0000-000032790000}"/>
    <cellStyle name="Финансовый 3 2 14 3" xfId="4994" xr:uid="{00000000-0005-0000-0000-000033790000}"/>
    <cellStyle name="Финансовый 3 2 14 3 2" xfId="16972" xr:uid="{00000000-0005-0000-0000-000034790000}"/>
    <cellStyle name="Финансовый 3 2 14 3 2 2" xfId="40927" xr:uid="{00000000-0005-0000-0000-000035790000}"/>
    <cellStyle name="Финансовый 3 2 14 3 3" xfId="28949" xr:uid="{00000000-0005-0000-0000-000036790000}"/>
    <cellStyle name="Финансовый 3 2 14 4" xfId="7604" xr:uid="{00000000-0005-0000-0000-000037790000}"/>
    <cellStyle name="Финансовый 3 2 14 4 2" xfId="19582" xr:uid="{00000000-0005-0000-0000-000038790000}"/>
    <cellStyle name="Финансовый 3 2 14 4 2 2" xfId="43537" xr:uid="{00000000-0005-0000-0000-000039790000}"/>
    <cellStyle name="Финансовый 3 2 14 4 3" xfId="31559" xr:uid="{00000000-0005-0000-0000-00003A790000}"/>
    <cellStyle name="Финансовый 3 2 14 5" xfId="9387" xr:uid="{00000000-0005-0000-0000-00003B790000}"/>
    <cellStyle name="Финансовый 3 2 14 5 2" xfId="21365" xr:uid="{00000000-0005-0000-0000-00003C790000}"/>
    <cellStyle name="Финансовый 3 2 14 5 2 2" xfId="45320" xr:uid="{00000000-0005-0000-0000-00003D790000}"/>
    <cellStyle name="Финансовый 3 2 14 5 3" xfId="33342" xr:uid="{00000000-0005-0000-0000-00003E790000}"/>
    <cellStyle name="Финансовый 3 2 14 6" xfId="13545" xr:uid="{00000000-0005-0000-0000-00003F790000}"/>
    <cellStyle name="Финансовый 3 2 14 6 2" xfId="37500" xr:uid="{00000000-0005-0000-0000-000040790000}"/>
    <cellStyle name="Финансовый 3 2 14 7" xfId="25523" xr:uid="{00000000-0005-0000-0000-000041790000}"/>
    <cellStyle name="Финансовый 3 2 14 8" xfId="48656" xr:uid="{00000000-0005-0000-0000-000042790000}"/>
    <cellStyle name="Финансовый 3 2 15" xfId="852" xr:uid="{00000000-0005-0000-0000-000043790000}"/>
    <cellStyle name="Финансовый 3 2 15 2" xfId="6892" xr:uid="{00000000-0005-0000-0000-000044790000}"/>
    <cellStyle name="Финансовый 3 2 15 2 2" xfId="18870" xr:uid="{00000000-0005-0000-0000-000045790000}"/>
    <cellStyle name="Финансовый 3 2 15 2 2 2" xfId="42825" xr:uid="{00000000-0005-0000-0000-000046790000}"/>
    <cellStyle name="Финансовый 3 2 15 2 3" xfId="30847" xr:uid="{00000000-0005-0000-0000-000047790000}"/>
    <cellStyle name="Финансовый 3 2 15 3" xfId="10440" xr:uid="{00000000-0005-0000-0000-000048790000}"/>
    <cellStyle name="Финансовый 3 2 15 3 2" xfId="22418" xr:uid="{00000000-0005-0000-0000-000049790000}"/>
    <cellStyle name="Финансовый 3 2 15 3 2 2" xfId="46373" xr:uid="{00000000-0005-0000-0000-00004A790000}"/>
    <cellStyle name="Финансовый 3 2 15 3 3" xfId="34395" xr:uid="{00000000-0005-0000-0000-00004B790000}"/>
    <cellStyle name="Финансовый 3 2 15 4" xfId="12833" xr:uid="{00000000-0005-0000-0000-00004C790000}"/>
    <cellStyle name="Финансовый 3 2 15 4 2" xfId="36788" xr:uid="{00000000-0005-0000-0000-00004D790000}"/>
    <cellStyle name="Финансовый 3 2 15 5" xfId="24811" xr:uid="{00000000-0005-0000-0000-00004E790000}"/>
    <cellStyle name="Финансовый 3 2 15 6" xfId="49709" xr:uid="{00000000-0005-0000-0000-00004F790000}"/>
    <cellStyle name="Финансовый 3 2 16" xfId="432" xr:uid="{00000000-0005-0000-0000-000050790000}"/>
    <cellStyle name="Финансовый 3 2 16 2" xfId="6472" xr:uid="{00000000-0005-0000-0000-000051790000}"/>
    <cellStyle name="Финансовый 3 2 16 2 2" xfId="18450" xr:uid="{00000000-0005-0000-0000-000052790000}"/>
    <cellStyle name="Финансовый 3 2 16 2 2 2" xfId="42405" xr:uid="{00000000-0005-0000-0000-000053790000}"/>
    <cellStyle name="Финансовый 3 2 16 2 3" xfId="30427" xr:uid="{00000000-0005-0000-0000-000054790000}"/>
    <cellStyle name="Финансовый 3 2 16 3" xfId="12413" xr:uid="{00000000-0005-0000-0000-000055790000}"/>
    <cellStyle name="Финансовый 3 2 16 3 2" xfId="36368" xr:uid="{00000000-0005-0000-0000-000056790000}"/>
    <cellStyle name="Финансовый 3 2 16 4" xfId="24391" xr:uid="{00000000-0005-0000-0000-000057790000}"/>
    <cellStyle name="Финансовый 3 2 17" xfId="2621" xr:uid="{00000000-0005-0000-0000-000058790000}"/>
    <cellStyle name="Финансовый 3 2 17 2" xfId="14600" xr:uid="{00000000-0005-0000-0000-000059790000}"/>
    <cellStyle name="Финансовый 3 2 17 2 2" xfId="38555" xr:uid="{00000000-0005-0000-0000-00005A790000}"/>
    <cellStyle name="Финансовый 3 2 17 3" xfId="26578" xr:uid="{00000000-0005-0000-0000-00005B790000}"/>
    <cellStyle name="Финансовый 3 2 18" xfId="4264" xr:uid="{00000000-0005-0000-0000-00005C790000}"/>
    <cellStyle name="Финансовый 3 2 18 2" xfId="16243" xr:uid="{00000000-0005-0000-0000-00005D790000}"/>
    <cellStyle name="Финансовый 3 2 18 2 2" xfId="40198" xr:uid="{00000000-0005-0000-0000-00005E790000}"/>
    <cellStyle name="Финансовый 3 2 18 3" xfId="28221" xr:uid="{00000000-0005-0000-0000-00005F790000}"/>
    <cellStyle name="Финансовый 3 2 19" xfId="6052" xr:uid="{00000000-0005-0000-0000-000060790000}"/>
    <cellStyle name="Финансовый 3 2 19 2" xfId="18030" xr:uid="{00000000-0005-0000-0000-000061790000}"/>
    <cellStyle name="Финансовый 3 2 19 2 2" xfId="41985" xr:uid="{00000000-0005-0000-0000-000062790000}"/>
    <cellStyle name="Финансовый 3 2 19 3" xfId="30007" xr:uid="{00000000-0005-0000-0000-000063790000}"/>
    <cellStyle name="Финансовый 3 2 2" xfId="45" xr:uid="{00000000-0005-0000-0000-000064790000}"/>
    <cellStyle name="Финансовый 3 2 2 10" xfId="468" xr:uid="{00000000-0005-0000-0000-000065790000}"/>
    <cellStyle name="Финансовый 3 2 2 10 2" xfId="6508" xr:uid="{00000000-0005-0000-0000-000066790000}"/>
    <cellStyle name="Финансовый 3 2 2 10 2 2" xfId="18486" xr:uid="{00000000-0005-0000-0000-000067790000}"/>
    <cellStyle name="Финансовый 3 2 2 10 2 2 2" xfId="42441" xr:uid="{00000000-0005-0000-0000-000068790000}"/>
    <cellStyle name="Финансовый 3 2 2 10 2 3" xfId="30463" xr:uid="{00000000-0005-0000-0000-000069790000}"/>
    <cellStyle name="Финансовый 3 2 2 10 3" xfId="12449" xr:uid="{00000000-0005-0000-0000-00006A790000}"/>
    <cellStyle name="Финансовый 3 2 2 10 3 2" xfId="36404" xr:uid="{00000000-0005-0000-0000-00006B790000}"/>
    <cellStyle name="Финансовый 3 2 2 10 4" xfId="24427" xr:uid="{00000000-0005-0000-0000-00006C790000}"/>
    <cellStyle name="Финансовый 3 2 2 11" xfId="2657" xr:uid="{00000000-0005-0000-0000-00006D790000}"/>
    <cellStyle name="Финансовый 3 2 2 11 2" xfId="14636" xr:uid="{00000000-0005-0000-0000-00006E790000}"/>
    <cellStyle name="Финансовый 3 2 2 11 2 2" xfId="38591" xr:uid="{00000000-0005-0000-0000-00006F790000}"/>
    <cellStyle name="Финансовый 3 2 2 11 3" xfId="26614" xr:uid="{00000000-0005-0000-0000-000070790000}"/>
    <cellStyle name="Финансовый 3 2 2 12" xfId="4300" xr:uid="{00000000-0005-0000-0000-000071790000}"/>
    <cellStyle name="Финансовый 3 2 2 12 2" xfId="16279" xr:uid="{00000000-0005-0000-0000-000072790000}"/>
    <cellStyle name="Финансовый 3 2 2 12 2 2" xfId="40234" xr:uid="{00000000-0005-0000-0000-000073790000}"/>
    <cellStyle name="Финансовый 3 2 2 12 3" xfId="28257" xr:uid="{00000000-0005-0000-0000-000074790000}"/>
    <cellStyle name="Финансовый 3 2 2 13" xfId="6088" xr:uid="{00000000-0005-0000-0000-000075790000}"/>
    <cellStyle name="Финансовый 3 2 2 13 2" xfId="18066" xr:uid="{00000000-0005-0000-0000-000076790000}"/>
    <cellStyle name="Финансовый 3 2 2 13 2 2" xfId="42021" xr:uid="{00000000-0005-0000-0000-000077790000}"/>
    <cellStyle name="Финансовый 3 2 2 13 3" xfId="30043" xr:uid="{00000000-0005-0000-0000-000078790000}"/>
    <cellStyle name="Финансовый 3 2 2 14" xfId="8695" xr:uid="{00000000-0005-0000-0000-000079790000}"/>
    <cellStyle name="Финансовый 3 2 2 14 2" xfId="20673" xr:uid="{00000000-0005-0000-0000-00007A790000}"/>
    <cellStyle name="Финансовый 3 2 2 14 2 2" xfId="44628" xr:uid="{00000000-0005-0000-0000-00007B790000}"/>
    <cellStyle name="Финансовый 3 2 2 14 3" xfId="32650" xr:uid="{00000000-0005-0000-0000-00007C790000}"/>
    <cellStyle name="Финансовый 3 2 2 15" xfId="12029" xr:uid="{00000000-0005-0000-0000-00007D790000}"/>
    <cellStyle name="Финансовый 3 2 2 15 2" xfId="35984" xr:uid="{00000000-0005-0000-0000-00007E790000}"/>
    <cellStyle name="Финансовый 3 2 2 16" xfId="24007" xr:uid="{00000000-0005-0000-0000-00007F790000}"/>
    <cellStyle name="Финансовый 3 2 2 17" xfId="47965" xr:uid="{00000000-0005-0000-0000-000080790000}"/>
    <cellStyle name="Финансовый 3 2 2 2" xfId="103" xr:uid="{00000000-0005-0000-0000-000081790000}"/>
    <cellStyle name="Финансовый 3 2 2 2 10" xfId="2713" xr:uid="{00000000-0005-0000-0000-000082790000}"/>
    <cellStyle name="Финансовый 3 2 2 2 10 2" xfId="14692" xr:uid="{00000000-0005-0000-0000-000083790000}"/>
    <cellStyle name="Финансовый 3 2 2 2 10 2 2" xfId="38647" xr:uid="{00000000-0005-0000-0000-000084790000}"/>
    <cellStyle name="Финансовый 3 2 2 2 10 3" xfId="26670" xr:uid="{00000000-0005-0000-0000-000085790000}"/>
    <cellStyle name="Финансовый 3 2 2 2 11" xfId="4357" xr:uid="{00000000-0005-0000-0000-000086790000}"/>
    <cellStyle name="Финансовый 3 2 2 2 11 2" xfId="16336" xr:uid="{00000000-0005-0000-0000-000087790000}"/>
    <cellStyle name="Финансовый 3 2 2 2 11 2 2" xfId="40291" xr:uid="{00000000-0005-0000-0000-000088790000}"/>
    <cellStyle name="Финансовый 3 2 2 2 11 3" xfId="28314" xr:uid="{00000000-0005-0000-0000-000089790000}"/>
    <cellStyle name="Финансовый 3 2 2 2 12" xfId="6144" xr:uid="{00000000-0005-0000-0000-00008A790000}"/>
    <cellStyle name="Финансовый 3 2 2 2 12 2" xfId="18122" xr:uid="{00000000-0005-0000-0000-00008B790000}"/>
    <cellStyle name="Финансовый 3 2 2 2 12 2 2" xfId="42077" xr:uid="{00000000-0005-0000-0000-00008C790000}"/>
    <cellStyle name="Финансовый 3 2 2 2 12 3" xfId="30099" xr:uid="{00000000-0005-0000-0000-00008D790000}"/>
    <cellStyle name="Финансовый 3 2 2 2 13" xfId="8751" xr:uid="{00000000-0005-0000-0000-00008E790000}"/>
    <cellStyle name="Финансовый 3 2 2 2 13 2" xfId="20729" xr:uid="{00000000-0005-0000-0000-00008F790000}"/>
    <cellStyle name="Финансовый 3 2 2 2 13 2 2" xfId="44684" xr:uid="{00000000-0005-0000-0000-000090790000}"/>
    <cellStyle name="Финансовый 3 2 2 2 13 3" xfId="32706" xr:uid="{00000000-0005-0000-0000-000091790000}"/>
    <cellStyle name="Финансовый 3 2 2 2 14" xfId="12085" xr:uid="{00000000-0005-0000-0000-000092790000}"/>
    <cellStyle name="Финансовый 3 2 2 2 14 2" xfId="36040" xr:uid="{00000000-0005-0000-0000-000093790000}"/>
    <cellStyle name="Финансовый 3 2 2 2 15" xfId="24063" xr:uid="{00000000-0005-0000-0000-000094790000}"/>
    <cellStyle name="Финансовый 3 2 2 2 16" xfId="48021" xr:uid="{00000000-0005-0000-0000-000095790000}"/>
    <cellStyle name="Финансовый 3 2 2 2 2" xfId="239" xr:uid="{00000000-0005-0000-0000-000096790000}"/>
    <cellStyle name="Финансовый 3 2 2 2 2 10" xfId="8887" xr:uid="{00000000-0005-0000-0000-000097790000}"/>
    <cellStyle name="Финансовый 3 2 2 2 2 10 2" xfId="20865" xr:uid="{00000000-0005-0000-0000-000098790000}"/>
    <cellStyle name="Финансовый 3 2 2 2 2 10 2 2" xfId="44820" xr:uid="{00000000-0005-0000-0000-000099790000}"/>
    <cellStyle name="Финансовый 3 2 2 2 2 10 3" xfId="32842" xr:uid="{00000000-0005-0000-0000-00009A790000}"/>
    <cellStyle name="Финансовый 3 2 2 2 2 11" xfId="12221" xr:uid="{00000000-0005-0000-0000-00009B790000}"/>
    <cellStyle name="Финансовый 3 2 2 2 2 11 2" xfId="36176" xr:uid="{00000000-0005-0000-0000-00009C790000}"/>
    <cellStyle name="Финансовый 3 2 2 2 2 12" xfId="24199" xr:uid="{00000000-0005-0000-0000-00009D790000}"/>
    <cellStyle name="Финансовый 3 2 2 2 2 13" xfId="48157" xr:uid="{00000000-0005-0000-0000-00009E790000}"/>
    <cellStyle name="Финансовый 3 2 2 2 2 2" xfId="1337" xr:uid="{00000000-0005-0000-0000-00009F790000}"/>
    <cellStyle name="Финансовый 3 2 2 2 2 2 2" xfId="2295" xr:uid="{00000000-0005-0000-0000-0000A0790000}"/>
    <cellStyle name="Финансовый 3 2 2 2 2 2 2 2" xfId="3940" xr:uid="{00000000-0005-0000-0000-0000A1790000}"/>
    <cellStyle name="Финансовый 3 2 2 2 2 2 2 2 2" xfId="11680" xr:uid="{00000000-0005-0000-0000-0000A2790000}"/>
    <cellStyle name="Финансовый 3 2 2 2 2 2 2 2 2 2" xfId="23658" xr:uid="{00000000-0005-0000-0000-0000A3790000}"/>
    <cellStyle name="Финансовый 3 2 2 2 2 2 2 2 2 2 2" xfId="47613" xr:uid="{00000000-0005-0000-0000-0000A4790000}"/>
    <cellStyle name="Финансовый 3 2 2 2 2 2 2 2 2 3" xfId="35635" xr:uid="{00000000-0005-0000-0000-0000A5790000}"/>
    <cellStyle name="Финансовый 3 2 2 2 2 2 2 2 3" xfId="15919" xr:uid="{00000000-0005-0000-0000-0000A6790000}"/>
    <cellStyle name="Финансовый 3 2 2 2 2 2 2 2 3 2" xfId="39874" xr:uid="{00000000-0005-0000-0000-0000A7790000}"/>
    <cellStyle name="Финансовый 3 2 2 2 2 2 2 2 4" xfId="27897" xr:uid="{00000000-0005-0000-0000-0000A8790000}"/>
    <cellStyle name="Финансовый 3 2 2 2 2 2 2 2 5" xfId="51166" xr:uid="{00000000-0005-0000-0000-0000A9790000}"/>
    <cellStyle name="Финансовый 3 2 2 2 2 2 2 3" xfId="5723" xr:uid="{00000000-0005-0000-0000-0000AA790000}"/>
    <cellStyle name="Финансовый 3 2 2 2 2 2 2 3 2" xfId="17701" xr:uid="{00000000-0005-0000-0000-0000AB790000}"/>
    <cellStyle name="Финансовый 3 2 2 2 2 2 2 3 2 2" xfId="41656" xr:uid="{00000000-0005-0000-0000-0000AC790000}"/>
    <cellStyle name="Финансовый 3 2 2 2 2 2 2 3 3" xfId="29678" xr:uid="{00000000-0005-0000-0000-0000AD790000}"/>
    <cellStyle name="Финансовый 3 2 2 2 2 2 2 4" xfId="8333" xr:uid="{00000000-0005-0000-0000-0000AE790000}"/>
    <cellStyle name="Финансовый 3 2 2 2 2 2 2 4 2" xfId="20311" xr:uid="{00000000-0005-0000-0000-0000AF790000}"/>
    <cellStyle name="Финансовый 3 2 2 2 2 2 2 4 2 2" xfId="44266" xr:uid="{00000000-0005-0000-0000-0000B0790000}"/>
    <cellStyle name="Финансовый 3 2 2 2 2 2 2 4 3" xfId="32288" xr:uid="{00000000-0005-0000-0000-0000B1790000}"/>
    <cellStyle name="Финансовый 3 2 2 2 2 2 2 5" xfId="10116" xr:uid="{00000000-0005-0000-0000-0000B2790000}"/>
    <cellStyle name="Финансовый 3 2 2 2 2 2 2 5 2" xfId="22094" xr:uid="{00000000-0005-0000-0000-0000B3790000}"/>
    <cellStyle name="Финансовый 3 2 2 2 2 2 2 5 2 2" xfId="46049" xr:uid="{00000000-0005-0000-0000-0000B4790000}"/>
    <cellStyle name="Финансовый 3 2 2 2 2 2 2 5 3" xfId="34071" xr:uid="{00000000-0005-0000-0000-0000B5790000}"/>
    <cellStyle name="Финансовый 3 2 2 2 2 2 2 6" xfId="14274" xr:uid="{00000000-0005-0000-0000-0000B6790000}"/>
    <cellStyle name="Финансовый 3 2 2 2 2 2 2 6 2" xfId="38229" xr:uid="{00000000-0005-0000-0000-0000B7790000}"/>
    <cellStyle name="Финансовый 3 2 2 2 2 2 2 7" xfId="26252" xr:uid="{00000000-0005-0000-0000-0000B8790000}"/>
    <cellStyle name="Финансовый 3 2 2 2 2 2 2 8" xfId="49385" xr:uid="{00000000-0005-0000-0000-0000B9790000}"/>
    <cellStyle name="Финансовый 3 2 2 2 2 2 3" xfId="3121" xr:uid="{00000000-0005-0000-0000-0000BA790000}"/>
    <cellStyle name="Финансовый 3 2 2 2 2 2 3 2" xfId="10908" xr:uid="{00000000-0005-0000-0000-0000BB790000}"/>
    <cellStyle name="Финансовый 3 2 2 2 2 2 3 2 2" xfId="22886" xr:uid="{00000000-0005-0000-0000-0000BC790000}"/>
    <cellStyle name="Финансовый 3 2 2 2 2 2 3 2 2 2" xfId="46841" xr:uid="{00000000-0005-0000-0000-0000BD790000}"/>
    <cellStyle name="Финансовый 3 2 2 2 2 2 3 2 3" xfId="34863" xr:uid="{00000000-0005-0000-0000-0000BE790000}"/>
    <cellStyle name="Финансовый 3 2 2 2 2 2 3 3" xfId="15100" xr:uid="{00000000-0005-0000-0000-0000BF790000}"/>
    <cellStyle name="Финансовый 3 2 2 2 2 2 3 3 2" xfId="39055" xr:uid="{00000000-0005-0000-0000-0000C0790000}"/>
    <cellStyle name="Финансовый 3 2 2 2 2 2 3 4" xfId="27078" xr:uid="{00000000-0005-0000-0000-0000C1790000}"/>
    <cellStyle name="Финансовый 3 2 2 2 2 2 3 5" xfId="50209" xr:uid="{00000000-0005-0000-0000-0000C2790000}"/>
    <cellStyle name="Финансовый 3 2 2 2 2 2 4" xfId="4765" xr:uid="{00000000-0005-0000-0000-0000C3790000}"/>
    <cellStyle name="Финансовый 3 2 2 2 2 2 4 2" xfId="16744" xr:uid="{00000000-0005-0000-0000-0000C4790000}"/>
    <cellStyle name="Финансовый 3 2 2 2 2 2 4 2 2" xfId="40699" xr:uid="{00000000-0005-0000-0000-0000C5790000}"/>
    <cellStyle name="Финансовый 3 2 2 2 2 2 4 3" xfId="28722" xr:uid="{00000000-0005-0000-0000-0000C6790000}"/>
    <cellStyle name="Финансовый 3 2 2 2 2 2 5" xfId="7377" xr:uid="{00000000-0005-0000-0000-0000C7790000}"/>
    <cellStyle name="Финансовый 3 2 2 2 2 2 5 2" xfId="19355" xr:uid="{00000000-0005-0000-0000-0000C8790000}"/>
    <cellStyle name="Финансовый 3 2 2 2 2 2 5 2 2" xfId="43310" xr:uid="{00000000-0005-0000-0000-0000C9790000}"/>
    <cellStyle name="Финансовый 3 2 2 2 2 2 5 3" xfId="31332" xr:uid="{00000000-0005-0000-0000-0000CA790000}"/>
    <cellStyle name="Финансовый 3 2 2 2 2 2 6" xfId="9159" xr:uid="{00000000-0005-0000-0000-0000CB790000}"/>
    <cellStyle name="Финансовый 3 2 2 2 2 2 6 2" xfId="21137" xr:uid="{00000000-0005-0000-0000-0000CC790000}"/>
    <cellStyle name="Финансовый 3 2 2 2 2 2 6 2 2" xfId="45092" xr:uid="{00000000-0005-0000-0000-0000CD790000}"/>
    <cellStyle name="Финансовый 3 2 2 2 2 2 6 3" xfId="33114" xr:uid="{00000000-0005-0000-0000-0000CE790000}"/>
    <cellStyle name="Финансовый 3 2 2 2 2 2 7" xfId="13318" xr:uid="{00000000-0005-0000-0000-0000CF790000}"/>
    <cellStyle name="Финансовый 3 2 2 2 2 2 7 2" xfId="37273" xr:uid="{00000000-0005-0000-0000-0000D0790000}"/>
    <cellStyle name="Финансовый 3 2 2 2 2 2 8" xfId="25296" xr:uid="{00000000-0005-0000-0000-0000D1790000}"/>
    <cellStyle name="Финансовый 3 2 2 2 2 2 9" xfId="48429" xr:uid="{00000000-0005-0000-0000-0000D2790000}"/>
    <cellStyle name="Финансовый 3 2 2 2 2 3" xfId="2039" xr:uid="{00000000-0005-0000-0000-0000D3790000}"/>
    <cellStyle name="Финансовый 3 2 2 2 2 3 2" xfId="3684" xr:uid="{00000000-0005-0000-0000-0000D4790000}"/>
    <cellStyle name="Финансовый 3 2 2 2 2 3 2 2" xfId="11424" xr:uid="{00000000-0005-0000-0000-0000D5790000}"/>
    <cellStyle name="Финансовый 3 2 2 2 2 3 2 2 2" xfId="23402" xr:uid="{00000000-0005-0000-0000-0000D6790000}"/>
    <cellStyle name="Финансовый 3 2 2 2 2 3 2 2 2 2" xfId="47357" xr:uid="{00000000-0005-0000-0000-0000D7790000}"/>
    <cellStyle name="Финансовый 3 2 2 2 2 3 2 2 3" xfId="35379" xr:uid="{00000000-0005-0000-0000-0000D8790000}"/>
    <cellStyle name="Финансовый 3 2 2 2 2 3 2 3" xfId="15663" xr:uid="{00000000-0005-0000-0000-0000D9790000}"/>
    <cellStyle name="Финансовый 3 2 2 2 2 3 2 3 2" xfId="39618" xr:uid="{00000000-0005-0000-0000-0000DA790000}"/>
    <cellStyle name="Финансовый 3 2 2 2 2 3 2 4" xfId="27641" xr:uid="{00000000-0005-0000-0000-0000DB790000}"/>
    <cellStyle name="Финансовый 3 2 2 2 2 3 2 5" xfId="50910" xr:uid="{00000000-0005-0000-0000-0000DC790000}"/>
    <cellStyle name="Финансовый 3 2 2 2 2 3 3" xfId="5467" xr:uid="{00000000-0005-0000-0000-0000DD790000}"/>
    <cellStyle name="Финансовый 3 2 2 2 2 3 3 2" xfId="17445" xr:uid="{00000000-0005-0000-0000-0000DE790000}"/>
    <cellStyle name="Финансовый 3 2 2 2 2 3 3 2 2" xfId="41400" xr:uid="{00000000-0005-0000-0000-0000DF790000}"/>
    <cellStyle name="Финансовый 3 2 2 2 2 3 3 3" xfId="29422" xr:uid="{00000000-0005-0000-0000-0000E0790000}"/>
    <cellStyle name="Финансовый 3 2 2 2 2 3 4" xfId="8077" xr:uid="{00000000-0005-0000-0000-0000E1790000}"/>
    <cellStyle name="Финансовый 3 2 2 2 2 3 4 2" xfId="20055" xr:uid="{00000000-0005-0000-0000-0000E2790000}"/>
    <cellStyle name="Финансовый 3 2 2 2 2 3 4 2 2" xfId="44010" xr:uid="{00000000-0005-0000-0000-0000E3790000}"/>
    <cellStyle name="Финансовый 3 2 2 2 2 3 4 3" xfId="32032" xr:uid="{00000000-0005-0000-0000-0000E4790000}"/>
    <cellStyle name="Финансовый 3 2 2 2 2 3 5" xfId="9860" xr:uid="{00000000-0005-0000-0000-0000E5790000}"/>
    <cellStyle name="Финансовый 3 2 2 2 2 3 5 2" xfId="21838" xr:uid="{00000000-0005-0000-0000-0000E6790000}"/>
    <cellStyle name="Финансовый 3 2 2 2 2 3 5 2 2" xfId="45793" xr:uid="{00000000-0005-0000-0000-0000E7790000}"/>
    <cellStyle name="Финансовый 3 2 2 2 2 3 5 3" xfId="33815" xr:uid="{00000000-0005-0000-0000-0000E8790000}"/>
    <cellStyle name="Финансовый 3 2 2 2 2 3 6" xfId="14018" xr:uid="{00000000-0005-0000-0000-0000E9790000}"/>
    <cellStyle name="Финансовый 3 2 2 2 2 3 6 2" xfId="37973" xr:uid="{00000000-0005-0000-0000-0000EA790000}"/>
    <cellStyle name="Финансовый 3 2 2 2 2 3 7" xfId="25996" xr:uid="{00000000-0005-0000-0000-0000EB790000}"/>
    <cellStyle name="Финансовый 3 2 2 2 2 3 8" xfId="49129" xr:uid="{00000000-0005-0000-0000-0000EC790000}"/>
    <cellStyle name="Финансовый 3 2 2 2 2 4" xfId="2568" xr:uid="{00000000-0005-0000-0000-0000ED790000}"/>
    <cellStyle name="Финансовый 3 2 2 2 2 4 2" xfId="4213" xr:uid="{00000000-0005-0000-0000-0000EE790000}"/>
    <cellStyle name="Финансовый 3 2 2 2 2 4 2 2" xfId="11937" xr:uid="{00000000-0005-0000-0000-0000EF790000}"/>
    <cellStyle name="Финансовый 3 2 2 2 2 4 2 2 2" xfId="23915" xr:uid="{00000000-0005-0000-0000-0000F0790000}"/>
    <cellStyle name="Финансовый 3 2 2 2 2 4 2 2 2 2" xfId="47870" xr:uid="{00000000-0005-0000-0000-0000F1790000}"/>
    <cellStyle name="Финансовый 3 2 2 2 2 4 2 2 3" xfId="35892" xr:uid="{00000000-0005-0000-0000-0000F2790000}"/>
    <cellStyle name="Финансовый 3 2 2 2 2 4 2 3" xfId="16192" xr:uid="{00000000-0005-0000-0000-0000F3790000}"/>
    <cellStyle name="Финансовый 3 2 2 2 2 4 2 3 2" xfId="40147" xr:uid="{00000000-0005-0000-0000-0000F4790000}"/>
    <cellStyle name="Финансовый 3 2 2 2 2 4 2 4" xfId="28170" xr:uid="{00000000-0005-0000-0000-0000F5790000}"/>
    <cellStyle name="Финансовый 3 2 2 2 2 4 2 5" xfId="51439" xr:uid="{00000000-0005-0000-0000-0000F6790000}"/>
    <cellStyle name="Финансовый 3 2 2 2 2 4 3" xfId="5996" xr:uid="{00000000-0005-0000-0000-0000F7790000}"/>
    <cellStyle name="Финансовый 3 2 2 2 2 4 3 2" xfId="17974" xr:uid="{00000000-0005-0000-0000-0000F8790000}"/>
    <cellStyle name="Финансовый 3 2 2 2 2 4 3 2 2" xfId="41929" xr:uid="{00000000-0005-0000-0000-0000F9790000}"/>
    <cellStyle name="Финансовый 3 2 2 2 2 4 3 3" xfId="29951" xr:uid="{00000000-0005-0000-0000-0000FA790000}"/>
    <cellStyle name="Финансовый 3 2 2 2 2 4 4" xfId="8606" xr:uid="{00000000-0005-0000-0000-0000FB790000}"/>
    <cellStyle name="Финансовый 3 2 2 2 2 4 4 2" xfId="20584" xr:uid="{00000000-0005-0000-0000-0000FC790000}"/>
    <cellStyle name="Финансовый 3 2 2 2 2 4 4 2 2" xfId="44539" xr:uid="{00000000-0005-0000-0000-0000FD790000}"/>
    <cellStyle name="Финансовый 3 2 2 2 2 4 4 3" xfId="32561" xr:uid="{00000000-0005-0000-0000-0000FE790000}"/>
    <cellStyle name="Финансовый 3 2 2 2 2 4 5" xfId="10389" xr:uid="{00000000-0005-0000-0000-0000FF790000}"/>
    <cellStyle name="Финансовый 3 2 2 2 2 4 5 2" xfId="22367" xr:uid="{00000000-0005-0000-0000-0000007A0000}"/>
    <cellStyle name="Финансовый 3 2 2 2 2 4 5 2 2" xfId="46322" xr:uid="{00000000-0005-0000-0000-0000017A0000}"/>
    <cellStyle name="Финансовый 3 2 2 2 2 4 5 3" xfId="34344" xr:uid="{00000000-0005-0000-0000-0000027A0000}"/>
    <cellStyle name="Финансовый 3 2 2 2 2 4 6" xfId="14547" xr:uid="{00000000-0005-0000-0000-0000037A0000}"/>
    <cellStyle name="Финансовый 3 2 2 2 2 4 6 2" xfId="38502" xr:uid="{00000000-0005-0000-0000-0000047A0000}"/>
    <cellStyle name="Финансовый 3 2 2 2 2 4 7" xfId="26525" xr:uid="{00000000-0005-0000-0000-0000057A0000}"/>
    <cellStyle name="Финансовый 3 2 2 2 2 4 8" xfId="49658" xr:uid="{00000000-0005-0000-0000-0000067A0000}"/>
    <cellStyle name="Финансовый 3 2 2 2 2 5" xfId="1072" xr:uid="{00000000-0005-0000-0000-0000077A0000}"/>
    <cellStyle name="Финансовый 3 2 2 2 2 5 2" xfId="7112" xr:uid="{00000000-0005-0000-0000-0000087A0000}"/>
    <cellStyle name="Финансовый 3 2 2 2 2 5 2 2" xfId="19090" xr:uid="{00000000-0005-0000-0000-0000097A0000}"/>
    <cellStyle name="Финансовый 3 2 2 2 2 5 2 2 2" xfId="43045" xr:uid="{00000000-0005-0000-0000-00000A7A0000}"/>
    <cellStyle name="Финансовый 3 2 2 2 2 5 2 3" xfId="31067" xr:uid="{00000000-0005-0000-0000-00000B7A0000}"/>
    <cellStyle name="Финансовый 3 2 2 2 2 5 3" xfId="10652" xr:uid="{00000000-0005-0000-0000-00000C7A0000}"/>
    <cellStyle name="Финансовый 3 2 2 2 2 5 3 2" xfId="22630" xr:uid="{00000000-0005-0000-0000-00000D7A0000}"/>
    <cellStyle name="Финансовый 3 2 2 2 2 5 3 2 2" xfId="46585" xr:uid="{00000000-0005-0000-0000-00000E7A0000}"/>
    <cellStyle name="Финансовый 3 2 2 2 2 5 3 3" xfId="34607" xr:uid="{00000000-0005-0000-0000-00000F7A0000}"/>
    <cellStyle name="Финансовый 3 2 2 2 2 5 4" xfId="13053" xr:uid="{00000000-0005-0000-0000-0000107A0000}"/>
    <cellStyle name="Финансовый 3 2 2 2 2 5 4 2" xfId="37008" xr:uid="{00000000-0005-0000-0000-0000117A0000}"/>
    <cellStyle name="Финансовый 3 2 2 2 2 5 5" xfId="25031" xr:uid="{00000000-0005-0000-0000-0000127A0000}"/>
    <cellStyle name="Финансовый 3 2 2 2 2 5 6" xfId="49937" xr:uid="{00000000-0005-0000-0000-0000137A0000}"/>
    <cellStyle name="Финансовый 3 2 2 2 2 6" xfId="660" xr:uid="{00000000-0005-0000-0000-0000147A0000}"/>
    <cellStyle name="Финансовый 3 2 2 2 2 6 2" xfId="6700" xr:uid="{00000000-0005-0000-0000-0000157A0000}"/>
    <cellStyle name="Финансовый 3 2 2 2 2 6 2 2" xfId="18678" xr:uid="{00000000-0005-0000-0000-0000167A0000}"/>
    <cellStyle name="Финансовый 3 2 2 2 2 6 2 2 2" xfId="42633" xr:uid="{00000000-0005-0000-0000-0000177A0000}"/>
    <cellStyle name="Финансовый 3 2 2 2 2 6 2 3" xfId="30655" xr:uid="{00000000-0005-0000-0000-0000187A0000}"/>
    <cellStyle name="Финансовый 3 2 2 2 2 6 3" xfId="12641" xr:uid="{00000000-0005-0000-0000-0000197A0000}"/>
    <cellStyle name="Финансовый 3 2 2 2 2 6 3 2" xfId="36596" xr:uid="{00000000-0005-0000-0000-00001A7A0000}"/>
    <cellStyle name="Финансовый 3 2 2 2 2 6 4" xfId="24619" xr:uid="{00000000-0005-0000-0000-00001B7A0000}"/>
    <cellStyle name="Финансовый 3 2 2 2 2 7" xfId="2849" xr:uid="{00000000-0005-0000-0000-00001C7A0000}"/>
    <cellStyle name="Финансовый 3 2 2 2 2 7 2" xfId="14828" xr:uid="{00000000-0005-0000-0000-00001D7A0000}"/>
    <cellStyle name="Финансовый 3 2 2 2 2 7 2 2" xfId="38783" xr:uid="{00000000-0005-0000-0000-00001E7A0000}"/>
    <cellStyle name="Финансовый 3 2 2 2 2 7 3" xfId="26806" xr:uid="{00000000-0005-0000-0000-00001F7A0000}"/>
    <cellStyle name="Финансовый 3 2 2 2 2 8" xfId="4493" xr:uid="{00000000-0005-0000-0000-0000207A0000}"/>
    <cellStyle name="Финансовый 3 2 2 2 2 8 2" xfId="16472" xr:uid="{00000000-0005-0000-0000-0000217A0000}"/>
    <cellStyle name="Финансовый 3 2 2 2 2 8 2 2" xfId="40427" xr:uid="{00000000-0005-0000-0000-0000227A0000}"/>
    <cellStyle name="Финансовый 3 2 2 2 2 8 3" xfId="28450" xr:uid="{00000000-0005-0000-0000-0000237A0000}"/>
    <cellStyle name="Финансовый 3 2 2 2 2 9" xfId="6280" xr:uid="{00000000-0005-0000-0000-0000247A0000}"/>
    <cellStyle name="Финансовый 3 2 2 2 2 9 2" xfId="18258" xr:uid="{00000000-0005-0000-0000-0000257A0000}"/>
    <cellStyle name="Финансовый 3 2 2 2 2 9 2 2" xfId="42213" xr:uid="{00000000-0005-0000-0000-0000267A0000}"/>
    <cellStyle name="Финансовый 3 2 2 2 2 9 3" xfId="30235" xr:uid="{00000000-0005-0000-0000-0000277A0000}"/>
    <cellStyle name="Финансовый 3 2 2 2 3" xfId="388" xr:uid="{00000000-0005-0000-0000-0000287A0000}"/>
    <cellStyle name="Финансовый 3 2 2 2 3 10" xfId="24347" xr:uid="{00000000-0005-0000-0000-0000297A0000}"/>
    <cellStyle name="Финансовый 3 2 2 2 3 11" xfId="48293" xr:uid="{00000000-0005-0000-0000-00002A7A0000}"/>
    <cellStyle name="Финансовый 3 2 2 2 3 2" xfId="2167" xr:uid="{00000000-0005-0000-0000-00002B7A0000}"/>
    <cellStyle name="Финансовый 3 2 2 2 3 2 2" xfId="3812" xr:uid="{00000000-0005-0000-0000-00002C7A0000}"/>
    <cellStyle name="Финансовый 3 2 2 2 3 2 2 2" xfId="11552" xr:uid="{00000000-0005-0000-0000-00002D7A0000}"/>
    <cellStyle name="Финансовый 3 2 2 2 3 2 2 2 2" xfId="23530" xr:uid="{00000000-0005-0000-0000-00002E7A0000}"/>
    <cellStyle name="Финансовый 3 2 2 2 3 2 2 2 2 2" xfId="47485" xr:uid="{00000000-0005-0000-0000-00002F7A0000}"/>
    <cellStyle name="Финансовый 3 2 2 2 3 2 2 2 3" xfId="35507" xr:uid="{00000000-0005-0000-0000-0000307A0000}"/>
    <cellStyle name="Финансовый 3 2 2 2 3 2 2 3" xfId="15791" xr:uid="{00000000-0005-0000-0000-0000317A0000}"/>
    <cellStyle name="Финансовый 3 2 2 2 3 2 2 3 2" xfId="39746" xr:uid="{00000000-0005-0000-0000-0000327A0000}"/>
    <cellStyle name="Финансовый 3 2 2 2 3 2 2 4" xfId="27769" xr:uid="{00000000-0005-0000-0000-0000337A0000}"/>
    <cellStyle name="Финансовый 3 2 2 2 3 2 2 5" xfId="51038" xr:uid="{00000000-0005-0000-0000-0000347A0000}"/>
    <cellStyle name="Финансовый 3 2 2 2 3 2 3" xfId="5595" xr:uid="{00000000-0005-0000-0000-0000357A0000}"/>
    <cellStyle name="Финансовый 3 2 2 2 3 2 3 2" xfId="17573" xr:uid="{00000000-0005-0000-0000-0000367A0000}"/>
    <cellStyle name="Финансовый 3 2 2 2 3 2 3 2 2" xfId="41528" xr:uid="{00000000-0005-0000-0000-0000377A0000}"/>
    <cellStyle name="Финансовый 3 2 2 2 3 2 3 3" xfId="29550" xr:uid="{00000000-0005-0000-0000-0000387A0000}"/>
    <cellStyle name="Финансовый 3 2 2 2 3 2 4" xfId="8205" xr:uid="{00000000-0005-0000-0000-0000397A0000}"/>
    <cellStyle name="Финансовый 3 2 2 2 3 2 4 2" xfId="20183" xr:uid="{00000000-0005-0000-0000-00003A7A0000}"/>
    <cellStyle name="Финансовый 3 2 2 2 3 2 4 2 2" xfId="44138" xr:uid="{00000000-0005-0000-0000-00003B7A0000}"/>
    <cellStyle name="Финансовый 3 2 2 2 3 2 4 3" xfId="32160" xr:uid="{00000000-0005-0000-0000-00003C7A0000}"/>
    <cellStyle name="Финансовый 3 2 2 2 3 2 5" xfId="9988" xr:uid="{00000000-0005-0000-0000-00003D7A0000}"/>
    <cellStyle name="Финансовый 3 2 2 2 3 2 5 2" xfId="21966" xr:uid="{00000000-0005-0000-0000-00003E7A0000}"/>
    <cellStyle name="Финансовый 3 2 2 2 3 2 5 2 2" xfId="45921" xr:uid="{00000000-0005-0000-0000-00003F7A0000}"/>
    <cellStyle name="Финансовый 3 2 2 2 3 2 5 3" xfId="33943" xr:uid="{00000000-0005-0000-0000-0000407A0000}"/>
    <cellStyle name="Финансовый 3 2 2 2 3 2 6" xfId="14146" xr:uid="{00000000-0005-0000-0000-0000417A0000}"/>
    <cellStyle name="Финансовый 3 2 2 2 3 2 6 2" xfId="38101" xr:uid="{00000000-0005-0000-0000-0000427A0000}"/>
    <cellStyle name="Финансовый 3 2 2 2 3 2 7" xfId="26124" xr:uid="{00000000-0005-0000-0000-0000437A0000}"/>
    <cellStyle name="Финансовый 3 2 2 2 3 2 8" xfId="49257" xr:uid="{00000000-0005-0000-0000-0000447A0000}"/>
    <cellStyle name="Финансовый 3 2 2 2 3 3" xfId="1201" xr:uid="{00000000-0005-0000-0000-0000457A0000}"/>
    <cellStyle name="Финансовый 3 2 2 2 3 3 2" xfId="7241" xr:uid="{00000000-0005-0000-0000-0000467A0000}"/>
    <cellStyle name="Финансовый 3 2 2 2 3 3 2 2" xfId="19219" xr:uid="{00000000-0005-0000-0000-0000477A0000}"/>
    <cellStyle name="Финансовый 3 2 2 2 3 3 2 2 2" xfId="43174" xr:uid="{00000000-0005-0000-0000-0000487A0000}"/>
    <cellStyle name="Финансовый 3 2 2 2 3 3 2 3" xfId="31196" xr:uid="{00000000-0005-0000-0000-0000497A0000}"/>
    <cellStyle name="Финансовый 3 2 2 2 3 3 3" xfId="10780" xr:uid="{00000000-0005-0000-0000-00004A7A0000}"/>
    <cellStyle name="Финансовый 3 2 2 2 3 3 3 2" xfId="22758" xr:uid="{00000000-0005-0000-0000-00004B7A0000}"/>
    <cellStyle name="Финансовый 3 2 2 2 3 3 3 2 2" xfId="46713" xr:uid="{00000000-0005-0000-0000-00004C7A0000}"/>
    <cellStyle name="Финансовый 3 2 2 2 3 3 3 3" xfId="34735" xr:uid="{00000000-0005-0000-0000-00004D7A0000}"/>
    <cellStyle name="Финансовый 3 2 2 2 3 3 4" xfId="13182" xr:uid="{00000000-0005-0000-0000-00004E7A0000}"/>
    <cellStyle name="Финансовый 3 2 2 2 3 3 4 2" xfId="37137" xr:uid="{00000000-0005-0000-0000-00004F7A0000}"/>
    <cellStyle name="Финансовый 3 2 2 2 3 3 5" xfId="25160" xr:uid="{00000000-0005-0000-0000-0000507A0000}"/>
    <cellStyle name="Финансовый 3 2 2 2 3 3 6" xfId="50073" xr:uid="{00000000-0005-0000-0000-0000517A0000}"/>
    <cellStyle name="Финансовый 3 2 2 2 3 4" xfId="808" xr:uid="{00000000-0005-0000-0000-0000527A0000}"/>
    <cellStyle name="Финансовый 3 2 2 2 3 4 2" xfId="6848" xr:uid="{00000000-0005-0000-0000-0000537A0000}"/>
    <cellStyle name="Финансовый 3 2 2 2 3 4 2 2" xfId="18826" xr:uid="{00000000-0005-0000-0000-0000547A0000}"/>
    <cellStyle name="Финансовый 3 2 2 2 3 4 2 2 2" xfId="42781" xr:uid="{00000000-0005-0000-0000-0000557A0000}"/>
    <cellStyle name="Финансовый 3 2 2 2 3 4 2 3" xfId="30803" xr:uid="{00000000-0005-0000-0000-0000567A0000}"/>
    <cellStyle name="Финансовый 3 2 2 2 3 4 3" xfId="12789" xr:uid="{00000000-0005-0000-0000-0000577A0000}"/>
    <cellStyle name="Финансовый 3 2 2 2 3 4 3 2" xfId="36744" xr:uid="{00000000-0005-0000-0000-0000587A0000}"/>
    <cellStyle name="Финансовый 3 2 2 2 3 4 4" xfId="24767" xr:uid="{00000000-0005-0000-0000-0000597A0000}"/>
    <cellStyle name="Финансовый 3 2 2 2 3 5" xfId="2985" xr:uid="{00000000-0005-0000-0000-00005A7A0000}"/>
    <cellStyle name="Финансовый 3 2 2 2 3 5 2" xfId="14964" xr:uid="{00000000-0005-0000-0000-00005B7A0000}"/>
    <cellStyle name="Финансовый 3 2 2 2 3 5 2 2" xfId="38919" xr:uid="{00000000-0005-0000-0000-00005C7A0000}"/>
    <cellStyle name="Финансовый 3 2 2 2 3 5 3" xfId="26942" xr:uid="{00000000-0005-0000-0000-00005D7A0000}"/>
    <cellStyle name="Финансовый 3 2 2 2 3 6" xfId="4629" xr:uid="{00000000-0005-0000-0000-00005E7A0000}"/>
    <cellStyle name="Финансовый 3 2 2 2 3 6 2" xfId="16608" xr:uid="{00000000-0005-0000-0000-00005F7A0000}"/>
    <cellStyle name="Финансовый 3 2 2 2 3 6 2 2" xfId="40563" xr:uid="{00000000-0005-0000-0000-0000607A0000}"/>
    <cellStyle name="Финансовый 3 2 2 2 3 6 3" xfId="28586" xr:uid="{00000000-0005-0000-0000-0000617A0000}"/>
    <cellStyle name="Финансовый 3 2 2 2 3 7" xfId="6428" xr:uid="{00000000-0005-0000-0000-0000627A0000}"/>
    <cellStyle name="Финансовый 3 2 2 2 3 7 2" xfId="18406" xr:uid="{00000000-0005-0000-0000-0000637A0000}"/>
    <cellStyle name="Финансовый 3 2 2 2 3 7 2 2" xfId="42361" xr:uid="{00000000-0005-0000-0000-0000647A0000}"/>
    <cellStyle name="Финансовый 3 2 2 2 3 7 3" xfId="30383" xr:uid="{00000000-0005-0000-0000-0000657A0000}"/>
    <cellStyle name="Финансовый 3 2 2 2 3 8" xfId="9023" xr:uid="{00000000-0005-0000-0000-0000667A0000}"/>
    <cellStyle name="Финансовый 3 2 2 2 3 8 2" xfId="21001" xr:uid="{00000000-0005-0000-0000-0000677A0000}"/>
    <cellStyle name="Финансовый 3 2 2 2 3 8 2 2" xfId="44956" xr:uid="{00000000-0005-0000-0000-0000687A0000}"/>
    <cellStyle name="Финансовый 3 2 2 2 3 8 3" xfId="32978" xr:uid="{00000000-0005-0000-0000-0000697A0000}"/>
    <cellStyle name="Финансовый 3 2 2 2 3 9" xfId="12369" xr:uid="{00000000-0005-0000-0000-00006A7A0000}"/>
    <cellStyle name="Финансовый 3 2 2 2 3 9 2" xfId="36324" xr:uid="{00000000-0005-0000-0000-00006B7A0000}"/>
    <cellStyle name="Финансовый 3 2 2 2 4" xfId="1517" xr:uid="{00000000-0005-0000-0000-00006C7A0000}"/>
    <cellStyle name="Финансовый 3 2 2 2 4 2" xfId="1911" xr:uid="{00000000-0005-0000-0000-00006D7A0000}"/>
    <cellStyle name="Финансовый 3 2 2 2 4 2 2" xfId="3556" xr:uid="{00000000-0005-0000-0000-00006E7A0000}"/>
    <cellStyle name="Финансовый 3 2 2 2 4 2 2 2" xfId="11296" xr:uid="{00000000-0005-0000-0000-00006F7A0000}"/>
    <cellStyle name="Финансовый 3 2 2 2 4 2 2 2 2" xfId="23274" xr:uid="{00000000-0005-0000-0000-0000707A0000}"/>
    <cellStyle name="Финансовый 3 2 2 2 4 2 2 2 2 2" xfId="47229" xr:uid="{00000000-0005-0000-0000-0000717A0000}"/>
    <cellStyle name="Финансовый 3 2 2 2 4 2 2 2 3" xfId="35251" xr:uid="{00000000-0005-0000-0000-0000727A0000}"/>
    <cellStyle name="Финансовый 3 2 2 2 4 2 2 3" xfId="15535" xr:uid="{00000000-0005-0000-0000-0000737A0000}"/>
    <cellStyle name="Финансовый 3 2 2 2 4 2 2 3 2" xfId="39490" xr:uid="{00000000-0005-0000-0000-0000747A0000}"/>
    <cellStyle name="Финансовый 3 2 2 2 4 2 2 4" xfId="27513" xr:uid="{00000000-0005-0000-0000-0000757A0000}"/>
    <cellStyle name="Финансовый 3 2 2 2 4 2 2 5" xfId="50782" xr:uid="{00000000-0005-0000-0000-0000767A0000}"/>
    <cellStyle name="Финансовый 3 2 2 2 4 2 3" xfId="5339" xr:uid="{00000000-0005-0000-0000-0000777A0000}"/>
    <cellStyle name="Финансовый 3 2 2 2 4 2 3 2" xfId="17317" xr:uid="{00000000-0005-0000-0000-0000787A0000}"/>
    <cellStyle name="Финансовый 3 2 2 2 4 2 3 2 2" xfId="41272" xr:uid="{00000000-0005-0000-0000-0000797A0000}"/>
    <cellStyle name="Финансовый 3 2 2 2 4 2 3 3" xfId="29294" xr:uid="{00000000-0005-0000-0000-00007A7A0000}"/>
    <cellStyle name="Финансовый 3 2 2 2 4 2 4" xfId="7949" xr:uid="{00000000-0005-0000-0000-00007B7A0000}"/>
    <cellStyle name="Финансовый 3 2 2 2 4 2 4 2" xfId="19927" xr:uid="{00000000-0005-0000-0000-00007C7A0000}"/>
    <cellStyle name="Финансовый 3 2 2 2 4 2 4 2 2" xfId="43882" xr:uid="{00000000-0005-0000-0000-00007D7A0000}"/>
    <cellStyle name="Финансовый 3 2 2 2 4 2 4 3" xfId="31904" xr:uid="{00000000-0005-0000-0000-00007E7A0000}"/>
    <cellStyle name="Финансовый 3 2 2 2 4 2 5" xfId="9732" xr:uid="{00000000-0005-0000-0000-00007F7A0000}"/>
    <cellStyle name="Финансовый 3 2 2 2 4 2 5 2" xfId="21710" xr:uid="{00000000-0005-0000-0000-0000807A0000}"/>
    <cellStyle name="Финансовый 3 2 2 2 4 2 5 2 2" xfId="45665" xr:uid="{00000000-0005-0000-0000-0000817A0000}"/>
    <cellStyle name="Финансовый 3 2 2 2 4 2 5 3" xfId="33687" xr:uid="{00000000-0005-0000-0000-0000827A0000}"/>
    <cellStyle name="Финансовый 3 2 2 2 4 2 6" xfId="13890" xr:uid="{00000000-0005-0000-0000-0000837A0000}"/>
    <cellStyle name="Финансовый 3 2 2 2 4 2 6 2" xfId="37845" xr:uid="{00000000-0005-0000-0000-0000847A0000}"/>
    <cellStyle name="Финансовый 3 2 2 2 4 2 7" xfId="25868" xr:uid="{00000000-0005-0000-0000-0000857A0000}"/>
    <cellStyle name="Финансовый 3 2 2 2 4 2 8" xfId="49001" xr:uid="{00000000-0005-0000-0000-0000867A0000}"/>
    <cellStyle name="Финансовый 3 2 2 2 4 3" xfId="4945" xr:uid="{00000000-0005-0000-0000-0000877A0000}"/>
    <cellStyle name="Финансовый 3 2 2 2 4 3 2" xfId="16923" xr:uid="{00000000-0005-0000-0000-0000887A0000}"/>
    <cellStyle name="Финансовый 3 2 2 2 4 3 2 2" xfId="40878" xr:uid="{00000000-0005-0000-0000-0000897A0000}"/>
    <cellStyle name="Финансовый 3 2 2 2 4 3 3" xfId="28900" xr:uid="{00000000-0005-0000-0000-00008A7A0000}"/>
    <cellStyle name="Финансовый 3 2 2 2 4 3 4" xfId="50388" xr:uid="{00000000-0005-0000-0000-00008B7A0000}"/>
    <cellStyle name="Финансовый 3 2 2 2 4 4" xfId="7555" xr:uid="{00000000-0005-0000-0000-00008C7A0000}"/>
    <cellStyle name="Финансовый 3 2 2 2 4 4 2" xfId="19533" xr:uid="{00000000-0005-0000-0000-00008D7A0000}"/>
    <cellStyle name="Финансовый 3 2 2 2 4 4 2 2" xfId="43488" xr:uid="{00000000-0005-0000-0000-00008E7A0000}"/>
    <cellStyle name="Финансовый 3 2 2 2 4 4 3" xfId="31510" xr:uid="{00000000-0005-0000-0000-00008F7A0000}"/>
    <cellStyle name="Финансовый 3 2 2 2 4 5" xfId="9338" xr:uid="{00000000-0005-0000-0000-0000907A0000}"/>
    <cellStyle name="Финансовый 3 2 2 2 4 5 2" xfId="21316" xr:uid="{00000000-0005-0000-0000-0000917A0000}"/>
    <cellStyle name="Финансовый 3 2 2 2 4 5 2 2" xfId="45271" xr:uid="{00000000-0005-0000-0000-0000927A0000}"/>
    <cellStyle name="Финансовый 3 2 2 2 4 5 3" xfId="33293" xr:uid="{00000000-0005-0000-0000-0000937A0000}"/>
    <cellStyle name="Финансовый 3 2 2 2 4 6" xfId="13496" xr:uid="{00000000-0005-0000-0000-0000947A0000}"/>
    <cellStyle name="Финансовый 3 2 2 2 4 6 2" xfId="37451" xr:uid="{00000000-0005-0000-0000-0000957A0000}"/>
    <cellStyle name="Финансовый 3 2 2 2 4 7" xfId="25474" xr:uid="{00000000-0005-0000-0000-0000967A0000}"/>
    <cellStyle name="Финансовый 3 2 2 2 4 8" xfId="48607" xr:uid="{00000000-0005-0000-0000-0000977A0000}"/>
    <cellStyle name="Финансовый 3 2 2 2 5" xfId="1787" xr:uid="{00000000-0005-0000-0000-0000987A0000}"/>
    <cellStyle name="Финансовый 3 2 2 2 5 2" xfId="3432" xr:uid="{00000000-0005-0000-0000-0000997A0000}"/>
    <cellStyle name="Финансовый 3 2 2 2 5 2 2" xfId="11180" xr:uid="{00000000-0005-0000-0000-00009A7A0000}"/>
    <cellStyle name="Финансовый 3 2 2 2 5 2 2 2" xfId="23158" xr:uid="{00000000-0005-0000-0000-00009B7A0000}"/>
    <cellStyle name="Финансовый 3 2 2 2 5 2 2 2 2" xfId="47113" xr:uid="{00000000-0005-0000-0000-00009C7A0000}"/>
    <cellStyle name="Финансовый 3 2 2 2 5 2 2 3" xfId="35135" xr:uid="{00000000-0005-0000-0000-00009D7A0000}"/>
    <cellStyle name="Финансовый 3 2 2 2 5 2 3" xfId="15411" xr:uid="{00000000-0005-0000-0000-00009E7A0000}"/>
    <cellStyle name="Финансовый 3 2 2 2 5 2 3 2" xfId="39366" xr:uid="{00000000-0005-0000-0000-00009F7A0000}"/>
    <cellStyle name="Финансовый 3 2 2 2 5 2 4" xfId="27389" xr:uid="{00000000-0005-0000-0000-0000A07A0000}"/>
    <cellStyle name="Финансовый 3 2 2 2 5 2 5" xfId="50658" xr:uid="{00000000-0005-0000-0000-0000A17A0000}"/>
    <cellStyle name="Финансовый 3 2 2 2 5 3" xfId="5215" xr:uid="{00000000-0005-0000-0000-0000A27A0000}"/>
    <cellStyle name="Финансовый 3 2 2 2 5 3 2" xfId="17193" xr:uid="{00000000-0005-0000-0000-0000A37A0000}"/>
    <cellStyle name="Финансовый 3 2 2 2 5 3 2 2" xfId="41148" xr:uid="{00000000-0005-0000-0000-0000A47A0000}"/>
    <cellStyle name="Финансовый 3 2 2 2 5 3 3" xfId="29170" xr:uid="{00000000-0005-0000-0000-0000A57A0000}"/>
    <cellStyle name="Финансовый 3 2 2 2 5 4" xfId="7825" xr:uid="{00000000-0005-0000-0000-0000A67A0000}"/>
    <cellStyle name="Финансовый 3 2 2 2 5 4 2" xfId="19803" xr:uid="{00000000-0005-0000-0000-0000A77A0000}"/>
    <cellStyle name="Финансовый 3 2 2 2 5 4 2 2" xfId="43758" xr:uid="{00000000-0005-0000-0000-0000A87A0000}"/>
    <cellStyle name="Финансовый 3 2 2 2 5 4 3" xfId="31780" xr:uid="{00000000-0005-0000-0000-0000A97A0000}"/>
    <cellStyle name="Финансовый 3 2 2 2 5 5" xfId="9608" xr:uid="{00000000-0005-0000-0000-0000AA7A0000}"/>
    <cellStyle name="Финансовый 3 2 2 2 5 5 2" xfId="21586" xr:uid="{00000000-0005-0000-0000-0000AB7A0000}"/>
    <cellStyle name="Финансовый 3 2 2 2 5 5 2 2" xfId="45541" xr:uid="{00000000-0005-0000-0000-0000AC7A0000}"/>
    <cellStyle name="Финансовый 3 2 2 2 5 5 3" xfId="33563" xr:uid="{00000000-0005-0000-0000-0000AD7A0000}"/>
    <cellStyle name="Финансовый 3 2 2 2 5 6" xfId="13766" xr:uid="{00000000-0005-0000-0000-0000AE7A0000}"/>
    <cellStyle name="Финансовый 3 2 2 2 5 6 2" xfId="37721" xr:uid="{00000000-0005-0000-0000-0000AF7A0000}"/>
    <cellStyle name="Финансовый 3 2 2 2 5 7" xfId="25744" xr:uid="{00000000-0005-0000-0000-0000B07A0000}"/>
    <cellStyle name="Финансовый 3 2 2 2 5 8" xfId="48877" xr:uid="{00000000-0005-0000-0000-0000B17A0000}"/>
    <cellStyle name="Финансовый 3 2 2 2 6" xfId="2432" xr:uid="{00000000-0005-0000-0000-0000B27A0000}"/>
    <cellStyle name="Финансовый 3 2 2 2 6 2" xfId="4077" xr:uid="{00000000-0005-0000-0000-0000B37A0000}"/>
    <cellStyle name="Финансовый 3 2 2 2 6 2 2" xfId="11809" xr:uid="{00000000-0005-0000-0000-0000B47A0000}"/>
    <cellStyle name="Финансовый 3 2 2 2 6 2 2 2" xfId="23787" xr:uid="{00000000-0005-0000-0000-0000B57A0000}"/>
    <cellStyle name="Финансовый 3 2 2 2 6 2 2 2 2" xfId="47742" xr:uid="{00000000-0005-0000-0000-0000B67A0000}"/>
    <cellStyle name="Финансовый 3 2 2 2 6 2 2 3" xfId="35764" xr:uid="{00000000-0005-0000-0000-0000B77A0000}"/>
    <cellStyle name="Финансовый 3 2 2 2 6 2 3" xfId="16056" xr:uid="{00000000-0005-0000-0000-0000B87A0000}"/>
    <cellStyle name="Финансовый 3 2 2 2 6 2 3 2" xfId="40011" xr:uid="{00000000-0005-0000-0000-0000B97A0000}"/>
    <cellStyle name="Финансовый 3 2 2 2 6 2 4" xfId="28034" xr:uid="{00000000-0005-0000-0000-0000BA7A0000}"/>
    <cellStyle name="Финансовый 3 2 2 2 6 2 5" xfId="51303" xr:uid="{00000000-0005-0000-0000-0000BB7A0000}"/>
    <cellStyle name="Финансовый 3 2 2 2 6 3" xfId="5860" xr:uid="{00000000-0005-0000-0000-0000BC7A0000}"/>
    <cellStyle name="Финансовый 3 2 2 2 6 3 2" xfId="17838" xr:uid="{00000000-0005-0000-0000-0000BD7A0000}"/>
    <cellStyle name="Финансовый 3 2 2 2 6 3 2 2" xfId="41793" xr:uid="{00000000-0005-0000-0000-0000BE7A0000}"/>
    <cellStyle name="Финансовый 3 2 2 2 6 3 3" xfId="29815" xr:uid="{00000000-0005-0000-0000-0000BF7A0000}"/>
    <cellStyle name="Финансовый 3 2 2 2 6 4" xfId="8470" xr:uid="{00000000-0005-0000-0000-0000C07A0000}"/>
    <cellStyle name="Финансовый 3 2 2 2 6 4 2" xfId="20448" xr:uid="{00000000-0005-0000-0000-0000C17A0000}"/>
    <cellStyle name="Финансовый 3 2 2 2 6 4 2 2" xfId="44403" xr:uid="{00000000-0005-0000-0000-0000C27A0000}"/>
    <cellStyle name="Финансовый 3 2 2 2 6 4 3" xfId="32425" xr:uid="{00000000-0005-0000-0000-0000C37A0000}"/>
    <cellStyle name="Финансовый 3 2 2 2 6 5" xfId="10253" xr:uid="{00000000-0005-0000-0000-0000C47A0000}"/>
    <cellStyle name="Финансовый 3 2 2 2 6 5 2" xfId="22231" xr:uid="{00000000-0005-0000-0000-0000C57A0000}"/>
    <cellStyle name="Финансовый 3 2 2 2 6 5 2 2" xfId="46186" xr:uid="{00000000-0005-0000-0000-0000C67A0000}"/>
    <cellStyle name="Финансовый 3 2 2 2 6 5 3" xfId="34208" xr:uid="{00000000-0005-0000-0000-0000C77A0000}"/>
    <cellStyle name="Финансовый 3 2 2 2 6 6" xfId="14411" xr:uid="{00000000-0005-0000-0000-0000C87A0000}"/>
    <cellStyle name="Финансовый 3 2 2 2 6 6 2" xfId="38366" xr:uid="{00000000-0005-0000-0000-0000C97A0000}"/>
    <cellStyle name="Финансовый 3 2 2 2 6 7" xfId="26389" xr:uid="{00000000-0005-0000-0000-0000CA7A0000}"/>
    <cellStyle name="Финансовый 3 2 2 2 6 8" xfId="49522" xr:uid="{00000000-0005-0000-0000-0000CB7A0000}"/>
    <cellStyle name="Финансовый 3 2 2 2 7" xfId="1659" xr:uid="{00000000-0005-0000-0000-0000CC7A0000}"/>
    <cellStyle name="Финансовый 3 2 2 2 7 2" xfId="3304" xr:uid="{00000000-0005-0000-0000-0000CD7A0000}"/>
    <cellStyle name="Финансовый 3 2 2 2 7 2 2" xfId="11052" xr:uid="{00000000-0005-0000-0000-0000CE7A0000}"/>
    <cellStyle name="Финансовый 3 2 2 2 7 2 2 2" xfId="23030" xr:uid="{00000000-0005-0000-0000-0000CF7A0000}"/>
    <cellStyle name="Финансовый 3 2 2 2 7 2 2 2 2" xfId="46985" xr:uid="{00000000-0005-0000-0000-0000D07A0000}"/>
    <cellStyle name="Финансовый 3 2 2 2 7 2 2 3" xfId="35007" xr:uid="{00000000-0005-0000-0000-0000D17A0000}"/>
    <cellStyle name="Финансовый 3 2 2 2 7 2 3" xfId="15283" xr:uid="{00000000-0005-0000-0000-0000D27A0000}"/>
    <cellStyle name="Финансовый 3 2 2 2 7 2 3 2" xfId="39238" xr:uid="{00000000-0005-0000-0000-0000D37A0000}"/>
    <cellStyle name="Финансовый 3 2 2 2 7 2 4" xfId="27261" xr:uid="{00000000-0005-0000-0000-0000D47A0000}"/>
    <cellStyle name="Финансовый 3 2 2 2 7 2 5" xfId="50530" xr:uid="{00000000-0005-0000-0000-0000D57A0000}"/>
    <cellStyle name="Финансовый 3 2 2 2 7 3" xfId="5087" xr:uid="{00000000-0005-0000-0000-0000D67A0000}"/>
    <cellStyle name="Финансовый 3 2 2 2 7 3 2" xfId="17065" xr:uid="{00000000-0005-0000-0000-0000D77A0000}"/>
    <cellStyle name="Финансовый 3 2 2 2 7 3 2 2" xfId="41020" xr:uid="{00000000-0005-0000-0000-0000D87A0000}"/>
    <cellStyle name="Финансовый 3 2 2 2 7 3 3" xfId="29042" xr:uid="{00000000-0005-0000-0000-0000D97A0000}"/>
    <cellStyle name="Финансовый 3 2 2 2 7 4" xfId="7697" xr:uid="{00000000-0005-0000-0000-0000DA7A0000}"/>
    <cellStyle name="Финансовый 3 2 2 2 7 4 2" xfId="19675" xr:uid="{00000000-0005-0000-0000-0000DB7A0000}"/>
    <cellStyle name="Финансовый 3 2 2 2 7 4 2 2" xfId="43630" xr:uid="{00000000-0005-0000-0000-0000DC7A0000}"/>
    <cellStyle name="Финансовый 3 2 2 2 7 4 3" xfId="31652" xr:uid="{00000000-0005-0000-0000-0000DD7A0000}"/>
    <cellStyle name="Финансовый 3 2 2 2 7 5" xfId="9480" xr:uid="{00000000-0005-0000-0000-0000DE7A0000}"/>
    <cellStyle name="Финансовый 3 2 2 2 7 5 2" xfId="21458" xr:uid="{00000000-0005-0000-0000-0000DF7A0000}"/>
    <cellStyle name="Финансовый 3 2 2 2 7 5 2 2" xfId="45413" xr:uid="{00000000-0005-0000-0000-0000E07A0000}"/>
    <cellStyle name="Финансовый 3 2 2 2 7 5 3" xfId="33435" xr:uid="{00000000-0005-0000-0000-0000E17A0000}"/>
    <cellStyle name="Финансовый 3 2 2 2 7 6" xfId="13638" xr:uid="{00000000-0005-0000-0000-0000E27A0000}"/>
    <cellStyle name="Финансовый 3 2 2 2 7 6 2" xfId="37593" xr:uid="{00000000-0005-0000-0000-0000E37A0000}"/>
    <cellStyle name="Финансовый 3 2 2 2 7 7" xfId="25616" xr:uid="{00000000-0005-0000-0000-0000E47A0000}"/>
    <cellStyle name="Финансовый 3 2 2 2 7 8" xfId="48749" xr:uid="{00000000-0005-0000-0000-0000E57A0000}"/>
    <cellStyle name="Финансовый 3 2 2 2 8" xfId="936" xr:uid="{00000000-0005-0000-0000-0000E67A0000}"/>
    <cellStyle name="Финансовый 3 2 2 2 8 2" xfId="6976" xr:uid="{00000000-0005-0000-0000-0000E77A0000}"/>
    <cellStyle name="Финансовый 3 2 2 2 8 2 2" xfId="18954" xr:uid="{00000000-0005-0000-0000-0000E87A0000}"/>
    <cellStyle name="Финансовый 3 2 2 2 8 2 2 2" xfId="42909" xr:uid="{00000000-0005-0000-0000-0000E97A0000}"/>
    <cellStyle name="Финансовый 3 2 2 2 8 2 3" xfId="30931" xr:uid="{00000000-0005-0000-0000-0000EA7A0000}"/>
    <cellStyle name="Финансовый 3 2 2 2 8 3" xfId="10524" xr:uid="{00000000-0005-0000-0000-0000EB7A0000}"/>
    <cellStyle name="Финансовый 3 2 2 2 8 3 2" xfId="22502" xr:uid="{00000000-0005-0000-0000-0000EC7A0000}"/>
    <cellStyle name="Финансовый 3 2 2 2 8 3 2 2" xfId="46457" xr:uid="{00000000-0005-0000-0000-0000ED7A0000}"/>
    <cellStyle name="Финансовый 3 2 2 2 8 3 3" xfId="34479" xr:uid="{00000000-0005-0000-0000-0000EE7A0000}"/>
    <cellStyle name="Финансовый 3 2 2 2 8 4" xfId="12917" xr:uid="{00000000-0005-0000-0000-0000EF7A0000}"/>
    <cellStyle name="Финансовый 3 2 2 2 8 4 2" xfId="36872" xr:uid="{00000000-0005-0000-0000-0000F07A0000}"/>
    <cellStyle name="Финансовый 3 2 2 2 8 5" xfId="24895" xr:uid="{00000000-0005-0000-0000-0000F17A0000}"/>
    <cellStyle name="Финансовый 3 2 2 2 8 6" xfId="49801" xr:uid="{00000000-0005-0000-0000-0000F27A0000}"/>
    <cellStyle name="Финансовый 3 2 2 2 9" xfId="524" xr:uid="{00000000-0005-0000-0000-0000F37A0000}"/>
    <cellStyle name="Финансовый 3 2 2 2 9 2" xfId="6564" xr:uid="{00000000-0005-0000-0000-0000F47A0000}"/>
    <cellStyle name="Финансовый 3 2 2 2 9 2 2" xfId="18542" xr:uid="{00000000-0005-0000-0000-0000F57A0000}"/>
    <cellStyle name="Финансовый 3 2 2 2 9 2 2 2" xfId="42497" xr:uid="{00000000-0005-0000-0000-0000F67A0000}"/>
    <cellStyle name="Финансовый 3 2 2 2 9 2 3" xfId="30519" xr:uid="{00000000-0005-0000-0000-0000F77A0000}"/>
    <cellStyle name="Финансовый 3 2 2 2 9 3" xfId="12505" xr:uid="{00000000-0005-0000-0000-0000F87A0000}"/>
    <cellStyle name="Финансовый 3 2 2 2 9 3 2" xfId="36460" xr:uid="{00000000-0005-0000-0000-0000F97A0000}"/>
    <cellStyle name="Финансовый 3 2 2 2 9 4" xfId="24483" xr:uid="{00000000-0005-0000-0000-0000FA7A0000}"/>
    <cellStyle name="Финансовый 3 2 2 3" xfId="183" xr:uid="{00000000-0005-0000-0000-0000FB7A0000}"/>
    <cellStyle name="Финансовый 3 2 2 3 10" xfId="8831" xr:uid="{00000000-0005-0000-0000-0000FC7A0000}"/>
    <cellStyle name="Финансовый 3 2 2 3 10 2" xfId="20809" xr:uid="{00000000-0005-0000-0000-0000FD7A0000}"/>
    <cellStyle name="Финансовый 3 2 2 3 10 2 2" xfId="44764" xr:uid="{00000000-0005-0000-0000-0000FE7A0000}"/>
    <cellStyle name="Финансовый 3 2 2 3 10 3" xfId="32786" xr:uid="{00000000-0005-0000-0000-0000FF7A0000}"/>
    <cellStyle name="Финансовый 3 2 2 3 11" xfId="12165" xr:uid="{00000000-0005-0000-0000-0000007B0000}"/>
    <cellStyle name="Финансовый 3 2 2 3 11 2" xfId="36120" xr:uid="{00000000-0005-0000-0000-0000017B0000}"/>
    <cellStyle name="Финансовый 3 2 2 3 12" xfId="24143" xr:uid="{00000000-0005-0000-0000-0000027B0000}"/>
    <cellStyle name="Финансовый 3 2 2 3 13" xfId="48101" xr:uid="{00000000-0005-0000-0000-0000037B0000}"/>
    <cellStyle name="Финансовый 3 2 2 3 2" xfId="1281" xr:uid="{00000000-0005-0000-0000-0000047B0000}"/>
    <cellStyle name="Финансовый 3 2 2 3 2 2" xfId="2247" xr:uid="{00000000-0005-0000-0000-0000057B0000}"/>
    <cellStyle name="Финансовый 3 2 2 3 2 2 2" xfId="3892" xr:uid="{00000000-0005-0000-0000-0000067B0000}"/>
    <cellStyle name="Финансовый 3 2 2 3 2 2 2 2" xfId="11632" xr:uid="{00000000-0005-0000-0000-0000077B0000}"/>
    <cellStyle name="Финансовый 3 2 2 3 2 2 2 2 2" xfId="23610" xr:uid="{00000000-0005-0000-0000-0000087B0000}"/>
    <cellStyle name="Финансовый 3 2 2 3 2 2 2 2 2 2" xfId="47565" xr:uid="{00000000-0005-0000-0000-0000097B0000}"/>
    <cellStyle name="Финансовый 3 2 2 3 2 2 2 2 3" xfId="35587" xr:uid="{00000000-0005-0000-0000-00000A7B0000}"/>
    <cellStyle name="Финансовый 3 2 2 3 2 2 2 3" xfId="15871" xr:uid="{00000000-0005-0000-0000-00000B7B0000}"/>
    <cellStyle name="Финансовый 3 2 2 3 2 2 2 3 2" xfId="39826" xr:uid="{00000000-0005-0000-0000-00000C7B0000}"/>
    <cellStyle name="Финансовый 3 2 2 3 2 2 2 4" xfId="27849" xr:uid="{00000000-0005-0000-0000-00000D7B0000}"/>
    <cellStyle name="Финансовый 3 2 2 3 2 2 2 5" xfId="51118" xr:uid="{00000000-0005-0000-0000-00000E7B0000}"/>
    <cellStyle name="Финансовый 3 2 2 3 2 2 3" xfId="5675" xr:uid="{00000000-0005-0000-0000-00000F7B0000}"/>
    <cellStyle name="Финансовый 3 2 2 3 2 2 3 2" xfId="17653" xr:uid="{00000000-0005-0000-0000-0000107B0000}"/>
    <cellStyle name="Финансовый 3 2 2 3 2 2 3 2 2" xfId="41608" xr:uid="{00000000-0005-0000-0000-0000117B0000}"/>
    <cellStyle name="Финансовый 3 2 2 3 2 2 3 3" xfId="29630" xr:uid="{00000000-0005-0000-0000-0000127B0000}"/>
    <cellStyle name="Финансовый 3 2 2 3 2 2 4" xfId="8285" xr:uid="{00000000-0005-0000-0000-0000137B0000}"/>
    <cellStyle name="Финансовый 3 2 2 3 2 2 4 2" xfId="20263" xr:uid="{00000000-0005-0000-0000-0000147B0000}"/>
    <cellStyle name="Финансовый 3 2 2 3 2 2 4 2 2" xfId="44218" xr:uid="{00000000-0005-0000-0000-0000157B0000}"/>
    <cellStyle name="Финансовый 3 2 2 3 2 2 4 3" xfId="32240" xr:uid="{00000000-0005-0000-0000-0000167B0000}"/>
    <cellStyle name="Финансовый 3 2 2 3 2 2 5" xfId="10068" xr:uid="{00000000-0005-0000-0000-0000177B0000}"/>
    <cellStyle name="Финансовый 3 2 2 3 2 2 5 2" xfId="22046" xr:uid="{00000000-0005-0000-0000-0000187B0000}"/>
    <cellStyle name="Финансовый 3 2 2 3 2 2 5 2 2" xfId="46001" xr:uid="{00000000-0005-0000-0000-0000197B0000}"/>
    <cellStyle name="Финансовый 3 2 2 3 2 2 5 3" xfId="34023" xr:uid="{00000000-0005-0000-0000-00001A7B0000}"/>
    <cellStyle name="Финансовый 3 2 2 3 2 2 6" xfId="14226" xr:uid="{00000000-0005-0000-0000-00001B7B0000}"/>
    <cellStyle name="Финансовый 3 2 2 3 2 2 6 2" xfId="38181" xr:uid="{00000000-0005-0000-0000-00001C7B0000}"/>
    <cellStyle name="Финансовый 3 2 2 3 2 2 7" xfId="26204" xr:uid="{00000000-0005-0000-0000-00001D7B0000}"/>
    <cellStyle name="Финансовый 3 2 2 3 2 2 8" xfId="49337" xr:uid="{00000000-0005-0000-0000-00001E7B0000}"/>
    <cellStyle name="Финансовый 3 2 2 3 2 3" xfId="3065" xr:uid="{00000000-0005-0000-0000-00001F7B0000}"/>
    <cellStyle name="Финансовый 3 2 2 3 2 3 2" xfId="10860" xr:uid="{00000000-0005-0000-0000-0000207B0000}"/>
    <cellStyle name="Финансовый 3 2 2 3 2 3 2 2" xfId="22838" xr:uid="{00000000-0005-0000-0000-0000217B0000}"/>
    <cellStyle name="Финансовый 3 2 2 3 2 3 2 2 2" xfId="46793" xr:uid="{00000000-0005-0000-0000-0000227B0000}"/>
    <cellStyle name="Финансовый 3 2 2 3 2 3 2 3" xfId="34815" xr:uid="{00000000-0005-0000-0000-0000237B0000}"/>
    <cellStyle name="Финансовый 3 2 2 3 2 3 3" xfId="15044" xr:uid="{00000000-0005-0000-0000-0000247B0000}"/>
    <cellStyle name="Финансовый 3 2 2 3 2 3 3 2" xfId="38999" xr:uid="{00000000-0005-0000-0000-0000257B0000}"/>
    <cellStyle name="Финансовый 3 2 2 3 2 3 4" xfId="27022" xr:uid="{00000000-0005-0000-0000-0000267B0000}"/>
    <cellStyle name="Финансовый 3 2 2 3 2 3 5" xfId="50153" xr:uid="{00000000-0005-0000-0000-0000277B0000}"/>
    <cellStyle name="Финансовый 3 2 2 3 2 4" xfId="4709" xr:uid="{00000000-0005-0000-0000-0000287B0000}"/>
    <cellStyle name="Финансовый 3 2 2 3 2 4 2" xfId="16688" xr:uid="{00000000-0005-0000-0000-0000297B0000}"/>
    <cellStyle name="Финансовый 3 2 2 3 2 4 2 2" xfId="40643" xr:uid="{00000000-0005-0000-0000-00002A7B0000}"/>
    <cellStyle name="Финансовый 3 2 2 3 2 4 3" xfId="28666" xr:uid="{00000000-0005-0000-0000-00002B7B0000}"/>
    <cellStyle name="Финансовый 3 2 2 3 2 5" xfId="7321" xr:uid="{00000000-0005-0000-0000-00002C7B0000}"/>
    <cellStyle name="Финансовый 3 2 2 3 2 5 2" xfId="19299" xr:uid="{00000000-0005-0000-0000-00002D7B0000}"/>
    <cellStyle name="Финансовый 3 2 2 3 2 5 2 2" xfId="43254" xr:uid="{00000000-0005-0000-0000-00002E7B0000}"/>
    <cellStyle name="Финансовый 3 2 2 3 2 5 3" xfId="31276" xr:uid="{00000000-0005-0000-0000-00002F7B0000}"/>
    <cellStyle name="Финансовый 3 2 2 3 2 6" xfId="9103" xr:uid="{00000000-0005-0000-0000-0000307B0000}"/>
    <cellStyle name="Финансовый 3 2 2 3 2 6 2" xfId="21081" xr:uid="{00000000-0005-0000-0000-0000317B0000}"/>
    <cellStyle name="Финансовый 3 2 2 3 2 6 2 2" xfId="45036" xr:uid="{00000000-0005-0000-0000-0000327B0000}"/>
    <cellStyle name="Финансовый 3 2 2 3 2 6 3" xfId="33058" xr:uid="{00000000-0005-0000-0000-0000337B0000}"/>
    <cellStyle name="Финансовый 3 2 2 3 2 7" xfId="13262" xr:uid="{00000000-0005-0000-0000-0000347B0000}"/>
    <cellStyle name="Финансовый 3 2 2 3 2 7 2" xfId="37217" xr:uid="{00000000-0005-0000-0000-0000357B0000}"/>
    <cellStyle name="Финансовый 3 2 2 3 2 8" xfId="25240" xr:uid="{00000000-0005-0000-0000-0000367B0000}"/>
    <cellStyle name="Финансовый 3 2 2 3 2 9" xfId="48373" xr:uid="{00000000-0005-0000-0000-0000377B0000}"/>
    <cellStyle name="Финансовый 3 2 2 3 3" xfId="1991" xr:uid="{00000000-0005-0000-0000-0000387B0000}"/>
    <cellStyle name="Финансовый 3 2 2 3 3 2" xfId="3636" xr:uid="{00000000-0005-0000-0000-0000397B0000}"/>
    <cellStyle name="Финансовый 3 2 2 3 3 2 2" xfId="11376" xr:uid="{00000000-0005-0000-0000-00003A7B0000}"/>
    <cellStyle name="Финансовый 3 2 2 3 3 2 2 2" xfId="23354" xr:uid="{00000000-0005-0000-0000-00003B7B0000}"/>
    <cellStyle name="Финансовый 3 2 2 3 3 2 2 2 2" xfId="47309" xr:uid="{00000000-0005-0000-0000-00003C7B0000}"/>
    <cellStyle name="Финансовый 3 2 2 3 3 2 2 3" xfId="35331" xr:uid="{00000000-0005-0000-0000-00003D7B0000}"/>
    <cellStyle name="Финансовый 3 2 2 3 3 2 3" xfId="15615" xr:uid="{00000000-0005-0000-0000-00003E7B0000}"/>
    <cellStyle name="Финансовый 3 2 2 3 3 2 3 2" xfId="39570" xr:uid="{00000000-0005-0000-0000-00003F7B0000}"/>
    <cellStyle name="Финансовый 3 2 2 3 3 2 4" xfId="27593" xr:uid="{00000000-0005-0000-0000-0000407B0000}"/>
    <cellStyle name="Финансовый 3 2 2 3 3 2 5" xfId="50862" xr:uid="{00000000-0005-0000-0000-0000417B0000}"/>
    <cellStyle name="Финансовый 3 2 2 3 3 3" xfId="5419" xr:uid="{00000000-0005-0000-0000-0000427B0000}"/>
    <cellStyle name="Финансовый 3 2 2 3 3 3 2" xfId="17397" xr:uid="{00000000-0005-0000-0000-0000437B0000}"/>
    <cellStyle name="Финансовый 3 2 2 3 3 3 2 2" xfId="41352" xr:uid="{00000000-0005-0000-0000-0000447B0000}"/>
    <cellStyle name="Финансовый 3 2 2 3 3 3 3" xfId="29374" xr:uid="{00000000-0005-0000-0000-0000457B0000}"/>
    <cellStyle name="Финансовый 3 2 2 3 3 4" xfId="8029" xr:uid="{00000000-0005-0000-0000-0000467B0000}"/>
    <cellStyle name="Финансовый 3 2 2 3 3 4 2" xfId="20007" xr:uid="{00000000-0005-0000-0000-0000477B0000}"/>
    <cellStyle name="Финансовый 3 2 2 3 3 4 2 2" xfId="43962" xr:uid="{00000000-0005-0000-0000-0000487B0000}"/>
    <cellStyle name="Финансовый 3 2 2 3 3 4 3" xfId="31984" xr:uid="{00000000-0005-0000-0000-0000497B0000}"/>
    <cellStyle name="Финансовый 3 2 2 3 3 5" xfId="9812" xr:uid="{00000000-0005-0000-0000-00004A7B0000}"/>
    <cellStyle name="Финансовый 3 2 2 3 3 5 2" xfId="21790" xr:uid="{00000000-0005-0000-0000-00004B7B0000}"/>
    <cellStyle name="Финансовый 3 2 2 3 3 5 2 2" xfId="45745" xr:uid="{00000000-0005-0000-0000-00004C7B0000}"/>
    <cellStyle name="Финансовый 3 2 2 3 3 5 3" xfId="33767" xr:uid="{00000000-0005-0000-0000-00004D7B0000}"/>
    <cellStyle name="Финансовый 3 2 2 3 3 6" xfId="13970" xr:uid="{00000000-0005-0000-0000-00004E7B0000}"/>
    <cellStyle name="Финансовый 3 2 2 3 3 6 2" xfId="37925" xr:uid="{00000000-0005-0000-0000-00004F7B0000}"/>
    <cellStyle name="Финансовый 3 2 2 3 3 7" xfId="25948" xr:uid="{00000000-0005-0000-0000-0000507B0000}"/>
    <cellStyle name="Финансовый 3 2 2 3 3 8" xfId="49081" xr:uid="{00000000-0005-0000-0000-0000517B0000}"/>
    <cellStyle name="Финансовый 3 2 2 3 4" xfId="2512" xr:uid="{00000000-0005-0000-0000-0000527B0000}"/>
    <cellStyle name="Финансовый 3 2 2 3 4 2" xfId="4157" xr:uid="{00000000-0005-0000-0000-0000537B0000}"/>
    <cellStyle name="Финансовый 3 2 2 3 4 2 2" xfId="11889" xr:uid="{00000000-0005-0000-0000-0000547B0000}"/>
    <cellStyle name="Финансовый 3 2 2 3 4 2 2 2" xfId="23867" xr:uid="{00000000-0005-0000-0000-0000557B0000}"/>
    <cellStyle name="Финансовый 3 2 2 3 4 2 2 2 2" xfId="47822" xr:uid="{00000000-0005-0000-0000-0000567B0000}"/>
    <cellStyle name="Финансовый 3 2 2 3 4 2 2 3" xfId="35844" xr:uid="{00000000-0005-0000-0000-0000577B0000}"/>
    <cellStyle name="Финансовый 3 2 2 3 4 2 3" xfId="16136" xr:uid="{00000000-0005-0000-0000-0000587B0000}"/>
    <cellStyle name="Финансовый 3 2 2 3 4 2 3 2" xfId="40091" xr:uid="{00000000-0005-0000-0000-0000597B0000}"/>
    <cellStyle name="Финансовый 3 2 2 3 4 2 4" xfId="28114" xr:uid="{00000000-0005-0000-0000-00005A7B0000}"/>
    <cellStyle name="Финансовый 3 2 2 3 4 2 5" xfId="51383" xr:uid="{00000000-0005-0000-0000-00005B7B0000}"/>
    <cellStyle name="Финансовый 3 2 2 3 4 3" xfId="5940" xr:uid="{00000000-0005-0000-0000-00005C7B0000}"/>
    <cellStyle name="Финансовый 3 2 2 3 4 3 2" xfId="17918" xr:uid="{00000000-0005-0000-0000-00005D7B0000}"/>
    <cellStyle name="Финансовый 3 2 2 3 4 3 2 2" xfId="41873" xr:uid="{00000000-0005-0000-0000-00005E7B0000}"/>
    <cellStyle name="Финансовый 3 2 2 3 4 3 3" xfId="29895" xr:uid="{00000000-0005-0000-0000-00005F7B0000}"/>
    <cellStyle name="Финансовый 3 2 2 3 4 4" xfId="8550" xr:uid="{00000000-0005-0000-0000-0000607B0000}"/>
    <cellStyle name="Финансовый 3 2 2 3 4 4 2" xfId="20528" xr:uid="{00000000-0005-0000-0000-0000617B0000}"/>
    <cellStyle name="Финансовый 3 2 2 3 4 4 2 2" xfId="44483" xr:uid="{00000000-0005-0000-0000-0000627B0000}"/>
    <cellStyle name="Финансовый 3 2 2 3 4 4 3" xfId="32505" xr:uid="{00000000-0005-0000-0000-0000637B0000}"/>
    <cellStyle name="Финансовый 3 2 2 3 4 5" xfId="10333" xr:uid="{00000000-0005-0000-0000-0000647B0000}"/>
    <cellStyle name="Финансовый 3 2 2 3 4 5 2" xfId="22311" xr:uid="{00000000-0005-0000-0000-0000657B0000}"/>
    <cellStyle name="Финансовый 3 2 2 3 4 5 2 2" xfId="46266" xr:uid="{00000000-0005-0000-0000-0000667B0000}"/>
    <cellStyle name="Финансовый 3 2 2 3 4 5 3" xfId="34288" xr:uid="{00000000-0005-0000-0000-0000677B0000}"/>
    <cellStyle name="Финансовый 3 2 2 3 4 6" xfId="14491" xr:uid="{00000000-0005-0000-0000-0000687B0000}"/>
    <cellStyle name="Финансовый 3 2 2 3 4 6 2" xfId="38446" xr:uid="{00000000-0005-0000-0000-0000697B0000}"/>
    <cellStyle name="Финансовый 3 2 2 3 4 7" xfId="26469" xr:uid="{00000000-0005-0000-0000-00006A7B0000}"/>
    <cellStyle name="Финансовый 3 2 2 3 4 8" xfId="49602" xr:uid="{00000000-0005-0000-0000-00006B7B0000}"/>
    <cellStyle name="Финансовый 3 2 2 3 5" xfId="1016" xr:uid="{00000000-0005-0000-0000-00006C7B0000}"/>
    <cellStyle name="Финансовый 3 2 2 3 5 2" xfId="7056" xr:uid="{00000000-0005-0000-0000-00006D7B0000}"/>
    <cellStyle name="Финансовый 3 2 2 3 5 2 2" xfId="19034" xr:uid="{00000000-0005-0000-0000-00006E7B0000}"/>
    <cellStyle name="Финансовый 3 2 2 3 5 2 2 2" xfId="42989" xr:uid="{00000000-0005-0000-0000-00006F7B0000}"/>
    <cellStyle name="Финансовый 3 2 2 3 5 2 3" xfId="31011" xr:uid="{00000000-0005-0000-0000-0000707B0000}"/>
    <cellStyle name="Финансовый 3 2 2 3 5 3" xfId="10604" xr:uid="{00000000-0005-0000-0000-0000717B0000}"/>
    <cellStyle name="Финансовый 3 2 2 3 5 3 2" xfId="22582" xr:uid="{00000000-0005-0000-0000-0000727B0000}"/>
    <cellStyle name="Финансовый 3 2 2 3 5 3 2 2" xfId="46537" xr:uid="{00000000-0005-0000-0000-0000737B0000}"/>
    <cellStyle name="Финансовый 3 2 2 3 5 3 3" xfId="34559" xr:uid="{00000000-0005-0000-0000-0000747B0000}"/>
    <cellStyle name="Финансовый 3 2 2 3 5 4" xfId="12997" xr:uid="{00000000-0005-0000-0000-0000757B0000}"/>
    <cellStyle name="Финансовый 3 2 2 3 5 4 2" xfId="36952" xr:uid="{00000000-0005-0000-0000-0000767B0000}"/>
    <cellStyle name="Финансовый 3 2 2 3 5 5" xfId="24975" xr:uid="{00000000-0005-0000-0000-0000777B0000}"/>
    <cellStyle name="Финансовый 3 2 2 3 5 6" xfId="49881" xr:uid="{00000000-0005-0000-0000-0000787B0000}"/>
    <cellStyle name="Финансовый 3 2 2 3 6" xfId="604" xr:uid="{00000000-0005-0000-0000-0000797B0000}"/>
    <cellStyle name="Финансовый 3 2 2 3 6 2" xfId="6644" xr:uid="{00000000-0005-0000-0000-00007A7B0000}"/>
    <cellStyle name="Финансовый 3 2 2 3 6 2 2" xfId="18622" xr:uid="{00000000-0005-0000-0000-00007B7B0000}"/>
    <cellStyle name="Финансовый 3 2 2 3 6 2 2 2" xfId="42577" xr:uid="{00000000-0005-0000-0000-00007C7B0000}"/>
    <cellStyle name="Финансовый 3 2 2 3 6 2 3" xfId="30599" xr:uid="{00000000-0005-0000-0000-00007D7B0000}"/>
    <cellStyle name="Финансовый 3 2 2 3 6 3" xfId="12585" xr:uid="{00000000-0005-0000-0000-00007E7B0000}"/>
    <cellStyle name="Финансовый 3 2 2 3 6 3 2" xfId="36540" xr:uid="{00000000-0005-0000-0000-00007F7B0000}"/>
    <cellStyle name="Финансовый 3 2 2 3 6 4" xfId="24563" xr:uid="{00000000-0005-0000-0000-0000807B0000}"/>
    <cellStyle name="Финансовый 3 2 2 3 7" xfId="2793" xr:uid="{00000000-0005-0000-0000-0000817B0000}"/>
    <cellStyle name="Финансовый 3 2 2 3 7 2" xfId="14772" xr:uid="{00000000-0005-0000-0000-0000827B0000}"/>
    <cellStyle name="Финансовый 3 2 2 3 7 2 2" xfId="38727" xr:uid="{00000000-0005-0000-0000-0000837B0000}"/>
    <cellStyle name="Финансовый 3 2 2 3 7 3" xfId="26750" xr:uid="{00000000-0005-0000-0000-0000847B0000}"/>
    <cellStyle name="Финансовый 3 2 2 3 8" xfId="4437" xr:uid="{00000000-0005-0000-0000-0000857B0000}"/>
    <cellStyle name="Финансовый 3 2 2 3 8 2" xfId="16416" xr:uid="{00000000-0005-0000-0000-0000867B0000}"/>
    <cellStyle name="Финансовый 3 2 2 3 8 2 2" xfId="40371" xr:uid="{00000000-0005-0000-0000-0000877B0000}"/>
    <cellStyle name="Финансовый 3 2 2 3 8 3" xfId="28394" xr:uid="{00000000-0005-0000-0000-0000887B0000}"/>
    <cellStyle name="Финансовый 3 2 2 3 9" xfId="6224" xr:uid="{00000000-0005-0000-0000-0000897B0000}"/>
    <cellStyle name="Финансовый 3 2 2 3 9 2" xfId="18202" xr:uid="{00000000-0005-0000-0000-00008A7B0000}"/>
    <cellStyle name="Финансовый 3 2 2 3 9 2 2" xfId="42157" xr:uid="{00000000-0005-0000-0000-00008B7B0000}"/>
    <cellStyle name="Финансовый 3 2 2 3 9 3" xfId="30179" xr:uid="{00000000-0005-0000-0000-00008C7B0000}"/>
    <cellStyle name="Финансовый 3 2 2 4" xfId="332" xr:uid="{00000000-0005-0000-0000-00008D7B0000}"/>
    <cellStyle name="Финансовый 3 2 2 4 10" xfId="24291" xr:uid="{00000000-0005-0000-0000-00008E7B0000}"/>
    <cellStyle name="Финансовый 3 2 2 4 11" xfId="48237" xr:uid="{00000000-0005-0000-0000-00008F7B0000}"/>
    <cellStyle name="Финансовый 3 2 2 4 2" xfId="2119" xr:uid="{00000000-0005-0000-0000-0000907B0000}"/>
    <cellStyle name="Финансовый 3 2 2 4 2 2" xfId="3764" xr:uid="{00000000-0005-0000-0000-0000917B0000}"/>
    <cellStyle name="Финансовый 3 2 2 4 2 2 2" xfId="11504" xr:uid="{00000000-0005-0000-0000-0000927B0000}"/>
    <cellStyle name="Финансовый 3 2 2 4 2 2 2 2" xfId="23482" xr:uid="{00000000-0005-0000-0000-0000937B0000}"/>
    <cellStyle name="Финансовый 3 2 2 4 2 2 2 2 2" xfId="47437" xr:uid="{00000000-0005-0000-0000-0000947B0000}"/>
    <cellStyle name="Финансовый 3 2 2 4 2 2 2 3" xfId="35459" xr:uid="{00000000-0005-0000-0000-0000957B0000}"/>
    <cellStyle name="Финансовый 3 2 2 4 2 2 3" xfId="15743" xr:uid="{00000000-0005-0000-0000-0000967B0000}"/>
    <cellStyle name="Финансовый 3 2 2 4 2 2 3 2" xfId="39698" xr:uid="{00000000-0005-0000-0000-0000977B0000}"/>
    <cellStyle name="Финансовый 3 2 2 4 2 2 4" xfId="27721" xr:uid="{00000000-0005-0000-0000-0000987B0000}"/>
    <cellStyle name="Финансовый 3 2 2 4 2 2 5" xfId="50990" xr:uid="{00000000-0005-0000-0000-0000997B0000}"/>
    <cellStyle name="Финансовый 3 2 2 4 2 3" xfId="5547" xr:uid="{00000000-0005-0000-0000-00009A7B0000}"/>
    <cellStyle name="Финансовый 3 2 2 4 2 3 2" xfId="17525" xr:uid="{00000000-0005-0000-0000-00009B7B0000}"/>
    <cellStyle name="Финансовый 3 2 2 4 2 3 2 2" xfId="41480" xr:uid="{00000000-0005-0000-0000-00009C7B0000}"/>
    <cellStyle name="Финансовый 3 2 2 4 2 3 3" xfId="29502" xr:uid="{00000000-0005-0000-0000-00009D7B0000}"/>
    <cellStyle name="Финансовый 3 2 2 4 2 4" xfId="8157" xr:uid="{00000000-0005-0000-0000-00009E7B0000}"/>
    <cellStyle name="Финансовый 3 2 2 4 2 4 2" xfId="20135" xr:uid="{00000000-0005-0000-0000-00009F7B0000}"/>
    <cellStyle name="Финансовый 3 2 2 4 2 4 2 2" xfId="44090" xr:uid="{00000000-0005-0000-0000-0000A07B0000}"/>
    <cellStyle name="Финансовый 3 2 2 4 2 4 3" xfId="32112" xr:uid="{00000000-0005-0000-0000-0000A17B0000}"/>
    <cellStyle name="Финансовый 3 2 2 4 2 5" xfId="9940" xr:uid="{00000000-0005-0000-0000-0000A27B0000}"/>
    <cellStyle name="Финансовый 3 2 2 4 2 5 2" xfId="21918" xr:uid="{00000000-0005-0000-0000-0000A37B0000}"/>
    <cellStyle name="Финансовый 3 2 2 4 2 5 2 2" xfId="45873" xr:uid="{00000000-0005-0000-0000-0000A47B0000}"/>
    <cellStyle name="Финансовый 3 2 2 4 2 5 3" xfId="33895" xr:uid="{00000000-0005-0000-0000-0000A57B0000}"/>
    <cellStyle name="Финансовый 3 2 2 4 2 6" xfId="14098" xr:uid="{00000000-0005-0000-0000-0000A67B0000}"/>
    <cellStyle name="Финансовый 3 2 2 4 2 6 2" xfId="38053" xr:uid="{00000000-0005-0000-0000-0000A77B0000}"/>
    <cellStyle name="Финансовый 3 2 2 4 2 7" xfId="26076" xr:uid="{00000000-0005-0000-0000-0000A87B0000}"/>
    <cellStyle name="Финансовый 3 2 2 4 2 8" xfId="49209" xr:uid="{00000000-0005-0000-0000-0000A97B0000}"/>
    <cellStyle name="Финансовый 3 2 2 4 3" xfId="1152" xr:uid="{00000000-0005-0000-0000-0000AA7B0000}"/>
    <cellStyle name="Финансовый 3 2 2 4 3 2" xfId="7192" xr:uid="{00000000-0005-0000-0000-0000AB7B0000}"/>
    <cellStyle name="Финансовый 3 2 2 4 3 2 2" xfId="19170" xr:uid="{00000000-0005-0000-0000-0000AC7B0000}"/>
    <cellStyle name="Финансовый 3 2 2 4 3 2 2 2" xfId="43125" xr:uid="{00000000-0005-0000-0000-0000AD7B0000}"/>
    <cellStyle name="Финансовый 3 2 2 4 3 2 3" xfId="31147" xr:uid="{00000000-0005-0000-0000-0000AE7B0000}"/>
    <cellStyle name="Финансовый 3 2 2 4 3 3" xfId="10732" xr:uid="{00000000-0005-0000-0000-0000AF7B0000}"/>
    <cellStyle name="Финансовый 3 2 2 4 3 3 2" xfId="22710" xr:uid="{00000000-0005-0000-0000-0000B07B0000}"/>
    <cellStyle name="Финансовый 3 2 2 4 3 3 2 2" xfId="46665" xr:uid="{00000000-0005-0000-0000-0000B17B0000}"/>
    <cellStyle name="Финансовый 3 2 2 4 3 3 3" xfId="34687" xr:uid="{00000000-0005-0000-0000-0000B27B0000}"/>
    <cellStyle name="Финансовый 3 2 2 4 3 4" xfId="13133" xr:uid="{00000000-0005-0000-0000-0000B37B0000}"/>
    <cellStyle name="Финансовый 3 2 2 4 3 4 2" xfId="37088" xr:uid="{00000000-0005-0000-0000-0000B47B0000}"/>
    <cellStyle name="Финансовый 3 2 2 4 3 5" xfId="25111" xr:uid="{00000000-0005-0000-0000-0000B57B0000}"/>
    <cellStyle name="Финансовый 3 2 2 4 3 6" xfId="50017" xr:uid="{00000000-0005-0000-0000-0000B67B0000}"/>
    <cellStyle name="Финансовый 3 2 2 4 4" xfId="752" xr:uid="{00000000-0005-0000-0000-0000B77B0000}"/>
    <cellStyle name="Финансовый 3 2 2 4 4 2" xfId="6792" xr:uid="{00000000-0005-0000-0000-0000B87B0000}"/>
    <cellStyle name="Финансовый 3 2 2 4 4 2 2" xfId="18770" xr:uid="{00000000-0005-0000-0000-0000B97B0000}"/>
    <cellStyle name="Финансовый 3 2 2 4 4 2 2 2" xfId="42725" xr:uid="{00000000-0005-0000-0000-0000BA7B0000}"/>
    <cellStyle name="Финансовый 3 2 2 4 4 2 3" xfId="30747" xr:uid="{00000000-0005-0000-0000-0000BB7B0000}"/>
    <cellStyle name="Финансовый 3 2 2 4 4 3" xfId="12733" xr:uid="{00000000-0005-0000-0000-0000BC7B0000}"/>
    <cellStyle name="Финансовый 3 2 2 4 4 3 2" xfId="36688" xr:uid="{00000000-0005-0000-0000-0000BD7B0000}"/>
    <cellStyle name="Финансовый 3 2 2 4 4 4" xfId="24711" xr:uid="{00000000-0005-0000-0000-0000BE7B0000}"/>
    <cellStyle name="Финансовый 3 2 2 4 5" xfId="2929" xr:uid="{00000000-0005-0000-0000-0000BF7B0000}"/>
    <cellStyle name="Финансовый 3 2 2 4 5 2" xfId="14908" xr:uid="{00000000-0005-0000-0000-0000C07B0000}"/>
    <cellStyle name="Финансовый 3 2 2 4 5 2 2" xfId="38863" xr:uid="{00000000-0005-0000-0000-0000C17B0000}"/>
    <cellStyle name="Финансовый 3 2 2 4 5 3" xfId="26886" xr:uid="{00000000-0005-0000-0000-0000C27B0000}"/>
    <cellStyle name="Финансовый 3 2 2 4 6" xfId="4573" xr:uid="{00000000-0005-0000-0000-0000C37B0000}"/>
    <cellStyle name="Финансовый 3 2 2 4 6 2" xfId="16552" xr:uid="{00000000-0005-0000-0000-0000C47B0000}"/>
    <cellStyle name="Финансовый 3 2 2 4 6 2 2" xfId="40507" xr:uid="{00000000-0005-0000-0000-0000C57B0000}"/>
    <cellStyle name="Финансовый 3 2 2 4 6 3" xfId="28530" xr:uid="{00000000-0005-0000-0000-0000C67B0000}"/>
    <cellStyle name="Финансовый 3 2 2 4 7" xfId="6372" xr:uid="{00000000-0005-0000-0000-0000C77B0000}"/>
    <cellStyle name="Финансовый 3 2 2 4 7 2" xfId="18350" xr:uid="{00000000-0005-0000-0000-0000C87B0000}"/>
    <cellStyle name="Финансовый 3 2 2 4 7 2 2" xfId="42305" xr:uid="{00000000-0005-0000-0000-0000C97B0000}"/>
    <cellStyle name="Финансовый 3 2 2 4 7 3" xfId="30327" xr:uid="{00000000-0005-0000-0000-0000CA7B0000}"/>
    <cellStyle name="Финансовый 3 2 2 4 8" xfId="8967" xr:uid="{00000000-0005-0000-0000-0000CB7B0000}"/>
    <cellStyle name="Финансовый 3 2 2 4 8 2" xfId="20945" xr:uid="{00000000-0005-0000-0000-0000CC7B0000}"/>
    <cellStyle name="Финансовый 3 2 2 4 8 2 2" xfId="44900" xr:uid="{00000000-0005-0000-0000-0000CD7B0000}"/>
    <cellStyle name="Финансовый 3 2 2 4 8 3" xfId="32922" xr:uid="{00000000-0005-0000-0000-0000CE7B0000}"/>
    <cellStyle name="Финансовый 3 2 2 4 9" xfId="12313" xr:uid="{00000000-0005-0000-0000-0000CF7B0000}"/>
    <cellStyle name="Финансовый 3 2 2 4 9 2" xfId="36268" xr:uid="{00000000-0005-0000-0000-0000D07B0000}"/>
    <cellStyle name="Финансовый 3 2 2 5" xfId="1516" xr:uid="{00000000-0005-0000-0000-0000D17B0000}"/>
    <cellStyle name="Финансовый 3 2 2 5 2" xfId="1855" xr:uid="{00000000-0005-0000-0000-0000D27B0000}"/>
    <cellStyle name="Финансовый 3 2 2 5 2 2" xfId="3500" xr:uid="{00000000-0005-0000-0000-0000D37B0000}"/>
    <cellStyle name="Финансовый 3 2 2 5 2 2 2" xfId="11248" xr:uid="{00000000-0005-0000-0000-0000D47B0000}"/>
    <cellStyle name="Финансовый 3 2 2 5 2 2 2 2" xfId="23226" xr:uid="{00000000-0005-0000-0000-0000D57B0000}"/>
    <cellStyle name="Финансовый 3 2 2 5 2 2 2 2 2" xfId="47181" xr:uid="{00000000-0005-0000-0000-0000D67B0000}"/>
    <cellStyle name="Финансовый 3 2 2 5 2 2 2 3" xfId="35203" xr:uid="{00000000-0005-0000-0000-0000D77B0000}"/>
    <cellStyle name="Финансовый 3 2 2 5 2 2 3" xfId="15479" xr:uid="{00000000-0005-0000-0000-0000D87B0000}"/>
    <cellStyle name="Финансовый 3 2 2 5 2 2 3 2" xfId="39434" xr:uid="{00000000-0005-0000-0000-0000D97B0000}"/>
    <cellStyle name="Финансовый 3 2 2 5 2 2 4" xfId="27457" xr:uid="{00000000-0005-0000-0000-0000DA7B0000}"/>
    <cellStyle name="Финансовый 3 2 2 5 2 2 5" xfId="50726" xr:uid="{00000000-0005-0000-0000-0000DB7B0000}"/>
    <cellStyle name="Финансовый 3 2 2 5 2 3" xfId="5283" xr:uid="{00000000-0005-0000-0000-0000DC7B0000}"/>
    <cellStyle name="Финансовый 3 2 2 5 2 3 2" xfId="17261" xr:uid="{00000000-0005-0000-0000-0000DD7B0000}"/>
    <cellStyle name="Финансовый 3 2 2 5 2 3 2 2" xfId="41216" xr:uid="{00000000-0005-0000-0000-0000DE7B0000}"/>
    <cellStyle name="Финансовый 3 2 2 5 2 3 3" xfId="29238" xr:uid="{00000000-0005-0000-0000-0000DF7B0000}"/>
    <cellStyle name="Финансовый 3 2 2 5 2 4" xfId="7893" xr:uid="{00000000-0005-0000-0000-0000E07B0000}"/>
    <cellStyle name="Финансовый 3 2 2 5 2 4 2" xfId="19871" xr:uid="{00000000-0005-0000-0000-0000E17B0000}"/>
    <cellStyle name="Финансовый 3 2 2 5 2 4 2 2" xfId="43826" xr:uid="{00000000-0005-0000-0000-0000E27B0000}"/>
    <cellStyle name="Финансовый 3 2 2 5 2 4 3" xfId="31848" xr:uid="{00000000-0005-0000-0000-0000E37B0000}"/>
    <cellStyle name="Финансовый 3 2 2 5 2 5" xfId="9676" xr:uid="{00000000-0005-0000-0000-0000E47B0000}"/>
    <cellStyle name="Финансовый 3 2 2 5 2 5 2" xfId="21654" xr:uid="{00000000-0005-0000-0000-0000E57B0000}"/>
    <cellStyle name="Финансовый 3 2 2 5 2 5 2 2" xfId="45609" xr:uid="{00000000-0005-0000-0000-0000E67B0000}"/>
    <cellStyle name="Финансовый 3 2 2 5 2 5 3" xfId="33631" xr:uid="{00000000-0005-0000-0000-0000E77B0000}"/>
    <cellStyle name="Финансовый 3 2 2 5 2 6" xfId="13834" xr:uid="{00000000-0005-0000-0000-0000E87B0000}"/>
    <cellStyle name="Финансовый 3 2 2 5 2 6 2" xfId="37789" xr:uid="{00000000-0005-0000-0000-0000E97B0000}"/>
    <cellStyle name="Финансовый 3 2 2 5 2 7" xfId="25812" xr:uid="{00000000-0005-0000-0000-0000EA7B0000}"/>
    <cellStyle name="Финансовый 3 2 2 5 2 8" xfId="48945" xr:uid="{00000000-0005-0000-0000-0000EB7B0000}"/>
    <cellStyle name="Финансовый 3 2 2 5 3" xfId="4944" xr:uid="{00000000-0005-0000-0000-0000EC7B0000}"/>
    <cellStyle name="Финансовый 3 2 2 5 3 2" xfId="16922" xr:uid="{00000000-0005-0000-0000-0000ED7B0000}"/>
    <cellStyle name="Финансовый 3 2 2 5 3 2 2" xfId="40877" xr:uid="{00000000-0005-0000-0000-0000EE7B0000}"/>
    <cellStyle name="Финансовый 3 2 2 5 3 3" xfId="28899" xr:uid="{00000000-0005-0000-0000-0000EF7B0000}"/>
    <cellStyle name="Финансовый 3 2 2 5 3 4" xfId="50387" xr:uid="{00000000-0005-0000-0000-0000F07B0000}"/>
    <cellStyle name="Финансовый 3 2 2 5 4" xfId="7554" xr:uid="{00000000-0005-0000-0000-0000F17B0000}"/>
    <cellStyle name="Финансовый 3 2 2 5 4 2" xfId="19532" xr:uid="{00000000-0005-0000-0000-0000F27B0000}"/>
    <cellStyle name="Финансовый 3 2 2 5 4 2 2" xfId="43487" xr:uid="{00000000-0005-0000-0000-0000F37B0000}"/>
    <cellStyle name="Финансовый 3 2 2 5 4 3" xfId="31509" xr:uid="{00000000-0005-0000-0000-0000F47B0000}"/>
    <cellStyle name="Финансовый 3 2 2 5 5" xfId="9337" xr:uid="{00000000-0005-0000-0000-0000F57B0000}"/>
    <cellStyle name="Финансовый 3 2 2 5 5 2" xfId="21315" xr:uid="{00000000-0005-0000-0000-0000F67B0000}"/>
    <cellStyle name="Финансовый 3 2 2 5 5 2 2" xfId="45270" xr:uid="{00000000-0005-0000-0000-0000F77B0000}"/>
    <cellStyle name="Финансовый 3 2 2 5 5 3" xfId="33292" xr:uid="{00000000-0005-0000-0000-0000F87B0000}"/>
    <cellStyle name="Финансовый 3 2 2 5 6" xfId="13495" xr:uid="{00000000-0005-0000-0000-0000F97B0000}"/>
    <cellStyle name="Финансовый 3 2 2 5 6 2" xfId="37450" xr:uid="{00000000-0005-0000-0000-0000FA7B0000}"/>
    <cellStyle name="Финансовый 3 2 2 5 7" xfId="25473" xr:uid="{00000000-0005-0000-0000-0000FB7B0000}"/>
    <cellStyle name="Финансовый 3 2 2 5 8" xfId="48606" xr:uid="{00000000-0005-0000-0000-0000FC7B0000}"/>
    <cellStyle name="Финансовый 3 2 2 6" xfId="1739" xr:uid="{00000000-0005-0000-0000-0000FD7B0000}"/>
    <cellStyle name="Финансовый 3 2 2 6 2" xfId="3384" xr:uid="{00000000-0005-0000-0000-0000FE7B0000}"/>
    <cellStyle name="Финансовый 3 2 2 6 2 2" xfId="11132" xr:uid="{00000000-0005-0000-0000-0000FF7B0000}"/>
    <cellStyle name="Финансовый 3 2 2 6 2 2 2" xfId="23110" xr:uid="{00000000-0005-0000-0000-0000007C0000}"/>
    <cellStyle name="Финансовый 3 2 2 6 2 2 2 2" xfId="47065" xr:uid="{00000000-0005-0000-0000-0000017C0000}"/>
    <cellStyle name="Финансовый 3 2 2 6 2 2 3" xfId="35087" xr:uid="{00000000-0005-0000-0000-0000027C0000}"/>
    <cellStyle name="Финансовый 3 2 2 6 2 3" xfId="15363" xr:uid="{00000000-0005-0000-0000-0000037C0000}"/>
    <cellStyle name="Финансовый 3 2 2 6 2 3 2" xfId="39318" xr:uid="{00000000-0005-0000-0000-0000047C0000}"/>
    <cellStyle name="Финансовый 3 2 2 6 2 4" xfId="27341" xr:uid="{00000000-0005-0000-0000-0000057C0000}"/>
    <cellStyle name="Финансовый 3 2 2 6 2 5" xfId="50610" xr:uid="{00000000-0005-0000-0000-0000067C0000}"/>
    <cellStyle name="Финансовый 3 2 2 6 3" xfId="5167" xr:uid="{00000000-0005-0000-0000-0000077C0000}"/>
    <cellStyle name="Финансовый 3 2 2 6 3 2" xfId="17145" xr:uid="{00000000-0005-0000-0000-0000087C0000}"/>
    <cellStyle name="Финансовый 3 2 2 6 3 2 2" xfId="41100" xr:uid="{00000000-0005-0000-0000-0000097C0000}"/>
    <cellStyle name="Финансовый 3 2 2 6 3 3" xfId="29122" xr:uid="{00000000-0005-0000-0000-00000A7C0000}"/>
    <cellStyle name="Финансовый 3 2 2 6 4" xfId="7777" xr:uid="{00000000-0005-0000-0000-00000B7C0000}"/>
    <cellStyle name="Финансовый 3 2 2 6 4 2" xfId="19755" xr:uid="{00000000-0005-0000-0000-00000C7C0000}"/>
    <cellStyle name="Финансовый 3 2 2 6 4 2 2" xfId="43710" xr:uid="{00000000-0005-0000-0000-00000D7C0000}"/>
    <cellStyle name="Финансовый 3 2 2 6 4 3" xfId="31732" xr:uid="{00000000-0005-0000-0000-00000E7C0000}"/>
    <cellStyle name="Финансовый 3 2 2 6 5" xfId="9560" xr:uid="{00000000-0005-0000-0000-00000F7C0000}"/>
    <cellStyle name="Финансовый 3 2 2 6 5 2" xfId="21538" xr:uid="{00000000-0005-0000-0000-0000107C0000}"/>
    <cellStyle name="Финансовый 3 2 2 6 5 2 2" xfId="45493" xr:uid="{00000000-0005-0000-0000-0000117C0000}"/>
    <cellStyle name="Финансовый 3 2 2 6 5 3" xfId="33515" xr:uid="{00000000-0005-0000-0000-0000127C0000}"/>
    <cellStyle name="Финансовый 3 2 2 6 6" xfId="13718" xr:uid="{00000000-0005-0000-0000-0000137C0000}"/>
    <cellStyle name="Финансовый 3 2 2 6 6 2" xfId="37673" xr:uid="{00000000-0005-0000-0000-0000147C0000}"/>
    <cellStyle name="Финансовый 3 2 2 6 7" xfId="25696" xr:uid="{00000000-0005-0000-0000-0000157C0000}"/>
    <cellStyle name="Финансовый 3 2 2 6 8" xfId="48829" xr:uid="{00000000-0005-0000-0000-0000167C0000}"/>
    <cellStyle name="Финансовый 3 2 2 7" xfId="2375" xr:uid="{00000000-0005-0000-0000-0000177C0000}"/>
    <cellStyle name="Финансовый 3 2 2 7 2" xfId="4020" xr:uid="{00000000-0005-0000-0000-0000187C0000}"/>
    <cellStyle name="Финансовый 3 2 2 7 2 2" xfId="11760" xr:uid="{00000000-0005-0000-0000-0000197C0000}"/>
    <cellStyle name="Финансовый 3 2 2 7 2 2 2" xfId="23738" xr:uid="{00000000-0005-0000-0000-00001A7C0000}"/>
    <cellStyle name="Финансовый 3 2 2 7 2 2 2 2" xfId="47693" xr:uid="{00000000-0005-0000-0000-00001B7C0000}"/>
    <cellStyle name="Финансовый 3 2 2 7 2 2 3" xfId="35715" xr:uid="{00000000-0005-0000-0000-00001C7C0000}"/>
    <cellStyle name="Финансовый 3 2 2 7 2 3" xfId="15999" xr:uid="{00000000-0005-0000-0000-00001D7C0000}"/>
    <cellStyle name="Финансовый 3 2 2 7 2 3 2" xfId="39954" xr:uid="{00000000-0005-0000-0000-00001E7C0000}"/>
    <cellStyle name="Финансовый 3 2 2 7 2 4" xfId="27977" xr:uid="{00000000-0005-0000-0000-00001F7C0000}"/>
    <cellStyle name="Финансовый 3 2 2 7 2 5" xfId="51246" xr:uid="{00000000-0005-0000-0000-0000207C0000}"/>
    <cellStyle name="Финансовый 3 2 2 7 3" xfId="5803" xr:uid="{00000000-0005-0000-0000-0000217C0000}"/>
    <cellStyle name="Финансовый 3 2 2 7 3 2" xfId="17781" xr:uid="{00000000-0005-0000-0000-0000227C0000}"/>
    <cellStyle name="Финансовый 3 2 2 7 3 2 2" xfId="41736" xr:uid="{00000000-0005-0000-0000-0000237C0000}"/>
    <cellStyle name="Финансовый 3 2 2 7 3 3" xfId="29758" xr:uid="{00000000-0005-0000-0000-0000247C0000}"/>
    <cellStyle name="Финансовый 3 2 2 7 4" xfId="8413" xr:uid="{00000000-0005-0000-0000-0000257C0000}"/>
    <cellStyle name="Финансовый 3 2 2 7 4 2" xfId="20391" xr:uid="{00000000-0005-0000-0000-0000267C0000}"/>
    <cellStyle name="Финансовый 3 2 2 7 4 2 2" xfId="44346" xr:uid="{00000000-0005-0000-0000-0000277C0000}"/>
    <cellStyle name="Финансовый 3 2 2 7 4 3" xfId="32368" xr:uid="{00000000-0005-0000-0000-0000287C0000}"/>
    <cellStyle name="Финансовый 3 2 2 7 5" xfId="10196" xr:uid="{00000000-0005-0000-0000-0000297C0000}"/>
    <cellStyle name="Финансовый 3 2 2 7 5 2" xfId="22174" xr:uid="{00000000-0005-0000-0000-00002A7C0000}"/>
    <cellStyle name="Финансовый 3 2 2 7 5 2 2" xfId="46129" xr:uid="{00000000-0005-0000-0000-00002B7C0000}"/>
    <cellStyle name="Финансовый 3 2 2 7 5 3" xfId="34151" xr:uid="{00000000-0005-0000-0000-00002C7C0000}"/>
    <cellStyle name="Финансовый 3 2 2 7 6" xfId="14354" xr:uid="{00000000-0005-0000-0000-00002D7C0000}"/>
    <cellStyle name="Финансовый 3 2 2 7 6 2" xfId="38309" xr:uid="{00000000-0005-0000-0000-00002E7C0000}"/>
    <cellStyle name="Финансовый 3 2 2 7 7" xfId="26332" xr:uid="{00000000-0005-0000-0000-00002F7C0000}"/>
    <cellStyle name="Финансовый 3 2 2 7 8" xfId="49465" xr:uid="{00000000-0005-0000-0000-0000307C0000}"/>
    <cellStyle name="Финансовый 3 2 2 8" xfId="1602" xr:uid="{00000000-0005-0000-0000-0000317C0000}"/>
    <cellStyle name="Финансовый 3 2 2 8 2" xfId="3247" xr:uid="{00000000-0005-0000-0000-0000327C0000}"/>
    <cellStyle name="Финансовый 3 2 2 8 2 2" xfId="11003" xr:uid="{00000000-0005-0000-0000-0000337C0000}"/>
    <cellStyle name="Финансовый 3 2 2 8 2 2 2" xfId="22981" xr:uid="{00000000-0005-0000-0000-0000347C0000}"/>
    <cellStyle name="Финансовый 3 2 2 8 2 2 2 2" xfId="46936" xr:uid="{00000000-0005-0000-0000-0000357C0000}"/>
    <cellStyle name="Финансовый 3 2 2 8 2 2 3" xfId="34958" xr:uid="{00000000-0005-0000-0000-0000367C0000}"/>
    <cellStyle name="Финансовый 3 2 2 8 2 3" xfId="15226" xr:uid="{00000000-0005-0000-0000-0000377C0000}"/>
    <cellStyle name="Финансовый 3 2 2 8 2 3 2" xfId="39181" xr:uid="{00000000-0005-0000-0000-0000387C0000}"/>
    <cellStyle name="Финансовый 3 2 2 8 2 4" xfId="27204" xr:uid="{00000000-0005-0000-0000-0000397C0000}"/>
    <cellStyle name="Финансовый 3 2 2 8 2 5" xfId="50473" xr:uid="{00000000-0005-0000-0000-00003A7C0000}"/>
    <cellStyle name="Финансовый 3 2 2 8 3" xfId="5030" xr:uid="{00000000-0005-0000-0000-00003B7C0000}"/>
    <cellStyle name="Финансовый 3 2 2 8 3 2" xfId="17008" xr:uid="{00000000-0005-0000-0000-00003C7C0000}"/>
    <cellStyle name="Финансовый 3 2 2 8 3 2 2" xfId="40963" xr:uid="{00000000-0005-0000-0000-00003D7C0000}"/>
    <cellStyle name="Финансовый 3 2 2 8 3 3" xfId="28985" xr:uid="{00000000-0005-0000-0000-00003E7C0000}"/>
    <cellStyle name="Финансовый 3 2 2 8 4" xfId="7640" xr:uid="{00000000-0005-0000-0000-00003F7C0000}"/>
    <cellStyle name="Финансовый 3 2 2 8 4 2" xfId="19618" xr:uid="{00000000-0005-0000-0000-0000407C0000}"/>
    <cellStyle name="Финансовый 3 2 2 8 4 2 2" xfId="43573" xr:uid="{00000000-0005-0000-0000-0000417C0000}"/>
    <cellStyle name="Финансовый 3 2 2 8 4 3" xfId="31595" xr:uid="{00000000-0005-0000-0000-0000427C0000}"/>
    <cellStyle name="Финансовый 3 2 2 8 5" xfId="9423" xr:uid="{00000000-0005-0000-0000-0000437C0000}"/>
    <cellStyle name="Финансовый 3 2 2 8 5 2" xfId="21401" xr:uid="{00000000-0005-0000-0000-0000447C0000}"/>
    <cellStyle name="Финансовый 3 2 2 8 5 2 2" xfId="45356" xr:uid="{00000000-0005-0000-0000-0000457C0000}"/>
    <cellStyle name="Финансовый 3 2 2 8 5 3" xfId="33378" xr:uid="{00000000-0005-0000-0000-0000467C0000}"/>
    <cellStyle name="Финансовый 3 2 2 8 6" xfId="13581" xr:uid="{00000000-0005-0000-0000-0000477C0000}"/>
    <cellStyle name="Финансовый 3 2 2 8 6 2" xfId="37536" xr:uid="{00000000-0005-0000-0000-0000487C0000}"/>
    <cellStyle name="Финансовый 3 2 2 8 7" xfId="25559" xr:uid="{00000000-0005-0000-0000-0000497C0000}"/>
    <cellStyle name="Финансовый 3 2 2 8 8" xfId="48692" xr:uid="{00000000-0005-0000-0000-00004A7C0000}"/>
    <cellStyle name="Финансовый 3 2 2 9" xfId="888" xr:uid="{00000000-0005-0000-0000-00004B7C0000}"/>
    <cellStyle name="Финансовый 3 2 2 9 2" xfId="6928" xr:uid="{00000000-0005-0000-0000-00004C7C0000}"/>
    <cellStyle name="Финансовый 3 2 2 9 2 2" xfId="18906" xr:uid="{00000000-0005-0000-0000-00004D7C0000}"/>
    <cellStyle name="Финансовый 3 2 2 9 2 2 2" xfId="42861" xr:uid="{00000000-0005-0000-0000-00004E7C0000}"/>
    <cellStyle name="Финансовый 3 2 2 9 2 3" xfId="30883" xr:uid="{00000000-0005-0000-0000-00004F7C0000}"/>
    <cellStyle name="Финансовый 3 2 2 9 3" xfId="10476" xr:uid="{00000000-0005-0000-0000-0000507C0000}"/>
    <cellStyle name="Финансовый 3 2 2 9 3 2" xfId="22454" xr:uid="{00000000-0005-0000-0000-0000517C0000}"/>
    <cellStyle name="Финансовый 3 2 2 9 3 2 2" xfId="46409" xr:uid="{00000000-0005-0000-0000-0000527C0000}"/>
    <cellStyle name="Финансовый 3 2 2 9 3 3" xfId="34431" xr:uid="{00000000-0005-0000-0000-0000537C0000}"/>
    <cellStyle name="Финансовый 3 2 2 9 4" xfId="12869" xr:uid="{00000000-0005-0000-0000-0000547C0000}"/>
    <cellStyle name="Финансовый 3 2 2 9 4 2" xfId="36824" xr:uid="{00000000-0005-0000-0000-0000557C0000}"/>
    <cellStyle name="Финансовый 3 2 2 9 5" xfId="24847" xr:uid="{00000000-0005-0000-0000-0000567C0000}"/>
    <cellStyle name="Финансовый 3 2 2 9 6" xfId="49745" xr:uid="{00000000-0005-0000-0000-0000577C0000}"/>
    <cellStyle name="Финансовый 3 2 20" xfId="8659" xr:uid="{00000000-0005-0000-0000-0000587C0000}"/>
    <cellStyle name="Финансовый 3 2 20 2" xfId="20637" xr:uid="{00000000-0005-0000-0000-0000597C0000}"/>
    <cellStyle name="Финансовый 3 2 20 2 2" xfId="44592" xr:uid="{00000000-0005-0000-0000-00005A7C0000}"/>
    <cellStyle name="Финансовый 3 2 20 3" xfId="32614" xr:uid="{00000000-0005-0000-0000-00005B7C0000}"/>
    <cellStyle name="Финансовый 3 2 21" xfId="11993" xr:uid="{00000000-0005-0000-0000-00005C7C0000}"/>
    <cellStyle name="Финансовый 3 2 21 2" xfId="35948" xr:uid="{00000000-0005-0000-0000-00005D7C0000}"/>
    <cellStyle name="Финансовый 3 2 22" xfId="23971" xr:uid="{00000000-0005-0000-0000-00005E7C0000}"/>
    <cellStyle name="Финансовый 3 2 23" xfId="47929" xr:uid="{00000000-0005-0000-0000-00005F7C0000}"/>
    <cellStyle name="Финансовый 3 2 3" xfId="115" xr:uid="{00000000-0005-0000-0000-0000607C0000}"/>
    <cellStyle name="Финансовый 3 2 3 10" xfId="2725" xr:uid="{00000000-0005-0000-0000-0000617C0000}"/>
    <cellStyle name="Финансовый 3 2 3 10 2" xfId="14704" xr:uid="{00000000-0005-0000-0000-0000627C0000}"/>
    <cellStyle name="Финансовый 3 2 3 10 2 2" xfId="38659" xr:uid="{00000000-0005-0000-0000-0000637C0000}"/>
    <cellStyle name="Финансовый 3 2 3 10 3" xfId="26682" xr:uid="{00000000-0005-0000-0000-0000647C0000}"/>
    <cellStyle name="Финансовый 3 2 3 11" xfId="4369" xr:uid="{00000000-0005-0000-0000-0000657C0000}"/>
    <cellStyle name="Финансовый 3 2 3 11 2" xfId="16348" xr:uid="{00000000-0005-0000-0000-0000667C0000}"/>
    <cellStyle name="Финансовый 3 2 3 11 2 2" xfId="40303" xr:uid="{00000000-0005-0000-0000-0000677C0000}"/>
    <cellStyle name="Финансовый 3 2 3 11 3" xfId="28326" xr:uid="{00000000-0005-0000-0000-0000687C0000}"/>
    <cellStyle name="Финансовый 3 2 3 12" xfId="6156" xr:uid="{00000000-0005-0000-0000-0000697C0000}"/>
    <cellStyle name="Финансовый 3 2 3 12 2" xfId="18134" xr:uid="{00000000-0005-0000-0000-00006A7C0000}"/>
    <cellStyle name="Финансовый 3 2 3 12 2 2" xfId="42089" xr:uid="{00000000-0005-0000-0000-00006B7C0000}"/>
    <cellStyle name="Финансовый 3 2 3 12 3" xfId="30111" xr:uid="{00000000-0005-0000-0000-00006C7C0000}"/>
    <cellStyle name="Финансовый 3 2 3 13" xfId="8763" xr:uid="{00000000-0005-0000-0000-00006D7C0000}"/>
    <cellStyle name="Финансовый 3 2 3 13 2" xfId="20741" xr:uid="{00000000-0005-0000-0000-00006E7C0000}"/>
    <cellStyle name="Финансовый 3 2 3 13 2 2" xfId="44696" xr:uid="{00000000-0005-0000-0000-00006F7C0000}"/>
    <cellStyle name="Финансовый 3 2 3 13 3" xfId="32718" xr:uid="{00000000-0005-0000-0000-0000707C0000}"/>
    <cellStyle name="Финансовый 3 2 3 14" xfId="12097" xr:uid="{00000000-0005-0000-0000-0000717C0000}"/>
    <cellStyle name="Финансовый 3 2 3 14 2" xfId="36052" xr:uid="{00000000-0005-0000-0000-0000727C0000}"/>
    <cellStyle name="Финансовый 3 2 3 15" xfId="24075" xr:uid="{00000000-0005-0000-0000-0000737C0000}"/>
    <cellStyle name="Финансовый 3 2 3 16" xfId="48033" xr:uid="{00000000-0005-0000-0000-0000747C0000}"/>
    <cellStyle name="Финансовый 3 2 3 2" xfId="251" xr:uid="{00000000-0005-0000-0000-0000757C0000}"/>
    <cellStyle name="Финансовый 3 2 3 2 10" xfId="8899" xr:uid="{00000000-0005-0000-0000-0000767C0000}"/>
    <cellStyle name="Финансовый 3 2 3 2 10 2" xfId="20877" xr:uid="{00000000-0005-0000-0000-0000777C0000}"/>
    <cellStyle name="Финансовый 3 2 3 2 10 2 2" xfId="44832" xr:uid="{00000000-0005-0000-0000-0000787C0000}"/>
    <cellStyle name="Финансовый 3 2 3 2 10 3" xfId="32854" xr:uid="{00000000-0005-0000-0000-0000797C0000}"/>
    <cellStyle name="Финансовый 3 2 3 2 11" xfId="12233" xr:uid="{00000000-0005-0000-0000-00007A7C0000}"/>
    <cellStyle name="Финансовый 3 2 3 2 11 2" xfId="36188" xr:uid="{00000000-0005-0000-0000-00007B7C0000}"/>
    <cellStyle name="Финансовый 3 2 3 2 12" xfId="24211" xr:uid="{00000000-0005-0000-0000-00007C7C0000}"/>
    <cellStyle name="Финансовый 3 2 3 2 13" xfId="48169" xr:uid="{00000000-0005-0000-0000-00007D7C0000}"/>
    <cellStyle name="Финансовый 3 2 3 2 2" xfId="1349" xr:uid="{00000000-0005-0000-0000-00007E7C0000}"/>
    <cellStyle name="Финансовый 3 2 3 2 2 2" xfId="2307" xr:uid="{00000000-0005-0000-0000-00007F7C0000}"/>
    <cellStyle name="Финансовый 3 2 3 2 2 2 2" xfId="3952" xr:uid="{00000000-0005-0000-0000-0000807C0000}"/>
    <cellStyle name="Финансовый 3 2 3 2 2 2 2 2" xfId="11692" xr:uid="{00000000-0005-0000-0000-0000817C0000}"/>
    <cellStyle name="Финансовый 3 2 3 2 2 2 2 2 2" xfId="23670" xr:uid="{00000000-0005-0000-0000-0000827C0000}"/>
    <cellStyle name="Финансовый 3 2 3 2 2 2 2 2 2 2" xfId="47625" xr:uid="{00000000-0005-0000-0000-0000837C0000}"/>
    <cellStyle name="Финансовый 3 2 3 2 2 2 2 2 3" xfId="35647" xr:uid="{00000000-0005-0000-0000-0000847C0000}"/>
    <cellStyle name="Финансовый 3 2 3 2 2 2 2 3" xfId="15931" xr:uid="{00000000-0005-0000-0000-0000857C0000}"/>
    <cellStyle name="Финансовый 3 2 3 2 2 2 2 3 2" xfId="39886" xr:uid="{00000000-0005-0000-0000-0000867C0000}"/>
    <cellStyle name="Финансовый 3 2 3 2 2 2 2 4" xfId="27909" xr:uid="{00000000-0005-0000-0000-0000877C0000}"/>
    <cellStyle name="Финансовый 3 2 3 2 2 2 2 5" xfId="51178" xr:uid="{00000000-0005-0000-0000-0000887C0000}"/>
    <cellStyle name="Финансовый 3 2 3 2 2 2 3" xfId="5735" xr:uid="{00000000-0005-0000-0000-0000897C0000}"/>
    <cellStyle name="Финансовый 3 2 3 2 2 2 3 2" xfId="17713" xr:uid="{00000000-0005-0000-0000-00008A7C0000}"/>
    <cellStyle name="Финансовый 3 2 3 2 2 2 3 2 2" xfId="41668" xr:uid="{00000000-0005-0000-0000-00008B7C0000}"/>
    <cellStyle name="Финансовый 3 2 3 2 2 2 3 3" xfId="29690" xr:uid="{00000000-0005-0000-0000-00008C7C0000}"/>
    <cellStyle name="Финансовый 3 2 3 2 2 2 4" xfId="8345" xr:uid="{00000000-0005-0000-0000-00008D7C0000}"/>
    <cellStyle name="Финансовый 3 2 3 2 2 2 4 2" xfId="20323" xr:uid="{00000000-0005-0000-0000-00008E7C0000}"/>
    <cellStyle name="Финансовый 3 2 3 2 2 2 4 2 2" xfId="44278" xr:uid="{00000000-0005-0000-0000-00008F7C0000}"/>
    <cellStyle name="Финансовый 3 2 3 2 2 2 4 3" xfId="32300" xr:uid="{00000000-0005-0000-0000-0000907C0000}"/>
    <cellStyle name="Финансовый 3 2 3 2 2 2 5" xfId="10128" xr:uid="{00000000-0005-0000-0000-0000917C0000}"/>
    <cellStyle name="Финансовый 3 2 3 2 2 2 5 2" xfId="22106" xr:uid="{00000000-0005-0000-0000-0000927C0000}"/>
    <cellStyle name="Финансовый 3 2 3 2 2 2 5 2 2" xfId="46061" xr:uid="{00000000-0005-0000-0000-0000937C0000}"/>
    <cellStyle name="Финансовый 3 2 3 2 2 2 5 3" xfId="34083" xr:uid="{00000000-0005-0000-0000-0000947C0000}"/>
    <cellStyle name="Финансовый 3 2 3 2 2 2 6" xfId="14286" xr:uid="{00000000-0005-0000-0000-0000957C0000}"/>
    <cellStyle name="Финансовый 3 2 3 2 2 2 6 2" xfId="38241" xr:uid="{00000000-0005-0000-0000-0000967C0000}"/>
    <cellStyle name="Финансовый 3 2 3 2 2 2 7" xfId="26264" xr:uid="{00000000-0005-0000-0000-0000977C0000}"/>
    <cellStyle name="Финансовый 3 2 3 2 2 2 8" xfId="49397" xr:uid="{00000000-0005-0000-0000-0000987C0000}"/>
    <cellStyle name="Финансовый 3 2 3 2 2 3" xfId="3133" xr:uid="{00000000-0005-0000-0000-0000997C0000}"/>
    <cellStyle name="Финансовый 3 2 3 2 2 3 2" xfId="10920" xr:uid="{00000000-0005-0000-0000-00009A7C0000}"/>
    <cellStyle name="Финансовый 3 2 3 2 2 3 2 2" xfId="22898" xr:uid="{00000000-0005-0000-0000-00009B7C0000}"/>
    <cellStyle name="Финансовый 3 2 3 2 2 3 2 2 2" xfId="46853" xr:uid="{00000000-0005-0000-0000-00009C7C0000}"/>
    <cellStyle name="Финансовый 3 2 3 2 2 3 2 3" xfId="34875" xr:uid="{00000000-0005-0000-0000-00009D7C0000}"/>
    <cellStyle name="Финансовый 3 2 3 2 2 3 3" xfId="15112" xr:uid="{00000000-0005-0000-0000-00009E7C0000}"/>
    <cellStyle name="Финансовый 3 2 3 2 2 3 3 2" xfId="39067" xr:uid="{00000000-0005-0000-0000-00009F7C0000}"/>
    <cellStyle name="Финансовый 3 2 3 2 2 3 4" xfId="27090" xr:uid="{00000000-0005-0000-0000-0000A07C0000}"/>
    <cellStyle name="Финансовый 3 2 3 2 2 3 5" xfId="50221" xr:uid="{00000000-0005-0000-0000-0000A17C0000}"/>
    <cellStyle name="Финансовый 3 2 3 2 2 4" xfId="4777" xr:uid="{00000000-0005-0000-0000-0000A27C0000}"/>
    <cellStyle name="Финансовый 3 2 3 2 2 4 2" xfId="16756" xr:uid="{00000000-0005-0000-0000-0000A37C0000}"/>
    <cellStyle name="Финансовый 3 2 3 2 2 4 2 2" xfId="40711" xr:uid="{00000000-0005-0000-0000-0000A47C0000}"/>
    <cellStyle name="Финансовый 3 2 3 2 2 4 3" xfId="28734" xr:uid="{00000000-0005-0000-0000-0000A57C0000}"/>
    <cellStyle name="Финансовый 3 2 3 2 2 5" xfId="7389" xr:uid="{00000000-0005-0000-0000-0000A67C0000}"/>
    <cellStyle name="Финансовый 3 2 3 2 2 5 2" xfId="19367" xr:uid="{00000000-0005-0000-0000-0000A77C0000}"/>
    <cellStyle name="Финансовый 3 2 3 2 2 5 2 2" xfId="43322" xr:uid="{00000000-0005-0000-0000-0000A87C0000}"/>
    <cellStyle name="Финансовый 3 2 3 2 2 5 3" xfId="31344" xr:uid="{00000000-0005-0000-0000-0000A97C0000}"/>
    <cellStyle name="Финансовый 3 2 3 2 2 6" xfId="9171" xr:uid="{00000000-0005-0000-0000-0000AA7C0000}"/>
    <cellStyle name="Финансовый 3 2 3 2 2 6 2" xfId="21149" xr:uid="{00000000-0005-0000-0000-0000AB7C0000}"/>
    <cellStyle name="Финансовый 3 2 3 2 2 6 2 2" xfId="45104" xr:uid="{00000000-0005-0000-0000-0000AC7C0000}"/>
    <cellStyle name="Финансовый 3 2 3 2 2 6 3" xfId="33126" xr:uid="{00000000-0005-0000-0000-0000AD7C0000}"/>
    <cellStyle name="Финансовый 3 2 3 2 2 7" xfId="13330" xr:uid="{00000000-0005-0000-0000-0000AE7C0000}"/>
    <cellStyle name="Финансовый 3 2 3 2 2 7 2" xfId="37285" xr:uid="{00000000-0005-0000-0000-0000AF7C0000}"/>
    <cellStyle name="Финансовый 3 2 3 2 2 8" xfId="25308" xr:uid="{00000000-0005-0000-0000-0000B07C0000}"/>
    <cellStyle name="Финансовый 3 2 3 2 2 9" xfId="48441" xr:uid="{00000000-0005-0000-0000-0000B17C0000}"/>
    <cellStyle name="Финансовый 3 2 3 2 3" xfId="2051" xr:uid="{00000000-0005-0000-0000-0000B27C0000}"/>
    <cellStyle name="Финансовый 3 2 3 2 3 2" xfId="3696" xr:uid="{00000000-0005-0000-0000-0000B37C0000}"/>
    <cellStyle name="Финансовый 3 2 3 2 3 2 2" xfId="11436" xr:uid="{00000000-0005-0000-0000-0000B47C0000}"/>
    <cellStyle name="Финансовый 3 2 3 2 3 2 2 2" xfId="23414" xr:uid="{00000000-0005-0000-0000-0000B57C0000}"/>
    <cellStyle name="Финансовый 3 2 3 2 3 2 2 2 2" xfId="47369" xr:uid="{00000000-0005-0000-0000-0000B67C0000}"/>
    <cellStyle name="Финансовый 3 2 3 2 3 2 2 3" xfId="35391" xr:uid="{00000000-0005-0000-0000-0000B77C0000}"/>
    <cellStyle name="Финансовый 3 2 3 2 3 2 3" xfId="15675" xr:uid="{00000000-0005-0000-0000-0000B87C0000}"/>
    <cellStyle name="Финансовый 3 2 3 2 3 2 3 2" xfId="39630" xr:uid="{00000000-0005-0000-0000-0000B97C0000}"/>
    <cellStyle name="Финансовый 3 2 3 2 3 2 4" xfId="27653" xr:uid="{00000000-0005-0000-0000-0000BA7C0000}"/>
    <cellStyle name="Финансовый 3 2 3 2 3 2 5" xfId="50922" xr:uid="{00000000-0005-0000-0000-0000BB7C0000}"/>
    <cellStyle name="Финансовый 3 2 3 2 3 3" xfId="5479" xr:uid="{00000000-0005-0000-0000-0000BC7C0000}"/>
    <cellStyle name="Финансовый 3 2 3 2 3 3 2" xfId="17457" xr:uid="{00000000-0005-0000-0000-0000BD7C0000}"/>
    <cellStyle name="Финансовый 3 2 3 2 3 3 2 2" xfId="41412" xr:uid="{00000000-0005-0000-0000-0000BE7C0000}"/>
    <cellStyle name="Финансовый 3 2 3 2 3 3 3" xfId="29434" xr:uid="{00000000-0005-0000-0000-0000BF7C0000}"/>
    <cellStyle name="Финансовый 3 2 3 2 3 4" xfId="8089" xr:uid="{00000000-0005-0000-0000-0000C07C0000}"/>
    <cellStyle name="Финансовый 3 2 3 2 3 4 2" xfId="20067" xr:uid="{00000000-0005-0000-0000-0000C17C0000}"/>
    <cellStyle name="Финансовый 3 2 3 2 3 4 2 2" xfId="44022" xr:uid="{00000000-0005-0000-0000-0000C27C0000}"/>
    <cellStyle name="Финансовый 3 2 3 2 3 4 3" xfId="32044" xr:uid="{00000000-0005-0000-0000-0000C37C0000}"/>
    <cellStyle name="Финансовый 3 2 3 2 3 5" xfId="9872" xr:uid="{00000000-0005-0000-0000-0000C47C0000}"/>
    <cellStyle name="Финансовый 3 2 3 2 3 5 2" xfId="21850" xr:uid="{00000000-0005-0000-0000-0000C57C0000}"/>
    <cellStyle name="Финансовый 3 2 3 2 3 5 2 2" xfId="45805" xr:uid="{00000000-0005-0000-0000-0000C67C0000}"/>
    <cellStyle name="Финансовый 3 2 3 2 3 5 3" xfId="33827" xr:uid="{00000000-0005-0000-0000-0000C77C0000}"/>
    <cellStyle name="Финансовый 3 2 3 2 3 6" xfId="14030" xr:uid="{00000000-0005-0000-0000-0000C87C0000}"/>
    <cellStyle name="Финансовый 3 2 3 2 3 6 2" xfId="37985" xr:uid="{00000000-0005-0000-0000-0000C97C0000}"/>
    <cellStyle name="Финансовый 3 2 3 2 3 7" xfId="26008" xr:uid="{00000000-0005-0000-0000-0000CA7C0000}"/>
    <cellStyle name="Финансовый 3 2 3 2 3 8" xfId="49141" xr:uid="{00000000-0005-0000-0000-0000CB7C0000}"/>
    <cellStyle name="Финансовый 3 2 3 2 4" xfId="2580" xr:uid="{00000000-0005-0000-0000-0000CC7C0000}"/>
    <cellStyle name="Финансовый 3 2 3 2 4 2" xfId="4225" xr:uid="{00000000-0005-0000-0000-0000CD7C0000}"/>
    <cellStyle name="Финансовый 3 2 3 2 4 2 2" xfId="11949" xr:uid="{00000000-0005-0000-0000-0000CE7C0000}"/>
    <cellStyle name="Финансовый 3 2 3 2 4 2 2 2" xfId="23927" xr:uid="{00000000-0005-0000-0000-0000CF7C0000}"/>
    <cellStyle name="Финансовый 3 2 3 2 4 2 2 2 2" xfId="47882" xr:uid="{00000000-0005-0000-0000-0000D07C0000}"/>
    <cellStyle name="Финансовый 3 2 3 2 4 2 2 3" xfId="35904" xr:uid="{00000000-0005-0000-0000-0000D17C0000}"/>
    <cellStyle name="Финансовый 3 2 3 2 4 2 3" xfId="16204" xr:uid="{00000000-0005-0000-0000-0000D27C0000}"/>
    <cellStyle name="Финансовый 3 2 3 2 4 2 3 2" xfId="40159" xr:uid="{00000000-0005-0000-0000-0000D37C0000}"/>
    <cellStyle name="Финансовый 3 2 3 2 4 2 4" xfId="28182" xr:uid="{00000000-0005-0000-0000-0000D47C0000}"/>
    <cellStyle name="Финансовый 3 2 3 2 4 2 5" xfId="51451" xr:uid="{00000000-0005-0000-0000-0000D57C0000}"/>
    <cellStyle name="Финансовый 3 2 3 2 4 3" xfId="6008" xr:uid="{00000000-0005-0000-0000-0000D67C0000}"/>
    <cellStyle name="Финансовый 3 2 3 2 4 3 2" xfId="17986" xr:uid="{00000000-0005-0000-0000-0000D77C0000}"/>
    <cellStyle name="Финансовый 3 2 3 2 4 3 2 2" xfId="41941" xr:uid="{00000000-0005-0000-0000-0000D87C0000}"/>
    <cellStyle name="Финансовый 3 2 3 2 4 3 3" xfId="29963" xr:uid="{00000000-0005-0000-0000-0000D97C0000}"/>
    <cellStyle name="Финансовый 3 2 3 2 4 4" xfId="8618" xr:uid="{00000000-0005-0000-0000-0000DA7C0000}"/>
    <cellStyle name="Финансовый 3 2 3 2 4 4 2" xfId="20596" xr:uid="{00000000-0005-0000-0000-0000DB7C0000}"/>
    <cellStyle name="Финансовый 3 2 3 2 4 4 2 2" xfId="44551" xr:uid="{00000000-0005-0000-0000-0000DC7C0000}"/>
    <cellStyle name="Финансовый 3 2 3 2 4 4 3" xfId="32573" xr:uid="{00000000-0005-0000-0000-0000DD7C0000}"/>
    <cellStyle name="Финансовый 3 2 3 2 4 5" xfId="10401" xr:uid="{00000000-0005-0000-0000-0000DE7C0000}"/>
    <cellStyle name="Финансовый 3 2 3 2 4 5 2" xfId="22379" xr:uid="{00000000-0005-0000-0000-0000DF7C0000}"/>
    <cellStyle name="Финансовый 3 2 3 2 4 5 2 2" xfId="46334" xr:uid="{00000000-0005-0000-0000-0000E07C0000}"/>
    <cellStyle name="Финансовый 3 2 3 2 4 5 3" xfId="34356" xr:uid="{00000000-0005-0000-0000-0000E17C0000}"/>
    <cellStyle name="Финансовый 3 2 3 2 4 6" xfId="14559" xr:uid="{00000000-0005-0000-0000-0000E27C0000}"/>
    <cellStyle name="Финансовый 3 2 3 2 4 6 2" xfId="38514" xr:uid="{00000000-0005-0000-0000-0000E37C0000}"/>
    <cellStyle name="Финансовый 3 2 3 2 4 7" xfId="26537" xr:uid="{00000000-0005-0000-0000-0000E47C0000}"/>
    <cellStyle name="Финансовый 3 2 3 2 4 8" xfId="49670" xr:uid="{00000000-0005-0000-0000-0000E57C0000}"/>
    <cellStyle name="Финансовый 3 2 3 2 5" xfId="1084" xr:uid="{00000000-0005-0000-0000-0000E67C0000}"/>
    <cellStyle name="Финансовый 3 2 3 2 5 2" xfId="7124" xr:uid="{00000000-0005-0000-0000-0000E77C0000}"/>
    <cellStyle name="Финансовый 3 2 3 2 5 2 2" xfId="19102" xr:uid="{00000000-0005-0000-0000-0000E87C0000}"/>
    <cellStyle name="Финансовый 3 2 3 2 5 2 2 2" xfId="43057" xr:uid="{00000000-0005-0000-0000-0000E97C0000}"/>
    <cellStyle name="Финансовый 3 2 3 2 5 2 3" xfId="31079" xr:uid="{00000000-0005-0000-0000-0000EA7C0000}"/>
    <cellStyle name="Финансовый 3 2 3 2 5 3" xfId="10664" xr:uid="{00000000-0005-0000-0000-0000EB7C0000}"/>
    <cellStyle name="Финансовый 3 2 3 2 5 3 2" xfId="22642" xr:uid="{00000000-0005-0000-0000-0000EC7C0000}"/>
    <cellStyle name="Финансовый 3 2 3 2 5 3 2 2" xfId="46597" xr:uid="{00000000-0005-0000-0000-0000ED7C0000}"/>
    <cellStyle name="Финансовый 3 2 3 2 5 3 3" xfId="34619" xr:uid="{00000000-0005-0000-0000-0000EE7C0000}"/>
    <cellStyle name="Финансовый 3 2 3 2 5 4" xfId="13065" xr:uid="{00000000-0005-0000-0000-0000EF7C0000}"/>
    <cellStyle name="Финансовый 3 2 3 2 5 4 2" xfId="37020" xr:uid="{00000000-0005-0000-0000-0000F07C0000}"/>
    <cellStyle name="Финансовый 3 2 3 2 5 5" xfId="25043" xr:uid="{00000000-0005-0000-0000-0000F17C0000}"/>
    <cellStyle name="Финансовый 3 2 3 2 5 6" xfId="49949" xr:uid="{00000000-0005-0000-0000-0000F27C0000}"/>
    <cellStyle name="Финансовый 3 2 3 2 6" xfId="672" xr:uid="{00000000-0005-0000-0000-0000F37C0000}"/>
    <cellStyle name="Финансовый 3 2 3 2 6 2" xfId="6712" xr:uid="{00000000-0005-0000-0000-0000F47C0000}"/>
    <cellStyle name="Финансовый 3 2 3 2 6 2 2" xfId="18690" xr:uid="{00000000-0005-0000-0000-0000F57C0000}"/>
    <cellStyle name="Финансовый 3 2 3 2 6 2 2 2" xfId="42645" xr:uid="{00000000-0005-0000-0000-0000F67C0000}"/>
    <cellStyle name="Финансовый 3 2 3 2 6 2 3" xfId="30667" xr:uid="{00000000-0005-0000-0000-0000F77C0000}"/>
    <cellStyle name="Финансовый 3 2 3 2 6 3" xfId="12653" xr:uid="{00000000-0005-0000-0000-0000F87C0000}"/>
    <cellStyle name="Финансовый 3 2 3 2 6 3 2" xfId="36608" xr:uid="{00000000-0005-0000-0000-0000F97C0000}"/>
    <cellStyle name="Финансовый 3 2 3 2 6 4" xfId="24631" xr:uid="{00000000-0005-0000-0000-0000FA7C0000}"/>
    <cellStyle name="Финансовый 3 2 3 2 7" xfId="2861" xr:uid="{00000000-0005-0000-0000-0000FB7C0000}"/>
    <cellStyle name="Финансовый 3 2 3 2 7 2" xfId="14840" xr:uid="{00000000-0005-0000-0000-0000FC7C0000}"/>
    <cellStyle name="Финансовый 3 2 3 2 7 2 2" xfId="38795" xr:uid="{00000000-0005-0000-0000-0000FD7C0000}"/>
    <cellStyle name="Финансовый 3 2 3 2 7 3" xfId="26818" xr:uid="{00000000-0005-0000-0000-0000FE7C0000}"/>
    <cellStyle name="Финансовый 3 2 3 2 8" xfId="4505" xr:uid="{00000000-0005-0000-0000-0000FF7C0000}"/>
    <cellStyle name="Финансовый 3 2 3 2 8 2" xfId="16484" xr:uid="{00000000-0005-0000-0000-0000007D0000}"/>
    <cellStyle name="Финансовый 3 2 3 2 8 2 2" xfId="40439" xr:uid="{00000000-0005-0000-0000-0000017D0000}"/>
    <cellStyle name="Финансовый 3 2 3 2 8 3" xfId="28462" xr:uid="{00000000-0005-0000-0000-0000027D0000}"/>
    <cellStyle name="Финансовый 3 2 3 2 9" xfId="6292" xr:uid="{00000000-0005-0000-0000-0000037D0000}"/>
    <cellStyle name="Финансовый 3 2 3 2 9 2" xfId="18270" xr:uid="{00000000-0005-0000-0000-0000047D0000}"/>
    <cellStyle name="Финансовый 3 2 3 2 9 2 2" xfId="42225" xr:uid="{00000000-0005-0000-0000-0000057D0000}"/>
    <cellStyle name="Финансовый 3 2 3 2 9 3" xfId="30247" xr:uid="{00000000-0005-0000-0000-0000067D0000}"/>
    <cellStyle name="Финансовый 3 2 3 3" xfId="400" xr:uid="{00000000-0005-0000-0000-0000077D0000}"/>
    <cellStyle name="Финансовый 3 2 3 3 10" xfId="24359" xr:uid="{00000000-0005-0000-0000-0000087D0000}"/>
    <cellStyle name="Финансовый 3 2 3 3 11" xfId="48305" xr:uid="{00000000-0005-0000-0000-0000097D0000}"/>
    <cellStyle name="Финансовый 3 2 3 3 2" xfId="2179" xr:uid="{00000000-0005-0000-0000-00000A7D0000}"/>
    <cellStyle name="Финансовый 3 2 3 3 2 2" xfId="3824" xr:uid="{00000000-0005-0000-0000-00000B7D0000}"/>
    <cellStyle name="Финансовый 3 2 3 3 2 2 2" xfId="11564" xr:uid="{00000000-0005-0000-0000-00000C7D0000}"/>
    <cellStyle name="Финансовый 3 2 3 3 2 2 2 2" xfId="23542" xr:uid="{00000000-0005-0000-0000-00000D7D0000}"/>
    <cellStyle name="Финансовый 3 2 3 3 2 2 2 2 2" xfId="47497" xr:uid="{00000000-0005-0000-0000-00000E7D0000}"/>
    <cellStyle name="Финансовый 3 2 3 3 2 2 2 3" xfId="35519" xr:uid="{00000000-0005-0000-0000-00000F7D0000}"/>
    <cellStyle name="Финансовый 3 2 3 3 2 2 3" xfId="15803" xr:uid="{00000000-0005-0000-0000-0000107D0000}"/>
    <cellStyle name="Финансовый 3 2 3 3 2 2 3 2" xfId="39758" xr:uid="{00000000-0005-0000-0000-0000117D0000}"/>
    <cellStyle name="Финансовый 3 2 3 3 2 2 4" xfId="27781" xr:uid="{00000000-0005-0000-0000-0000127D0000}"/>
    <cellStyle name="Финансовый 3 2 3 3 2 2 5" xfId="51050" xr:uid="{00000000-0005-0000-0000-0000137D0000}"/>
    <cellStyle name="Финансовый 3 2 3 3 2 3" xfId="5607" xr:uid="{00000000-0005-0000-0000-0000147D0000}"/>
    <cellStyle name="Финансовый 3 2 3 3 2 3 2" xfId="17585" xr:uid="{00000000-0005-0000-0000-0000157D0000}"/>
    <cellStyle name="Финансовый 3 2 3 3 2 3 2 2" xfId="41540" xr:uid="{00000000-0005-0000-0000-0000167D0000}"/>
    <cellStyle name="Финансовый 3 2 3 3 2 3 3" xfId="29562" xr:uid="{00000000-0005-0000-0000-0000177D0000}"/>
    <cellStyle name="Финансовый 3 2 3 3 2 4" xfId="8217" xr:uid="{00000000-0005-0000-0000-0000187D0000}"/>
    <cellStyle name="Финансовый 3 2 3 3 2 4 2" xfId="20195" xr:uid="{00000000-0005-0000-0000-0000197D0000}"/>
    <cellStyle name="Финансовый 3 2 3 3 2 4 2 2" xfId="44150" xr:uid="{00000000-0005-0000-0000-00001A7D0000}"/>
    <cellStyle name="Финансовый 3 2 3 3 2 4 3" xfId="32172" xr:uid="{00000000-0005-0000-0000-00001B7D0000}"/>
    <cellStyle name="Финансовый 3 2 3 3 2 5" xfId="10000" xr:uid="{00000000-0005-0000-0000-00001C7D0000}"/>
    <cellStyle name="Финансовый 3 2 3 3 2 5 2" xfId="21978" xr:uid="{00000000-0005-0000-0000-00001D7D0000}"/>
    <cellStyle name="Финансовый 3 2 3 3 2 5 2 2" xfId="45933" xr:uid="{00000000-0005-0000-0000-00001E7D0000}"/>
    <cellStyle name="Финансовый 3 2 3 3 2 5 3" xfId="33955" xr:uid="{00000000-0005-0000-0000-00001F7D0000}"/>
    <cellStyle name="Финансовый 3 2 3 3 2 6" xfId="14158" xr:uid="{00000000-0005-0000-0000-0000207D0000}"/>
    <cellStyle name="Финансовый 3 2 3 3 2 6 2" xfId="38113" xr:uid="{00000000-0005-0000-0000-0000217D0000}"/>
    <cellStyle name="Финансовый 3 2 3 3 2 7" xfId="26136" xr:uid="{00000000-0005-0000-0000-0000227D0000}"/>
    <cellStyle name="Финансовый 3 2 3 3 2 8" xfId="49269" xr:uid="{00000000-0005-0000-0000-0000237D0000}"/>
    <cellStyle name="Финансовый 3 2 3 3 3" xfId="1213" xr:uid="{00000000-0005-0000-0000-0000247D0000}"/>
    <cellStyle name="Финансовый 3 2 3 3 3 2" xfId="7253" xr:uid="{00000000-0005-0000-0000-0000257D0000}"/>
    <cellStyle name="Финансовый 3 2 3 3 3 2 2" xfId="19231" xr:uid="{00000000-0005-0000-0000-0000267D0000}"/>
    <cellStyle name="Финансовый 3 2 3 3 3 2 2 2" xfId="43186" xr:uid="{00000000-0005-0000-0000-0000277D0000}"/>
    <cellStyle name="Финансовый 3 2 3 3 3 2 3" xfId="31208" xr:uid="{00000000-0005-0000-0000-0000287D0000}"/>
    <cellStyle name="Финансовый 3 2 3 3 3 3" xfId="10792" xr:uid="{00000000-0005-0000-0000-0000297D0000}"/>
    <cellStyle name="Финансовый 3 2 3 3 3 3 2" xfId="22770" xr:uid="{00000000-0005-0000-0000-00002A7D0000}"/>
    <cellStyle name="Финансовый 3 2 3 3 3 3 2 2" xfId="46725" xr:uid="{00000000-0005-0000-0000-00002B7D0000}"/>
    <cellStyle name="Финансовый 3 2 3 3 3 3 3" xfId="34747" xr:uid="{00000000-0005-0000-0000-00002C7D0000}"/>
    <cellStyle name="Финансовый 3 2 3 3 3 4" xfId="13194" xr:uid="{00000000-0005-0000-0000-00002D7D0000}"/>
    <cellStyle name="Финансовый 3 2 3 3 3 4 2" xfId="37149" xr:uid="{00000000-0005-0000-0000-00002E7D0000}"/>
    <cellStyle name="Финансовый 3 2 3 3 3 5" xfId="25172" xr:uid="{00000000-0005-0000-0000-00002F7D0000}"/>
    <cellStyle name="Финансовый 3 2 3 3 3 6" xfId="50085" xr:uid="{00000000-0005-0000-0000-0000307D0000}"/>
    <cellStyle name="Финансовый 3 2 3 3 4" xfId="820" xr:uid="{00000000-0005-0000-0000-0000317D0000}"/>
    <cellStyle name="Финансовый 3 2 3 3 4 2" xfId="6860" xr:uid="{00000000-0005-0000-0000-0000327D0000}"/>
    <cellStyle name="Финансовый 3 2 3 3 4 2 2" xfId="18838" xr:uid="{00000000-0005-0000-0000-0000337D0000}"/>
    <cellStyle name="Финансовый 3 2 3 3 4 2 2 2" xfId="42793" xr:uid="{00000000-0005-0000-0000-0000347D0000}"/>
    <cellStyle name="Финансовый 3 2 3 3 4 2 3" xfId="30815" xr:uid="{00000000-0005-0000-0000-0000357D0000}"/>
    <cellStyle name="Финансовый 3 2 3 3 4 3" xfId="12801" xr:uid="{00000000-0005-0000-0000-0000367D0000}"/>
    <cellStyle name="Финансовый 3 2 3 3 4 3 2" xfId="36756" xr:uid="{00000000-0005-0000-0000-0000377D0000}"/>
    <cellStyle name="Финансовый 3 2 3 3 4 4" xfId="24779" xr:uid="{00000000-0005-0000-0000-0000387D0000}"/>
    <cellStyle name="Финансовый 3 2 3 3 5" xfId="2997" xr:uid="{00000000-0005-0000-0000-0000397D0000}"/>
    <cellStyle name="Финансовый 3 2 3 3 5 2" xfId="14976" xr:uid="{00000000-0005-0000-0000-00003A7D0000}"/>
    <cellStyle name="Финансовый 3 2 3 3 5 2 2" xfId="38931" xr:uid="{00000000-0005-0000-0000-00003B7D0000}"/>
    <cellStyle name="Финансовый 3 2 3 3 5 3" xfId="26954" xr:uid="{00000000-0005-0000-0000-00003C7D0000}"/>
    <cellStyle name="Финансовый 3 2 3 3 6" xfId="4641" xr:uid="{00000000-0005-0000-0000-00003D7D0000}"/>
    <cellStyle name="Финансовый 3 2 3 3 6 2" xfId="16620" xr:uid="{00000000-0005-0000-0000-00003E7D0000}"/>
    <cellStyle name="Финансовый 3 2 3 3 6 2 2" xfId="40575" xr:uid="{00000000-0005-0000-0000-00003F7D0000}"/>
    <cellStyle name="Финансовый 3 2 3 3 6 3" xfId="28598" xr:uid="{00000000-0005-0000-0000-0000407D0000}"/>
    <cellStyle name="Финансовый 3 2 3 3 7" xfId="6440" xr:uid="{00000000-0005-0000-0000-0000417D0000}"/>
    <cellStyle name="Финансовый 3 2 3 3 7 2" xfId="18418" xr:uid="{00000000-0005-0000-0000-0000427D0000}"/>
    <cellStyle name="Финансовый 3 2 3 3 7 2 2" xfId="42373" xr:uid="{00000000-0005-0000-0000-0000437D0000}"/>
    <cellStyle name="Финансовый 3 2 3 3 7 3" xfId="30395" xr:uid="{00000000-0005-0000-0000-0000447D0000}"/>
    <cellStyle name="Финансовый 3 2 3 3 8" xfId="9035" xr:uid="{00000000-0005-0000-0000-0000457D0000}"/>
    <cellStyle name="Финансовый 3 2 3 3 8 2" xfId="21013" xr:uid="{00000000-0005-0000-0000-0000467D0000}"/>
    <cellStyle name="Финансовый 3 2 3 3 8 2 2" xfId="44968" xr:uid="{00000000-0005-0000-0000-0000477D0000}"/>
    <cellStyle name="Финансовый 3 2 3 3 8 3" xfId="32990" xr:uid="{00000000-0005-0000-0000-0000487D0000}"/>
    <cellStyle name="Финансовый 3 2 3 3 9" xfId="12381" xr:uid="{00000000-0005-0000-0000-0000497D0000}"/>
    <cellStyle name="Финансовый 3 2 3 3 9 2" xfId="36336" xr:uid="{00000000-0005-0000-0000-00004A7D0000}"/>
    <cellStyle name="Финансовый 3 2 3 4" xfId="1518" xr:uid="{00000000-0005-0000-0000-00004B7D0000}"/>
    <cellStyle name="Финансовый 3 2 3 4 2" xfId="1923" xr:uid="{00000000-0005-0000-0000-00004C7D0000}"/>
    <cellStyle name="Финансовый 3 2 3 4 2 2" xfId="3568" xr:uid="{00000000-0005-0000-0000-00004D7D0000}"/>
    <cellStyle name="Финансовый 3 2 3 4 2 2 2" xfId="11308" xr:uid="{00000000-0005-0000-0000-00004E7D0000}"/>
    <cellStyle name="Финансовый 3 2 3 4 2 2 2 2" xfId="23286" xr:uid="{00000000-0005-0000-0000-00004F7D0000}"/>
    <cellStyle name="Финансовый 3 2 3 4 2 2 2 2 2" xfId="47241" xr:uid="{00000000-0005-0000-0000-0000507D0000}"/>
    <cellStyle name="Финансовый 3 2 3 4 2 2 2 3" xfId="35263" xr:uid="{00000000-0005-0000-0000-0000517D0000}"/>
    <cellStyle name="Финансовый 3 2 3 4 2 2 3" xfId="15547" xr:uid="{00000000-0005-0000-0000-0000527D0000}"/>
    <cellStyle name="Финансовый 3 2 3 4 2 2 3 2" xfId="39502" xr:uid="{00000000-0005-0000-0000-0000537D0000}"/>
    <cellStyle name="Финансовый 3 2 3 4 2 2 4" xfId="27525" xr:uid="{00000000-0005-0000-0000-0000547D0000}"/>
    <cellStyle name="Финансовый 3 2 3 4 2 2 5" xfId="50794" xr:uid="{00000000-0005-0000-0000-0000557D0000}"/>
    <cellStyle name="Финансовый 3 2 3 4 2 3" xfId="5351" xr:uid="{00000000-0005-0000-0000-0000567D0000}"/>
    <cellStyle name="Финансовый 3 2 3 4 2 3 2" xfId="17329" xr:uid="{00000000-0005-0000-0000-0000577D0000}"/>
    <cellStyle name="Финансовый 3 2 3 4 2 3 2 2" xfId="41284" xr:uid="{00000000-0005-0000-0000-0000587D0000}"/>
    <cellStyle name="Финансовый 3 2 3 4 2 3 3" xfId="29306" xr:uid="{00000000-0005-0000-0000-0000597D0000}"/>
    <cellStyle name="Финансовый 3 2 3 4 2 4" xfId="7961" xr:uid="{00000000-0005-0000-0000-00005A7D0000}"/>
    <cellStyle name="Финансовый 3 2 3 4 2 4 2" xfId="19939" xr:uid="{00000000-0005-0000-0000-00005B7D0000}"/>
    <cellStyle name="Финансовый 3 2 3 4 2 4 2 2" xfId="43894" xr:uid="{00000000-0005-0000-0000-00005C7D0000}"/>
    <cellStyle name="Финансовый 3 2 3 4 2 4 3" xfId="31916" xr:uid="{00000000-0005-0000-0000-00005D7D0000}"/>
    <cellStyle name="Финансовый 3 2 3 4 2 5" xfId="9744" xr:uid="{00000000-0005-0000-0000-00005E7D0000}"/>
    <cellStyle name="Финансовый 3 2 3 4 2 5 2" xfId="21722" xr:uid="{00000000-0005-0000-0000-00005F7D0000}"/>
    <cellStyle name="Финансовый 3 2 3 4 2 5 2 2" xfId="45677" xr:uid="{00000000-0005-0000-0000-0000607D0000}"/>
    <cellStyle name="Финансовый 3 2 3 4 2 5 3" xfId="33699" xr:uid="{00000000-0005-0000-0000-0000617D0000}"/>
    <cellStyle name="Финансовый 3 2 3 4 2 6" xfId="13902" xr:uid="{00000000-0005-0000-0000-0000627D0000}"/>
    <cellStyle name="Финансовый 3 2 3 4 2 6 2" xfId="37857" xr:uid="{00000000-0005-0000-0000-0000637D0000}"/>
    <cellStyle name="Финансовый 3 2 3 4 2 7" xfId="25880" xr:uid="{00000000-0005-0000-0000-0000647D0000}"/>
    <cellStyle name="Финансовый 3 2 3 4 2 8" xfId="49013" xr:uid="{00000000-0005-0000-0000-0000657D0000}"/>
    <cellStyle name="Финансовый 3 2 3 4 3" xfId="4946" xr:uid="{00000000-0005-0000-0000-0000667D0000}"/>
    <cellStyle name="Финансовый 3 2 3 4 3 2" xfId="16924" xr:uid="{00000000-0005-0000-0000-0000677D0000}"/>
    <cellStyle name="Финансовый 3 2 3 4 3 2 2" xfId="40879" xr:uid="{00000000-0005-0000-0000-0000687D0000}"/>
    <cellStyle name="Финансовый 3 2 3 4 3 3" xfId="28901" xr:uid="{00000000-0005-0000-0000-0000697D0000}"/>
    <cellStyle name="Финансовый 3 2 3 4 3 4" xfId="50389" xr:uid="{00000000-0005-0000-0000-00006A7D0000}"/>
    <cellStyle name="Финансовый 3 2 3 4 4" xfId="7556" xr:uid="{00000000-0005-0000-0000-00006B7D0000}"/>
    <cellStyle name="Финансовый 3 2 3 4 4 2" xfId="19534" xr:uid="{00000000-0005-0000-0000-00006C7D0000}"/>
    <cellStyle name="Финансовый 3 2 3 4 4 2 2" xfId="43489" xr:uid="{00000000-0005-0000-0000-00006D7D0000}"/>
    <cellStyle name="Финансовый 3 2 3 4 4 3" xfId="31511" xr:uid="{00000000-0005-0000-0000-00006E7D0000}"/>
    <cellStyle name="Финансовый 3 2 3 4 5" xfId="9339" xr:uid="{00000000-0005-0000-0000-00006F7D0000}"/>
    <cellStyle name="Финансовый 3 2 3 4 5 2" xfId="21317" xr:uid="{00000000-0005-0000-0000-0000707D0000}"/>
    <cellStyle name="Финансовый 3 2 3 4 5 2 2" xfId="45272" xr:uid="{00000000-0005-0000-0000-0000717D0000}"/>
    <cellStyle name="Финансовый 3 2 3 4 5 3" xfId="33294" xr:uid="{00000000-0005-0000-0000-0000727D0000}"/>
    <cellStyle name="Финансовый 3 2 3 4 6" xfId="13497" xr:uid="{00000000-0005-0000-0000-0000737D0000}"/>
    <cellStyle name="Финансовый 3 2 3 4 6 2" xfId="37452" xr:uid="{00000000-0005-0000-0000-0000747D0000}"/>
    <cellStyle name="Финансовый 3 2 3 4 7" xfId="25475" xr:uid="{00000000-0005-0000-0000-0000757D0000}"/>
    <cellStyle name="Финансовый 3 2 3 4 8" xfId="48608" xr:uid="{00000000-0005-0000-0000-0000767D0000}"/>
    <cellStyle name="Финансовый 3 2 3 5" xfId="1799" xr:uid="{00000000-0005-0000-0000-0000777D0000}"/>
    <cellStyle name="Финансовый 3 2 3 5 2" xfId="3444" xr:uid="{00000000-0005-0000-0000-0000787D0000}"/>
    <cellStyle name="Финансовый 3 2 3 5 2 2" xfId="11192" xr:uid="{00000000-0005-0000-0000-0000797D0000}"/>
    <cellStyle name="Финансовый 3 2 3 5 2 2 2" xfId="23170" xr:uid="{00000000-0005-0000-0000-00007A7D0000}"/>
    <cellStyle name="Финансовый 3 2 3 5 2 2 2 2" xfId="47125" xr:uid="{00000000-0005-0000-0000-00007B7D0000}"/>
    <cellStyle name="Финансовый 3 2 3 5 2 2 3" xfId="35147" xr:uid="{00000000-0005-0000-0000-00007C7D0000}"/>
    <cellStyle name="Финансовый 3 2 3 5 2 3" xfId="15423" xr:uid="{00000000-0005-0000-0000-00007D7D0000}"/>
    <cellStyle name="Финансовый 3 2 3 5 2 3 2" xfId="39378" xr:uid="{00000000-0005-0000-0000-00007E7D0000}"/>
    <cellStyle name="Финансовый 3 2 3 5 2 4" xfId="27401" xr:uid="{00000000-0005-0000-0000-00007F7D0000}"/>
    <cellStyle name="Финансовый 3 2 3 5 2 5" xfId="50670" xr:uid="{00000000-0005-0000-0000-0000807D0000}"/>
    <cellStyle name="Финансовый 3 2 3 5 3" xfId="5227" xr:uid="{00000000-0005-0000-0000-0000817D0000}"/>
    <cellStyle name="Финансовый 3 2 3 5 3 2" xfId="17205" xr:uid="{00000000-0005-0000-0000-0000827D0000}"/>
    <cellStyle name="Финансовый 3 2 3 5 3 2 2" xfId="41160" xr:uid="{00000000-0005-0000-0000-0000837D0000}"/>
    <cellStyle name="Финансовый 3 2 3 5 3 3" xfId="29182" xr:uid="{00000000-0005-0000-0000-0000847D0000}"/>
    <cellStyle name="Финансовый 3 2 3 5 4" xfId="7837" xr:uid="{00000000-0005-0000-0000-0000857D0000}"/>
    <cellStyle name="Финансовый 3 2 3 5 4 2" xfId="19815" xr:uid="{00000000-0005-0000-0000-0000867D0000}"/>
    <cellStyle name="Финансовый 3 2 3 5 4 2 2" xfId="43770" xr:uid="{00000000-0005-0000-0000-0000877D0000}"/>
    <cellStyle name="Финансовый 3 2 3 5 4 3" xfId="31792" xr:uid="{00000000-0005-0000-0000-0000887D0000}"/>
    <cellStyle name="Финансовый 3 2 3 5 5" xfId="9620" xr:uid="{00000000-0005-0000-0000-0000897D0000}"/>
    <cellStyle name="Финансовый 3 2 3 5 5 2" xfId="21598" xr:uid="{00000000-0005-0000-0000-00008A7D0000}"/>
    <cellStyle name="Финансовый 3 2 3 5 5 2 2" xfId="45553" xr:uid="{00000000-0005-0000-0000-00008B7D0000}"/>
    <cellStyle name="Финансовый 3 2 3 5 5 3" xfId="33575" xr:uid="{00000000-0005-0000-0000-00008C7D0000}"/>
    <cellStyle name="Финансовый 3 2 3 5 6" xfId="13778" xr:uid="{00000000-0005-0000-0000-00008D7D0000}"/>
    <cellStyle name="Финансовый 3 2 3 5 6 2" xfId="37733" xr:uid="{00000000-0005-0000-0000-00008E7D0000}"/>
    <cellStyle name="Финансовый 3 2 3 5 7" xfId="25756" xr:uid="{00000000-0005-0000-0000-00008F7D0000}"/>
    <cellStyle name="Финансовый 3 2 3 5 8" xfId="48889" xr:uid="{00000000-0005-0000-0000-0000907D0000}"/>
    <cellStyle name="Финансовый 3 2 3 6" xfId="2444" xr:uid="{00000000-0005-0000-0000-0000917D0000}"/>
    <cellStyle name="Финансовый 3 2 3 6 2" xfId="4089" xr:uid="{00000000-0005-0000-0000-0000927D0000}"/>
    <cellStyle name="Финансовый 3 2 3 6 2 2" xfId="11821" xr:uid="{00000000-0005-0000-0000-0000937D0000}"/>
    <cellStyle name="Финансовый 3 2 3 6 2 2 2" xfId="23799" xr:uid="{00000000-0005-0000-0000-0000947D0000}"/>
    <cellStyle name="Финансовый 3 2 3 6 2 2 2 2" xfId="47754" xr:uid="{00000000-0005-0000-0000-0000957D0000}"/>
    <cellStyle name="Финансовый 3 2 3 6 2 2 3" xfId="35776" xr:uid="{00000000-0005-0000-0000-0000967D0000}"/>
    <cellStyle name="Финансовый 3 2 3 6 2 3" xfId="16068" xr:uid="{00000000-0005-0000-0000-0000977D0000}"/>
    <cellStyle name="Финансовый 3 2 3 6 2 3 2" xfId="40023" xr:uid="{00000000-0005-0000-0000-0000987D0000}"/>
    <cellStyle name="Финансовый 3 2 3 6 2 4" xfId="28046" xr:uid="{00000000-0005-0000-0000-0000997D0000}"/>
    <cellStyle name="Финансовый 3 2 3 6 2 5" xfId="51315" xr:uid="{00000000-0005-0000-0000-00009A7D0000}"/>
    <cellStyle name="Финансовый 3 2 3 6 3" xfId="5872" xr:uid="{00000000-0005-0000-0000-00009B7D0000}"/>
    <cellStyle name="Финансовый 3 2 3 6 3 2" xfId="17850" xr:uid="{00000000-0005-0000-0000-00009C7D0000}"/>
    <cellStyle name="Финансовый 3 2 3 6 3 2 2" xfId="41805" xr:uid="{00000000-0005-0000-0000-00009D7D0000}"/>
    <cellStyle name="Финансовый 3 2 3 6 3 3" xfId="29827" xr:uid="{00000000-0005-0000-0000-00009E7D0000}"/>
    <cellStyle name="Финансовый 3 2 3 6 4" xfId="8482" xr:uid="{00000000-0005-0000-0000-00009F7D0000}"/>
    <cellStyle name="Финансовый 3 2 3 6 4 2" xfId="20460" xr:uid="{00000000-0005-0000-0000-0000A07D0000}"/>
    <cellStyle name="Финансовый 3 2 3 6 4 2 2" xfId="44415" xr:uid="{00000000-0005-0000-0000-0000A17D0000}"/>
    <cellStyle name="Финансовый 3 2 3 6 4 3" xfId="32437" xr:uid="{00000000-0005-0000-0000-0000A27D0000}"/>
    <cellStyle name="Финансовый 3 2 3 6 5" xfId="10265" xr:uid="{00000000-0005-0000-0000-0000A37D0000}"/>
    <cellStyle name="Финансовый 3 2 3 6 5 2" xfId="22243" xr:uid="{00000000-0005-0000-0000-0000A47D0000}"/>
    <cellStyle name="Финансовый 3 2 3 6 5 2 2" xfId="46198" xr:uid="{00000000-0005-0000-0000-0000A57D0000}"/>
    <cellStyle name="Финансовый 3 2 3 6 5 3" xfId="34220" xr:uid="{00000000-0005-0000-0000-0000A67D0000}"/>
    <cellStyle name="Финансовый 3 2 3 6 6" xfId="14423" xr:uid="{00000000-0005-0000-0000-0000A77D0000}"/>
    <cellStyle name="Финансовый 3 2 3 6 6 2" xfId="38378" xr:uid="{00000000-0005-0000-0000-0000A87D0000}"/>
    <cellStyle name="Финансовый 3 2 3 6 7" xfId="26401" xr:uid="{00000000-0005-0000-0000-0000A97D0000}"/>
    <cellStyle name="Финансовый 3 2 3 6 8" xfId="49534" xr:uid="{00000000-0005-0000-0000-0000AA7D0000}"/>
    <cellStyle name="Финансовый 3 2 3 7" xfId="1671" xr:uid="{00000000-0005-0000-0000-0000AB7D0000}"/>
    <cellStyle name="Финансовый 3 2 3 7 2" xfId="3316" xr:uid="{00000000-0005-0000-0000-0000AC7D0000}"/>
    <cellStyle name="Финансовый 3 2 3 7 2 2" xfId="11064" xr:uid="{00000000-0005-0000-0000-0000AD7D0000}"/>
    <cellStyle name="Финансовый 3 2 3 7 2 2 2" xfId="23042" xr:uid="{00000000-0005-0000-0000-0000AE7D0000}"/>
    <cellStyle name="Финансовый 3 2 3 7 2 2 2 2" xfId="46997" xr:uid="{00000000-0005-0000-0000-0000AF7D0000}"/>
    <cellStyle name="Финансовый 3 2 3 7 2 2 3" xfId="35019" xr:uid="{00000000-0005-0000-0000-0000B07D0000}"/>
    <cellStyle name="Финансовый 3 2 3 7 2 3" xfId="15295" xr:uid="{00000000-0005-0000-0000-0000B17D0000}"/>
    <cellStyle name="Финансовый 3 2 3 7 2 3 2" xfId="39250" xr:uid="{00000000-0005-0000-0000-0000B27D0000}"/>
    <cellStyle name="Финансовый 3 2 3 7 2 4" xfId="27273" xr:uid="{00000000-0005-0000-0000-0000B37D0000}"/>
    <cellStyle name="Финансовый 3 2 3 7 2 5" xfId="50542" xr:uid="{00000000-0005-0000-0000-0000B47D0000}"/>
    <cellStyle name="Финансовый 3 2 3 7 3" xfId="5099" xr:uid="{00000000-0005-0000-0000-0000B57D0000}"/>
    <cellStyle name="Финансовый 3 2 3 7 3 2" xfId="17077" xr:uid="{00000000-0005-0000-0000-0000B67D0000}"/>
    <cellStyle name="Финансовый 3 2 3 7 3 2 2" xfId="41032" xr:uid="{00000000-0005-0000-0000-0000B77D0000}"/>
    <cellStyle name="Финансовый 3 2 3 7 3 3" xfId="29054" xr:uid="{00000000-0005-0000-0000-0000B87D0000}"/>
    <cellStyle name="Финансовый 3 2 3 7 4" xfId="7709" xr:uid="{00000000-0005-0000-0000-0000B97D0000}"/>
    <cellStyle name="Финансовый 3 2 3 7 4 2" xfId="19687" xr:uid="{00000000-0005-0000-0000-0000BA7D0000}"/>
    <cellStyle name="Финансовый 3 2 3 7 4 2 2" xfId="43642" xr:uid="{00000000-0005-0000-0000-0000BB7D0000}"/>
    <cellStyle name="Финансовый 3 2 3 7 4 3" xfId="31664" xr:uid="{00000000-0005-0000-0000-0000BC7D0000}"/>
    <cellStyle name="Финансовый 3 2 3 7 5" xfId="9492" xr:uid="{00000000-0005-0000-0000-0000BD7D0000}"/>
    <cellStyle name="Финансовый 3 2 3 7 5 2" xfId="21470" xr:uid="{00000000-0005-0000-0000-0000BE7D0000}"/>
    <cellStyle name="Финансовый 3 2 3 7 5 2 2" xfId="45425" xr:uid="{00000000-0005-0000-0000-0000BF7D0000}"/>
    <cellStyle name="Финансовый 3 2 3 7 5 3" xfId="33447" xr:uid="{00000000-0005-0000-0000-0000C07D0000}"/>
    <cellStyle name="Финансовый 3 2 3 7 6" xfId="13650" xr:uid="{00000000-0005-0000-0000-0000C17D0000}"/>
    <cellStyle name="Финансовый 3 2 3 7 6 2" xfId="37605" xr:uid="{00000000-0005-0000-0000-0000C27D0000}"/>
    <cellStyle name="Финансовый 3 2 3 7 7" xfId="25628" xr:uid="{00000000-0005-0000-0000-0000C37D0000}"/>
    <cellStyle name="Финансовый 3 2 3 7 8" xfId="48761" xr:uid="{00000000-0005-0000-0000-0000C47D0000}"/>
    <cellStyle name="Финансовый 3 2 3 8" xfId="948" xr:uid="{00000000-0005-0000-0000-0000C57D0000}"/>
    <cellStyle name="Финансовый 3 2 3 8 2" xfId="6988" xr:uid="{00000000-0005-0000-0000-0000C67D0000}"/>
    <cellStyle name="Финансовый 3 2 3 8 2 2" xfId="18966" xr:uid="{00000000-0005-0000-0000-0000C77D0000}"/>
    <cellStyle name="Финансовый 3 2 3 8 2 2 2" xfId="42921" xr:uid="{00000000-0005-0000-0000-0000C87D0000}"/>
    <cellStyle name="Финансовый 3 2 3 8 2 3" xfId="30943" xr:uid="{00000000-0005-0000-0000-0000C97D0000}"/>
    <cellStyle name="Финансовый 3 2 3 8 3" xfId="10536" xr:uid="{00000000-0005-0000-0000-0000CA7D0000}"/>
    <cellStyle name="Финансовый 3 2 3 8 3 2" xfId="22514" xr:uid="{00000000-0005-0000-0000-0000CB7D0000}"/>
    <cellStyle name="Финансовый 3 2 3 8 3 2 2" xfId="46469" xr:uid="{00000000-0005-0000-0000-0000CC7D0000}"/>
    <cellStyle name="Финансовый 3 2 3 8 3 3" xfId="34491" xr:uid="{00000000-0005-0000-0000-0000CD7D0000}"/>
    <cellStyle name="Финансовый 3 2 3 8 4" xfId="12929" xr:uid="{00000000-0005-0000-0000-0000CE7D0000}"/>
    <cellStyle name="Финансовый 3 2 3 8 4 2" xfId="36884" xr:uid="{00000000-0005-0000-0000-0000CF7D0000}"/>
    <cellStyle name="Финансовый 3 2 3 8 5" xfId="24907" xr:uid="{00000000-0005-0000-0000-0000D07D0000}"/>
    <cellStyle name="Финансовый 3 2 3 8 6" xfId="49813" xr:uid="{00000000-0005-0000-0000-0000D17D0000}"/>
    <cellStyle name="Финансовый 3 2 3 9" xfId="536" xr:uid="{00000000-0005-0000-0000-0000D27D0000}"/>
    <cellStyle name="Финансовый 3 2 3 9 2" xfId="6576" xr:uid="{00000000-0005-0000-0000-0000D37D0000}"/>
    <cellStyle name="Финансовый 3 2 3 9 2 2" xfId="18554" xr:uid="{00000000-0005-0000-0000-0000D47D0000}"/>
    <cellStyle name="Финансовый 3 2 3 9 2 2 2" xfId="42509" xr:uid="{00000000-0005-0000-0000-0000D57D0000}"/>
    <cellStyle name="Финансовый 3 2 3 9 2 3" xfId="30531" xr:uid="{00000000-0005-0000-0000-0000D67D0000}"/>
    <cellStyle name="Финансовый 3 2 3 9 3" xfId="12517" xr:uid="{00000000-0005-0000-0000-0000D77D0000}"/>
    <cellStyle name="Финансовый 3 2 3 9 3 2" xfId="36472" xr:uid="{00000000-0005-0000-0000-0000D87D0000}"/>
    <cellStyle name="Финансовый 3 2 3 9 4" xfId="24495" xr:uid="{00000000-0005-0000-0000-0000D97D0000}"/>
    <cellStyle name="Финансовый 3 2 4" xfId="79" xr:uid="{00000000-0005-0000-0000-0000DA7D0000}"/>
    <cellStyle name="Финансовый 3 2 4 10" xfId="2689" xr:uid="{00000000-0005-0000-0000-0000DB7D0000}"/>
    <cellStyle name="Финансовый 3 2 4 10 2" xfId="14668" xr:uid="{00000000-0005-0000-0000-0000DC7D0000}"/>
    <cellStyle name="Финансовый 3 2 4 10 2 2" xfId="38623" xr:uid="{00000000-0005-0000-0000-0000DD7D0000}"/>
    <cellStyle name="Финансовый 3 2 4 10 3" xfId="26646" xr:uid="{00000000-0005-0000-0000-0000DE7D0000}"/>
    <cellStyle name="Финансовый 3 2 4 11" xfId="4333" xr:uid="{00000000-0005-0000-0000-0000DF7D0000}"/>
    <cellStyle name="Финансовый 3 2 4 11 2" xfId="16312" xr:uid="{00000000-0005-0000-0000-0000E07D0000}"/>
    <cellStyle name="Финансовый 3 2 4 11 2 2" xfId="40267" xr:uid="{00000000-0005-0000-0000-0000E17D0000}"/>
    <cellStyle name="Финансовый 3 2 4 11 3" xfId="28290" xr:uid="{00000000-0005-0000-0000-0000E27D0000}"/>
    <cellStyle name="Финансовый 3 2 4 12" xfId="6120" xr:uid="{00000000-0005-0000-0000-0000E37D0000}"/>
    <cellStyle name="Финансовый 3 2 4 12 2" xfId="18098" xr:uid="{00000000-0005-0000-0000-0000E47D0000}"/>
    <cellStyle name="Финансовый 3 2 4 12 2 2" xfId="42053" xr:uid="{00000000-0005-0000-0000-0000E57D0000}"/>
    <cellStyle name="Финансовый 3 2 4 12 3" xfId="30075" xr:uid="{00000000-0005-0000-0000-0000E67D0000}"/>
    <cellStyle name="Финансовый 3 2 4 13" xfId="8727" xr:uid="{00000000-0005-0000-0000-0000E77D0000}"/>
    <cellStyle name="Финансовый 3 2 4 13 2" xfId="20705" xr:uid="{00000000-0005-0000-0000-0000E87D0000}"/>
    <cellStyle name="Финансовый 3 2 4 13 2 2" xfId="44660" xr:uid="{00000000-0005-0000-0000-0000E97D0000}"/>
    <cellStyle name="Финансовый 3 2 4 13 3" xfId="32682" xr:uid="{00000000-0005-0000-0000-0000EA7D0000}"/>
    <cellStyle name="Финансовый 3 2 4 14" xfId="12061" xr:uid="{00000000-0005-0000-0000-0000EB7D0000}"/>
    <cellStyle name="Финансовый 3 2 4 14 2" xfId="36016" xr:uid="{00000000-0005-0000-0000-0000EC7D0000}"/>
    <cellStyle name="Финансовый 3 2 4 15" xfId="24039" xr:uid="{00000000-0005-0000-0000-0000ED7D0000}"/>
    <cellStyle name="Финансовый 3 2 4 16" xfId="47997" xr:uid="{00000000-0005-0000-0000-0000EE7D0000}"/>
    <cellStyle name="Финансовый 3 2 4 2" xfId="215" xr:uid="{00000000-0005-0000-0000-0000EF7D0000}"/>
    <cellStyle name="Финансовый 3 2 4 2 10" xfId="8863" xr:uid="{00000000-0005-0000-0000-0000F07D0000}"/>
    <cellStyle name="Финансовый 3 2 4 2 10 2" xfId="20841" xr:uid="{00000000-0005-0000-0000-0000F17D0000}"/>
    <cellStyle name="Финансовый 3 2 4 2 10 2 2" xfId="44796" xr:uid="{00000000-0005-0000-0000-0000F27D0000}"/>
    <cellStyle name="Финансовый 3 2 4 2 10 3" xfId="32818" xr:uid="{00000000-0005-0000-0000-0000F37D0000}"/>
    <cellStyle name="Финансовый 3 2 4 2 11" xfId="12197" xr:uid="{00000000-0005-0000-0000-0000F47D0000}"/>
    <cellStyle name="Финансовый 3 2 4 2 11 2" xfId="36152" xr:uid="{00000000-0005-0000-0000-0000F57D0000}"/>
    <cellStyle name="Финансовый 3 2 4 2 12" xfId="24175" xr:uid="{00000000-0005-0000-0000-0000F67D0000}"/>
    <cellStyle name="Финансовый 3 2 4 2 13" xfId="48133" xr:uid="{00000000-0005-0000-0000-0000F77D0000}"/>
    <cellStyle name="Финансовый 3 2 4 2 2" xfId="1313" xr:uid="{00000000-0005-0000-0000-0000F87D0000}"/>
    <cellStyle name="Финансовый 3 2 4 2 2 2" xfId="2271" xr:uid="{00000000-0005-0000-0000-0000F97D0000}"/>
    <cellStyle name="Финансовый 3 2 4 2 2 2 2" xfId="3916" xr:uid="{00000000-0005-0000-0000-0000FA7D0000}"/>
    <cellStyle name="Финансовый 3 2 4 2 2 2 2 2" xfId="11656" xr:uid="{00000000-0005-0000-0000-0000FB7D0000}"/>
    <cellStyle name="Финансовый 3 2 4 2 2 2 2 2 2" xfId="23634" xr:uid="{00000000-0005-0000-0000-0000FC7D0000}"/>
    <cellStyle name="Финансовый 3 2 4 2 2 2 2 2 2 2" xfId="47589" xr:uid="{00000000-0005-0000-0000-0000FD7D0000}"/>
    <cellStyle name="Финансовый 3 2 4 2 2 2 2 2 3" xfId="35611" xr:uid="{00000000-0005-0000-0000-0000FE7D0000}"/>
    <cellStyle name="Финансовый 3 2 4 2 2 2 2 3" xfId="15895" xr:uid="{00000000-0005-0000-0000-0000FF7D0000}"/>
    <cellStyle name="Финансовый 3 2 4 2 2 2 2 3 2" xfId="39850" xr:uid="{00000000-0005-0000-0000-0000007E0000}"/>
    <cellStyle name="Финансовый 3 2 4 2 2 2 2 4" xfId="27873" xr:uid="{00000000-0005-0000-0000-0000017E0000}"/>
    <cellStyle name="Финансовый 3 2 4 2 2 2 2 5" xfId="51142" xr:uid="{00000000-0005-0000-0000-0000027E0000}"/>
    <cellStyle name="Финансовый 3 2 4 2 2 2 3" xfId="5699" xr:uid="{00000000-0005-0000-0000-0000037E0000}"/>
    <cellStyle name="Финансовый 3 2 4 2 2 2 3 2" xfId="17677" xr:uid="{00000000-0005-0000-0000-0000047E0000}"/>
    <cellStyle name="Финансовый 3 2 4 2 2 2 3 2 2" xfId="41632" xr:uid="{00000000-0005-0000-0000-0000057E0000}"/>
    <cellStyle name="Финансовый 3 2 4 2 2 2 3 3" xfId="29654" xr:uid="{00000000-0005-0000-0000-0000067E0000}"/>
    <cellStyle name="Финансовый 3 2 4 2 2 2 4" xfId="8309" xr:uid="{00000000-0005-0000-0000-0000077E0000}"/>
    <cellStyle name="Финансовый 3 2 4 2 2 2 4 2" xfId="20287" xr:uid="{00000000-0005-0000-0000-0000087E0000}"/>
    <cellStyle name="Финансовый 3 2 4 2 2 2 4 2 2" xfId="44242" xr:uid="{00000000-0005-0000-0000-0000097E0000}"/>
    <cellStyle name="Финансовый 3 2 4 2 2 2 4 3" xfId="32264" xr:uid="{00000000-0005-0000-0000-00000A7E0000}"/>
    <cellStyle name="Финансовый 3 2 4 2 2 2 5" xfId="10092" xr:uid="{00000000-0005-0000-0000-00000B7E0000}"/>
    <cellStyle name="Финансовый 3 2 4 2 2 2 5 2" xfId="22070" xr:uid="{00000000-0005-0000-0000-00000C7E0000}"/>
    <cellStyle name="Финансовый 3 2 4 2 2 2 5 2 2" xfId="46025" xr:uid="{00000000-0005-0000-0000-00000D7E0000}"/>
    <cellStyle name="Финансовый 3 2 4 2 2 2 5 3" xfId="34047" xr:uid="{00000000-0005-0000-0000-00000E7E0000}"/>
    <cellStyle name="Финансовый 3 2 4 2 2 2 6" xfId="14250" xr:uid="{00000000-0005-0000-0000-00000F7E0000}"/>
    <cellStyle name="Финансовый 3 2 4 2 2 2 6 2" xfId="38205" xr:uid="{00000000-0005-0000-0000-0000107E0000}"/>
    <cellStyle name="Финансовый 3 2 4 2 2 2 7" xfId="26228" xr:uid="{00000000-0005-0000-0000-0000117E0000}"/>
    <cellStyle name="Финансовый 3 2 4 2 2 2 8" xfId="49361" xr:uid="{00000000-0005-0000-0000-0000127E0000}"/>
    <cellStyle name="Финансовый 3 2 4 2 2 3" xfId="3097" xr:uid="{00000000-0005-0000-0000-0000137E0000}"/>
    <cellStyle name="Финансовый 3 2 4 2 2 3 2" xfId="10884" xr:uid="{00000000-0005-0000-0000-0000147E0000}"/>
    <cellStyle name="Финансовый 3 2 4 2 2 3 2 2" xfId="22862" xr:uid="{00000000-0005-0000-0000-0000157E0000}"/>
    <cellStyle name="Финансовый 3 2 4 2 2 3 2 2 2" xfId="46817" xr:uid="{00000000-0005-0000-0000-0000167E0000}"/>
    <cellStyle name="Финансовый 3 2 4 2 2 3 2 3" xfId="34839" xr:uid="{00000000-0005-0000-0000-0000177E0000}"/>
    <cellStyle name="Финансовый 3 2 4 2 2 3 3" xfId="15076" xr:uid="{00000000-0005-0000-0000-0000187E0000}"/>
    <cellStyle name="Финансовый 3 2 4 2 2 3 3 2" xfId="39031" xr:uid="{00000000-0005-0000-0000-0000197E0000}"/>
    <cellStyle name="Финансовый 3 2 4 2 2 3 4" xfId="27054" xr:uid="{00000000-0005-0000-0000-00001A7E0000}"/>
    <cellStyle name="Финансовый 3 2 4 2 2 3 5" xfId="50185" xr:uid="{00000000-0005-0000-0000-00001B7E0000}"/>
    <cellStyle name="Финансовый 3 2 4 2 2 4" xfId="4741" xr:uid="{00000000-0005-0000-0000-00001C7E0000}"/>
    <cellStyle name="Финансовый 3 2 4 2 2 4 2" xfId="16720" xr:uid="{00000000-0005-0000-0000-00001D7E0000}"/>
    <cellStyle name="Финансовый 3 2 4 2 2 4 2 2" xfId="40675" xr:uid="{00000000-0005-0000-0000-00001E7E0000}"/>
    <cellStyle name="Финансовый 3 2 4 2 2 4 3" xfId="28698" xr:uid="{00000000-0005-0000-0000-00001F7E0000}"/>
    <cellStyle name="Финансовый 3 2 4 2 2 5" xfId="7353" xr:uid="{00000000-0005-0000-0000-0000207E0000}"/>
    <cellStyle name="Финансовый 3 2 4 2 2 5 2" xfId="19331" xr:uid="{00000000-0005-0000-0000-0000217E0000}"/>
    <cellStyle name="Финансовый 3 2 4 2 2 5 2 2" xfId="43286" xr:uid="{00000000-0005-0000-0000-0000227E0000}"/>
    <cellStyle name="Финансовый 3 2 4 2 2 5 3" xfId="31308" xr:uid="{00000000-0005-0000-0000-0000237E0000}"/>
    <cellStyle name="Финансовый 3 2 4 2 2 6" xfId="9135" xr:uid="{00000000-0005-0000-0000-0000247E0000}"/>
    <cellStyle name="Финансовый 3 2 4 2 2 6 2" xfId="21113" xr:uid="{00000000-0005-0000-0000-0000257E0000}"/>
    <cellStyle name="Финансовый 3 2 4 2 2 6 2 2" xfId="45068" xr:uid="{00000000-0005-0000-0000-0000267E0000}"/>
    <cellStyle name="Финансовый 3 2 4 2 2 6 3" xfId="33090" xr:uid="{00000000-0005-0000-0000-0000277E0000}"/>
    <cellStyle name="Финансовый 3 2 4 2 2 7" xfId="13294" xr:uid="{00000000-0005-0000-0000-0000287E0000}"/>
    <cellStyle name="Финансовый 3 2 4 2 2 7 2" xfId="37249" xr:uid="{00000000-0005-0000-0000-0000297E0000}"/>
    <cellStyle name="Финансовый 3 2 4 2 2 8" xfId="25272" xr:uid="{00000000-0005-0000-0000-00002A7E0000}"/>
    <cellStyle name="Финансовый 3 2 4 2 2 9" xfId="48405" xr:uid="{00000000-0005-0000-0000-00002B7E0000}"/>
    <cellStyle name="Финансовый 3 2 4 2 3" xfId="2015" xr:uid="{00000000-0005-0000-0000-00002C7E0000}"/>
    <cellStyle name="Финансовый 3 2 4 2 3 2" xfId="3660" xr:uid="{00000000-0005-0000-0000-00002D7E0000}"/>
    <cellStyle name="Финансовый 3 2 4 2 3 2 2" xfId="11400" xr:uid="{00000000-0005-0000-0000-00002E7E0000}"/>
    <cellStyle name="Финансовый 3 2 4 2 3 2 2 2" xfId="23378" xr:uid="{00000000-0005-0000-0000-00002F7E0000}"/>
    <cellStyle name="Финансовый 3 2 4 2 3 2 2 2 2" xfId="47333" xr:uid="{00000000-0005-0000-0000-0000307E0000}"/>
    <cellStyle name="Финансовый 3 2 4 2 3 2 2 3" xfId="35355" xr:uid="{00000000-0005-0000-0000-0000317E0000}"/>
    <cellStyle name="Финансовый 3 2 4 2 3 2 3" xfId="15639" xr:uid="{00000000-0005-0000-0000-0000327E0000}"/>
    <cellStyle name="Финансовый 3 2 4 2 3 2 3 2" xfId="39594" xr:uid="{00000000-0005-0000-0000-0000337E0000}"/>
    <cellStyle name="Финансовый 3 2 4 2 3 2 4" xfId="27617" xr:uid="{00000000-0005-0000-0000-0000347E0000}"/>
    <cellStyle name="Финансовый 3 2 4 2 3 2 5" xfId="50886" xr:uid="{00000000-0005-0000-0000-0000357E0000}"/>
    <cellStyle name="Финансовый 3 2 4 2 3 3" xfId="5443" xr:uid="{00000000-0005-0000-0000-0000367E0000}"/>
    <cellStyle name="Финансовый 3 2 4 2 3 3 2" xfId="17421" xr:uid="{00000000-0005-0000-0000-0000377E0000}"/>
    <cellStyle name="Финансовый 3 2 4 2 3 3 2 2" xfId="41376" xr:uid="{00000000-0005-0000-0000-0000387E0000}"/>
    <cellStyle name="Финансовый 3 2 4 2 3 3 3" xfId="29398" xr:uid="{00000000-0005-0000-0000-0000397E0000}"/>
    <cellStyle name="Финансовый 3 2 4 2 3 4" xfId="8053" xr:uid="{00000000-0005-0000-0000-00003A7E0000}"/>
    <cellStyle name="Финансовый 3 2 4 2 3 4 2" xfId="20031" xr:uid="{00000000-0005-0000-0000-00003B7E0000}"/>
    <cellStyle name="Финансовый 3 2 4 2 3 4 2 2" xfId="43986" xr:uid="{00000000-0005-0000-0000-00003C7E0000}"/>
    <cellStyle name="Финансовый 3 2 4 2 3 4 3" xfId="32008" xr:uid="{00000000-0005-0000-0000-00003D7E0000}"/>
    <cellStyle name="Финансовый 3 2 4 2 3 5" xfId="9836" xr:uid="{00000000-0005-0000-0000-00003E7E0000}"/>
    <cellStyle name="Финансовый 3 2 4 2 3 5 2" xfId="21814" xr:uid="{00000000-0005-0000-0000-00003F7E0000}"/>
    <cellStyle name="Финансовый 3 2 4 2 3 5 2 2" xfId="45769" xr:uid="{00000000-0005-0000-0000-0000407E0000}"/>
    <cellStyle name="Финансовый 3 2 4 2 3 5 3" xfId="33791" xr:uid="{00000000-0005-0000-0000-0000417E0000}"/>
    <cellStyle name="Финансовый 3 2 4 2 3 6" xfId="13994" xr:uid="{00000000-0005-0000-0000-0000427E0000}"/>
    <cellStyle name="Финансовый 3 2 4 2 3 6 2" xfId="37949" xr:uid="{00000000-0005-0000-0000-0000437E0000}"/>
    <cellStyle name="Финансовый 3 2 4 2 3 7" xfId="25972" xr:uid="{00000000-0005-0000-0000-0000447E0000}"/>
    <cellStyle name="Финансовый 3 2 4 2 3 8" xfId="49105" xr:uid="{00000000-0005-0000-0000-0000457E0000}"/>
    <cellStyle name="Финансовый 3 2 4 2 4" xfId="2544" xr:uid="{00000000-0005-0000-0000-0000467E0000}"/>
    <cellStyle name="Финансовый 3 2 4 2 4 2" xfId="4189" xr:uid="{00000000-0005-0000-0000-0000477E0000}"/>
    <cellStyle name="Финансовый 3 2 4 2 4 2 2" xfId="11913" xr:uid="{00000000-0005-0000-0000-0000487E0000}"/>
    <cellStyle name="Финансовый 3 2 4 2 4 2 2 2" xfId="23891" xr:uid="{00000000-0005-0000-0000-0000497E0000}"/>
    <cellStyle name="Финансовый 3 2 4 2 4 2 2 2 2" xfId="47846" xr:uid="{00000000-0005-0000-0000-00004A7E0000}"/>
    <cellStyle name="Финансовый 3 2 4 2 4 2 2 3" xfId="35868" xr:uid="{00000000-0005-0000-0000-00004B7E0000}"/>
    <cellStyle name="Финансовый 3 2 4 2 4 2 3" xfId="16168" xr:uid="{00000000-0005-0000-0000-00004C7E0000}"/>
    <cellStyle name="Финансовый 3 2 4 2 4 2 3 2" xfId="40123" xr:uid="{00000000-0005-0000-0000-00004D7E0000}"/>
    <cellStyle name="Финансовый 3 2 4 2 4 2 4" xfId="28146" xr:uid="{00000000-0005-0000-0000-00004E7E0000}"/>
    <cellStyle name="Финансовый 3 2 4 2 4 2 5" xfId="51415" xr:uid="{00000000-0005-0000-0000-00004F7E0000}"/>
    <cellStyle name="Финансовый 3 2 4 2 4 3" xfId="5972" xr:uid="{00000000-0005-0000-0000-0000507E0000}"/>
    <cellStyle name="Финансовый 3 2 4 2 4 3 2" xfId="17950" xr:uid="{00000000-0005-0000-0000-0000517E0000}"/>
    <cellStyle name="Финансовый 3 2 4 2 4 3 2 2" xfId="41905" xr:uid="{00000000-0005-0000-0000-0000527E0000}"/>
    <cellStyle name="Финансовый 3 2 4 2 4 3 3" xfId="29927" xr:uid="{00000000-0005-0000-0000-0000537E0000}"/>
    <cellStyle name="Финансовый 3 2 4 2 4 4" xfId="8582" xr:uid="{00000000-0005-0000-0000-0000547E0000}"/>
    <cellStyle name="Финансовый 3 2 4 2 4 4 2" xfId="20560" xr:uid="{00000000-0005-0000-0000-0000557E0000}"/>
    <cellStyle name="Финансовый 3 2 4 2 4 4 2 2" xfId="44515" xr:uid="{00000000-0005-0000-0000-0000567E0000}"/>
    <cellStyle name="Финансовый 3 2 4 2 4 4 3" xfId="32537" xr:uid="{00000000-0005-0000-0000-0000577E0000}"/>
    <cellStyle name="Финансовый 3 2 4 2 4 5" xfId="10365" xr:uid="{00000000-0005-0000-0000-0000587E0000}"/>
    <cellStyle name="Финансовый 3 2 4 2 4 5 2" xfId="22343" xr:uid="{00000000-0005-0000-0000-0000597E0000}"/>
    <cellStyle name="Финансовый 3 2 4 2 4 5 2 2" xfId="46298" xr:uid="{00000000-0005-0000-0000-00005A7E0000}"/>
    <cellStyle name="Финансовый 3 2 4 2 4 5 3" xfId="34320" xr:uid="{00000000-0005-0000-0000-00005B7E0000}"/>
    <cellStyle name="Финансовый 3 2 4 2 4 6" xfId="14523" xr:uid="{00000000-0005-0000-0000-00005C7E0000}"/>
    <cellStyle name="Финансовый 3 2 4 2 4 6 2" xfId="38478" xr:uid="{00000000-0005-0000-0000-00005D7E0000}"/>
    <cellStyle name="Финансовый 3 2 4 2 4 7" xfId="26501" xr:uid="{00000000-0005-0000-0000-00005E7E0000}"/>
    <cellStyle name="Финансовый 3 2 4 2 4 8" xfId="49634" xr:uid="{00000000-0005-0000-0000-00005F7E0000}"/>
    <cellStyle name="Финансовый 3 2 4 2 5" xfId="1048" xr:uid="{00000000-0005-0000-0000-0000607E0000}"/>
    <cellStyle name="Финансовый 3 2 4 2 5 2" xfId="7088" xr:uid="{00000000-0005-0000-0000-0000617E0000}"/>
    <cellStyle name="Финансовый 3 2 4 2 5 2 2" xfId="19066" xr:uid="{00000000-0005-0000-0000-0000627E0000}"/>
    <cellStyle name="Финансовый 3 2 4 2 5 2 2 2" xfId="43021" xr:uid="{00000000-0005-0000-0000-0000637E0000}"/>
    <cellStyle name="Финансовый 3 2 4 2 5 2 3" xfId="31043" xr:uid="{00000000-0005-0000-0000-0000647E0000}"/>
    <cellStyle name="Финансовый 3 2 4 2 5 3" xfId="10628" xr:uid="{00000000-0005-0000-0000-0000657E0000}"/>
    <cellStyle name="Финансовый 3 2 4 2 5 3 2" xfId="22606" xr:uid="{00000000-0005-0000-0000-0000667E0000}"/>
    <cellStyle name="Финансовый 3 2 4 2 5 3 2 2" xfId="46561" xr:uid="{00000000-0005-0000-0000-0000677E0000}"/>
    <cellStyle name="Финансовый 3 2 4 2 5 3 3" xfId="34583" xr:uid="{00000000-0005-0000-0000-0000687E0000}"/>
    <cellStyle name="Финансовый 3 2 4 2 5 4" xfId="13029" xr:uid="{00000000-0005-0000-0000-0000697E0000}"/>
    <cellStyle name="Финансовый 3 2 4 2 5 4 2" xfId="36984" xr:uid="{00000000-0005-0000-0000-00006A7E0000}"/>
    <cellStyle name="Финансовый 3 2 4 2 5 5" xfId="25007" xr:uid="{00000000-0005-0000-0000-00006B7E0000}"/>
    <cellStyle name="Финансовый 3 2 4 2 5 6" xfId="49913" xr:uid="{00000000-0005-0000-0000-00006C7E0000}"/>
    <cellStyle name="Финансовый 3 2 4 2 6" xfId="636" xr:uid="{00000000-0005-0000-0000-00006D7E0000}"/>
    <cellStyle name="Финансовый 3 2 4 2 6 2" xfId="6676" xr:uid="{00000000-0005-0000-0000-00006E7E0000}"/>
    <cellStyle name="Финансовый 3 2 4 2 6 2 2" xfId="18654" xr:uid="{00000000-0005-0000-0000-00006F7E0000}"/>
    <cellStyle name="Финансовый 3 2 4 2 6 2 2 2" xfId="42609" xr:uid="{00000000-0005-0000-0000-0000707E0000}"/>
    <cellStyle name="Финансовый 3 2 4 2 6 2 3" xfId="30631" xr:uid="{00000000-0005-0000-0000-0000717E0000}"/>
    <cellStyle name="Финансовый 3 2 4 2 6 3" xfId="12617" xr:uid="{00000000-0005-0000-0000-0000727E0000}"/>
    <cellStyle name="Финансовый 3 2 4 2 6 3 2" xfId="36572" xr:uid="{00000000-0005-0000-0000-0000737E0000}"/>
    <cellStyle name="Финансовый 3 2 4 2 6 4" xfId="24595" xr:uid="{00000000-0005-0000-0000-0000747E0000}"/>
    <cellStyle name="Финансовый 3 2 4 2 7" xfId="2825" xr:uid="{00000000-0005-0000-0000-0000757E0000}"/>
    <cellStyle name="Финансовый 3 2 4 2 7 2" xfId="14804" xr:uid="{00000000-0005-0000-0000-0000767E0000}"/>
    <cellStyle name="Финансовый 3 2 4 2 7 2 2" xfId="38759" xr:uid="{00000000-0005-0000-0000-0000777E0000}"/>
    <cellStyle name="Финансовый 3 2 4 2 7 3" xfId="26782" xr:uid="{00000000-0005-0000-0000-0000787E0000}"/>
    <cellStyle name="Финансовый 3 2 4 2 8" xfId="4469" xr:uid="{00000000-0005-0000-0000-0000797E0000}"/>
    <cellStyle name="Финансовый 3 2 4 2 8 2" xfId="16448" xr:uid="{00000000-0005-0000-0000-00007A7E0000}"/>
    <cellStyle name="Финансовый 3 2 4 2 8 2 2" xfId="40403" xr:uid="{00000000-0005-0000-0000-00007B7E0000}"/>
    <cellStyle name="Финансовый 3 2 4 2 8 3" xfId="28426" xr:uid="{00000000-0005-0000-0000-00007C7E0000}"/>
    <cellStyle name="Финансовый 3 2 4 2 9" xfId="6256" xr:uid="{00000000-0005-0000-0000-00007D7E0000}"/>
    <cellStyle name="Финансовый 3 2 4 2 9 2" xfId="18234" xr:uid="{00000000-0005-0000-0000-00007E7E0000}"/>
    <cellStyle name="Финансовый 3 2 4 2 9 2 2" xfId="42189" xr:uid="{00000000-0005-0000-0000-00007F7E0000}"/>
    <cellStyle name="Финансовый 3 2 4 2 9 3" xfId="30211" xr:uid="{00000000-0005-0000-0000-0000807E0000}"/>
    <cellStyle name="Финансовый 3 2 4 3" xfId="364" xr:uid="{00000000-0005-0000-0000-0000817E0000}"/>
    <cellStyle name="Финансовый 3 2 4 3 10" xfId="24323" xr:uid="{00000000-0005-0000-0000-0000827E0000}"/>
    <cellStyle name="Финансовый 3 2 4 3 11" xfId="48269" xr:uid="{00000000-0005-0000-0000-0000837E0000}"/>
    <cellStyle name="Финансовый 3 2 4 3 2" xfId="2143" xr:uid="{00000000-0005-0000-0000-0000847E0000}"/>
    <cellStyle name="Финансовый 3 2 4 3 2 2" xfId="3788" xr:uid="{00000000-0005-0000-0000-0000857E0000}"/>
    <cellStyle name="Финансовый 3 2 4 3 2 2 2" xfId="11528" xr:uid="{00000000-0005-0000-0000-0000867E0000}"/>
    <cellStyle name="Финансовый 3 2 4 3 2 2 2 2" xfId="23506" xr:uid="{00000000-0005-0000-0000-0000877E0000}"/>
    <cellStyle name="Финансовый 3 2 4 3 2 2 2 2 2" xfId="47461" xr:uid="{00000000-0005-0000-0000-0000887E0000}"/>
    <cellStyle name="Финансовый 3 2 4 3 2 2 2 3" xfId="35483" xr:uid="{00000000-0005-0000-0000-0000897E0000}"/>
    <cellStyle name="Финансовый 3 2 4 3 2 2 3" xfId="15767" xr:uid="{00000000-0005-0000-0000-00008A7E0000}"/>
    <cellStyle name="Финансовый 3 2 4 3 2 2 3 2" xfId="39722" xr:uid="{00000000-0005-0000-0000-00008B7E0000}"/>
    <cellStyle name="Финансовый 3 2 4 3 2 2 4" xfId="27745" xr:uid="{00000000-0005-0000-0000-00008C7E0000}"/>
    <cellStyle name="Финансовый 3 2 4 3 2 2 5" xfId="51014" xr:uid="{00000000-0005-0000-0000-00008D7E0000}"/>
    <cellStyle name="Финансовый 3 2 4 3 2 3" xfId="5571" xr:uid="{00000000-0005-0000-0000-00008E7E0000}"/>
    <cellStyle name="Финансовый 3 2 4 3 2 3 2" xfId="17549" xr:uid="{00000000-0005-0000-0000-00008F7E0000}"/>
    <cellStyle name="Финансовый 3 2 4 3 2 3 2 2" xfId="41504" xr:uid="{00000000-0005-0000-0000-0000907E0000}"/>
    <cellStyle name="Финансовый 3 2 4 3 2 3 3" xfId="29526" xr:uid="{00000000-0005-0000-0000-0000917E0000}"/>
    <cellStyle name="Финансовый 3 2 4 3 2 4" xfId="8181" xr:uid="{00000000-0005-0000-0000-0000927E0000}"/>
    <cellStyle name="Финансовый 3 2 4 3 2 4 2" xfId="20159" xr:uid="{00000000-0005-0000-0000-0000937E0000}"/>
    <cellStyle name="Финансовый 3 2 4 3 2 4 2 2" xfId="44114" xr:uid="{00000000-0005-0000-0000-0000947E0000}"/>
    <cellStyle name="Финансовый 3 2 4 3 2 4 3" xfId="32136" xr:uid="{00000000-0005-0000-0000-0000957E0000}"/>
    <cellStyle name="Финансовый 3 2 4 3 2 5" xfId="9964" xr:uid="{00000000-0005-0000-0000-0000967E0000}"/>
    <cellStyle name="Финансовый 3 2 4 3 2 5 2" xfId="21942" xr:uid="{00000000-0005-0000-0000-0000977E0000}"/>
    <cellStyle name="Финансовый 3 2 4 3 2 5 2 2" xfId="45897" xr:uid="{00000000-0005-0000-0000-0000987E0000}"/>
    <cellStyle name="Финансовый 3 2 4 3 2 5 3" xfId="33919" xr:uid="{00000000-0005-0000-0000-0000997E0000}"/>
    <cellStyle name="Финансовый 3 2 4 3 2 6" xfId="14122" xr:uid="{00000000-0005-0000-0000-00009A7E0000}"/>
    <cellStyle name="Финансовый 3 2 4 3 2 6 2" xfId="38077" xr:uid="{00000000-0005-0000-0000-00009B7E0000}"/>
    <cellStyle name="Финансовый 3 2 4 3 2 7" xfId="26100" xr:uid="{00000000-0005-0000-0000-00009C7E0000}"/>
    <cellStyle name="Финансовый 3 2 4 3 2 8" xfId="49233" xr:uid="{00000000-0005-0000-0000-00009D7E0000}"/>
    <cellStyle name="Финансовый 3 2 4 3 3" xfId="1177" xr:uid="{00000000-0005-0000-0000-00009E7E0000}"/>
    <cellStyle name="Финансовый 3 2 4 3 3 2" xfId="7217" xr:uid="{00000000-0005-0000-0000-00009F7E0000}"/>
    <cellStyle name="Финансовый 3 2 4 3 3 2 2" xfId="19195" xr:uid="{00000000-0005-0000-0000-0000A07E0000}"/>
    <cellStyle name="Финансовый 3 2 4 3 3 2 2 2" xfId="43150" xr:uid="{00000000-0005-0000-0000-0000A17E0000}"/>
    <cellStyle name="Финансовый 3 2 4 3 3 2 3" xfId="31172" xr:uid="{00000000-0005-0000-0000-0000A27E0000}"/>
    <cellStyle name="Финансовый 3 2 4 3 3 3" xfId="10756" xr:uid="{00000000-0005-0000-0000-0000A37E0000}"/>
    <cellStyle name="Финансовый 3 2 4 3 3 3 2" xfId="22734" xr:uid="{00000000-0005-0000-0000-0000A47E0000}"/>
    <cellStyle name="Финансовый 3 2 4 3 3 3 2 2" xfId="46689" xr:uid="{00000000-0005-0000-0000-0000A57E0000}"/>
    <cellStyle name="Финансовый 3 2 4 3 3 3 3" xfId="34711" xr:uid="{00000000-0005-0000-0000-0000A67E0000}"/>
    <cellStyle name="Финансовый 3 2 4 3 3 4" xfId="13158" xr:uid="{00000000-0005-0000-0000-0000A77E0000}"/>
    <cellStyle name="Финансовый 3 2 4 3 3 4 2" xfId="37113" xr:uid="{00000000-0005-0000-0000-0000A87E0000}"/>
    <cellStyle name="Финансовый 3 2 4 3 3 5" xfId="25136" xr:uid="{00000000-0005-0000-0000-0000A97E0000}"/>
    <cellStyle name="Финансовый 3 2 4 3 3 6" xfId="50049" xr:uid="{00000000-0005-0000-0000-0000AA7E0000}"/>
    <cellStyle name="Финансовый 3 2 4 3 4" xfId="784" xr:uid="{00000000-0005-0000-0000-0000AB7E0000}"/>
    <cellStyle name="Финансовый 3 2 4 3 4 2" xfId="6824" xr:uid="{00000000-0005-0000-0000-0000AC7E0000}"/>
    <cellStyle name="Финансовый 3 2 4 3 4 2 2" xfId="18802" xr:uid="{00000000-0005-0000-0000-0000AD7E0000}"/>
    <cellStyle name="Финансовый 3 2 4 3 4 2 2 2" xfId="42757" xr:uid="{00000000-0005-0000-0000-0000AE7E0000}"/>
    <cellStyle name="Финансовый 3 2 4 3 4 2 3" xfId="30779" xr:uid="{00000000-0005-0000-0000-0000AF7E0000}"/>
    <cellStyle name="Финансовый 3 2 4 3 4 3" xfId="12765" xr:uid="{00000000-0005-0000-0000-0000B07E0000}"/>
    <cellStyle name="Финансовый 3 2 4 3 4 3 2" xfId="36720" xr:uid="{00000000-0005-0000-0000-0000B17E0000}"/>
    <cellStyle name="Финансовый 3 2 4 3 4 4" xfId="24743" xr:uid="{00000000-0005-0000-0000-0000B27E0000}"/>
    <cellStyle name="Финансовый 3 2 4 3 5" xfId="2961" xr:uid="{00000000-0005-0000-0000-0000B37E0000}"/>
    <cellStyle name="Финансовый 3 2 4 3 5 2" xfId="14940" xr:uid="{00000000-0005-0000-0000-0000B47E0000}"/>
    <cellStyle name="Финансовый 3 2 4 3 5 2 2" xfId="38895" xr:uid="{00000000-0005-0000-0000-0000B57E0000}"/>
    <cellStyle name="Финансовый 3 2 4 3 5 3" xfId="26918" xr:uid="{00000000-0005-0000-0000-0000B67E0000}"/>
    <cellStyle name="Финансовый 3 2 4 3 6" xfId="4605" xr:uid="{00000000-0005-0000-0000-0000B77E0000}"/>
    <cellStyle name="Финансовый 3 2 4 3 6 2" xfId="16584" xr:uid="{00000000-0005-0000-0000-0000B87E0000}"/>
    <cellStyle name="Финансовый 3 2 4 3 6 2 2" xfId="40539" xr:uid="{00000000-0005-0000-0000-0000B97E0000}"/>
    <cellStyle name="Финансовый 3 2 4 3 6 3" xfId="28562" xr:uid="{00000000-0005-0000-0000-0000BA7E0000}"/>
    <cellStyle name="Финансовый 3 2 4 3 7" xfId="6404" xr:uid="{00000000-0005-0000-0000-0000BB7E0000}"/>
    <cellStyle name="Финансовый 3 2 4 3 7 2" xfId="18382" xr:uid="{00000000-0005-0000-0000-0000BC7E0000}"/>
    <cellStyle name="Финансовый 3 2 4 3 7 2 2" xfId="42337" xr:uid="{00000000-0005-0000-0000-0000BD7E0000}"/>
    <cellStyle name="Финансовый 3 2 4 3 7 3" xfId="30359" xr:uid="{00000000-0005-0000-0000-0000BE7E0000}"/>
    <cellStyle name="Финансовый 3 2 4 3 8" xfId="8999" xr:uid="{00000000-0005-0000-0000-0000BF7E0000}"/>
    <cellStyle name="Финансовый 3 2 4 3 8 2" xfId="20977" xr:uid="{00000000-0005-0000-0000-0000C07E0000}"/>
    <cellStyle name="Финансовый 3 2 4 3 8 2 2" xfId="44932" xr:uid="{00000000-0005-0000-0000-0000C17E0000}"/>
    <cellStyle name="Финансовый 3 2 4 3 8 3" xfId="32954" xr:uid="{00000000-0005-0000-0000-0000C27E0000}"/>
    <cellStyle name="Финансовый 3 2 4 3 9" xfId="12345" xr:uid="{00000000-0005-0000-0000-0000C37E0000}"/>
    <cellStyle name="Финансовый 3 2 4 3 9 2" xfId="36300" xr:uid="{00000000-0005-0000-0000-0000C47E0000}"/>
    <cellStyle name="Финансовый 3 2 4 4" xfId="1519" xr:uid="{00000000-0005-0000-0000-0000C57E0000}"/>
    <cellStyle name="Финансовый 3 2 4 4 2" xfId="1887" xr:uid="{00000000-0005-0000-0000-0000C67E0000}"/>
    <cellStyle name="Финансовый 3 2 4 4 2 2" xfId="3532" xr:uid="{00000000-0005-0000-0000-0000C77E0000}"/>
    <cellStyle name="Финансовый 3 2 4 4 2 2 2" xfId="11272" xr:uid="{00000000-0005-0000-0000-0000C87E0000}"/>
    <cellStyle name="Финансовый 3 2 4 4 2 2 2 2" xfId="23250" xr:uid="{00000000-0005-0000-0000-0000C97E0000}"/>
    <cellStyle name="Финансовый 3 2 4 4 2 2 2 2 2" xfId="47205" xr:uid="{00000000-0005-0000-0000-0000CA7E0000}"/>
    <cellStyle name="Финансовый 3 2 4 4 2 2 2 3" xfId="35227" xr:uid="{00000000-0005-0000-0000-0000CB7E0000}"/>
    <cellStyle name="Финансовый 3 2 4 4 2 2 3" xfId="15511" xr:uid="{00000000-0005-0000-0000-0000CC7E0000}"/>
    <cellStyle name="Финансовый 3 2 4 4 2 2 3 2" xfId="39466" xr:uid="{00000000-0005-0000-0000-0000CD7E0000}"/>
    <cellStyle name="Финансовый 3 2 4 4 2 2 4" xfId="27489" xr:uid="{00000000-0005-0000-0000-0000CE7E0000}"/>
    <cellStyle name="Финансовый 3 2 4 4 2 2 5" xfId="50758" xr:uid="{00000000-0005-0000-0000-0000CF7E0000}"/>
    <cellStyle name="Финансовый 3 2 4 4 2 3" xfId="5315" xr:uid="{00000000-0005-0000-0000-0000D07E0000}"/>
    <cellStyle name="Финансовый 3 2 4 4 2 3 2" xfId="17293" xr:uid="{00000000-0005-0000-0000-0000D17E0000}"/>
    <cellStyle name="Финансовый 3 2 4 4 2 3 2 2" xfId="41248" xr:uid="{00000000-0005-0000-0000-0000D27E0000}"/>
    <cellStyle name="Финансовый 3 2 4 4 2 3 3" xfId="29270" xr:uid="{00000000-0005-0000-0000-0000D37E0000}"/>
    <cellStyle name="Финансовый 3 2 4 4 2 4" xfId="7925" xr:uid="{00000000-0005-0000-0000-0000D47E0000}"/>
    <cellStyle name="Финансовый 3 2 4 4 2 4 2" xfId="19903" xr:uid="{00000000-0005-0000-0000-0000D57E0000}"/>
    <cellStyle name="Финансовый 3 2 4 4 2 4 2 2" xfId="43858" xr:uid="{00000000-0005-0000-0000-0000D67E0000}"/>
    <cellStyle name="Финансовый 3 2 4 4 2 4 3" xfId="31880" xr:uid="{00000000-0005-0000-0000-0000D77E0000}"/>
    <cellStyle name="Финансовый 3 2 4 4 2 5" xfId="9708" xr:uid="{00000000-0005-0000-0000-0000D87E0000}"/>
    <cellStyle name="Финансовый 3 2 4 4 2 5 2" xfId="21686" xr:uid="{00000000-0005-0000-0000-0000D97E0000}"/>
    <cellStyle name="Финансовый 3 2 4 4 2 5 2 2" xfId="45641" xr:uid="{00000000-0005-0000-0000-0000DA7E0000}"/>
    <cellStyle name="Финансовый 3 2 4 4 2 5 3" xfId="33663" xr:uid="{00000000-0005-0000-0000-0000DB7E0000}"/>
    <cellStyle name="Финансовый 3 2 4 4 2 6" xfId="13866" xr:uid="{00000000-0005-0000-0000-0000DC7E0000}"/>
    <cellStyle name="Финансовый 3 2 4 4 2 6 2" xfId="37821" xr:uid="{00000000-0005-0000-0000-0000DD7E0000}"/>
    <cellStyle name="Финансовый 3 2 4 4 2 7" xfId="25844" xr:uid="{00000000-0005-0000-0000-0000DE7E0000}"/>
    <cellStyle name="Финансовый 3 2 4 4 2 8" xfId="48977" xr:uid="{00000000-0005-0000-0000-0000DF7E0000}"/>
    <cellStyle name="Финансовый 3 2 4 4 3" xfId="4947" xr:uid="{00000000-0005-0000-0000-0000E07E0000}"/>
    <cellStyle name="Финансовый 3 2 4 4 3 2" xfId="16925" xr:uid="{00000000-0005-0000-0000-0000E17E0000}"/>
    <cellStyle name="Финансовый 3 2 4 4 3 2 2" xfId="40880" xr:uid="{00000000-0005-0000-0000-0000E27E0000}"/>
    <cellStyle name="Финансовый 3 2 4 4 3 3" xfId="28902" xr:uid="{00000000-0005-0000-0000-0000E37E0000}"/>
    <cellStyle name="Финансовый 3 2 4 4 3 4" xfId="50390" xr:uid="{00000000-0005-0000-0000-0000E47E0000}"/>
    <cellStyle name="Финансовый 3 2 4 4 4" xfId="7557" xr:uid="{00000000-0005-0000-0000-0000E57E0000}"/>
    <cellStyle name="Финансовый 3 2 4 4 4 2" xfId="19535" xr:uid="{00000000-0005-0000-0000-0000E67E0000}"/>
    <cellStyle name="Финансовый 3 2 4 4 4 2 2" xfId="43490" xr:uid="{00000000-0005-0000-0000-0000E77E0000}"/>
    <cellStyle name="Финансовый 3 2 4 4 4 3" xfId="31512" xr:uid="{00000000-0005-0000-0000-0000E87E0000}"/>
    <cellStyle name="Финансовый 3 2 4 4 5" xfId="9340" xr:uid="{00000000-0005-0000-0000-0000E97E0000}"/>
    <cellStyle name="Финансовый 3 2 4 4 5 2" xfId="21318" xr:uid="{00000000-0005-0000-0000-0000EA7E0000}"/>
    <cellStyle name="Финансовый 3 2 4 4 5 2 2" xfId="45273" xr:uid="{00000000-0005-0000-0000-0000EB7E0000}"/>
    <cellStyle name="Финансовый 3 2 4 4 5 3" xfId="33295" xr:uid="{00000000-0005-0000-0000-0000EC7E0000}"/>
    <cellStyle name="Финансовый 3 2 4 4 6" xfId="13498" xr:uid="{00000000-0005-0000-0000-0000ED7E0000}"/>
    <cellStyle name="Финансовый 3 2 4 4 6 2" xfId="37453" xr:uid="{00000000-0005-0000-0000-0000EE7E0000}"/>
    <cellStyle name="Финансовый 3 2 4 4 7" xfId="25476" xr:uid="{00000000-0005-0000-0000-0000EF7E0000}"/>
    <cellStyle name="Финансовый 3 2 4 4 8" xfId="48609" xr:uid="{00000000-0005-0000-0000-0000F07E0000}"/>
    <cellStyle name="Финансовый 3 2 4 5" xfId="1763" xr:uid="{00000000-0005-0000-0000-0000F17E0000}"/>
    <cellStyle name="Финансовый 3 2 4 5 2" xfId="3408" xr:uid="{00000000-0005-0000-0000-0000F27E0000}"/>
    <cellStyle name="Финансовый 3 2 4 5 2 2" xfId="11156" xr:uid="{00000000-0005-0000-0000-0000F37E0000}"/>
    <cellStyle name="Финансовый 3 2 4 5 2 2 2" xfId="23134" xr:uid="{00000000-0005-0000-0000-0000F47E0000}"/>
    <cellStyle name="Финансовый 3 2 4 5 2 2 2 2" xfId="47089" xr:uid="{00000000-0005-0000-0000-0000F57E0000}"/>
    <cellStyle name="Финансовый 3 2 4 5 2 2 3" xfId="35111" xr:uid="{00000000-0005-0000-0000-0000F67E0000}"/>
    <cellStyle name="Финансовый 3 2 4 5 2 3" xfId="15387" xr:uid="{00000000-0005-0000-0000-0000F77E0000}"/>
    <cellStyle name="Финансовый 3 2 4 5 2 3 2" xfId="39342" xr:uid="{00000000-0005-0000-0000-0000F87E0000}"/>
    <cellStyle name="Финансовый 3 2 4 5 2 4" xfId="27365" xr:uid="{00000000-0005-0000-0000-0000F97E0000}"/>
    <cellStyle name="Финансовый 3 2 4 5 2 5" xfId="50634" xr:uid="{00000000-0005-0000-0000-0000FA7E0000}"/>
    <cellStyle name="Финансовый 3 2 4 5 3" xfId="5191" xr:uid="{00000000-0005-0000-0000-0000FB7E0000}"/>
    <cellStyle name="Финансовый 3 2 4 5 3 2" xfId="17169" xr:uid="{00000000-0005-0000-0000-0000FC7E0000}"/>
    <cellStyle name="Финансовый 3 2 4 5 3 2 2" xfId="41124" xr:uid="{00000000-0005-0000-0000-0000FD7E0000}"/>
    <cellStyle name="Финансовый 3 2 4 5 3 3" xfId="29146" xr:uid="{00000000-0005-0000-0000-0000FE7E0000}"/>
    <cellStyle name="Финансовый 3 2 4 5 4" xfId="7801" xr:uid="{00000000-0005-0000-0000-0000FF7E0000}"/>
    <cellStyle name="Финансовый 3 2 4 5 4 2" xfId="19779" xr:uid="{00000000-0005-0000-0000-0000007F0000}"/>
    <cellStyle name="Финансовый 3 2 4 5 4 2 2" xfId="43734" xr:uid="{00000000-0005-0000-0000-0000017F0000}"/>
    <cellStyle name="Финансовый 3 2 4 5 4 3" xfId="31756" xr:uid="{00000000-0005-0000-0000-0000027F0000}"/>
    <cellStyle name="Финансовый 3 2 4 5 5" xfId="9584" xr:uid="{00000000-0005-0000-0000-0000037F0000}"/>
    <cellStyle name="Финансовый 3 2 4 5 5 2" xfId="21562" xr:uid="{00000000-0005-0000-0000-0000047F0000}"/>
    <cellStyle name="Финансовый 3 2 4 5 5 2 2" xfId="45517" xr:uid="{00000000-0005-0000-0000-0000057F0000}"/>
    <cellStyle name="Финансовый 3 2 4 5 5 3" xfId="33539" xr:uid="{00000000-0005-0000-0000-0000067F0000}"/>
    <cellStyle name="Финансовый 3 2 4 5 6" xfId="13742" xr:uid="{00000000-0005-0000-0000-0000077F0000}"/>
    <cellStyle name="Финансовый 3 2 4 5 6 2" xfId="37697" xr:uid="{00000000-0005-0000-0000-0000087F0000}"/>
    <cellStyle name="Финансовый 3 2 4 5 7" xfId="25720" xr:uid="{00000000-0005-0000-0000-0000097F0000}"/>
    <cellStyle name="Финансовый 3 2 4 5 8" xfId="48853" xr:uid="{00000000-0005-0000-0000-00000A7F0000}"/>
    <cellStyle name="Финансовый 3 2 4 6" xfId="2408" xr:uid="{00000000-0005-0000-0000-00000B7F0000}"/>
    <cellStyle name="Финансовый 3 2 4 6 2" xfId="4053" xr:uid="{00000000-0005-0000-0000-00000C7F0000}"/>
    <cellStyle name="Финансовый 3 2 4 6 2 2" xfId="11785" xr:uid="{00000000-0005-0000-0000-00000D7F0000}"/>
    <cellStyle name="Финансовый 3 2 4 6 2 2 2" xfId="23763" xr:uid="{00000000-0005-0000-0000-00000E7F0000}"/>
    <cellStyle name="Финансовый 3 2 4 6 2 2 2 2" xfId="47718" xr:uid="{00000000-0005-0000-0000-00000F7F0000}"/>
    <cellStyle name="Финансовый 3 2 4 6 2 2 3" xfId="35740" xr:uid="{00000000-0005-0000-0000-0000107F0000}"/>
    <cellStyle name="Финансовый 3 2 4 6 2 3" xfId="16032" xr:uid="{00000000-0005-0000-0000-0000117F0000}"/>
    <cellStyle name="Финансовый 3 2 4 6 2 3 2" xfId="39987" xr:uid="{00000000-0005-0000-0000-0000127F0000}"/>
    <cellStyle name="Финансовый 3 2 4 6 2 4" xfId="28010" xr:uid="{00000000-0005-0000-0000-0000137F0000}"/>
    <cellStyle name="Финансовый 3 2 4 6 2 5" xfId="51279" xr:uid="{00000000-0005-0000-0000-0000147F0000}"/>
    <cellStyle name="Финансовый 3 2 4 6 3" xfId="5836" xr:uid="{00000000-0005-0000-0000-0000157F0000}"/>
    <cellStyle name="Финансовый 3 2 4 6 3 2" xfId="17814" xr:uid="{00000000-0005-0000-0000-0000167F0000}"/>
    <cellStyle name="Финансовый 3 2 4 6 3 2 2" xfId="41769" xr:uid="{00000000-0005-0000-0000-0000177F0000}"/>
    <cellStyle name="Финансовый 3 2 4 6 3 3" xfId="29791" xr:uid="{00000000-0005-0000-0000-0000187F0000}"/>
    <cellStyle name="Финансовый 3 2 4 6 4" xfId="8446" xr:uid="{00000000-0005-0000-0000-0000197F0000}"/>
    <cellStyle name="Финансовый 3 2 4 6 4 2" xfId="20424" xr:uid="{00000000-0005-0000-0000-00001A7F0000}"/>
    <cellStyle name="Финансовый 3 2 4 6 4 2 2" xfId="44379" xr:uid="{00000000-0005-0000-0000-00001B7F0000}"/>
    <cellStyle name="Финансовый 3 2 4 6 4 3" xfId="32401" xr:uid="{00000000-0005-0000-0000-00001C7F0000}"/>
    <cellStyle name="Финансовый 3 2 4 6 5" xfId="10229" xr:uid="{00000000-0005-0000-0000-00001D7F0000}"/>
    <cellStyle name="Финансовый 3 2 4 6 5 2" xfId="22207" xr:uid="{00000000-0005-0000-0000-00001E7F0000}"/>
    <cellStyle name="Финансовый 3 2 4 6 5 2 2" xfId="46162" xr:uid="{00000000-0005-0000-0000-00001F7F0000}"/>
    <cellStyle name="Финансовый 3 2 4 6 5 3" xfId="34184" xr:uid="{00000000-0005-0000-0000-0000207F0000}"/>
    <cellStyle name="Финансовый 3 2 4 6 6" xfId="14387" xr:uid="{00000000-0005-0000-0000-0000217F0000}"/>
    <cellStyle name="Финансовый 3 2 4 6 6 2" xfId="38342" xr:uid="{00000000-0005-0000-0000-0000227F0000}"/>
    <cellStyle name="Финансовый 3 2 4 6 7" xfId="26365" xr:uid="{00000000-0005-0000-0000-0000237F0000}"/>
    <cellStyle name="Финансовый 3 2 4 6 8" xfId="49498" xr:uid="{00000000-0005-0000-0000-0000247F0000}"/>
    <cellStyle name="Финансовый 3 2 4 7" xfId="1635" xr:uid="{00000000-0005-0000-0000-0000257F0000}"/>
    <cellStyle name="Финансовый 3 2 4 7 2" xfId="3280" xr:uid="{00000000-0005-0000-0000-0000267F0000}"/>
    <cellStyle name="Финансовый 3 2 4 7 2 2" xfId="11028" xr:uid="{00000000-0005-0000-0000-0000277F0000}"/>
    <cellStyle name="Финансовый 3 2 4 7 2 2 2" xfId="23006" xr:uid="{00000000-0005-0000-0000-0000287F0000}"/>
    <cellStyle name="Финансовый 3 2 4 7 2 2 2 2" xfId="46961" xr:uid="{00000000-0005-0000-0000-0000297F0000}"/>
    <cellStyle name="Финансовый 3 2 4 7 2 2 3" xfId="34983" xr:uid="{00000000-0005-0000-0000-00002A7F0000}"/>
    <cellStyle name="Финансовый 3 2 4 7 2 3" xfId="15259" xr:uid="{00000000-0005-0000-0000-00002B7F0000}"/>
    <cellStyle name="Финансовый 3 2 4 7 2 3 2" xfId="39214" xr:uid="{00000000-0005-0000-0000-00002C7F0000}"/>
    <cellStyle name="Финансовый 3 2 4 7 2 4" xfId="27237" xr:uid="{00000000-0005-0000-0000-00002D7F0000}"/>
    <cellStyle name="Финансовый 3 2 4 7 2 5" xfId="50506" xr:uid="{00000000-0005-0000-0000-00002E7F0000}"/>
    <cellStyle name="Финансовый 3 2 4 7 3" xfId="5063" xr:uid="{00000000-0005-0000-0000-00002F7F0000}"/>
    <cellStyle name="Финансовый 3 2 4 7 3 2" xfId="17041" xr:uid="{00000000-0005-0000-0000-0000307F0000}"/>
    <cellStyle name="Финансовый 3 2 4 7 3 2 2" xfId="40996" xr:uid="{00000000-0005-0000-0000-0000317F0000}"/>
    <cellStyle name="Финансовый 3 2 4 7 3 3" xfId="29018" xr:uid="{00000000-0005-0000-0000-0000327F0000}"/>
    <cellStyle name="Финансовый 3 2 4 7 4" xfId="7673" xr:uid="{00000000-0005-0000-0000-0000337F0000}"/>
    <cellStyle name="Финансовый 3 2 4 7 4 2" xfId="19651" xr:uid="{00000000-0005-0000-0000-0000347F0000}"/>
    <cellStyle name="Финансовый 3 2 4 7 4 2 2" xfId="43606" xr:uid="{00000000-0005-0000-0000-0000357F0000}"/>
    <cellStyle name="Финансовый 3 2 4 7 4 3" xfId="31628" xr:uid="{00000000-0005-0000-0000-0000367F0000}"/>
    <cellStyle name="Финансовый 3 2 4 7 5" xfId="9456" xr:uid="{00000000-0005-0000-0000-0000377F0000}"/>
    <cellStyle name="Финансовый 3 2 4 7 5 2" xfId="21434" xr:uid="{00000000-0005-0000-0000-0000387F0000}"/>
    <cellStyle name="Финансовый 3 2 4 7 5 2 2" xfId="45389" xr:uid="{00000000-0005-0000-0000-0000397F0000}"/>
    <cellStyle name="Финансовый 3 2 4 7 5 3" xfId="33411" xr:uid="{00000000-0005-0000-0000-00003A7F0000}"/>
    <cellStyle name="Финансовый 3 2 4 7 6" xfId="13614" xr:uid="{00000000-0005-0000-0000-00003B7F0000}"/>
    <cellStyle name="Финансовый 3 2 4 7 6 2" xfId="37569" xr:uid="{00000000-0005-0000-0000-00003C7F0000}"/>
    <cellStyle name="Финансовый 3 2 4 7 7" xfId="25592" xr:uid="{00000000-0005-0000-0000-00003D7F0000}"/>
    <cellStyle name="Финансовый 3 2 4 7 8" xfId="48725" xr:uid="{00000000-0005-0000-0000-00003E7F0000}"/>
    <cellStyle name="Финансовый 3 2 4 8" xfId="912" xr:uid="{00000000-0005-0000-0000-00003F7F0000}"/>
    <cellStyle name="Финансовый 3 2 4 8 2" xfId="6952" xr:uid="{00000000-0005-0000-0000-0000407F0000}"/>
    <cellStyle name="Финансовый 3 2 4 8 2 2" xfId="18930" xr:uid="{00000000-0005-0000-0000-0000417F0000}"/>
    <cellStyle name="Финансовый 3 2 4 8 2 2 2" xfId="42885" xr:uid="{00000000-0005-0000-0000-0000427F0000}"/>
    <cellStyle name="Финансовый 3 2 4 8 2 3" xfId="30907" xr:uid="{00000000-0005-0000-0000-0000437F0000}"/>
    <cellStyle name="Финансовый 3 2 4 8 3" xfId="10500" xr:uid="{00000000-0005-0000-0000-0000447F0000}"/>
    <cellStyle name="Финансовый 3 2 4 8 3 2" xfId="22478" xr:uid="{00000000-0005-0000-0000-0000457F0000}"/>
    <cellStyle name="Финансовый 3 2 4 8 3 2 2" xfId="46433" xr:uid="{00000000-0005-0000-0000-0000467F0000}"/>
    <cellStyle name="Финансовый 3 2 4 8 3 3" xfId="34455" xr:uid="{00000000-0005-0000-0000-0000477F0000}"/>
    <cellStyle name="Финансовый 3 2 4 8 4" xfId="12893" xr:uid="{00000000-0005-0000-0000-0000487F0000}"/>
    <cellStyle name="Финансовый 3 2 4 8 4 2" xfId="36848" xr:uid="{00000000-0005-0000-0000-0000497F0000}"/>
    <cellStyle name="Финансовый 3 2 4 8 5" xfId="24871" xr:uid="{00000000-0005-0000-0000-00004A7F0000}"/>
    <cellStyle name="Финансовый 3 2 4 8 6" xfId="49777" xr:uid="{00000000-0005-0000-0000-00004B7F0000}"/>
    <cellStyle name="Финансовый 3 2 4 9" xfId="500" xr:uid="{00000000-0005-0000-0000-00004C7F0000}"/>
    <cellStyle name="Финансовый 3 2 4 9 2" xfId="6540" xr:uid="{00000000-0005-0000-0000-00004D7F0000}"/>
    <cellStyle name="Финансовый 3 2 4 9 2 2" xfId="18518" xr:uid="{00000000-0005-0000-0000-00004E7F0000}"/>
    <cellStyle name="Финансовый 3 2 4 9 2 2 2" xfId="42473" xr:uid="{00000000-0005-0000-0000-00004F7F0000}"/>
    <cellStyle name="Финансовый 3 2 4 9 2 3" xfId="30495" xr:uid="{00000000-0005-0000-0000-0000507F0000}"/>
    <cellStyle name="Финансовый 3 2 4 9 3" xfId="12481" xr:uid="{00000000-0005-0000-0000-0000517F0000}"/>
    <cellStyle name="Финансовый 3 2 4 9 3 2" xfId="36436" xr:uid="{00000000-0005-0000-0000-0000527F0000}"/>
    <cellStyle name="Финансовый 3 2 4 9 4" xfId="24459" xr:uid="{00000000-0005-0000-0000-0000537F0000}"/>
    <cellStyle name="Финансовый 3 2 5" xfId="57" xr:uid="{00000000-0005-0000-0000-0000547F0000}"/>
    <cellStyle name="Финансовый 3 2 5 10" xfId="2669" xr:uid="{00000000-0005-0000-0000-0000557F0000}"/>
    <cellStyle name="Финансовый 3 2 5 10 2" xfId="14648" xr:uid="{00000000-0005-0000-0000-0000567F0000}"/>
    <cellStyle name="Финансовый 3 2 5 10 2 2" xfId="38603" xr:uid="{00000000-0005-0000-0000-0000577F0000}"/>
    <cellStyle name="Финансовый 3 2 5 10 3" xfId="26626" xr:uid="{00000000-0005-0000-0000-0000587F0000}"/>
    <cellStyle name="Финансовый 3 2 5 11" xfId="4312" xr:uid="{00000000-0005-0000-0000-0000597F0000}"/>
    <cellStyle name="Финансовый 3 2 5 11 2" xfId="16291" xr:uid="{00000000-0005-0000-0000-00005A7F0000}"/>
    <cellStyle name="Финансовый 3 2 5 11 2 2" xfId="40246" xr:uid="{00000000-0005-0000-0000-00005B7F0000}"/>
    <cellStyle name="Финансовый 3 2 5 11 3" xfId="28269" xr:uid="{00000000-0005-0000-0000-00005C7F0000}"/>
    <cellStyle name="Финансовый 3 2 5 12" xfId="6100" xr:uid="{00000000-0005-0000-0000-00005D7F0000}"/>
    <cellStyle name="Финансовый 3 2 5 12 2" xfId="18078" xr:uid="{00000000-0005-0000-0000-00005E7F0000}"/>
    <cellStyle name="Финансовый 3 2 5 12 2 2" xfId="42033" xr:uid="{00000000-0005-0000-0000-00005F7F0000}"/>
    <cellStyle name="Финансовый 3 2 5 12 3" xfId="30055" xr:uid="{00000000-0005-0000-0000-0000607F0000}"/>
    <cellStyle name="Финансовый 3 2 5 13" xfId="8707" xr:uid="{00000000-0005-0000-0000-0000617F0000}"/>
    <cellStyle name="Финансовый 3 2 5 13 2" xfId="20685" xr:uid="{00000000-0005-0000-0000-0000627F0000}"/>
    <cellStyle name="Финансовый 3 2 5 13 2 2" xfId="44640" xr:uid="{00000000-0005-0000-0000-0000637F0000}"/>
    <cellStyle name="Финансовый 3 2 5 13 3" xfId="32662" xr:uid="{00000000-0005-0000-0000-0000647F0000}"/>
    <cellStyle name="Финансовый 3 2 5 14" xfId="12041" xr:uid="{00000000-0005-0000-0000-0000657F0000}"/>
    <cellStyle name="Финансовый 3 2 5 14 2" xfId="35996" xr:uid="{00000000-0005-0000-0000-0000667F0000}"/>
    <cellStyle name="Финансовый 3 2 5 15" xfId="24019" xr:uid="{00000000-0005-0000-0000-0000677F0000}"/>
    <cellStyle name="Финансовый 3 2 5 16" xfId="47977" xr:uid="{00000000-0005-0000-0000-0000687F0000}"/>
    <cellStyle name="Финансовый 3 2 5 2" xfId="195" xr:uid="{00000000-0005-0000-0000-0000697F0000}"/>
    <cellStyle name="Финансовый 3 2 5 2 10" xfId="8843" xr:uid="{00000000-0005-0000-0000-00006A7F0000}"/>
    <cellStyle name="Финансовый 3 2 5 2 10 2" xfId="20821" xr:uid="{00000000-0005-0000-0000-00006B7F0000}"/>
    <cellStyle name="Финансовый 3 2 5 2 10 2 2" xfId="44776" xr:uid="{00000000-0005-0000-0000-00006C7F0000}"/>
    <cellStyle name="Финансовый 3 2 5 2 10 3" xfId="32798" xr:uid="{00000000-0005-0000-0000-00006D7F0000}"/>
    <cellStyle name="Финансовый 3 2 5 2 11" xfId="12177" xr:uid="{00000000-0005-0000-0000-00006E7F0000}"/>
    <cellStyle name="Финансовый 3 2 5 2 11 2" xfId="36132" xr:uid="{00000000-0005-0000-0000-00006F7F0000}"/>
    <cellStyle name="Финансовый 3 2 5 2 12" xfId="24155" xr:uid="{00000000-0005-0000-0000-0000707F0000}"/>
    <cellStyle name="Финансовый 3 2 5 2 13" xfId="48113" xr:uid="{00000000-0005-0000-0000-0000717F0000}"/>
    <cellStyle name="Финансовый 3 2 5 2 2" xfId="1293" xr:uid="{00000000-0005-0000-0000-0000727F0000}"/>
    <cellStyle name="Финансовый 3 2 5 2 2 2" xfId="2259" xr:uid="{00000000-0005-0000-0000-0000737F0000}"/>
    <cellStyle name="Финансовый 3 2 5 2 2 2 2" xfId="3904" xr:uid="{00000000-0005-0000-0000-0000747F0000}"/>
    <cellStyle name="Финансовый 3 2 5 2 2 2 2 2" xfId="11644" xr:uid="{00000000-0005-0000-0000-0000757F0000}"/>
    <cellStyle name="Финансовый 3 2 5 2 2 2 2 2 2" xfId="23622" xr:uid="{00000000-0005-0000-0000-0000767F0000}"/>
    <cellStyle name="Финансовый 3 2 5 2 2 2 2 2 2 2" xfId="47577" xr:uid="{00000000-0005-0000-0000-0000777F0000}"/>
    <cellStyle name="Финансовый 3 2 5 2 2 2 2 2 3" xfId="35599" xr:uid="{00000000-0005-0000-0000-0000787F0000}"/>
    <cellStyle name="Финансовый 3 2 5 2 2 2 2 3" xfId="15883" xr:uid="{00000000-0005-0000-0000-0000797F0000}"/>
    <cellStyle name="Финансовый 3 2 5 2 2 2 2 3 2" xfId="39838" xr:uid="{00000000-0005-0000-0000-00007A7F0000}"/>
    <cellStyle name="Финансовый 3 2 5 2 2 2 2 4" xfId="27861" xr:uid="{00000000-0005-0000-0000-00007B7F0000}"/>
    <cellStyle name="Финансовый 3 2 5 2 2 2 2 5" xfId="51130" xr:uid="{00000000-0005-0000-0000-00007C7F0000}"/>
    <cellStyle name="Финансовый 3 2 5 2 2 2 3" xfId="5687" xr:uid="{00000000-0005-0000-0000-00007D7F0000}"/>
    <cellStyle name="Финансовый 3 2 5 2 2 2 3 2" xfId="17665" xr:uid="{00000000-0005-0000-0000-00007E7F0000}"/>
    <cellStyle name="Финансовый 3 2 5 2 2 2 3 2 2" xfId="41620" xr:uid="{00000000-0005-0000-0000-00007F7F0000}"/>
    <cellStyle name="Финансовый 3 2 5 2 2 2 3 3" xfId="29642" xr:uid="{00000000-0005-0000-0000-0000807F0000}"/>
    <cellStyle name="Финансовый 3 2 5 2 2 2 4" xfId="8297" xr:uid="{00000000-0005-0000-0000-0000817F0000}"/>
    <cellStyle name="Финансовый 3 2 5 2 2 2 4 2" xfId="20275" xr:uid="{00000000-0005-0000-0000-0000827F0000}"/>
    <cellStyle name="Финансовый 3 2 5 2 2 2 4 2 2" xfId="44230" xr:uid="{00000000-0005-0000-0000-0000837F0000}"/>
    <cellStyle name="Финансовый 3 2 5 2 2 2 4 3" xfId="32252" xr:uid="{00000000-0005-0000-0000-0000847F0000}"/>
    <cellStyle name="Финансовый 3 2 5 2 2 2 5" xfId="10080" xr:uid="{00000000-0005-0000-0000-0000857F0000}"/>
    <cellStyle name="Финансовый 3 2 5 2 2 2 5 2" xfId="22058" xr:uid="{00000000-0005-0000-0000-0000867F0000}"/>
    <cellStyle name="Финансовый 3 2 5 2 2 2 5 2 2" xfId="46013" xr:uid="{00000000-0005-0000-0000-0000877F0000}"/>
    <cellStyle name="Финансовый 3 2 5 2 2 2 5 3" xfId="34035" xr:uid="{00000000-0005-0000-0000-0000887F0000}"/>
    <cellStyle name="Финансовый 3 2 5 2 2 2 6" xfId="14238" xr:uid="{00000000-0005-0000-0000-0000897F0000}"/>
    <cellStyle name="Финансовый 3 2 5 2 2 2 6 2" xfId="38193" xr:uid="{00000000-0005-0000-0000-00008A7F0000}"/>
    <cellStyle name="Финансовый 3 2 5 2 2 2 7" xfId="26216" xr:uid="{00000000-0005-0000-0000-00008B7F0000}"/>
    <cellStyle name="Финансовый 3 2 5 2 2 2 8" xfId="49349" xr:uid="{00000000-0005-0000-0000-00008C7F0000}"/>
    <cellStyle name="Финансовый 3 2 5 2 2 3" xfId="3077" xr:uid="{00000000-0005-0000-0000-00008D7F0000}"/>
    <cellStyle name="Финансовый 3 2 5 2 2 3 2" xfId="10872" xr:uid="{00000000-0005-0000-0000-00008E7F0000}"/>
    <cellStyle name="Финансовый 3 2 5 2 2 3 2 2" xfId="22850" xr:uid="{00000000-0005-0000-0000-00008F7F0000}"/>
    <cellStyle name="Финансовый 3 2 5 2 2 3 2 2 2" xfId="46805" xr:uid="{00000000-0005-0000-0000-0000907F0000}"/>
    <cellStyle name="Финансовый 3 2 5 2 2 3 2 3" xfId="34827" xr:uid="{00000000-0005-0000-0000-0000917F0000}"/>
    <cellStyle name="Финансовый 3 2 5 2 2 3 3" xfId="15056" xr:uid="{00000000-0005-0000-0000-0000927F0000}"/>
    <cellStyle name="Финансовый 3 2 5 2 2 3 3 2" xfId="39011" xr:uid="{00000000-0005-0000-0000-0000937F0000}"/>
    <cellStyle name="Финансовый 3 2 5 2 2 3 4" xfId="27034" xr:uid="{00000000-0005-0000-0000-0000947F0000}"/>
    <cellStyle name="Финансовый 3 2 5 2 2 3 5" xfId="50165" xr:uid="{00000000-0005-0000-0000-0000957F0000}"/>
    <cellStyle name="Финансовый 3 2 5 2 2 4" xfId="4721" xr:uid="{00000000-0005-0000-0000-0000967F0000}"/>
    <cellStyle name="Финансовый 3 2 5 2 2 4 2" xfId="16700" xr:uid="{00000000-0005-0000-0000-0000977F0000}"/>
    <cellStyle name="Финансовый 3 2 5 2 2 4 2 2" xfId="40655" xr:uid="{00000000-0005-0000-0000-0000987F0000}"/>
    <cellStyle name="Финансовый 3 2 5 2 2 4 3" xfId="28678" xr:uid="{00000000-0005-0000-0000-0000997F0000}"/>
    <cellStyle name="Финансовый 3 2 5 2 2 5" xfId="7333" xr:uid="{00000000-0005-0000-0000-00009A7F0000}"/>
    <cellStyle name="Финансовый 3 2 5 2 2 5 2" xfId="19311" xr:uid="{00000000-0005-0000-0000-00009B7F0000}"/>
    <cellStyle name="Финансовый 3 2 5 2 2 5 2 2" xfId="43266" xr:uid="{00000000-0005-0000-0000-00009C7F0000}"/>
    <cellStyle name="Финансовый 3 2 5 2 2 5 3" xfId="31288" xr:uid="{00000000-0005-0000-0000-00009D7F0000}"/>
    <cellStyle name="Финансовый 3 2 5 2 2 6" xfId="9115" xr:uid="{00000000-0005-0000-0000-00009E7F0000}"/>
    <cellStyle name="Финансовый 3 2 5 2 2 6 2" xfId="21093" xr:uid="{00000000-0005-0000-0000-00009F7F0000}"/>
    <cellStyle name="Финансовый 3 2 5 2 2 6 2 2" xfId="45048" xr:uid="{00000000-0005-0000-0000-0000A07F0000}"/>
    <cellStyle name="Финансовый 3 2 5 2 2 6 3" xfId="33070" xr:uid="{00000000-0005-0000-0000-0000A17F0000}"/>
    <cellStyle name="Финансовый 3 2 5 2 2 7" xfId="13274" xr:uid="{00000000-0005-0000-0000-0000A27F0000}"/>
    <cellStyle name="Финансовый 3 2 5 2 2 7 2" xfId="37229" xr:uid="{00000000-0005-0000-0000-0000A37F0000}"/>
    <cellStyle name="Финансовый 3 2 5 2 2 8" xfId="25252" xr:uid="{00000000-0005-0000-0000-0000A47F0000}"/>
    <cellStyle name="Финансовый 3 2 5 2 2 9" xfId="48385" xr:uid="{00000000-0005-0000-0000-0000A57F0000}"/>
    <cellStyle name="Финансовый 3 2 5 2 3" xfId="2003" xr:uid="{00000000-0005-0000-0000-0000A67F0000}"/>
    <cellStyle name="Финансовый 3 2 5 2 3 2" xfId="3648" xr:uid="{00000000-0005-0000-0000-0000A77F0000}"/>
    <cellStyle name="Финансовый 3 2 5 2 3 2 2" xfId="11388" xr:uid="{00000000-0005-0000-0000-0000A87F0000}"/>
    <cellStyle name="Финансовый 3 2 5 2 3 2 2 2" xfId="23366" xr:uid="{00000000-0005-0000-0000-0000A97F0000}"/>
    <cellStyle name="Финансовый 3 2 5 2 3 2 2 2 2" xfId="47321" xr:uid="{00000000-0005-0000-0000-0000AA7F0000}"/>
    <cellStyle name="Финансовый 3 2 5 2 3 2 2 3" xfId="35343" xr:uid="{00000000-0005-0000-0000-0000AB7F0000}"/>
    <cellStyle name="Финансовый 3 2 5 2 3 2 3" xfId="15627" xr:uid="{00000000-0005-0000-0000-0000AC7F0000}"/>
    <cellStyle name="Финансовый 3 2 5 2 3 2 3 2" xfId="39582" xr:uid="{00000000-0005-0000-0000-0000AD7F0000}"/>
    <cellStyle name="Финансовый 3 2 5 2 3 2 4" xfId="27605" xr:uid="{00000000-0005-0000-0000-0000AE7F0000}"/>
    <cellStyle name="Финансовый 3 2 5 2 3 2 5" xfId="50874" xr:uid="{00000000-0005-0000-0000-0000AF7F0000}"/>
    <cellStyle name="Финансовый 3 2 5 2 3 3" xfId="5431" xr:uid="{00000000-0005-0000-0000-0000B07F0000}"/>
    <cellStyle name="Финансовый 3 2 5 2 3 3 2" xfId="17409" xr:uid="{00000000-0005-0000-0000-0000B17F0000}"/>
    <cellStyle name="Финансовый 3 2 5 2 3 3 2 2" xfId="41364" xr:uid="{00000000-0005-0000-0000-0000B27F0000}"/>
    <cellStyle name="Финансовый 3 2 5 2 3 3 3" xfId="29386" xr:uid="{00000000-0005-0000-0000-0000B37F0000}"/>
    <cellStyle name="Финансовый 3 2 5 2 3 4" xfId="8041" xr:uid="{00000000-0005-0000-0000-0000B47F0000}"/>
    <cellStyle name="Финансовый 3 2 5 2 3 4 2" xfId="20019" xr:uid="{00000000-0005-0000-0000-0000B57F0000}"/>
    <cellStyle name="Финансовый 3 2 5 2 3 4 2 2" xfId="43974" xr:uid="{00000000-0005-0000-0000-0000B67F0000}"/>
    <cellStyle name="Финансовый 3 2 5 2 3 4 3" xfId="31996" xr:uid="{00000000-0005-0000-0000-0000B77F0000}"/>
    <cellStyle name="Финансовый 3 2 5 2 3 5" xfId="9824" xr:uid="{00000000-0005-0000-0000-0000B87F0000}"/>
    <cellStyle name="Финансовый 3 2 5 2 3 5 2" xfId="21802" xr:uid="{00000000-0005-0000-0000-0000B97F0000}"/>
    <cellStyle name="Финансовый 3 2 5 2 3 5 2 2" xfId="45757" xr:uid="{00000000-0005-0000-0000-0000BA7F0000}"/>
    <cellStyle name="Финансовый 3 2 5 2 3 5 3" xfId="33779" xr:uid="{00000000-0005-0000-0000-0000BB7F0000}"/>
    <cellStyle name="Финансовый 3 2 5 2 3 6" xfId="13982" xr:uid="{00000000-0005-0000-0000-0000BC7F0000}"/>
    <cellStyle name="Финансовый 3 2 5 2 3 6 2" xfId="37937" xr:uid="{00000000-0005-0000-0000-0000BD7F0000}"/>
    <cellStyle name="Финансовый 3 2 5 2 3 7" xfId="25960" xr:uid="{00000000-0005-0000-0000-0000BE7F0000}"/>
    <cellStyle name="Финансовый 3 2 5 2 3 8" xfId="49093" xr:uid="{00000000-0005-0000-0000-0000BF7F0000}"/>
    <cellStyle name="Финансовый 3 2 5 2 4" xfId="2524" xr:uid="{00000000-0005-0000-0000-0000C07F0000}"/>
    <cellStyle name="Финансовый 3 2 5 2 4 2" xfId="4169" xr:uid="{00000000-0005-0000-0000-0000C17F0000}"/>
    <cellStyle name="Финансовый 3 2 5 2 4 2 2" xfId="11901" xr:uid="{00000000-0005-0000-0000-0000C27F0000}"/>
    <cellStyle name="Финансовый 3 2 5 2 4 2 2 2" xfId="23879" xr:uid="{00000000-0005-0000-0000-0000C37F0000}"/>
    <cellStyle name="Финансовый 3 2 5 2 4 2 2 2 2" xfId="47834" xr:uid="{00000000-0005-0000-0000-0000C47F0000}"/>
    <cellStyle name="Финансовый 3 2 5 2 4 2 2 3" xfId="35856" xr:uid="{00000000-0005-0000-0000-0000C57F0000}"/>
    <cellStyle name="Финансовый 3 2 5 2 4 2 3" xfId="16148" xr:uid="{00000000-0005-0000-0000-0000C67F0000}"/>
    <cellStyle name="Финансовый 3 2 5 2 4 2 3 2" xfId="40103" xr:uid="{00000000-0005-0000-0000-0000C77F0000}"/>
    <cellStyle name="Финансовый 3 2 5 2 4 2 4" xfId="28126" xr:uid="{00000000-0005-0000-0000-0000C87F0000}"/>
    <cellStyle name="Финансовый 3 2 5 2 4 2 5" xfId="51395" xr:uid="{00000000-0005-0000-0000-0000C97F0000}"/>
    <cellStyle name="Финансовый 3 2 5 2 4 3" xfId="5952" xr:uid="{00000000-0005-0000-0000-0000CA7F0000}"/>
    <cellStyle name="Финансовый 3 2 5 2 4 3 2" xfId="17930" xr:uid="{00000000-0005-0000-0000-0000CB7F0000}"/>
    <cellStyle name="Финансовый 3 2 5 2 4 3 2 2" xfId="41885" xr:uid="{00000000-0005-0000-0000-0000CC7F0000}"/>
    <cellStyle name="Финансовый 3 2 5 2 4 3 3" xfId="29907" xr:uid="{00000000-0005-0000-0000-0000CD7F0000}"/>
    <cellStyle name="Финансовый 3 2 5 2 4 4" xfId="8562" xr:uid="{00000000-0005-0000-0000-0000CE7F0000}"/>
    <cellStyle name="Финансовый 3 2 5 2 4 4 2" xfId="20540" xr:uid="{00000000-0005-0000-0000-0000CF7F0000}"/>
    <cellStyle name="Финансовый 3 2 5 2 4 4 2 2" xfId="44495" xr:uid="{00000000-0005-0000-0000-0000D07F0000}"/>
    <cellStyle name="Финансовый 3 2 5 2 4 4 3" xfId="32517" xr:uid="{00000000-0005-0000-0000-0000D17F0000}"/>
    <cellStyle name="Финансовый 3 2 5 2 4 5" xfId="10345" xr:uid="{00000000-0005-0000-0000-0000D27F0000}"/>
    <cellStyle name="Финансовый 3 2 5 2 4 5 2" xfId="22323" xr:uid="{00000000-0005-0000-0000-0000D37F0000}"/>
    <cellStyle name="Финансовый 3 2 5 2 4 5 2 2" xfId="46278" xr:uid="{00000000-0005-0000-0000-0000D47F0000}"/>
    <cellStyle name="Финансовый 3 2 5 2 4 5 3" xfId="34300" xr:uid="{00000000-0005-0000-0000-0000D57F0000}"/>
    <cellStyle name="Финансовый 3 2 5 2 4 6" xfId="14503" xr:uid="{00000000-0005-0000-0000-0000D67F0000}"/>
    <cellStyle name="Финансовый 3 2 5 2 4 6 2" xfId="38458" xr:uid="{00000000-0005-0000-0000-0000D77F0000}"/>
    <cellStyle name="Финансовый 3 2 5 2 4 7" xfId="26481" xr:uid="{00000000-0005-0000-0000-0000D87F0000}"/>
    <cellStyle name="Финансовый 3 2 5 2 4 8" xfId="49614" xr:uid="{00000000-0005-0000-0000-0000D97F0000}"/>
    <cellStyle name="Финансовый 3 2 5 2 5" xfId="1028" xr:uid="{00000000-0005-0000-0000-0000DA7F0000}"/>
    <cellStyle name="Финансовый 3 2 5 2 5 2" xfId="7068" xr:uid="{00000000-0005-0000-0000-0000DB7F0000}"/>
    <cellStyle name="Финансовый 3 2 5 2 5 2 2" xfId="19046" xr:uid="{00000000-0005-0000-0000-0000DC7F0000}"/>
    <cellStyle name="Финансовый 3 2 5 2 5 2 2 2" xfId="43001" xr:uid="{00000000-0005-0000-0000-0000DD7F0000}"/>
    <cellStyle name="Финансовый 3 2 5 2 5 2 3" xfId="31023" xr:uid="{00000000-0005-0000-0000-0000DE7F0000}"/>
    <cellStyle name="Финансовый 3 2 5 2 5 3" xfId="10616" xr:uid="{00000000-0005-0000-0000-0000DF7F0000}"/>
    <cellStyle name="Финансовый 3 2 5 2 5 3 2" xfId="22594" xr:uid="{00000000-0005-0000-0000-0000E07F0000}"/>
    <cellStyle name="Финансовый 3 2 5 2 5 3 2 2" xfId="46549" xr:uid="{00000000-0005-0000-0000-0000E17F0000}"/>
    <cellStyle name="Финансовый 3 2 5 2 5 3 3" xfId="34571" xr:uid="{00000000-0005-0000-0000-0000E27F0000}"/>
    <cellStyle name="Финансовый 3 2 5 2 5 4" xfId="13009" xr:uid="{00000000-0005-0000-0000-0000E37F0000}"/>
    <cellStyle name="Финансовый 3 2 5 2 5 4 2" xfId="36964" xr:uid="{00000000-0005-0000-0000-0000E47F0000}"/>
    <cellStyle name="Финансовый 3 2 5 2 5 5" xfId="24987" xr:uid="{00000000-0005-0000-0000-0000E57F0000}"/>
    <cellStyle name="Финансовый 3 2 5 2 5 6" xfId="49893" xr:uid="{00000000-0005-0000-0000-0000E67F0000}"/>
    <cellStyle name="Финансовый 3 2 5 2 6" xfId="616" xr:uid="{00000000-0005-0000-0000-0000E77F0000}"/>
    <cellStyle name="Финансовый 3 2 5 2 6 2" xfId="6656" xr:uid="{00000000-0005-0000-0000-0000E87F0000}"/>
    <cellStyle name="Финансовый 3 2 5 2 6 2 2" xfId="18634" xr:uid="{00000000-0005-0000-0000-0000E97F0000}"/>
    <cellStyle name="Финансовый 3 2 5 2 6 2 2 2" xfId="42589" xr:uid="{00000000-0005-0000-0000-0000EA7F0000}"/>
    <cellStyle name="Финансовый 3 2 5 2 6 2 3" xfId="30611" xr:uid="{00000000-0005-0000-0000-0000EB7F0000}"/>
    <cellStyle name="Финансовый 3 2 5 2 6 3" xfId="12597" xr:uid="{00000000-0005-0000-0000-0000EC7F0000}"/>
    <cellStyle name="Финансовый 3 2 5 2 6 3 2" xfId="36552" xr:uid="{00000000-0005-0000-0000-0000ED7F0000}"/>
    <cellStyle name="Финансовый 3 2 5 2 6 4" xfId="24575" xr:uid="{00000000-0005-0000-0000-0000EE7F0000}"/>
    <cellStyle name="Финансовый 3 2 5 2 7" xfId="2805" xr:uid="{00000000-0005-0000-0000-0000EF7F0000}"/>
    <cellStyle name="Финансовый 3 2 5 2 7 2" xfId="14784" xr:uid="{00000000-0005-0000-0000-0000F07F0000}"/>
    <cellStyle name="Финансовый 3 2 5 2 7 2 2" xfId="38739" xr:uid="{00000000-0005-0000-0000-0000F17F0000}"/>
    <cellStyle name="Финансовый 3 2 5 2 7 3" xfId="26762" xr:uid="{00000000-0005-0000-0000-0000F27F0000}"/>
    <cellStyle name="Финансовый 3 2 5 2 8" xfId="4449" xr:uid="{00000000-0005-0000-0000-0000F37F0000}"/>
    <cellStyle name="Финансовый 3 2 5 2 8 2" xfId="16428" xr:uid="{00000000-0005-0000-0000-0000F47F0000}"/>
    <cellStyle name="Финансовый 3 2 5 2 8 2 2" xfId="40383" xr:uid="{00000000-0005-0000-0000-0000F57F0000}"/>
    <cellStyle name="Финансовый 3 2 5 2 8 3" xfId="28406" xr:uid="{00000000-0005-0000-0000-0000F67F0000}"/>
    <cellStyle name="Финансовый 3 2 5 2 9" xfId="6236" xr:uid="{00000000-0005-0000-0000-0000F77F0000}"/>
    <cellStyle name="Финансовый 3 2 5 2 9 2" xfId="18214" xr:uid="{00000000-0005-0000-0000-0000F87F0000}"/>
    <cellStyle name="Финансовый 3 2 5 2 9 2 2" xfId="42169" xr:uid="{00000000-0005-0000-0000-0000F97F0000}"/>
    <cellStyle name="Финансовый 3 2 5 2 9 3" xfId="30191" xr:uid="{00000000-0005-0000-0000-0000FA7F0000}"/>
    <cellStyle name="Финансовый 3 2 5 3" xfId="344" xr:uid="{00000000-0005-0000-0000-0000FB7F0000}"/>
    <cellStyle name="Финансовый 3 2 5 3 10" xfId="24303" xr:uid="{00000000-0005-0000-0000-0000FC7F0000}"/>
    <cellStyle name="Финансовый 3 2 5 3 11" xfId="48249" xr:uid="{00000000-0005-0000-0000-0000FD7F0000}"/>
    <cellStyle name="Финансовый 3 2 5 3 2" xfId="2131" xr:uid="{00000000-0005-0000-0000-0000FE7F0000}"/>
    <cellStyle name="Финансовый 3 2 5 3 2 2" xfId="3776" xr:uid="{00000000-0005-0000-0000-0000FF7F0000}"/>
    <cellStyle name="Финансовый 3 2 5 3 2 2 2" xfId="11516" xr:uid="{00000000-0005-0000-0000-000000800000}"/>
    <cellStyle name="Финансовый 3 2 5 3 2 2 2 2" xfId="23494" xr:uid="{00000000-0005-0000-0000-000001800000}"/>
    <cellStyle name="Финансовый 3 2 5 3 2 2 2 2 2" xfId="47449" xr:uid="{00000000-0005-0000-0000-000002800000}"/>
    <cellStyle name="Финансовый 3 2 5 3 2 2 2 3" xfId="35471" xr:uid="{00000000-0005-0000-0000-000003800000}"/>
    <cellStyle name="Финансовый 3 2 5 3 2 2 3" xfId="15755" xr:uid="{00000000-0005-0000-0000-000004800000}"/>
    <cellStyle name="Финансовый 3 2 5 3 2 2 3 2" xfId="39710" xr:uid="{00000000-0005-0000-0000-000005800000}"/>
    <cellStyle name="Финансовый 3 2 5 3 2 2 4" xfId="27733" xr:uid="{00000000-0005-0000-0000-000006800000}"/>
    <cellStyle name="Финансовый 3 2 5 3 2 2 5" xfId="51002" xr:uid="{00000000-0005-0000-0000-000007800000}"/>
    <cellStyle name="Финансовый 3 2 5 3 2 3" xfId="5559" xr:uid="{00000000-0005-0000-0000-000008800000}"/>
    <cellStyle name="Финансовый 3 2 5 3 2 3 2" xfId="17537" xr:uid="{00000000-0005-0000-0000-000009800000}"/>
    <cellStyle name="Финансовый 3 2 5 3 2 3 2 2" xfId="41492" xr:uid="{00000000-0005-0000-0000-00000A800000}"/>
    <cellStyle name="Финансовый 3 2 5 3 2 3 3" xfId="29514" xr:uid="{00000000-0005-0000-0000-00000B800000}"/>
    <cellStyle name="Финансовый 3 2 5 3 2 4" xfId="8169" xr:uid="{00000000-0005-0000-0000-00000C800000}"/>
    <cellStyle name="Финансовый 3 2 5 3 2 4 2" xfId="20147" xr:uid="{00000000-0005-0000-0000-00000D800000}"/>
    <cellStyle name="Финансовый 3 2 5 3 2 4 2 2" xfId="44102" xr:uid="{00000000-0005-0000-0000-00000E800000}"/>
    <cellStyle name="Финансовый 3 2 5 3 2 4 3" xfId="32124" xr:uid="{00000000-0005-0000-0000-00000F800000}"/>
    <cellStyle name="Финансовый 3 2 5 3 2 5" xfId="9952" xr:uid="{00000000-0005-0000-0000-000010800000}"/>
    <cellStyle name="Финансовый 3 2 5 3 2 5 2" xfId="21930" xr:uid="{00000000-0005-0000-0000-000011800000}"/>
    <cellStyle name="Финансовый 3 2 5 3 2 5 2 2" xfId="45885" xr:uid="{00000000-0005-0000-0000-000012800000}"/>
    <cellStyle name="Финансовый 3 2 5 3 2 5 3" xfId="33907" xr:uid="{00000000-0005-0000-0000-000013800000}"/>
    <cellStyle name="Финансовый 3 2 5 3 2 6" xfId="14110" xr:uid="{00000000-0005-0000-0000-000014800000}"/>
    <cellStyle name="Финансовый 3 2 5 3 2 6 2" xfId="38065" xr:uid="{00000000-0005-0000-0000-000015800000}"/>
    <cellStyle name="Финансовый 3 2 5 3 2 7" xfId="26088" xr:uid="{00000000-0005-0000-0000-000016800000}"/>
    <cellStyle name="Финансовый 3 2 5 3 2 8" xfId="49221" xr:uid="{00000000-0005-0000-0000-000017800000}"/>
    <cellStyle name="Финансовый 3 2 5 3 3" xfId="1164" xr:uid="{00000000-0005-0000-0000-000018800000}"/>
    <cellStyle name="Финансовый 3 2 5 3 3 2" xfId="7204" xr:uid="{00000000-0005-0000-0000-000019800000}"/>
    <cellStyle name="Финансовый 3 2 5 3 3 2 2" xfId="19182" xr:uid="{00000000-0005-0000-0000-00001A800000}"/>
    <cellStyle name="Финансовый 3 2 5 3 3 2 2 2" xfId="43137" xr:uid="{00000000-0005-0000-0000-00001B800000}"/>
    <cellStyle name="Финансовый 3 2 5 3 3 2 3" xfId="31159" xr:uid="{00000000-0005-0000-0000-00001C800000}"/>
    <cellStyle name="Финансовый 3 2 5 3 3 3" xfId="10744" xr:uid="{00000000-0005-0000-0000-00001D800000}"/>
    <cellStyle name="Финансовый 3 2 5 3 3 3 2" xfId="22722" xr:uid="{00000000-0005-0000-0000-00001E800000}"/>
    <cellStyle name="Финансовый 3 2 5 3 3 3 2 2" xfId="46677" xr:uid="{00000000-0005-0000-0000-00001F800000}"/>
    <cellStyle name="Финансовый 3 2 5 3 3 3 3" xfId="34699" xr:uid="{00000000-0005-0000-0000-000020800000}"/>
    <cellStyle name="Финансовый 3 2 5 3 3 4" xfId="13145" xr:uid="{00000000-0005-0000-0000-000021800000}"/>
    <cellStyle name="Финансовый 3 2 5 3 3 4 2" xfId="37100" xr:uid="{00000000-0005-0000-0000-000022800000}"/>
    <cellStyle name="Финансовый 3 2 5 3 3 5" xfId="25123" xr:uid="{00000000-0005-0000-0000-000023800000}"/>
    <cellStyle name="Финансовый 3 2 5 3 3 6" xfId="50029" xr:uid="{00000000-0005-0000-0000-000024800000}"/>
    <cellStyle name="Финансовый 3 2 5 3 4" xfId="764" xr:uid="{00000000-0005-0000-0000-000025800000}"/>
    <cellStyle name="Финансовый 3 2 5 3 4 2" xfId="6804" xr:uid="{00000000-0005-0000-0000-000026800000}"/>
    <cellStyle name="Финансовый 3 2 5 3 4 2 2" xfId="18782" xr:uid="{00000000-0005-0000-0000-000027800000}"/>
    <cellStyle name="Финансовый 3 2 5 3 4 2 2 2" xfId="42737" xr:uid="{00000000-0005-0000-0000-000028800000}"/>
    <cellStyle name="Финансовый 3 2 5 3 4 2 3" xfId="30759" xr:uid="{00000000-0005-0000-0000-000029800000}"/>
    <cellStyle name="Финансовый 3 2 5 3 4 3" xfId="12745" xr:uid="{00000000-0005-0000-0000-00002A800000}"/>
    <cellStyle name="Финансовый 3 2 5 3 4 3 2" xfId="36700" xr:uid="{00000000-0005-0000-0000-00002B800000}"/>
    <cellStyle name="Финансовый 3 2 5 3 4 4" xfId="24723" xr:uid="{00000000-0005-0000-0000-00002C800000}"/>
    <cellStyle name="Финансовый 3 2 5 3 5" xfId="2941" xr:uid="{00000000-0005-0000-0000-00002D800000}"/>
    <cellStyle name="Финансовый 3 2 5 3 5 2" xfId="14920" xr:uid="{00000000-0005-0000-0000-00002E800000}"/>
    <cellStyle name="Финансовый 3 2 5 3 5 2 2" xfId="38875" xr:uid="{00000000-0005-0000-0000-00002F800000}"/>
    <cellStyle name="Финансовый 3 2 5 3 5 3" xfId="26898" xr:uid="{00000000-0005-0000-0000-000030800000}"/>
    <cellStyle name="Финансовый 3 2 5 3 6" xfId="4585" xr:uid="{00000000-0005-0000-0000-000031800000}"/>
    <cellStyle name="Финансовый 3 2 5 3 6 2" xfId="16564" xr:uid="{00000000-0005-0000-0000-000032800000}"/>
    <cellStyle name="Финансовый 3 2 5 3 6 2 2" xfId="40519" xr:uid="{00000000-0005-0000-0000-000033800000}"/>
    <cellStyle name="Финансовый 3 2 5 3 6 3" xfId="28542" xr:uid="{00000000-0005-0000-0000-000034800000}"/>
    <cellStyle name="Финансовый 3 2 5 3 7" xfId="6384" xr:uid="{00000000-0005-0000-0000-000035800000}"/>
    <cellStyle name="Финансовый 3 2 5 3 7 2" xfId="18362" xr:uid="{00000000-0005-0000-0000-000036800000}"/>
    <cellStyle name="Финансовый 3 2 5 3 7 2 2" xfId="42317" xr:uid="{00000000-0005-0000-0000-000037800000}"/>
    <cellStyle name="Финансовый 3 2 5 3 7 3" xfId="30339" xr:uid="{00000000-0005-0000-0000-000038800000}"/>
    <cellStyle name="Финансовый 3 2 5 3 8" xfId="8979" xr:uid="{00000000-0005-0000-0000-000039800000}"/>
    <cellStyle name="Финансовый 3 2 5 3 8 2" xfId="20957" xr:uid="{00000000-0005-0000-0000-00003A800000}"/>
    <cellStyle name="Финансовый 3 2 5 3 8 2 2" xfId="44912" xr:uid="{00000000-0005-0000-0000-00003B800000}"/>
    <cellStyle name="Финансовый 3 2 5 3 8 3" xfId="32934" xr:uid="{00000000-0005-0000-0000-00003C800000}"/>
    <cellStyle name="Финансовый 3 2 5 3 9" xfId="12325" xr:uid="{00000000-0005-0000-0000-00003D800000}"/>
    <cellStyle name="Финансовый 3 2 5 3 9 2" xfId="36280" xr:uid="{00000000-0005-0000-0000-00003E800000}"/>
    <cellStyle name="Финансовый 3 2 5 4" xfId="1520" xr:uid="{00000000-0005-0000-0000-00003F800000}"/>
    <cellStyle name="Финансовый 3 2 5 4 2" xfId="1867" xr:uid="{00000000-0005-0000-0000-000040800000}"/>
    <cellStyle name="Финансовый 3 2 5 4 2 2" xfId="3512" xr:uid="{00000000-0005-0000-0000-000041800000}"/>
    <cellStyle name="Финансовый 3 2 5 4 2 2 2" xfId="11260" xr:uid="{00000000-0005-0000-0000-000042800000}"/>
    <cellStyle name="Финансовый 3 2 5 4 2 2 2 2" xfId="23238" xr:uid="{00000000-0005-0000-0000-000043800000}"/>
    <cellStyle name="Финансовый 3 2 5 4 2 2 2 2 2" xfId="47193" xr:uid="{00000000-0005-0000-0000-000044800000}"/>
    <cellStyle name="Финансовый 3 2 5 4 2 2 2 3" xfId="35215" xr:uid="{00000000-0005-0000-0000-000045800000}"/>
    <cellStyle name="Финансовый 3 2 5 4 2 2 3" xfId="15491" xr:uid="{00000000-0005-0000-0000-000046800000}"/>
    <cellStyle name="Финансовый 3 2 5 4 2 2 3 2" xfId="39446" xr:uid="{00000000-0005-0000-0000-000047800000}"/>
    <cellStyle name="Финансовый 3 2 5 4 2 2 4" xfId="27469" xr:uid="{00000000-0005-0000-0000-000048800000}"/>
    <cellStyle name="Финансовый 3 2 5 4 2 2 5" xfId="50738" xr:uid="{00000000-0005-0000-0000-000049800000}"/>
    <cellStyle name="Финансовый 3 2 5 4 2 3" xfId="5295" xr:uid="{00000000-0005-0000-0000-00004A800000}"/>
    <cellStyle name="Финансовый 3 2 5 4 2 3 2" xfId="17273" xr:uid="{00000000-0005-0000-0000-00004B800000}"/>
    <cellStyle name="Финансовый 3 2 5 4 2 3 2 2" xfId="41228" xr:uid="{00000000-0005-0000-0000-00004C800000}"/>
    <cellStyle name="Финансовый 3 2 5 4 2 3 3" xfId="29250" xr:uid="{00000000-0005-0000-0000-00004D800000}"/>
    <cellStyle name="Финансовый 3 2 5 4 2 4" xfId="7905" xr:uid="{00000000-0005-0000-0000-00004E800000}"/>
    <cellStyle name="Финансовый 3 2 5 4 2 4 2" xfId="19883" xr:uid="{00000000-0005-0000-0000-00004F800000}"/>
    <cellStyle name="Финансовый 3 2 5 4 2 4 2 2" xfId="43838" xr:uid="{00000000-0005-0000-0000-000050800000}"/>
    <cellStyle name="Финансовый 3 2 5 4 2 4 3" xfId="31860" xr:uid="{00000000-0005-0000-0000-000051800000}"/>
    <cellStyle name="Финансовый 3 2 5 4 2 5" xfId="9688" xr:uid="{00000000-0005-0000-0000-000052800000}"/>
    <cellStyle name="Финансовый 3 2 5 4 2 5 2" xfId="21666" xr:uid="{00000000-0005-0000-0000-000053800000}"/>
    <cellStyle name="Финансовый 3 2 5 4 2 5 2 2" xfId="45621" xr:uid="{00000000-0005-0000-0000-000054800000}"/>
    <cellStyle name="Финансовый 3 2 5 4 2 5 3" xfId="33643" xr:uid="{00000000-0005-0000-0000-000055800000}"/>
    <cellStyle name="Финансовый 3 2 5 4 2 6" xfId="13846" xr:uid="{00000000-0005-0000-0000-000056800000}"/>
    <cellStyle name="Финансовый 3 2 5 4 2 6 2" xfId="37801" xr:uid="{00000000-0005-0000-0000-000057800000}"/>
    <cellStyle name="Финансовый 3 2 5 4 2 7" xfId="25824" xr:uid="{00000000-0005-0000-0000-000058800000}"/>
    <cellStyle name="Финансовый 3 2 5 4 2 8" xfId="48957" xr:uid="{00000000-0005-0000-0000-000059800000}"/>
    <cellStyle name="Финансовый 3 2 5 4 3" xfId="4948" xr:uid="{00000000-0005-0000-0000-00005A800000}"/>
    <cellStyle name="Финансовый 3 2 5 4 3 2" xfId="16926" xr:uid="{00000000-0005-0000-0000-00005B800000}"/>
    <cellStyle name="Финансовый 3 2 5 4 3 2 2" xfId="40881" xr:uid="{00000000-0005-0000-0000-00005C800000}"/>
    <cellStyle name="Финансовый 3 2 5 4 3 3" xfId="28903" xr:uid="{00000000-0005-0000-0000-00005D800000}"/>
    <cellStyle name="Финансовый 3 2 5 4 3 4" xfId="50391" xr:uid="{00000000-0005-0000-0000-00005E800000}"/>
    <cellStyle name="Финансовый 3 2 5 4 4" xfId="7558" xr:uid="{00000000-0005-0000-0000-00005F800000}"/>
    <cellStyle name="Финансовый 3 2 5 4 4 2" xfId="19536" xr:uid="{00000000-0005-0000-0000-000060800000}"/>
    <cellStyle name="Финансовый 3 2 5 4 4 2 2" xfId="43491" xr:uid="{00000000-0005-0000-0000-000061800000}"/>
    <cellStyle name="Финансовый 3 2 5 4 4 3" xfId="31513" xr:uid="{00000000-0005-0000-0000-000062800000}"/>
    <cellStyle name="Финансовый 3 2 5 4 5" xfId="9341" xr:uid="{00000000-0005-0000-0000-000063800000}"/>
    <cellStyle name="Финансовый 3 2 5 4 5 2" xfId="21319" xr:uid="{00000000-0005-0000-0000-000064800000}"/>
    <cellStyle name="Финансовый 3 2 5 4 5 2 2" xfId="45274" xr:uid="{00000000-0005-0000-0000-000065800000}"/>
    <cellStyle name="Финансовый 3 2 5 4 5 3" xfId="33296" xr:uid="{00000000-0005-0000-0000-000066800000}"/>
    <cellStyle name="Финансовый 3 2 5 4 6" xfId="13499" xr:uid="{00000000-0005-0000-0000-000067800000}"/>
    <cellStyle name="Финансовый 3 2 5 4 6 2" xfId="37454" xr:uid="{00000000-0005-0000-0000-000068800000}"/>
    <cellStyle name="Финансовый 3 2 5 4 7" xfId="25477" xr:uid="{00000000-0005-0000-0000-000069800000}"/>
    <cellStyle name="Финансовый 3 2 5 4 8" xfId="48610" xr:uid="{00000000-0005-0000-0000-00006A800000}"/>
    <cellStyle name="Финансовый 3 2 5 5" xfId="1751" xr:uid="{00000000-0005-0000-0000-00006B800000}"/>
    <cellStyle name="Финансовый 3 2 5 5 2" xfId="3396" xr:uid="{00000000-0005-0000-0000-00006C800000}"/>
    <cellStyle name="Финансовый 3 2 5 5 2 2" xfId="11144" xr:uid="{00000000-0005-0000-0000-00006D800000}"/>
    <cellStyle name="Финансовый 3 2 5 5 2 2 2" xfId="23122" xr:uid="{00000000-0005-0000-0000-00006E800000}"/>
    <cellStyle name="Финансовый 3 2 5 5 2 2 2 2" xfId="47077" xr:uid="{00000000-0005-0000-0000-00006F800000}"/>
    <cellStyle name="Финансовый 3 2 5 5 2 2 3" xfId="35099" xr:uid="{00000000-0005-0000-0000-000070800000}"/>
    <cellStyle name="Финансовый 3 2 5 5 2 3" xfId="15375" xr:uid="{00000000-0005-0000-0000-000071800000}"/>
    <cellStyle name="Финансовый 3 2 5 5 2 3 2" xfId="39330" xr:uid="{00000000-0005-0000-0000-000072800000}"/>
    <cellStyle name="Финансовый 3 2 5 5 2 4" xfId="27353" xr:uid="{00000000-0005-0000-0000-000073800000}"/>
    <cellStyle name="Финансовый 3 2 5 5 2 5" xfId="50622" xr:uid="{00000000-0005-0000-0000-000074800000}"/>
    <cellStyle name="Финансовый 3 2 5 5 3" xfId="5179" xr:uid="{00000000-0005-0000-0000-000075800000}"/>
    <cellStyle name="Финансовый 3 2 5 5 3 2" xfId="17157" xr:uid="{00000000-0005-0000-0000-000076800000}"/>
    <cellStyle name="Финансовый 3 2 5 5 3 2 2" xfId="41112" xr:uid="{00000000-0005-0000-0000-000077800000}"/>
    <cellStyle name="Финансовый 3 2 5 5 3 3" xfId="29134" xr:uid="{00000000-0005-0000-0000-000078800000}"/>
    <cellStyle name="Финансовый 3 2 5 5 4" xfId="7789" xr:uid="{00000000-0005-0000-0000-000079800000}"/>
    <cellStyle name="Финансовый 3 2 5 5 4 2" xfId="19767" xr:uid="{00000000-0005-0000-0000-00007A800000}"/>
    <cellStyle name="Финансовый 3 2 5 5 4 2 2" xfId="43722" xr:uid="{00000000-0005-0000-0000-00007B800000}"/>
    <cellStyle name="Финансовый 3 2 5 5 4 3" xfId="31744" xr:uid="{00000000-0005-0000-0000-00007C800000}"/>
    <cellStyle name="Финансовый 3 2 5 5 5" xfId="9572" xr:uid="{00000000-0005-0000-0000-00007D800000}"/>
    <cellStyle name="Финансовый 3 2 5 5 5 2" xfId="21550" xr:uid="{00000000-0005-0000-0000-00007E800000}"/>
    <cellStyle name="Финансовый 3 2 5 5 5 2 2" xfId="45505" xr:uid="{00000000-0005-0000-0000-00007F800000}"/>
    <cellStyle name="Финансовый 3 2 5 5 5 3" xfId="33527" xr:uid="{00000000-0005-0000-0000-000080800000}"/>
    <cellStyle name="Финансовый 3 2 5 5 6" xfId="13730" xr:uid="{00000000-0005-0000-0000-000081800000}"/>
    <cellStyle name="Финансовый 3 2 5 5 6 2" xfId="37685" xr:uid="{00000000-0005-0000-0000-000082800000}"/>
    <cellStyle name="Финансовый 3 2 5 5 7" xfId="25708" xr:uid="{00000000-0005-0000-0000-000083800000}"/>
    <cellStyle name="Финансовый 3 2 5 5 8" xfId="48841" xr:uid="{00000000-0005-0000-0000-000084800000}"/>
    <cellStyle name="Финансовый 3 2 5 6" xfId="2387" xr:uid="{00000000-0005-0000-0000-000085800000}"/>
    <cellStyle name="Финансовый 3 2 5 6 2" xfId="4032" xr:uid="{00000000-0005-0000-0000-000086800000}"/>
    <cellStyle name="Финансовый 3 2 5 6 2 2" xfId="11772" xr:uid="{00000000-0005-0000-0000-000087800000}"/>
    <cellStyle name="Финансовый 3 2 5 6 2 2 2" xfId="23750" xr:uid="{00000000-0005-0000-0000-000088800000}"/>
    <cellStyle name="Финансовый 3 2 5 6 2 2 2 2" xfId="47705" xr:uid="{00000000-0005-0000-0000-000089800000}"/>
    <cellStyle name="Финансовый 3 2 5 6 2 2 3" xfId="35727" xr:uid="{00000000-0005-0000-0000-00008A800000}"/>
    <cellStyle name="Финансовый 3 2 5 6 2 3" xfId="16011" xr:uid="{00000000-0005-0000-0000-00008B800000}"/>
    <cellStyle name="Финансовый 3 2 5 6 2 3 2" xfId="39966" xr:uid="{00000000-0005-0000-0000-00008C800000}"/>
    <cellStyle name="Финансовый 3 2 5 6 2 4" xfId="27989" xr:uid="{00000000-0005-0000-0000-00008D800000}"/>
    <cellStyle name="Финансовый 3 2 5 6 2 5" xfId="51258" xr:uid="{00000000-0005-0000-0000-00008E800000}"/>
    <cellStyle name="Финансовый 3 2 5 6 3" xfId="5815" xr:uid="{00000000-0005-0000-0000-00008F800000}"/>
    <cellStyle name="Финансовый 3 2 5 6 3 2" xfId="17793" xr:uid="{00000000-0005-0000-0000-000090800000}"/>
    <cellStyle name="Финансовый 3 2 5 6 3 2 2" xfId="41748" xr:uid="{00000000-0005-0000-0000-000091800000}"/>
    <cellStyle name="Финансовый 3 2 5 6 3 3" xfId="29770" xr:uid="{00000000-0005-0000-0000-000092800000}"/>
    <cellStyle name="Финансовый 3 2 5 6 4" xfId="8425" xr:uid="{00000000-0005-0000-0000-000093800000}"/>
    <cellStyle name="Финансовый 3 2 5 6 4 2" xfId="20403" xr:uid="{00000000-0005-0000-0000-000094800000}"/>
    <cellStyle name="Финансовый 3 2 5 6 4 2 2" xfId="44358" xr:uid="{00000000-0005-0000-0000-000095800000}"/>
    <cellStyle name="Финансовый 3 2 5 6 4 3" xfId="32380" xr:uid="{00000000-0005-0000-0000-000096800000}"/>
    <cellStyle name="Финансовый 3 2 5 6 5" xfId="10208" xr:uid="{00000000-0005-0000-0000-000097800000}"/>
    <cellStyle name="Финансовый 3 2 5 6 5 2" xfId="22186" xr:uid="{00000000-0005-0000-0000-000098800000}"/>
    <cellStyle name="Финансовый 3 2 5 6 5 2 2" xfId="46141" xr:uid="{00000000-0005-0000-0000-000099800000}"/>
    <cellStyle name="Финансовый 3 2 5 6 5 3" xfId="34163" xr:uid="{00000000-0005-0000-0000-00009A800000}"/>
    <cellStyle name="Финансовый 3 2 5 6 6" xfId="14366" xr:uid="{00000000-0005-0000-0000-00009B800000}"/>
    <cellStyle name="Финансовый 3 2 5 6 6 2" xfId="38321" xr:uid="{00000000-0005-0000-0000-00009C800000}"/>
    <cellStyle name="Финансовый 3 2 5 6 7" xfId="26344" xr:uid="{00000000-0005-0000-0000-00009D800000}"/>
    <cellStyle name="Финансовый 3 2 5 6 8" xfId="49477" xr:uid="{00000000-0005-0000-0000-00009E800000}"/>
    <cellStyle name="Финансовый 3 2 5 7" xfId="1614" xr:uid="{00000000-0005-0000-0000-00009F800000}"/>
    <cellStyle name="Финансовый 3 2 5 7 2" xfId="3259" xr:uid="{00000000-0005-0000-0000-0000A0800000}"/>
    <cellStyle name="Финансовый 3 2 5 7 2 2" xfId="11015" xr:uid="{00000000-0005-0000-0000-0000A1800000}"/>
    <cellStyle name="Финансовый 3 2 5 7 2 2 2" xfId="22993" xr:uid="{00000000-0005-0000-0000-0000A2800000}"/>
    <cellStyle name="Финансовый 3 2 5 7 2 2 2 2" xfId="46948" xr:uid="{00000000-0005-0000-0000-0000A3800000}"/>
    <cellStyle name="Финансовый 3 2 5 7 2 2 3" xfId="34970" xr:uid="{00000000-0005-0000-0000-0000A4800000}"/>
    <cellStyle name="Финансовый 3 2 5 7 2 3" xfId="15238" xr:uid="{00000000-0005-0000-0000-0000A5800000}"/>
    <cellStyle name="Финансовый 3 2 5 7 2 3 2" xfId="39193" xr:uid="{00000000-0005-0000-0000-0000A6800000}"/>
    <cellStyle name="Финансовый 3 2 5 7 2 4" xfId="27216" xr:uid="{00000000-0005-0000-0000-0000A7800000}"/>
    <cellStyle name="Финансовый 3 2 5 7 2 5" xfId="50485" xr:uid="{00000000-0005-0000-0000-0000A8800000}"/>
    <cellStyle name="Финансовый 3 2 5 7 3" xfId="5042" xr:uid="{00000000-0005-0000-0000-0000A9800000}"/>
    <cellStyle name="Финансовый 3 2 5 7 3 2" xfId="17020" xr:uid="{00000000-0005-0000-0000-0000AA800000}"/>
    <cellStyle name="Финансовый 3 2 5 7 3 2 2" xfId="40975" xr:uid="{00000000-0005-0000-0000-0000AB800000}"/>
    <cellStyle name="Финансовый 3 2 5 7 3 3" xfId="28997" xr:uid="{00000000-0005-0000-0000-0000AC800000}"/>
    <cellStyle name="Финансовый 3 2 5 7 4" xfId="7652" xr:uid="{00000000-0005-0000-0000-0000AD800000}"/>
    <cellStyle name="Финансовый 3 2 5 7 4 2" xfId="19630" xr:uid="{00000000-0005-0000-0000-0000AE800000}"/>
    <cellStyle name="Финансовый 3 2 5 7 4 2 2" xfId="43585" xr:uid="{00000000-0005-0000-0000-0000AF800000}"/>
    <cellStyle name="Финансовый 3 2 5 7 4 3" xfId="31607" xr:uid="{00000000-0005-0000-0000-0000B0800000}"/>
    <cellStyle name="Финансовый 3 2 5 7 5" xfId="9435" xr:uid="{00000000-0005-0000-0000-0000B1800000}"/>
    <cellStyle name="Финансовый 3 2 5 7 5 2" xfId="21413" xr:uid="{00000000-0005-0000-0000-0000B2800000}"/>
    <cellStyle name="Финансовый 3 2 5 7 5 2 2" xfId="45368" xr:uid="{00000000-0005-0000-0000-0000B3800000}"/>
    <cellStyle name="Финансовый 3 2 5 7 5 3" xfId="33390" xr:uid="{00000000-0005-0000-0000-0000B4800000}"/>
    <cellStyle name="Финансовый 3 2 5 7 6" xfId="13593" xr:uid="{00000000-0005-0000-0000-0000B5800000}"/>
    <cellStyle name="Финансовый 3 2 5 7 6 2" xfId="37548" xr:uid="{00000000-0005-0000-0000-0000B6800000}"/>
    <cellStyle name="Финансовый 3 2 5 7 7" xfId="25571" xr:uid="{00000000-0005-0000-0000-0000B7800000}"/>
    <cellStyle name="Финансовый 3 2 5 7 8" xfId="48704" xr:uid="{00000000-0005-0000-0000-0000B8800000}"/>
    <cellStyle name="Финансовый 3 2 5 8" xfId="900" xr:uid="{00000000-0005-0000-0000-0000B9800000}"/>
    <cellStyle name="Финансовый 3 2 5 8 2" xfId="6940" xr:uid="{00000000-0005-0000-0000-0000BA800000}"/>
    <cellStyle name="Финансовый 3 2 5 8 2 2" xfId="18918" xr:uid="{00000000-0005-0000-0000-0000BB800000}"/>
    <cellStyle name="Финансовый 3 2 5 8 2 2 2" xfId="42873" xr:uid="{00000000-0005-0000-0000-0000BC800000}"/>
    <cellStyle name="Финансовый 3 2 5 8 2 3" xfId="30895" xr:uid="{00000000-0005-0000-0000-0000BD800000}"/>
    <cellStyle name="Финансовый 3 2 5 8 3" xfId="10488" xr:uid="{00000000-0005-0000-0000-0000BE800000}"/>
    <cellStyle name="Финансовый 3 2 5 8 3 2" xfId="22466" xr:uid="{00000000-0005-0000-0000-0000BF800000}"/>
    <cellStyle name="Финансовый 3 2 5 8 3 2 2" xfId="46421" xr:uid="{00000000-0005-0000-0000-0000C0800000}"/>
    <cellStyle name="Финансовый 3 2 5 8 3 3" xfId="34443" xr:uid="{00000000-0005-0000-0000-0000C1800000}"/>
    <cellStyle name="Финансовый 3 2 5 8 4" xfId="12881" xr:uid="{00000000-0005-0000-0000-0000C2800000}"/>
    <cellStyle name="Финансовый 3 2 5 8 4 2" xfId="36836" xr:uid="{00000000-0005-0000-0000-0000C3800000}"/>
    <cellStyle name="Финансовый 3 2 5 8 5" xfId="24859" xr:uid="{00000000-0005-0000-0000-0000C4800000}"/>
    <cellStyle name="Финансовый 3 2 5 8 6" xfId="49757" xr:uid="{00000000-0005-0000-0000-0000C5800000}"/>
    <cellStyle name="Финансовый 3 2 5 9" xfId="480" xr:uid="{00000000-0005-0000-0000-0000C6800000}"/>
    <cellStyle name="Финансовый 3 2 5 9 2" xfId="6520" xr:uid="{00000000-0005-0000-0000-0000C7800000}"/>
    <cellStyle name="Финансовый 3 2 5 9 2 2" xfId="18498" xr:uid="{00000000-0005-0000-0000-0000C8800000}"/>
    <cellStyle name="Финансовый 3 2 5 9 2 2 2" xfId="42453" xr:uid="{00000000-0005-0000-0000-0000C9800000}"/>
    <cellStyle name="Финансовый 3 2 5 9 2 3" xfId="30475" xr:uid="{00000000-0005-0000-0000-0000CA800000}"/>
    <cellStyle name="Финансовый 3 2 5 9 3" xfId="12461" xr:uid="{00000000-0005-0000-0000-0000CB800000}"/>
    <cellStyle name="Финансовый 3 2 5 9 3 2" xfId="36416" xr:uid="{00000000-0005-0000-0000-0000CC800000}"/>
    <cellStyle name="Финансовый 3 2 5 9 4" xfId="24439" xr:uid="{00000000-0005-0000-0000-0000CD800000}"/>
    <cellStyle name="Финансовый 3 2 6" xfId="135" xr:uid="{00000000-0005-0000-0000-0000CE800000}"/>
    <cellStyle name="Финансовый 3 2 6 10" xfId="2745" xr:uid="{00000000-0005-0000-0000-0000CF800000}"/>
    <cellStyle name="Финансовый 3 2 6 10 2" xfId="14724" xr:uid="{00000000-0005-0000-0000-0000D0800000}"/>
    <cellStyle name="Финансовый 3 2 6 10 2 2" xfId="38679" xr:uid="{00000000-0005-0000-0000-0000D1800000}"/>
    <cellStyle name="Финансовый 3 2 6 10 3" xfId="26702" xr:uid="{00000000-0005-0000-0000-0000D2800000}"/>
    <cellStyle name="Финансовый 3 2 6 11" xfId="4389" xr:uid="{00000000-0005-0000-0000-0000D3800000}"/>
    <cellStyle name="Финансовый 3 2 6 11 2" xfId="16368" xr:uid="{00000000-0005-0000-0000-0000D4800000}"/>
    <cellStyle name="Финансовый 3 2 6 11 2 2" xfId="40323" xr:uid="{00000000-0005-0000-0000-0000D5800000}"/>
    <cellStyle name="Финансовый 3 2 6 11 3" xfId="28346" xr:uid="{00000000-0005-0000-0000-0000D6800000}"/>
    <cellStyle name="Финансовый 3 2 6 12" xfId="6176" xr:uid="{00000000-0005-0000-0000-0000D7800000}"/>
    <cellStyle name="Финансовый 3 2 6 12 2" xfId="18154" xr:uid="{00000000-0005-0000-0000-0000D8800000}"/>
    <cellStyle name="Финансовый 3 2 6 12 2 2" xfId="42109" xr:uid="{00000000-0005-0000-0000-0000D9800000}"/>
    <cellStyle name="Финансовый 3 2 6 12 3" xfId="30131" xr:uid="{00000000-0005-0000-0000-0000DA800000}"/>
    <cellStyle name="Финансовый 3 2 6 13" xfId="8783" xr:uid="{00000000-0005-0000-0000-0000DB800000}"/>
    <cellStyle name="Финансовый 3 2 6 13 2" xfId="20761" xr:uid="{00000000-0005-0000-0000-0000DC800000}"/>
    <cellStyle name="Финансовый 3 2 6 13 2 2" xfId="44716" xr:uid="{00000000-0005-0000-0000-0000DD800000}"/>
    <cellStyle name="Финансовый 3 2 6 13 3" xfId="32738" xr:uid="{00000000-0005-0000-0000-0000DE800000}"/>
    <cellStyle name="Финансовый 3 2 6 14" xfId="12117" xr:uid="{00000000-0005-0000-0000-0000DF800000}"/>
    <cellStyle name="Финансовый 3 2 6 14 2" xfId="36072" xr:uid="{00000000-0005-0000-0000-0000E0800000}"/>
    <cellStyle name="Финансовый 3 2 6 15" xfId="24095" xr:uid="{00000000-0005-0000-0000-0000E1800000}"/>
    <cellStyle name="Финансовый 3 2 6 16" xfId="48053" xr:uid="{00000000-0005-0000-0000-0000E2800000}"/>
    <cellStyle name="Финансовый 3 2 6 2" xfId="271" xr:uid="{00000000-0005-0000-0000-0000E3800000}"/>
    <cellStyle name="Финансовый 3 2 6 2 10" xfId="8919" xr:uid="{00000000-0005-0000-0000-0000E4800000}"/>
    <cellStyle name="Финансовый 3 2 6 2 10 2" xfId="20897" xr:uid="{00000000-0005-0000-0000-0000E5800000}"/>
    <cellStyle name="Финансовый 3 2 6 2 10 2 2" xfId="44852" xr:uid="{00000000-0005-0000-0000-0000E6800000}"/>
    <cellStyle name="Финансовый 3 2 6 2 10 3" xfId="32874" xr:uid="{00000000-0005-0000-0000-0000E7800000}"/>
    <cellStyle name="Финансовый 3 2 6 2 11" xfId="12253" xr:uid="{00000000-0005-0000-0000-0000E8800000}"/>
    <cellStyle name="Финансовый 3 2 6 2 11 2" xfId="36208" xr:uid="{00000000-0005-0000-0000-0000E9800000}"/>
    <cellStyle name="Финансовый 3 2 6 2 12" xfId="24231" xr:uid="{00000000-0005-0000-0000-0000EA800000}"/>
    <cellStyle name="Финансовый 3 2 6 2 13" xfId="48189" xr:uid="{00000000-0005-0000-0000-0000EB800000}"/>
    <cellStyle name="Финансовый 3 2 6 2 2" xfId="1369" xr:uid="{00000000-0005-0000-0000-0000EC800000}"/>
    <cellStyle name="Финансовый 3 2 6 2 2 2" xfId="2327" xr:uid="{00000000-0005-0000-0000-0000ED800000}"/>
    <cellStyle name="Финансовый 3 2 6 2 2 2 2" xfId="3972" xr:uid="{00000000-0005-0000-0000-0000EE800000}"/>
    <cellStyle name="Финансовый 3 2 6 2 2 2 2 2" xfId="11712" xr:uid="{00000000-0005-0000-0000-0000EF800000}"/>
    <cellStyle name="Финансовый 3 2 6 2 2 2 2 2 2" xfId="23690" xr:uid="{00000000-0005-0000-0000-0000F0800000}"/>
    <cellStyle name="Финансовый 3 2 6 2 2 2 2 2 2 2" xfId="47645" xr:uid="{00000000-0005-0000-0000-0000F1800000}"/>
    <cellStyle name="Финансовый 3 2 6 2 2 2 2 2 3" xfId="35667" xr:uid="{00000000-0005-0000-0000-0000F2800000}"/>
    <cellStyle name="Финансовый 3 2 6 2 2 2 2 3" xfId="15951" xr:uid="{00000000-0005-0000-0000-0000F3800000}"/>
    <cellStyle name="Финансовый 3 2 6 2 2 2 2 3 2" xfId="39906" xr:uid="{00000000-0005-0000-0000-0000F4800000}"/>
    <cellStyle name="Финансовый 3 2 6 2 2 2 2 4" xfId="27929" xr:uid="{00000000-0005-0000-0000-0000F5800000}"/>
    <cellStyle name="Финансовый 3 2 6 2 2 2 2 5" xfId="51198" xr:uid="{00000000-0005-0000-0000-0000F6800000}"/>
    <cellStyle name="Финансовый 3 2 6 2 2 2 3" xfId="5755" xr:uid="{00000000-0005-0000-0000-0000F7800000}"/>
    <cellStyle name="Финансовый 3 2 6 2 2 2 3 2" xfId="17733" xr:uid="{00000000-0005-0000-0000-0000F8800000}"/>
    <cellStyle name="Финансовый 3 2 6 2 2 2 3 2 2" xfId="41688" xr:uid="{00000000-0005-0000-0000-0000F9800000}"/>
    <cellStyle name="Финансовый 3 2 6 2 2 2 3 3" xfId="29710" xr:uid="{00000000-0005-0000-0000-0000FA800000}"/>
    <cellStyle name="Финансовый 3 2 6 2 2 2 4" xfId="8365" xr:uid="{00000000-0005-0000-0000-0000FB800000}"/>
    <cellStyle name="Финансовый 3 2 6 2 2 2 4 2" xfId="20343" xr:uid="{00000000-0005-0000-0000-0000FC800000}"/>
    <cellStyle name="Финансовый 3 2 6 2 2 2 4 2 2" xfId="44298" xr:uid="{00000000-0005-0000-0000-0000FD800000}"/>
    <cellStyle name="Финансовый 3 2 6 2 2 2 4 3" xfId="32320" xr:uid="{00000000-0005-0000-0000-0000FE800000}"/>
    <cellStyle name="Финансовый 3 2 6 2 2 2 5" xfId="10148" xr:uid="{00000000-0005-0000-0000-0000FF800000}"/>
    <cellStyle name="Финансовый 3 2 6 2 2 2 5 2" xfId="22126" xr:uid="{00000000-0005-0000-0000-000000810000}"/>
    <cellStyle name="Финансовый 3 2 6 2 2 2 5 2 2" xfId="46081" xr:uid="{00000000-0005-0000-0000-000001810000}"/>
    <cellStyle name="Финансовый 3 2 6 2 2 2 5 3" xfId="34103" xr:uid="{00000000-0005-0000-0000-000002810000}"/>
    <cellStyle name="Финансовый 3 2 6 2 2 2 6" xfId="14306" xr:uid="{00000000-0005-0000-0000-000003810000}"/>
    <cellStyle name="Финансовый 3 2 6 2 2 2 6 2" xfId="38261" xr:uid="{00000000-0005-0000-0000-000004810000}"/>
    <cellStyle name="Финансовый 3 2 6 2 2 2 7" xfId="26284" xr:uid="{00000000-0005-0000-0000-000005810000}"/>
    <cellStyle name="Финансовый 3 2 6 2 2 2 8" xfId="49417" xr:uid="{00000000-0005-0000-0000-000006810000}"/>
    <cellStyle name="Финансовый 3 2 6 2 2 3" xfId="3153" xr:uid="{00000000-0005-0000-0000-000007810000}"/>
    <cellStyle name="Финансовый 3 2 6 2 2 3 2" xfId="10940" xr:uid="{00000000-0005-0000-0000-000008810000}"/>
    <cellStyle name="Финансовый 3 2 6 2 2 3 2 2" xfId="22918" xr:uid="{00000000-0005-0000-0000-000009810000}"/>
    <cellStyle name="Финансовый 3 2 6 2 2 3 2 2 2" xfId="46873" xr:uid="{00000000-0005-0000-0000-00000A810000}"/>
    <cellStyle name="Финансовый 3 2 6 2 2 3 2 3" xfId="34895" xr:uid="{00000000-0005-0000-0000-00000B810000}"/>
    <cellStyle name="Финансовый 3 2 6 2 2 3 3" xfId="15132" xr:uid="{00000000-0005-0000-0000-00000C810000}"/>
    <cellStyle name="Финансовый 3 2 6 2 2 3 3 2" xfId="39087" xr:uid="{00000000-0005-0000-0000-00000D810000}"/>
    <cellStyle name="Финансовый 3 2 6 2 2 3 4" xfId="27110" xr:uid="{00000000-0005-0000-0000-00000E810000}"/>
    <cellStyle name="Финансовый 3 2 6 2 2 3 5" xfId="50241" xr:uid="{00000000-0005-0000-0000-00000F810000}"/>
    <cellStyle name="Финансовый 3 2 6 2 2 4" xfId="4797" xr:uid="{00000000-0005-0000-0000-000010810000}"/>
    <cellStyle name="Финансовый 3 2 6 2 2 4 2" xfId="16776" xr:uid="{00000000-0005-0000-0000-000011810000}"/>
    <cellStyle name="Финансовый 3 2 6 2 2 4 2 2" xfId="40731" xr:uid="{00000000-0005-0000-0000-000012810000}"/>
    <cellStyle name="Финансовый 3 2 6 2 2 4 3" xfId="28754" xr:uid="{00000000-0005-0000-0000-000013810000}"/>
    <cellStyle name="Финансовый 3 2 6 2 2 5" xfId="7409" xr:uid="{00000000-0005-0000-0000-000014810000}"/>
    <cellStyle name="Финансовый 3 2 6 2 2 5 2" xfId="19387" xr:uid="{00000000-0005-0000-0000-000015810000}"/>
    <cellStyle name="Финансовый 3 2 6 2 2 5 2 2" xfId="43342" xr:uid="{00000000-0005-0000-0000-000016810000}"/>
    <cellStyle name="Финансовый 3 2 6 2 2 5 3" xfId="31364" xr:uid="{00000000-0005-0000-0000-000017810000}"/>
    <cellStyle name="Финансовый 3 2 6 2 2 6" xfId="9191" xr:uid="{00000000-0005-0000-0000-000018810000}"/>
    <cellStyle name="Финансовый 3 2 6 2 2 6 2" xfId="21169" xr:uid="{00000000-0005-0000-0000-000019810000}"/>
    <cellStyle name="Финансовый 3 2 6 2 2 6 2 2" xfId="45124" xr:uid="{00000000-0005-0000-0000-00001A810000}"/>
    <cellStyle name="Финансовый 3 2 6 2 2 6 3" xfId="33146" xr:uid="{00000000-0005-0000-0000-00001B810000}"/>
    <cellStyle name="Финансовый 3 2 6 2 2 7" xfId="13350" xr:uid="{00000000-0005-0000-0000-00001C810000}"/>
    <cellStyle name="Финансовый 3 2 6 2 2 7 2" xfId="37305" xr:uid="{00000000-0005-0000-0000-00001D810000}"/>
    <cellStyle name="Финансовый 3 2 6 2 2 8" xfId="25328" xr:uid="{00000000-0005-0000-0000-00001E810000}"/>
    <cellStyle name="Финансовый 3 2 6 2 2 9" xfId="48461" xr:uid="{00000000-0005-0000-0000-00001F810000}"/>
    <cellStyle name="Финансовый 3 2 6 2 3" xfId="2071" xr:uid="{00000000-0005-0000-0000-000020810000}"/>
    <cellStyle name="Финансовый 3 2 6 2 3 2" xfId="3716" xr:uid="{00000000-0005-0000-0000-000021810000}"/>
    <cellStyle name="Финансовый 3 2 6 2 3 2 2" xfId="11456" xr:uid="{00000000-0005-0000-0000-000022810000}"/>
    <cellStyle name="Финансовый 3 2 6 2 3 2 2 2" xfId="23434" xr:uid="{00000000-0005-0000-0000-000023810000}"/>
    <cellStyle name="Финансовый 3 2 6 2 3 2 2 2 2" xfId="47389" xr:uid="{00000000-0005-0000-0000-000024810000}"/>
    <cellStyle name="Финансовый 3 2 6 2 3 2 2 3" xfId="35411" xr:uid="{00000000-0005-0000-0000-000025810000}"/>
    <cellStyle name="Финансовый 3 2 6 2 3 2 3" xfId="15695" xr:uid="{00000000-0005-0000-0000-000026810000}"/>
    <cellStyle name="Финансовый 3 2 6 2 3 2 3 2" xfId="39650" xr:uid="{00000000-0005-0000-0000-000027810000}"/>
    <cellStyle name="Финансовый 3 2 6 2 3 2 4" xfId="27673" xr:uid="{00000000-0005-0000-0000-000028810000}"/>
    <cellStyle name="Финансовый 3 2 6 2 3 2 5" xfId="50942" xr:uid="{00000000-0005-0000-0000-000029810000}"/>
    <cellStyle name="Финансовый 3 2 6 2 3 3" xfId="5499" xr:uid="{00000000-0005-0000-0000-00002A810000}"/>
    <cellStyle name="Финансовый 3 2 6 2 3 3 2" xfId="17477" xr:uid="{00000000-0005-0000-0000-00002B810000}"/>
    <cellStyle name="Финансовый 3 2 6 2 3 3 2 2" xfId="41432" xr:uid="{00000000-0005-0000-0000-00002C810000}"/>
    <cellStyle name="Финансовый 3 2 6 2 3 3 3" xfId="29454" xr:uid="{00000000-0005-0000-0000-00002D810000}"/>
    <cellStyle name="Финансовый 3 2 6 2 3 4" xfId="8109" xr:uid="{00000000-0005-0000-0000-00002E810000}"/>
    <cellStyle name="Финансовый 3 2 6 2 3 4 2" xfId="20087" xr:uid="{00000000-0005-0000-0000-00002F810000}"/>
    <cellStyle name="Финансовый 3 2 6 2 3 4 2 2" xfId="44042" xr:uid="{00000000-0005-0000-0000-000030810000}"/>
    <cellStyle name="Финансовый 3 2 6 2 3 4 3" xfId="32064" xr:uid="{00000000-0005-0000-0000-000031810000}"/>
    <cellStyle name="Финансовый 3 2 6 2 3 5" xfId="9892" xr:uid="{00000000-0005-0000-0000-000032810000}"/>
    <cellStyle name="Финансовый 3 2 6 2 3 5 2" xfId="21870" xr:uid="{00000000-0005-0000-0000-000033810000}"/>
    <cellStyle name="Финансовый 3 2 6 2 3 5 2 2" xfId="45825" xr:uid="{00000000-0005-0000-0000-000034810000}"/>
    <cellStyle name="Финансовый 3 2 6 2 3 5 3" xfId="33847" xr:uid="{00000000-0005-0000-0000-000035810000}"/>
    <cellStyle name="Финансовый 3 2 6 2 3 6" xfId="14050" xr:uid="{00000000-0005-0000-0000-000036810000}"/>
    <cellStyle name="Финансовый 3 2 6 2 3 6 2" xfId="38005" xr:uid="{00000000-0005-0000-0000-000037810000}"/>
    <cellStyle name="Финансовый 3 2 6 2 3 7" xfId="26028" xr:uid="{00000000-0005-0000-0000-000038810000}"/>
    <cellStyle name="Финансовый 3 2 6 2 3 8" xfId="49161" xr:uid="{00000000-0005-0000-0000-000039810000}"/>
    <cellStyle name="Финансовый 3 2 6 2 4" xfId="2600" xr:uid="{00000000-0005-0000-0000-00003A810000}"/>
    <cellStyle name="Финансовый 3 2 6 2 4 2" xfId="4245" xr:uid="{00000000-0005-0000-0000-00003B810000}"/>
    <cellStyle name="Финансовый 3 2 6 2 4 2 2" xfId="11969" xr:uid="{00000000-0005-0000-0000-00003C810000}"/>
    <cellStyle name="Финансовый 3 2 6 2 4 2 2 2" xfId="23947" xr:uid="{00000000-0005-0000-0000-00003D810000}"/>
    <cellStyle name="Финансовый 3 2 6 2 4 2 2 2 2" xfId="47902" xr:uid="{00000000-0005-0000-0000-00003E810000}"/>
    <cellStyle name="Финансовый 3 2 6 2 4 2 2 3" xfId="35924" xr:uid="{00000000-0005-0000-0000-00003F810000}"/>
    <cellStyle name="Финансовый 3 2 6 2 4 2 3" xfId="16224" xr:uid="{00000000-0005-0000-0000-000040810000}"/>
    <cellStyle name="Финансовый 3 2 6 2 4 2 3 2" xfId="40179" xr:uid="{00000000-0005-0000-0000-000041810000}"/>
    <cellStyle name="Финансовый 3 2 6 2 4 2 4" xfId="28202" xr:uid="{00000000-0005-0000-0000-000042810000}"/>
    <cellStyle name="Финансовый 3 2 6 2 4 2 5" xfId="51471" xr:uid="{00000000-0005-0000-0000-000043810000}"/>
    <cellStyle name="Финансовый 3 2 6 2 4 3" xfId="6028" xr:uid="{00000000-0005-0000-0000-000044810000}"/>
    <cellStyle name="Финансовый 3 2 6 2 4 3 2" xfId="18006" xr:uid="{00000000-0005-0000-0000-000045810000}"/>
    <cellStyle name="Финансовый 3 2 6 2 4 3 2 2" xfId="41961" xr:uid="{00000000-0005-0000-0000-000046810000}"/>
    <cellStyle name="Финансовый 3 2 6 2 4 3 3" xfId="29983" xr:uid="{00000000-0005-0000-0000-000047810000}"/>
    <cellStyle name="Финансовый 3 2 6 2 4 4" xfId="8638" xr:uid="{00000000-0005-0000-0000-000048810000}"/>
    <cellStyle name="Финансовый 3 2 6 2 4 4 2" xfId="20616" xr:uid="{00000000-0005-0000-0000-000049810000}"/>
    <cellStyle name="Финансовый 3 2 6 2 4 4 2 2" xfId="44571" xr:uid="{00000000-0005-0000-0000-00004A810000}"/>
    <cellStyle name="Финансовый 3 2 6 2 4 4 3" xfId="32593" xr:uid="{00000000-0005-0000-0000-00004B810000}"/>
    <cellStyle name="Финансовый 3 2 6 2 4 5" xfId="10421" xr:uid="{00000000-0005-0000-0000-00004C810000}"/>
    <cellStyle name="Финансовый 3 2 6 2 4 5 2" xfId="22399" xr:uid="{00000000-0005-0000-0000-00004D810000}"/>
    <cellStyle name="Финансовый 3 2 6 2 4 5 2 2" xfId="46354" xr:uid="{00000000-0005-0000-0000-00004E810000}"/>
    <cellStyle name="Финансовый 3 2 6 2 4 5 3" xfId="34376" xr:uid="{00000000-0005-0000-0000-00004F810000}"/>
    <cellStyle name="Финансовый 3 2 6 2 4 6" xfId="14579" xr:uid="{00000000-0005-0000-0000-000050810000}"/>
    <cellStyle name="Финансовый 3 2 6 2 4 6 2" xfId="38534" xr:uid="{00000000-0005-0000-0000-000051810000}"/>
    <cellStyle name="Финансовый 3 2 6 2 4 7" xfId="26557" xr:uid="{00000000-0005-0000-0000-000052810000}"/>
    <cellStyle name="Финансовый 3 2 6 2 4 8" xfId="49690" xr:uid="{00000000-0005-0000-0000-000053810000}"/>
    <cellStyle name="Финансовый 3 2 6 2 5" xfId="1104" xr:uid="{00000000-0005-0000-0000-000054810000}"/>
    <cellStyle name="Финансовый 3 2 6 2 5 2" xfId="7144" xr:uid="{00000000-0005-0000-0000-000055810000}"/>
    <cellStyle name="Финансовый 3 2 6 2 5 2 2" xfId="19122" xr:uid="{00000000-0005-0000-0000-000056810000}"/>
    <cellStyle name="Финансовый 3 2 6 2 5 2 2 2" xfId="43077" xr:uid="{00000000-0005-0000-0000-000057810000}"/>
    <cellStyle name="Финансовый 3 2 6 2 5 2 3" xfId="31099" xr:uid="{00000000-0005-0000-0000-000058810000}"/>
    <cellStyle name="Финансовый 3 2 6 2 5 3" xfId="10684" xr:uid="{00000000-0005-0000-0000-000059810000}"/>
    <cellStyle name="Финансовый 3 2 6 2 5 3 2" xfId="22662" xr:uid="{00000000-0005-0000-0000-00005A810000}"/>
    <cellStyle name="Финансовый 3 2 6 2 5 3 2 2" xfId="46617" xr:uid="{00000000-0005-0000-0000-00005B810000}"/>
    <cellStyle name="Финансовый 3 2 6 2 5 3 3" xfId="34639" xr:uid="{00000000-0005-0000-0000-00005C810000}"/>
    <cellStyle name="Финансовый 3 2 6 2 5 4" xfId="13085" xr:uid="{00000000-0005-0000-0000-00005D810000}"/>
    <cellStyle name="Финансовый 3 2 6 2 5 4 2" xfId="37040" xr:uid="{00000000-0005-0000-0000-00005E810000}"/>
    <cellStyle name="Финансовый 3 2 6 2 5 5" xfId="25063" xr:uid="{00000000-0005-0000-0000-00005F810000}"/>
    <cellStyle name="Финансовый 3 2 6 2 5 6" xfId="49969" xr:uid="{00000000-0005-0000-0000-000060810000}"/>
    <cellStyle name="Финансовый 3 2 6 2 6" xfId="692" xr:uid="{00000000-0005-0000-0000-000061810000}"/>
    <cellStyle name="Финансовый 3 2 6 2 6 2" xfId="6732" xr:uid="{00000000-0005-0000-0000-000062810000}"/>
    <cellStyle name="Финансовый 3 2 6 2 6 2 2" xfId="18710" xr:uid="{00000000-0005-0000-0000-000063810000}"/>
    <cellStyle name="Финансовый 3 2 6 2 6 2 2 2" xfId="42665" xr:uid="{00000000-0005-0000-0000-000064810000}"/>
    <cellStyle name="Финансовый 3 2 6 2 6 2 3" xfId="30687" xr:uid="{00000000-0005-0000-0000-000065810000}"/>
    <cellStyle name="Финансовый 3 2 6 2 6 3" xfId="12673" xr:uid="{00000000-0005-0000-0000-000066810000}"/>
    <cellStyle name="Финансовый 3 2 6 2 6 3 2" xfId="36628" xr:uid="{00000000-0005-0000-0000-000067810000}"/>
    <cellStyle name="Финансовый 3 2 6 2 6 4" xfId="24651" xr:uid="{00000000-0005-0000-0000-000068810000}"/>
    <cellStyle name="Финансовый 3 2 6 2 7" xfId="2881" xr:uid="{00000000-0005-0000-0000-000069810000}"/>
    <cellStyle name="Финансовый 3 2 6 2 7 2" xfId="14860" xr:uid="{00000000-0005-0000-0000-00006A810000}"/>
    <cellStyle name="Финансовый 3 2 6 2 7 2 2" xfId="38815" xr:uid="{00000000-0005-0000-0000-00006B810000}"/>
    <cellStyle name="Финансовый 3 2 6 2 7 3" xfId="26838" xr:uid="{00000000-0005-0000-0000-00006C810000}"/>
    <cellStyle name="Финансовый 3 2 6 2 8" xfId="4525" xr:uid="{00000000-0005-0000-0000-00006D810000}"/>
    <cellStyle name="Финансовый 3 2 6 2 8 2" xfId="16504" xr:uid="{00000000-0005-0000-0000-00006E810000}"/>
    <cellStyle name="Финансовый 3 2 6 2 8 2 2" xfId="40459" xr:uid="{00000000-0005-0000-0000-00006F810000}"/>
    <cellStyle name="Финансовый 3 2 6 2 8 3" xfId="28482" xr:uid="{00000000-0005-0000-0000-000070810000}"/>
    <cellStyle name="Финансовый 3 2 6 2 9" xfId="6312" xr:uid="{00000000-0005-0000-0000-000071810000}"/>
    <cellStyle name="Финансовый 3 2 6 2 9 2" xfId="18290" xr:uid="{00000000-0005-0000-0000-000072810000}"/>
    <cellStyle name="Финансовый 3 2 6 2 9 2 2" xfId="42245" xr:uid="{00000000-0005-0000-0000-000073810000}"/>
    <cellStyle name="Финансовый 3 2 6 2 9 3" xfId="30267" xr:uid="{00000000-0005-0000-0000-000074810000}"/>
    <cellStyle name="Финансовый 3 2 6 3" xfId="420" xr:uid="{00000000-0005-0000-0000-000075810000}"/>
    <cellStyle name="Финансовый 3 2 6 3 10" xfId="24379" xr:uid="{00000000-0005-0000-0000-000076810000}"/>
    <cellStyle name="Финансовый 3 2 6 3 11" xfId="48325" xr:uid="{00000000-0005-0000-0000-000077810000}"/>
    <cellStyle name="Финансовый 3 2 6 3 2" xfId="2199" xr:uid="{00000000-0005-0000-0000-000078810000}"/>
    <cellStyle name="Финансовый 3 2 6 3 2 2" xfId="3844" xr:uid="{00000000-0005-0000-0000-000079810000}"/>
    <cellStyle name="Финансовый 3 2 6 3 2 2 2" xfId="11584" xr:uid="{00000000-0005-0000-0000-00007A810000}"/>
    <cellStyle name="Финансовый 3 2 6 3 2 2 2 2" xfId="23562" xr:uid="{00000000-0005-0000-0000-00007B810000}"/>
    <cellStyle name="Финансовый 3 2 6 3 2 2 2 2 2" xfId="47517" xr:uid="{00000000-0005-0000-0000-00007C810000}"/>
    <cellStyle name="Финансовый 3 2 6 3 2 2 2 3" xfId="35539" xr:uid="{00000000-0005-0000-0000-00007D810000}"/>
    <cellStyle name="Финансовый 3 2 6 3 2 2 3" xfId="15823" xr:uid="{00000000-0005-0000-0000-00007E810000}"/>
    <cellStyle name="Финансовый 3 2 6 3 2 2 3 2" xfId="39778" xr:uid="{00000000-0005-0000-0000-00007F810000}"/>
    <cellStyle name="Финансовый 3 2 6 3 2 2 4" xfId="27801" xr:uid="{00000000-0005-0000-0000-000080810000}"/>
    <cellStyle name="Финансовый 3 2 6 3 2 2 5" xfId="51070" xr:uid="{00000000-0005-0000-0000-000081810000}"/>
    <cellStyle name="Финансовый 3 2 6 3 2 3" xfId="5627" xr:uid="{00000000-0005-0000-0000-000082810000}"/>
    <cellStyle name="Финансовый 3 2 6 3 2 3 2" xfId="17605" xr:uid="{00000000-0005-0000-0000-000083810000}"/>
    <cellStyle name="Финансовый 3 2 6 3 2 3 2 2" xfId="41560" xr:uid="{00000000-0005-0000-0000-000084810000}"/>
    <cellStyle name="Финансовый 3 2 6 3 2 3 3" xfId="29582" xr:uid="{00000000-0005-0000-0000-000085810000}"/>
    <cellStyle name="Финансовый 3 2 6 3 2 4" xfId="8237" xr:uid="{00000000-0005-0000-0000-000086810000}"/>
    <cellStyle name="Финансовый 3 2 6 3 2 4 2" xfId="20215" xr:uid="{00000000-0005-0000-0000-000087810000}"/>
    <cellStyle name="Финансовый 3 2 6 3 2 4 2 2" xfId="44170" xr:uid="{00000000-0005-0000-0000-000088810000}"/>
    <cellStyle name="Финансовый 3 2 6 3 2 4 3" xfId="32192" xr:uid="{00000000-0005-0000-0000-000089810000}"/>
    <cellStyle name="Финансовый 3 2 6 3 2 5" xfId="10020" xr:uid="{00000000-0005-0000-0000-00008A810000}"/>
    <cellStyle name="Финансовый 3 2 6 3 2 5 2" xfId="21998" xr:uid="{00000000-0005-0000-0000-00008B810000}"/>
    <cellStyle name="Финансовый 3 2 6 3 2 5 2 2" xfId="45953" xr:uid="{00000000-0005-0000-0000-00008C810000}"/>
    <cellStyle name="Финансовый 3 2 6 3 2 5 3" xfId="33975" xr:uid="{00000000-0005-0000-0000-00008D810000}"/>
    <cellStyle name="Финансовый 3 2 6 3 2 6" xfId="14178" xr:uid="{00000000-0005-0000-0000-00008E810000}"/>
    <cellStyle name="Финансовый 3 2 6 3 2 6 2" xfId="38133" xr:uid="{00000000-0005-0000-0000-00008F810000}"/>
    <cellStyle name="Финансовый 3 2 6 3 2 7" xfId="26156" xr:uid="{00000000-0005-0000-0000-000090810000}"/>
    <cellStyle name="Финансовый 3 2 6 3 2 8" xfId="49289" xr:uid="{00000000-0005-0000-0000-000091810000}"/>
    <cellStyle name="Финансовый 3 2 6 3 3" xfId="1233" xr:uid="{00000000-0005-0000-0000-000092810000}"/>
    <cellStyle name="Финансовый 3 2 6 3 3 2" xfId="7273" xr:uid="{00000000-0005-0000-0000-000093810000}"/>
    <cellStyle name="Финансовый 3 2 6 3 3 2 2" xfId="19251" xr:uid="{00000000-0005-0000-0000-000094810000}"/>
    <cellStyle name="Финансовый 3 2 6 3 3 2 2 2" xfId="43206" xr:uid="{00000000-0005-0000-0000-000095810000}"/>
    <cellStyle name="Финансовый 3 2 6 3 3 2 3" xfId="31228" xr:uid="{00000000-0005-0000-0000-000096810000}"/>
    <cellStyle name="Финансовый 3 2 6 3 3 3" xfId="10812" xr:uid="{00000000-0005-0000-0000-000097810000}"/>
    <cellStyle name="Финансовый 3 2 6 3 3 3 2" xfId="22790" xr:uid="{00000000-0005-0000-0000-000098810000}"/>
    <cellStyle name="Финансовый 3 2 6 3 3 3 2 2" xfId="46745" xr:uid="{00000000-0005-0000-0000-000099810000}"/>
    <cellStyle name="Финансовый 3 2 6 3 3 3 3" xfId="34767" xr:uid="{00000000-0005-0000-0000-00009A810000}"/>
    <cellStyle name="Финансовый 3 2 6 3 3 4" xfId="13214" xr:uid="{00000000-0005-0000-0000-00009B810000}"/>
    <cellStyle name="Финансовый 3 2 6 3 3 4 2" xfId="37169" xr:uid="{00000000-0005-0000-0000-00009C810000}"/>
    <cellStyle name="Финансовый 3 2 6 3 3 5" xfId="25192" xr:uid="{00000000-0005-0000-0000-00009D810000}"/>
    <cellStyle name="Финансовый 3 2 6 3 3 6" xfId="50105" xr:uid="{00000000-0005-0000-0000-00009E810000}"/>
    <cellStyle name="Финансовый 3 2 6 3 4" xfId="840" xr:uid="{00000000-0005-0000-0000-00009F810000}"/>
    <cellStyle name="Финансовый 3 2 6 3 4 2" xfId="6880" xr:uid="{00000000-0005-0000-0000-0000A0810000}"/>
    <cellStyle name="Финансовый 3 2 6 3 4 2 2" xfId="18858" xr:uid="{00000000-0005-0000-0000-0000A1810000}"/>
    <cellStyle name="Финансовый 3 2 6 3 4 2 2 2" xfId="42813" xr:uid="{00000000-0005-0000-0000-0000A2810000}"/>
    <cellStyle name="Финансовый 3 2 6 3 4 2 3" xfId="30835" xr:uid="{00000000-0005-0000-0000-0000A3810000}"/>
    <cellStyle name="Финансовый 3 2 6 3 4 3" xfId="12821" xr:uid="{00000000-0005-0000-0000-0000A4810000}"/>
    <cellStyle name="Финансовый 3 2 6 3 4 3 2" xfId="36776" xr:uid="{00000000-0005-0000-0000-0000A5810000}"/>
    <cellStyle name="Финансовый 3 2 6 3 4 4" xfId="24799" xr:uid="{00000000-0005-0000-0000-0000A6810000}"/>
    <cellStyle name="Финансовый 3 2 6 3 5" xfId="3017" xr:uid="{00000000-0005-0000-0000-0000A7810000}"/>
    <cellStyle name="Финансовый 3 2 6 3 5 2" xfId="14996" xr:uid="{00000000-0005-0000-0000-0000A8810000}"/>
    <cellStyle name="Финансовый 3 2 6 3 5 2 2" xfId="38951" xr:uid="{00000000-0005-0000-0000-0000A9810000}"/>
    <cellStyle name="Финансовый 3 2 6 3 5 3" xfId="26974" xr:uid="{00000000-0005-0000-0000-0000AA810000}"/>
    <cellStyle name="Финансовый 3 2 6 3 6" xfId="4661" xr:uid="{00000000-0005-0000-0000-0000AB810000}"/>
    <cellStyle name="Финансовый 3 2 6 3 6 2" xfId="16640" xr:uid="{00000000-0005-0000-0000-0000AC810000}"/>
    <cellStyle name="Финансовый 3 2 6 3 6 2 2" xfId="40595" xr:uid="{00000000-0005-0000-0000-0000AD810000}"/>
    <cellStyle name="Финансовый 3 2 6 3 6 3" xfId="28618" xr:uid="{00000000-0005-0000-0000-0000AE810000}"/>
    <cellStyle name="Финансовый 3 2 6 3 7" xfId="6460" xr:uid="{00000000-0005-0000-0000-0000AF810000}"/>
    <cellStyle name="Финансовый 3 2 6 3 7 2" xfId="18438" xr:uid="{00000000-0005-0000-0000-0000B0810000}"/>
    <cellStyle name="Финансовый 3 2 6 3 7 2 2" xfId="42393" xr:uid="{00000000-0005-0000-0000-0000B1810000}"/>
    <cellStyle name="Финансовый 3 2 6 3 7 3" xfId="30415" xr:uid="{00000000-0005-0000-0000-0000B2810000}"/>
    <cellStyle name="Финансовый 3 2 6 3 8" xfId="9055" xr:uid="{00000000-0005-0000-0000-0000B3810000}"/>
    <cellStyle name="Финансовый 3 2 6 3 8 2" xfId="21033" xr:uid="{00000000-0005-0000-0000-0000B4810000}"/>
    <cellStyle name="Финансовый 3 2 6 3 8 2 2" xfId="44988" xr:uid="{00000000-0005-0000-0000-0000B5810000}"/>
    <cellStyle name="Финансовый 3 2 6 3 8 3" xfId="33010" xr:uid="{00000000-0005-0000-0000-0000B6810000}"/>
    <cellStyle name="Финансовый 3 2 6 3 9" xfId="12401" xr:uid="{00000000-0005-0000-0000-0000B7810000}"/>
    <cellStyle name="Финансовый 3 2 6 3 9 2" xfId="36356" xr:uid="{00000000-0005-0000-0000-0000B8810000}"/>
    <cellStyle name="Финансовый 3 2 6 4" xfId="1521" xr:uid="{00000000-0005-0000-0000-0000B9810000}"/>
    <cellStyle name="Финансовый 3 2 6 4 2" xfId="1943" xr:uid="{00000000-0005-0000-0000-0000BA810000}"/>
    <cellStyle name="Финансовый 3 2 6 4 2 2" xfId="3588" xr:uid="{00000000-0005-0000-0000-0000BB810000}"/>
    <cellStyle name="Финансовый 3 2 6 4 2 2 2" xfId="11328" xr:uid="{00000000-0005-0000-0000-0000BC810000}"/>
    <cellStyle name="Финансовый 3 2 6 4 2 2 2 2" xfId="23306" xr:uid="{00000000-0005-0000-0000-0000BD810000}"/>
    <cellStyle name="Финансовый 3 2 6 4 2 2 2 2 2" xfId="47261" xr:uid="{00000000-0005-0000-0000-0000BE810000}"/>
    <cellStyle name="Финансовый 3 2 6 4 2 2 2 3" xfId="35283" xr:uid="{00000000-0005-0000-0000-0000BF810000}"/>
    <cellStyle name="Финансовый 3 2 6 4 2 2 3" xfId="15567" xr:uid="{00000000-0005-0000-0000-0000C0810000}"/>
    <cellStyle name="Финансовый 3 2 6 4 2 2 3 2" xfId="39522" xr:uid="{00000000-0005-0000-0000-0000C1810000}"/>
    <cellStyle name="Финансовый 3 2 6 4 2 2 4" xfId="27545" xr:uid="{00000000-0005-0000-0000-0000C2810000}"/>
    <cellStyle name="Финансовый 3 2 6 4 2 2 5" xfId="50814" xr:uid="{00000000-0005-0000-0000-0000C3810000}"/>
    <cellStyle name="Финансовый 3 2 6 4 2 3" xfId="5371" xr:uid="{00000000-0005-0000-0000-0000C4810000}"/>
    <cellStyle name="Финансовый 3 2 6 4 2 3 2" xfId="17349" xr:uid="{00000000-0005-0000-0000-0000C5810000}"/>
    <cellStyle name="Финансовый 3 2 6 4 2 3 2 2" xfId="41304" xr:uid="{00000000-0005-0000-0000-0000C6810000}"/>
    <cellStyle name="Финансовый 3 2 6 4 2 3 3" xfId="29326" xr:uid="{00000000-0005-0000-0000-0000C7810000}"/>
    <cellStyle name="Финансовый 3 2 6 4 2 4" xfId="7981" xr:uid="{00000000-0005-0000-0000-0000C8810000}"/>
    <cellStyle name="Финансовый 3 2 6 4 2 4 2" xfId="19959" xr:uid="{00000000-0005-0000-0000-0000C9810000}"/>
    <cellStyle name="Финансовый 3 2 6 4 2 4 2 2" xfId="43914" xr:uid="{00000000-0005-0000-0000-0000CA810000}"/>
    <cellStyle name="Финансовый 3 2 6 4 2 4 3" xfId="31936" xr:uid="{00000000-0005-0000-0000-0000CB810000}"/>
    <cellStyle name="Финансовый 3 2 6 4 2 5" xfId="9764" xr:uid="{00000000-0005-0000-0000-0000CC810000}"/>
    <cellStyle name="Финансовый 3 2 6 4 2 5 2" xfId="21742" xr:uid="{00000000-0005-0000-0000-0000CD810000}"/>
    <cellStyle name="Финансовый 3 2 6 4 2 5 2 2" xfId="45697" xr:uid="{00000000-0005-0000-0000-0000CE810000}"/>
    <cellStyle name="Финансовый 3 2 6 4 2 5 3" xfId="33719" xr:uid="{00000000-0005-0000-0000-0000CF810000}"/>
    <cellStyle name="Финансовый 3 2 6 4 2 6" xfId="13922" xr:uid="{00000000-0005-0000-0000-0000D0810000}"/>
    <cellStyle name="Финансовый 3 2 6 4 2 6 2" xfId="37877" xr:uid="{00000000-0005-0000-0000-0000D1810000}"/>
    <cellStyle name="Финансовый 3 2 6 4 2 7" xfId="25900" xr:uid="{00000000-0005-0000-0000-0000D2810000}"/>
    <cellStyle name="Финансовый 3 2 6 4 2 8" xfId="49033" xr:uid="{00000000-0005-0000-0000-0000D3810000}"/>
    <cellStyle name="Финансовый 3 2 6 4 3" xfId="4949" xr:uid="{00000000-0005-0000-0000-0000D4810000}"/>
    <cellStyle name="Финансовый 3 2 6 4 3 2" xfId="16927" xr:uid="{00000000-0005-0000-0000-0000D5810000}"/>
    <cellStyle name="Финансовый 3 2 6 4 3 2 2" xfId="40882" xr:uid="{00000000-0005-0000-0000-0000D6810000}"/>
    <cellStyle name="Финансовый 3 2 6 4 3 3" xfId="28904" xr:uid="{00000000-0005-0000-0000-0000D7810000}"/>
    <cellStyle name="Финансовый 3 2 6 4 3 4" xfId="50392" xr:uid="{00000000-0005-0000-0000-0000D8810000}"/>
    <cellStyle name="Финансовый 3 2 6 4 4" xfId="7559" xr:uid="{00000000-0005-0000-0000-0000D9810000}"/>
    <cellStyle name="Финансовый 3 2 6 4 4 2" xfId="19537" xr:uid="{00000000-0005-0000-0000-0000DA810000}"/>
    <cellStyle name="Финансовый 3 2 6 4 4 2 2" xfId="43492" xr:uid="{00000000-0005-0000-0000-0000DB810000}"/>
    <cellStyle name="Финансовый 3 2 6 4 4 3" xfId="31514" xr:uid="{00000000-0005-0000-0000-0000DC810000}"/>
    <cellStyle name="Финансовый 3 2 6 4 5" xfId="9342" xr:uid="{00000000-0005-0000-0000-0000DD810000}"/>
    <cellStyle name="Финансовый 3 2 6 4 5 2" xfId="21320" xr:uid="{00000000-0005-0000-0000-0000DE810000}"/>
    <cellStyle name="Финансовый 3 2 6 4 5 2 2" xfId="45275" xr:uid="{00000000-0005-0000-0000-0000DF810000}"/>
    <cellStyle name="Финансовый 3 2 6 4 5 3" xfId="33297" xr:uid="{00000000-0005-0000-0000-0000E0810000}"/>
    <cellStyle name="Финансовый 3 2 6 4 6" xfId="13500" xr:uid="{00000000-0005-0000-0000-0000E1810000}"/>
    <cellStyle name="Финансовый 3 2 6 4 6 2" xfId="37455" xr:uid="{00000000-0005-0000-0000-0000E2810000}"/>
    <cellStyle name="Финансовый 3 2 6 4 7" xfId="25478" xr:uid="{00000000-0005-0000-0000-0000E3810000}"/>
    <cellStyle name="Финансовый 3 2 6 4 8" xfId="48611" xr:uid="{00000000-0005-0000-0000-0000E4810000}"/>
    <cellStyle name="Финансовый 3 2 6 5" xfId="1819" xr:uid="{00000000-0005-0000-0000-0000E5810000}"/>
    <cellStyle name="Финансовый 3 2 6 5 2" xfId="3464" xr:uid="{00000000-0005-0000-0000-0000E6810000}"/>
    <cellStyle name="Финансовый 3 2 6 5 2 2" xfId="11212" xr:uid="{00000000-0005-0000-0000-0000E7810000}"/>
    <cellStyle name="Финансовый 3 2 6 5 2 2 2" xfId="23190" xr:uid="{00000000-0005-0000-0000-0000E8810000}"/>
    <cellStyle name="Финансовый 3 2 6 5 2 2 2 2" xfId="47145" xr:uid="{00000000-0005-0000-0000-0000E9810000}"/>
    <cellStyle name="Финансовый 3 2 6 5 2 2 3" xfId="35167" xr:uid="{00000000-0005-0000-0000-0000EA810000}"/>
    <cellStyle name="Финансовый 3 2 6 5 2 3" xfId="15443" xr:uid="{00000000-0005-0000-0000-0000EB810000}"/>
    <cellStyle name="Финансовый 3 2 6 5 2 3 2" xfId="39398" xr:uid="{00000000-0005-0000-0000-0000EC810000}"/>
    <cellStyle name="Финансовый 3 2 6 5 2 4" xfId="27421" xr:uid="{00000000-0005-0000-0000-0000ED810000}"/>
    <cellStyle name="Финансовый 3 2 6 5 2 5" xfId="50690" xr:uid="{00000000-0005-0000-0000-0000EE810000}"/>
    <cellStyle name="Финансовый 3 2 6 5 3" xfId="5247" xr:uid="{00000000-0005-0000-0000-0000EF810000}"/>
    <cellStyle name="Финансовый 3 2 6 5 3 2" xfId="17225" xr:uid="{00000000-0005-0000-0000-0000F0810000}"/>
    <cellStyle name="Финансовый 3 2 6 5 3 2 2" xfId="41180" xr:uid="{00000000-0005-0000-0000-0000F1810000}"/>
    <cellStyle name="Финансовый 3 2 6 5 3 3" xfId="29202" xr:uid="{00000000-0005-0000-0000-0000F2810000}"/>
    <cellStyle name="Финансовый 3 2 6 5 4" xfId="7857" xr:uid="{00000000-0005-0000-0000-0000F3810000}"/>
    <cellStyle name="Финансовый 3 2 6 5 4 2" xfId="19835" xr:uid="{00000000-0005-0000-0000-0000F4810000}"/>
    <cellStyle name="Финансовый 3 2 6 5 4 2 2" xfId="43790" xr:uid="{00000000-0005-0000-0000-0000F5810000}"/>
    <cellStyle name="Финансовый 3 2 6 5 4 3" xfId="31812" xr:uid="{00000000-0005-0000-0000-0000F6810000}"/>
    <cellStyle name="Финансовый 3 2 6 5 5" xfId="9640" xr:uid="{00000000-0005-0000-0000-0000F7810000}"/>
    <cellStyle name="Финансовый 3 2 6 5 5 2" xfId="21618" xr:uid="{00000000-0005-0000-0000-0000F8810000}"/>
    <cellStyle name="Финансовый 3 2 6 5 5 2 2" xfId="45573" xr:uid="{00000000-0005-0000-0000-0000F9810000}"/>
    <cellStyle name="Финансовый 3 2 6 5 5 3" xfId="33595" xr:uid="{00000000-0005-0000-0000-0000FA810000}"/>
    <cellStyle name="Финансовый 3 2 6 5 6" xfId="13798" xr:uid="{00000000-0005-0000-0000-0000FB810000}"/>
    <cellStyle name="Финансовый 3 2 6 5 6 2" xfId="37753" xr:uid="{00000000-0005-0000-0000-0000FC810000}"/>
    <cellStyle name="Финансовый 3 2 6 5 7" xfId="25776" xr:uid="{00000000-0005-0000-0000-0000FD810000}"/>
    <cellStyle name="Финансовый 3 2 6 5 8" xfId="48909" xr:uid="{00000000-0005-0000-0000-0000FE810000}"/>
    <cellStyle name="Финансовый 3 2 6 6" xfId="2464" xr:uid="{00000000-0005-0000-0000-0000FF810000}"/>
    <cellStyle name="Финансовый 3 2 6 6 2" xfId="4109" xr:uid="{00000000-0005-0000-0000-000000820000}"/>
    <cellStyle name="Финансовый 3 2 6 6 2 2" xfId="11841" xr:uid="{00000000-0005-0000-0000-000001820000}"/>
    <cellStyle name="Финансовый 3 2 6 6 2 2 2" xfId="23819" xr:uid="{00000000-0005-0000-0000-000002820000}"/>
    <cellStyle name="Финансовый 3 2 6 6 2 2 2 2" xfId="47774" xr:uid="{00000000-0005-0000-0000-000003820000}"/>
    <cellStyle name="Финансовый 3 2 6 6 2 2 3" xfId="35796" xr:uid="{00000000-0005-0000-0000-000004820000}"/>
    <cellStyle name="Финансовый 3 2 6 6 2 3" xfId="16088" xr:uid="{00000000-0005-0000-0000-000005820000}"/>
    <cellStyle name="Финансовый 3 2 6 6 2 3 2" xfId="40043" xr:uid="{00000000-0005-0000-0000-000006820000}"/>
    <cellStyle name="Финансовый 3 2 6 6 2 4" xfId="28066" xr:uid="{00000000-0005-0000-0000-000007820000}"/>
    <cellStyle name="Финансовый 3 2 6 6 2 5" xfId="51335" xr:uid="{00000000-0005-0000-0000-000008820000}"/>
    <cellStyle name="Финансовый 3 2 6 6 3" xfId="5892" xr:uid="{00000000-0005-0000-0000-000009820000}"/>
    <cellStyle name="Финансовый 3 2 6 6 3 2" xfId="17870" xr:uid="{00000000-0005-0000-0000-00000A820000}"/>
    <cellStyle name="Финансовый 3 2 6 6 3 2 2" xfId="41825" xr:uid="{00000000-0005-0000-0000-00000B820000}"/>
    <cellStyle name="Финансовый 3 2 6 6 3 3" xfId="29847" xr:uid="{00000000-0005-0000-0000-00000C820000}"/>
    <cellStyle name="Финансовый 3 2 6 6 4" xfId="8502" xr:uid="{00000000-0005-0000-0000-00000D820000}"/>
    <cellStyle name="Финансовый 3 2 6 6 4 2" xfId="20480" xr:uid="{00000000-0005-0000-0000-00000E820000}"/>
    <cellStyle name="Финансовый 3 2 6 6 4 2 2" xfId="44435" xr:uid="{00000000-0005-0000-0000-00000F820000}"/>
    <cellStyle name="Финансовый 3 2 6 6 4 3" xfId="32457" xr:uid="{00000000-0005-0000-0000-000010820000}"/>
    <cellStyle name="Финансовый 3 2 6 6 5" xfId="10285" xr:uid="{00000000-0005-0000-0000-000011820000}"/>
    <cellStyle name="Финансовый 3 2 6 6 5 2" xfId="22263" xr:uid="{00000000-0005-0000-0000-000012820000}"/>
    <cellStyle name="Финансовый 3 2 6 6 5 2 2" xfId="46218" xr:uid="{00000000-0005-0000-0000-000013820000}"/>
    <cellStyle name="Финансовый 3 2 6 6 5 3" xfId="34240" xr:uid="{00000000-0005-0000-0000-000014820000}"/>
    <cellStyle name="Финансовый 3 2 6 6 6" xfId="14443" xr:uid="{00000000-0005-0000-0000-000015820000}"/>
    <cellStyle name="Финансовый 3 2 6 6 6 2" xfId="38398" xr:uid="{00000000-0005-0000-0000-000016820000}"/>
    <cellStyle name="Финансовый 3 2 6 6 7" xfId="26421" xr:uid="{00000000-0005-0000-0000-000017820000}"/>
    <cellStyle name="Финансовый 3 2 6 6 8" xfId="49554" xr:uid="{00000000-0005-0000-0000-000018820000}"/>
    <cellStyle name="Финансовый 3 2 6 7" xfId="1691" xr:uid="{00000000-0005-0000-0000-000019820000}"/>
    <cellStyle name="Финансовый 3 2 6 7 2" xfId="3336" xr:uid="{00000000-0005-0000-0000-00001A820000}"/>
    <cellStyle name="Финансовый 3 2 6 7 2 2" xfId="11084" xr:uid="{00000000-0005-0000-0000-00001B820000}"/>
    <cellStyle name="Финансовый 3 2 6 7 2 2 2" xfId="23062" xr:uid="{00000000-0005-0000-0000-00001C820000}"/>
    <cellStyle name="Финансовый 3 2 6 7 2 2 2 2" xfId="47017" xr:uid="{00000000-0005-0000-0000-00001D820000}"/>
    <cellStyle name="Финансовый 3 2 6 7 2 2 3" xfId="35039" xr:uid="{00000000-0005-0000-0000-00001E820000}"/>
    <cellStyle name="Финансовый 3 2 6 7 2 3" xfId="15315" xr:uid="{00000000-0005-0000-0000-00001F820000}"/>
    <cellStyle name="Финансовый 3 2 6 7 2 3 2" xfId="39270" xr:uid="{00000000-0005-0000-0000-000020820000}"/>
    <cellStyle name="Финансовый 3 2 6 7 2 4" xfId="27293" xr:uid="{00000000-0005-0000-0000-000021820000}"/>
    <cellStyle name="Финансовый 3 2 6 7 2 5" xfId="50562" xr:uid="{00000000-0005-0000-0000-000022820000}"/>
    <cellStyle name="Финансовый 3 2 6 7 3" xfId="5119" xr:uid="{00000000-0005-0000-0000-000023820000}"/>
    <cellStyle name="Финансовый 3 2 6 7 3 2" xfId="17097" xr:uid="{00000000-0005-0000-0000-000024820000}"/>
    <cellStyle name="Финансовый 3 2 6 7 3 2 2" xfId="41052" xr:uid="{00000000-0005-0000-0000-000025820000}"/>
    <cellStyle name="Финансовый 3 2 6 7 3 3" xfId="29074" xr:uid="{00000000-0005-0000-0000-000026820000}"/>
    <cellStyle name="Финансовый 3 2 6 7 4" xfId="7729" xr:uid="{00000000-0005-0000-0000-000027820000}"/>
    <cellStyle name="Финансовый 3 2 6 7 4 2" xfId="19707" xr:uid="{00000000-0005-0000-0000-000028820000}"/>
    <cellStyle name="Финансовый 3 2 6 7 4 2 2" xfId="43662" xr:uid="{00000000-0005-0000-0000-000029820000}"/>
    <cellStyle name="Финансовый 3 2 6 7 4 3" xfId="31684" xr:uid="{00000000-0005-0000-0000-00002A820000}"/>
    <cellStyle name="Финансовый 3 2 6 7 5" xfId="9512" xr:uid="{00000000-0005-0000-0000-00002B820000}"/>
    <cellStyle name="Финансовый 3 2 6 7 5 2" xfId="21490" xr:uid="{00000000-0005-0000-0000-00002C820000}"/>
    <cellStyle name="Финансовый 3 2 6 7 5 2 2" xfId="45445" xr:uid="{00000000-0005-0000-0000-00002D820000}"/>
    <cellStyle name="Финансовый 3 2 6 7 5 3" xfId="33467" xr:uid="{00000000-0005-0000-0000-00002E820000}"/>
    <cellStyle name="Финансовый 3 2 6 7 6" xfId="13670" xr:uid="{00000000-0005-0000-0000-00002F820000}"/>
    <cellStyle name="Финансовый 3 2 6 7 6 2" xfId="37625" xr:uid="{00000000-0005-0000-0000-000030820000}"/>
    <cellStyle name="Финансовый 3 2 6 7 7" xfId="25648" xr:uid="{00000000-0005-0000-0000-000031820000}"/>
    <cellStyle name="Финансовый 3 2 6 7 8" xfId="48781" xr:uid="{00000000-0005-0000-0000-000032820000}"/>
    <cellStyle name="Финансовый 3 2 6 8" xfId="968" xr:uid="{00000000-0005-0000-0000-000033820000}"/>
    <cellStyle name="Финансовый 3 2 6 8 2" xfId="7008" xr:uid="{00000000-0005-0000-0000-000034820000}"/>
    <cellStyle name="Финансовый 3 2 6 8 2 2" xfId="18986" xr:uid="{00000000-0005-0000-0000-000035820000}"/>
    <cellStyle name="Финансовый 3 2 6 8 2 2 2" xfId="42941" xr:uid="{00000000-0005-0000-0000-000036820000}"/>
    <cellStyle name="Финансовый 3 2 6 8 2 3" xfId="30963" xr:uid="{00000000-0005-0000-0000-000037820000}"/>
    <cellStyle name="Финансовый 3 2 6 8 3" xfId="10556" xr:uid="{00000000-0005-0000-0000-000038820000}"/>
    <cellStyle name="Финансовый 3 2 6 8 3 2" xfId="22534" xr:uid="{00000000-0005-0000-0000-000039820000}"/>
    <cellStyle name="Финансовый 3 2 6 8 3 2 2" xfId="46489" xr:uid="{00000000-0005-0000-0000-00003A820000}"/>
    <cellStyle name="Финансовый 3 2 6 8 3 3" xfId="34511" xr:uid="{00000000-0005-0000-0000-00003B820000}"/>
    <cellStyle name="Финансовый 3 2 6 8 4" xfId="12949" xr:uid="{00000000-0005-0000-0000-00003C820000}"/>
    <cellStyle name="Финансовый 3 2 6 8 4 2" xfId="36904" xr:uid="{00000000-0005-0000-0000-00003D820000}"/>
    <cellStyle name="Финансовый 3 2 6 8 5" xfId="24927" xr:uid="{00000000-0005-0000-0000-00003E820000}"/>
    <cellStyle name="Финансовый 3 2 6 8 6" xfId="49833" xr:uid="{00000000-0005-0000-0000-00003F820000}"/>
    <cellStyle name="Финансовый 3 2 6 9" xfId="556" xr:uid="{00000000-0005-0000-0000-000040820000}"/>
    <cellStyle name="Финансовый 3 2 6 9 2" xfId="6596" xr:uid="{00000000-0005-0000-0000-000041820000}"/>
    <cellStyle name="Финансовый 3 2 6 9 2 2" xfId="18574" xr:uid="{00000000-0005-0000-0000-000042820000}"/>
    <cellStyle name="Финансовый 3 2 6 9 2 2 2" xfId="42529" xr:uid="{00000000-0005-0000-0000-000043820000}"/>
    <cellStyle name="Финансовый 3 2 6 9 2 3" xfId="30551" xr:uid="{00000000-0005-0000-0000-000044820000}"/>
    <cellStyle name="Финансовый 3 2 6 9 3" xfId="12537" xr:uid="{00000000-0005-0000-0000-000045820000}"/>
    <cellStyle name="Финансовый 3 2 6 9 3 2" xfId="36492" xr:uid="{00000000-0005-0000-0000-000046820000}"/>
    <cellStyle name="Финансовый 3 2 6 9 4" xfId="24515" xr:uid="{00000000-0005-0000-0000-000047820000}"/>
    <cellStyle name="Финансовый 3 2 7" xfId="33" xr:uid="{00000000-0005-0000-0000-000048820000}"/>
    <cellStyle name="Финансовый 3 2 7 10" xfId="2645" xr:uid="{00000000-0005-0000-0000-000049820000}"/>
    <cellStyle name="Финансовый 3 2 7 10 2" xfId="14624" xr:uid="{00000000-0005-0000-0000-00004A820000}"/>
    <cellStyle name="Финансовый 3 2 7 10 2 2" xfId="38579" xr:uid="{00000000-0005-0000-0000-00004B820000}"/>
    <cellStyle name="Финансовый 3 2 7 10 3" xfId="26602" xr:uid="{00000000-0005-0000-0000-00004C820000}"/>
    <cellStyle name="Финансовый 3 2 7 11" xfId="4288" xr:uid="{00000000-0005-0000-0000-00004D820000}"/>
    <cellStyle name="Финансовый 3 2 7 11 2" xfId="16267" xr:uid="{00000000-0005-0000-0000-00004E820000}"/>
    <cellStyle name="Финансовый 3 2 7 11 2 2" xfId="40222" xr:uid="{00000000-0005-0000-0000-00004F820000}"/>
    <cellStyle name="Финансовый 3 2 7 11 3" xfId="28245" xr:uid="{00000000-0005-0000-0000-000050820000}"/>
    <cellStyle name="Финансовый 3 2 7 12" xfId="6076" xr:uid="{00000000-0005-0000-0000-000051820000}"/>
    <cellStyle name="Финансовый 3 2 7 12 2" xfId="18054" xr:uid="{00000000-0005-0000-0000-000052820000}"/>
    <cellStyle name="Финансовый 3 2 7 12 2 2" xfId="42009" xr:uid="{00000000-0005-0000-0000-000053820000}"/>
    <cellStyle name="Финансовый 3 2 7 12 3" xfId="30031" xr:uid="{00000000-0005-0000-0000-000054820000}"/>
    <cellStyle name="Финансовый 3 2 7 13" xfId="8683" xr:uid="{00000000-0005-0000-0000-000055820000}"/>
    <cellStyle name="Финансовый 3 2 7 13 2" xfId="20661" xr:uid="{00000000-0005-0000-0000-000056820000}"/>
    <cellStyle name="Финансовый 3 2 7 13 2 2" xfId="44616" xr:uid="{00000000-0005-0000-0000-000057820000}"/>
    <cellStyle name="Финансовый 3 2 7 13 3" xfId="32638" xr:uid="{00000000-0005-0000-0000-000058820000}"/>
    <cellStyle name="Финансовый 3 2 7 14" xfId="12017" xr:uid="{00000000-0005-0000-0000-000059820000}"/>
    <cellStyle name="Финансовый 3 2 7 14 2" xfId="35972" xr:uid="{00000000-0005-0000-0000-00005A820000}"/>
    <cellStyle name="Финансовый 3 2 7 15" xfId="23995" xr:uid="{00000000-0005-0000-0000-00005B820000}"/>
    <cellStyle name="Финансовый 3 2 7 16" xfId="47953" xr:uid="{00000000-0005-0000-0000-00005C820000}"/>
    <cellStyle name="Финансовый 3 2 7 2" xfId="171" xr:uid="{00000000-0005-0000-0000-00005D820000}"/>
    <cellStyle name="Финансовый 3 2 7 2 10" xfId="8819" xr:uid="{00000000-0005-0000-0000-00005E820000}"/>
    <cellStyle name="Финансовый 3 2 7 2 10 2" xfId="20797" xr:uid="{00000000-0005-0000-0000-00005F820000}"/>
    <cellStyle name="Финансовый 3 2 7 2 10 2 2" xfId="44752" xr:uid="{00000000-0005-0000-0000-000060820000}"/>
    <cellStyle name="Финансовый 3 2 7 2 10 3" xfId="32774" xr:uid="{00000000-0005-0000-0000-000061820000}"/>
    <cellStyle name="Финансовый 3 2 7 2 11" xfId="12153" xr:uid="{00000000-0005-0000-0000-000062820000}"/>
    <cellStyle name="Финансовый 3 2 7 2 11 2" xfId="36108" xr:uid="{00000000-0005-0000-0000-000063820000}"/>
    <cellStyle name="Финансовый 3 2 7 2 12" xfId="24131" xr:uid="{00000000-0005-0000-0000-000064820000}"/>
    <cellStyle name="Финансовый 3 2 7 2 13" xfId="48089" xr:uid="{00000000-0005-0000-0000-000065820000}"/>
    <cellStyle name="Финансовый 3 2 7 2 2" xfId="1269" xr:uid="{00000000-0005-0000-0000-000066820000}"/>
    <cellStyle name="Финансовый 3 2 7 2 2 2" xfId="2235" xr:uid="{00000000-0005-0000-0000-000067820000}"/>
    <cellStyle name="Финансовый 3 2 7 2 2 2 2" xfId="3880" xr:uid="{00000000-0005-0000-0000-000068820000}"/>
    <cellStyle name="Финансовый 3 2 7 2 2 2 2 2" xfId="11620" xr:uid="{00000000-0005-0000-0000-000069820000}"/>
    <cellStyle name="Финансовый 3 2 7 2 2 2 2 2 2" xfId="23598" xr:uid="{00000000-0005-0000-0000-00006A820000}"/>
    <cellStyle name="Финансовый 3 2 7 2 2 2 2 2 2 2" xfId="47553" xr:uid="{00000000-0005-0000-0000-00006B820000}"/>
    <cellStyle name="Финансовый 3 2 7 2 2 2 2 2 3" xfId="35575" xr:uid="{00000000-0005-0000-0000-00006C820000}"/>
    <cellStyle name="Финансовый 3 2 7 2 2 2 2 3" xfId="15859" xr:uid="{00000000-0005-0000-0000-00006D820000}"/>
    <cellStyle name="Финансовый 3 2 7 2 2 2 2 3 2" xfId="39814" xr:uid="{00000000-0005-0000-0000-00006E820000}"/>
    <cellStyle name="Финансовый 3 2 7 2 2 2 2 4" xfId="27837" xr:uid="{00000000-0005-0000-0000-00006F820000}"/>
    <cellStyle name="Финансовый 3 2 7 2 2 2 2 5" xfId="51106" xr:uid="{00000000-0005-0000-0000-000070820000}"/>
    <cellStyle name="Финансовый 3 2 7 2 2 2 3" xfId="5663" xr:uid="{00000000-0005-0000-0000-000071820000}"/>
    <cellStyle name="Финансовый 3 2 7 2 2 2 3 2" xfId="17641" xr:uid="{00000000-0005-0000-0000-000072820000}"/>
    <cellStyle name="Финансовый 3 2 7 2 2 2 3 2 2" xfId="41596" xr:uid="{00000000-0005-0000-0000-000073820000}"/>
    <cellStyle name="Финансовый 3 2 7 2 2 2 3 3" xfId="29618" xr:uid="{00000000-0005-0000-0000-000074820000}"/>
    <cellStyle name="Финансовый 3 2 7 2 2 2 4" xfId="8273" xr:uid="{00000000-0005-0000-0000-000075820000}"/>
    <cellStyle name="Финансовый 3 2 7 2 2 2 4 2" xfId="20251" xr:uid="{00000000-0005-0000-0000-000076820000}"/>
    <cellStyle name="Финансовый 3 2 7 2 2 2 4 2 2" xfId="44206" xr:uid="{00000000-0005-0000-0000-000077820000}"/>
    <cellStyle name="Финансовый 3 2 7 2 2 2 4 3" xfId="32228" xr:uid="{00000000-0005-0000-0000-000078820000}"/>
    <cellStyle name="Финансовый 3 2 7 2 2 2 5" xfId="10056" xr:uid="{00000000-0005-0000-0000-000079820000}"/>
    <cellStyle name="Финансовый 3 2 7 2 2 2 5 2" xfId="22034" xr:uid="{00000000-0005-0000-0000-00007A820000}"/>
    <cellStyle name="Финансовый 3 2 7 2 2 2 5 2 2" xfId="45989" xr:uid="{00000000-0005-0000-0000-00007B820000}"/>
    <cellStyle name="Финансовый 3 2 7 2 2 2 5 3" xfId="34011" xr:uid="{00000000-0005-0000-0000-00007C820000}"/>
    <cellStyle name="Финансовый 3 2 7 2 2 2 6" xfId="14214" xr:uid="{00000000-0005-0000-0000-00007D820000}"/>
    <cellStyle name="Финансовый 3 2 7 2 2 2 6 2" xfId="38169" xr:uid="{00000000-0005-0000-0000-00007E820000}"/>
    <cellStyle name="Финансовый 3 2 7 2 2 2 7" xfId="26192" xr:uid="{00000000-0005-0000-0000-00007F820000}"/>
    <cellStyle name="Финансовый 3 2 7 2 2 2 8" xfId="49325" xr:uid="{00000000-0005-0000-0000-000080820000}"/>
    <cellStyle name="Финансовый 3 2 7 2 2 3" xfId="3053" xr:uid="{00000000-0005-0000-0000-000081820000}"/>
    <cellStyle name="Финансовый 3 2 7 2 2 3 2" xfId="10848" xr:uid="{00000000-0005-0000-0000-000082820000}"/>
    <cellStyle name="Финансовый 3 2 7 2 2 3 2 2" xfId="22826" xr:uid="{00000000-0005-0000-0000-000083820000}"/>
    <cellStyle name="Финансовый 3 2 7 2 2 3 2 2 2" xfId="46781" xr:uid="{00000000-0005-0000-0000-000084820000}"/>
    <cellStyle name="Финансовый 3 2 7 2 2 3 2 3" xfId="34803" xr:uid="{00000000-0005-0000-0000-000085820000}"/>
    <cellStyle name="Финансовый 3 2 7 2 2 3 3" xfId="15032" xr:uid="{00000000-0005-0000-0000-000086820000}"/>
    <cellStyle name="Финансовый 3 2 7 2 2 3 3 2" xfId="38987" xr:uid="{00000000-0005-0000-0000-000087820000}"/>
    <cellStyle name="Финансовый 3 2 7 2 2 3 4" xfId="27010" xr:uid="{00000000-0005-0000-0000-000088820000}"/>
    <cellStyle name="Финансовый 3 2 7 2 2 3 5" xfId="50141" xr:uid="{00000000-0005-0000-0000-000089820000}"/>
    <cellStyle name="Финансовый 3 2 7 2 2 4" xfId="4697" xr:uid="{00000000-0005-0000-0000-00008A820000}"/>
    <cellStyle name="Финансовый 3 2 7 2 2 4 2" xfId="16676" xr:uid="{00000000-0005-0000-0000-00008B820000}"/>
    <cellStyle name="Финансовый 3 2 7 2 2 4 2 2" xfId="40631" xr:uid="{00000000-0005-0000-0000-00008C820000}"/>
    <cellStyle name="Финансовый 3 2 7 2 2 4 3" xfId="28654" xr:uid="{00000000-0005-0000-0000-00008D820000}"/>
    <cellStyle name="Финансовый 3 2 7 2 2 5" xfId="7309" xr:uid="{00000000-0005-0000-0000-00008E820000}"/>
    <cellStyle name="Финансовый 3 2 7 2 2 5 2" xfId="19287" xr:uid="{00000000-0005-0000-0000-00008F820000}"/>
    <cellStyle name="Финансовый 3 2 7 2 2 5 2 2" xfId="43242" xr:uid="{00000000-0005-0000-0000-000090820000}"/>
    <cellStyle name="Финансовый 3 2 7 2 2 5 3" xfId="31264" xr:uid="{00000000-0005-0000-0000-000091820000}"/>
    <cellStyle name="Финансовый 3 2 7 2 2 6" xfId="9091" xr:uid="{00000000-0005-0000-0000-000092820000}"/>
    <cellStyle name="Финансовый 3 2 7 2 2 6 2" xfId="21069" xr:uid="{00000000-0005-0000-0000-000093820000}"/>
    <cellStyle name="Финансовый 3 2 7 2 2 6 2 2" xfId="45024" xr:uid="{00000000-0005-0000-0000-000094820000}"/>
    <cellStyle name="Финансовый 3 2 7 2 2 6 3" xfId="33046" xr:uid="{00000000-0005-0000-0000-000095820000}"/>
    <cellStyle name="Финансовый 3 2 7 2 2 7" xfId="13250" xr:uid="{00000000-0005-0000-0000-000096820000}"/>
    <cellStyle name="Финансовый 3 2 7 2 2 7 2" xfId="37205" xr:uid="{00000000-0005-0000-0000-000097820000}"/>
    <cellStyle name="Финансовый 3 2 7 2 2 8" xfId="25228" xr:uid="{00000000-0005-0000-0000-000098820000}"/>
    <cellStyle name="Финансовый 3 2 7 2 2 9" xfId="48361" xr:uid="{00000000-0005-0000-0000-000099820000}"/>
    <cellStyle name="Финансовый 3 2 7 2 3" xfId="1979" xr:uid="{00000000-0005-0000-0000-00009A820000}"/>
    <cellStyle name="Финансовый 3 2 7 2 3 2" xfId="3624" xr:uid="{00000000-0005-0000-0000-00009B820000}"/>
    <cellStyle name="Финансовый 3 2 7 2 3 2 2" xfId="11364" xr:uid="{00000000-0005-0000-0000-00009C820000}"/>
    <cellStyle name="Финансовый 3 2 7 2 3 2 2 2" xfId="23342" xr:uid="{00000000-0005-0000-0000-00009D820000}"/>
    <cellStyle name="Финансовый 3 2 7 2 3 2 2 2 2" xfId="47297" xr:uid="{00000000-0005-0000-0000-00009E820000}"/>
    <cellStyle name="Финансовый 3 2 7 2 3 2 2 3" xfId="35319" xr:uid="{00000000-0005-0000-0000-00009F820000}"/>
    <cellStyle name="Финансовый 3 2 7 2 3 2 3" xfId="15603" xr:uid="{00000000-0005-0000-0000-0000A0820000}"/>
    <cellStyle name="Финансовый 3 2 7 2 3 2 3 2" xfId="39558" xr:uid="{00000000-0005-0000-0000-0000A1820000}"/>
    <cellStyle name="Финансовый 3 2 7 2 3 2 4" xfId="27581" xr:uid="{00000000-0005-0000-0000-0000A2820000}"/>
    <cellStyle name="Финансовый 3 2 7 2 3 2 5" xfId="50850" xr:uid="{00000000-0005-0000-0000-0000A3820000}"/>
    <cellStyle name="Финансовый 3 2 7 2 3 3" xfId="5407" xr:uid="{00000000-0005-0000-0000-0000A4820000}"/>
    <cellStyle name="Финансовый 3 2 7 2 3 3 2" xfId="17385" xr:uid="{00000000-0005-0000-0000-0000A5820000}"/>
    <cellStyle name="Финансовый 3 2 7 2 3 3 2 2" xfId="41340" xr:uid="{00000000-0005-0000-0000-0000A6820000}"/>
    <cellStyle name="Финансовый 3 2 7 2 3 3 3" xfId="29362" xr:uid="{00000000-0005-0000-0000-0000A7820000}"/>
    <cellStyle name="Финансовый 3 2 7 2 3 4" xfId="8017" xr:uid="{00000000-0005-0000-0000-0000A8820000}"/>
    <cellStyle name="Финансовый 3 2 7 2 3 4 2" xfId="19995" xr:uid="{00000000-0005-0000-0000-0000A9820000}"/>
    <cellStyle name="Финансовый 3 2 7 2 3 4 2 2" xfId="43950" xr:uid="{00000000-0005-0000-0000-0000AA820000}"/>
    <cellStyle name="Финансовый 3 2 7 2 3 4 3" xfId="31972" xr:uid="{00000000-0005-0000-0000-0000AB820000}"/>
    <cellStyle name="Финансовый 3 2 7 2 3 5" xfId="9800" xr:uid="{00000000-0005-0000-0000-0000AC820000}"/>
    <cellStyle name="Финансовый 3 2 7 2 3 5 2" xfId="21778" xr:uid="{00000000-0005-0000-0000-0000AD820000}"/>
    <cellStyle name="Финансовый 3 2 7 2 3 5 2 2" xfId="45733" xr:uid="{00000000-0005-0000-0000-0000AE820000}"/>
    <cellStyle name="Финансовый 3 2 7 2 3 5 3" xfId="33755" xr:uid="{00000000-0005-0000-0000-0000AF820000}"/>
    <cellStyle name="Финансовый 3 2 7 2 3 6" xfId="13958" xr:uid="{00000000-0005-0000-0000-0000B0820000}"/>
    <cellStyle name="Финансовый 3 2 7 2 3 6 2" xfId="37913" xr:uid="{00000000-0005-0000-0000-0000B1820000}"/>
    <cellStyle name="Финансовый 3 2 7 2 3 7" xfId="25936" xr:uid="{00000000-0005-0000-0000-0000B2820000}"/>
    <cellStyle name="Финансовый 3 2 7 2 3 8" xfId="49069" xr:uid="{00000000-0005-0000-0000-0000B3820000}"/>
    <cellStyle name="Финансовый 3 2 7 2 4" xfId="2500" xr:uid="{00000000-0005-0000-0000-0000B4820000}"/>
    <cellStyle name="Финансовый 3 2 7 2 4 2" xfId="4145" xr:uid="{00000000-0005-0000-0000-0000B5820000}"/>
    <cellStyle name="Финансовый 3 2 7 2 4 2 2" xfId="11877" xr:uid="{00000000-0005-0000-0000-0000B6820000}"/>
    <cellStyle name="Финансовый 3 2 7 2 4 2 2 2" xfId="23855" xr:uid="{00000000-0005-0000-0000-0000B7820000}"/>
    <cellStyle name="Финансовый 3 2 7 2 4 2 2 2 2" xfId="47810" xr:uid="{00000000-0005-0000-0000-0000B8820000}"/>
    <cellStyle name="Финансовый 3 2 7 2 4 2 2 3" xfId="35832" xr:uid="{00000000-0005-0000-0000-0000B9820000}"/>
    <cellStyle name="Финансовый 3 2 7 2 4 2 3" xfId="16124" xr:uid="{00000000-0005-0000-0000-0000BA820000}"/>
    <cellStyle name="Финансовый 3 2 7 2 4 2 3 2" xfId="40079" xr:uid="{00000000-0005-0000-0000-0000BB820000}"/>
    <cellStyle name="Финансовый 3 2 7 2 4 2 4" xfId="28102" xr:uid="{00000000-0005-0000-0000-0000BC820000}"/>
    <cellStyle name="Финансовый 3 2 7 2 4 2 5" xfId="51371" xr:uid="{00000000-0005-0000-0000-0000BD820000}"/>
    <cellStyle name="Финансовый 3 2 7 2 4 3" xfId="5928" xr:uid="{00000000-0005-0000-0000-0000BE820000}"/>
    <cellStyle name="Финансовый 3 2 7 2 4 3 2" xfId="17906" xr:uid="{00000000-0005-0000-0000-0000BF820000}"/>
    <cellStyle name="Финансовый 3 2 7 2 4 3 2 2" xfId="41861" xr:uid="{00000000-0005-0000-0000-0000C0820000}"/>
    <cellStyle name="Финансовый 3 2 7 2 4 3 3" xfId="29883" xr:uid="{00000000-0005-0000-0000-0000C1820000}"/>
    <cellStyle name="Финансовый 3 2 7 2 4 4" xfId="8538" xr:uid="{00000000-0005-0000-0000-0000C2820000}"/>
    <cellStyle name="Финансовый 3 2 7 2 4 4 2" xfId="20516" xr:uid="{00000000-0005-0000-0000-0000C3820000}"/>
    <cellStyle name="Финансовый 3 2 7 2 4 4 2 2" xfId="44471" xr:uid="{00000000-0005-0000-0000-0000C4820000}"/>
    <cellStyle name="Финансовый 3 2 7 2 4 4 3" xfId="32493" xr:uid="{00000000-0005-0000-0000-0000C5820000}"/>
    <cellStyle name="Финансовый 3 2 7 2 4 5" xfId="10321" xr:uid="{00000000-0005-0000-0000-0000C6820000}"/>
    <cellStyle name="Финансовый 3 2 7 2 4 5 2" xfId="22299" xr:uid="{00000000-0005-0000-0000-0000C7820000}"/>
    <cellStyle name="Финансовый 3 2 7 2 4 5 2 2" xfId="46254" xr:uid="{00000000-0005-0000-0000-0000C8820000}"/>
    <cellStyle name="Финансовый 3 2 7 2 4 5 3" xfId="34276" xr:uid="{00000000-0005-0000-0000-0000C9820000}"/>
    <cellStyle name="Финансовый 3 2 7 2 4 6" xfId="14479" xr:uid="{00000000-0005-0000-0000-0000CA820000}"/>
    <cellStyle name="Финансовый 3 2 7 2 4 6 2" xfId="38434" xr:uid="{00000000-0005-0000-0000-0000CB820000}"/>
    <cellStyle name="Финансовый 3 2 7 2 4 7" xfId="26457" xr:uid="{00000000-0005-0000-0000-0000CC820000}"/>
    <cellStyle name="Финансовый 3 2 7 2 4 8" xfId="49590" xr:uid="{00000000-0005-0000-0000-0000CD820000}"/>
    <cellStyle name="Финансовый 3 2 7 2 5" xfId="1004" xr:uid="{00000000-0005-0000-0000-0000CE820000}"/>
    <cellStyle name="Финансовый 3 2 7 2 5 2" xfId="7044" xr:uid="{00000000-0005-0000-0000-0000CF820000}"/>
    <cellStyle name="Финансовый 3 2 7 2 5 2 2" xfId="19022" xr:uid="{00000000-0005-0000-0000-0000D0820000}"/>
    <cellStyle name="Финансовый 3 2 7 2 5 2 2 2" xfId="42977" xr:uid="{00000000-0005-0000-0000-0000D1820000}"/>
    <cellStyle name="Финансовый 3 2 7 2 5 2 3" xfId="30999" xr:uid="{00000000-0005-0000-0000-0000D2820000}"/>
    <cellStyle name="Финансовый 3 2 7 2 5 3" xfId="10592" xr:uid="{00000000-0005-0000-0000-0000D3820000}"/>
    <cellStyle name="Финансовый 3 2 7 2 5 3 2" xfId="22570" xr:uid="{00000000-0005-0000-0000-0000D4820000}"/>
    <cellStyle name="Финансовый 3 2 7 2 5 3 2 2" xfId="46525" xr:uid="{00000000-0005-0000-0000-0000D5820000}"/>
    <cellStyle name="Финансовый 3 2 7 2 5 3 3" xfId="34547" xr:uid="{00000000-0005-0000-0000-0000D6820000}"/>
    <cellStyle name="Финансовый 3 2 7 2 5 4" xfId="12985" xr:uid="{00000000-0005-0000-0000-0000D7820000}"/>
    <cellStyle name="Финансовый 3 2 7 2 5 4 2" xfId="36940" xr:uid="{00000000-0005-0000-0000-0000D8820000}"/>
    <cellStyle name="Финансовый 3 2 7 2 5 5" xfId="24963" xr:uid="{00000000-0005-0000-0000-0000D9820000}"/>
    <cellStyle name="Финансовый 3 2 7 2 5 6" xfId="49869" xr:uid="{00000000-0005-0000-0000-0000DA820000}"/>
    <cellStyle name="Финансовый 3 2 7 2 6" xfId="592" xr:uid="{00000000-0005-0000-0000-0000DB820000}"/>
    <cellStyle name="Финансовый 3 2 7 2 6 2" xfId="6632" xr:uid="{00000000-0005-0000-0000-0000DC820000}"/>
    <cellStyle name="Финансовый 3 2 7 2 6 2 2" xfId="18610" xr:uid="{00000000-0005-0000-0000-0000DD820000}"/>
    <cellStyle name="Финансовый 3 2 7 2 6 2 2 2" xfId="42565" xr:uid="{00000000-0005-0000-0000-0000DE820000}"/>
    <cellStyle name="Финансовый 3 2 7 2 6 2 3" xfId="30587" xr:uid="{00000000-0005-0000-0000-0000DF820000}"/>
    <cellStyle name="Финансовый 3 2 7 2 6 3" xfId="12573" xr:uid="{00000000-0005-0000-0000-0000E0820000}"/>
    <cellStyle name="Финансовый 3 2 7 2 6 3 2" xfId="36528" xr:uid="{00000000-0005-0000-0000-0000E1820000}"/>
    <cellStyle name="Финансовый 3 2 7 2 6 4" xfId="24551" xr:uid="{00000000-0005-0000-0000-0000E2820000}"/>
    <cellStyle name="Финансовый 3 2 7 2 7" xfId="2781" xr:uid="{00000000-0005-0000-0000-0000E3820000}"/>
    <cellStyle name="Финансовый 3 2 7 2 7 2" xfId="14760" xr:uid="{00000000-0005-0000-0000-0000E4820000}"/>
    <cellStyle name="Финансовый 3 2 7 2 7 2 2" xfId="38715" xr:uid="{00000000-0005-0000-0000-0000E5820000}"/>
    <cellStyle name="Финансовый 3 2 7 2 7 3" xfId="26738" xr:uid="{00000000-0005-0000-0000-0000E6820000}"/>
    <cellStyle name="Финансовый 3 2 7 2 8" xfId="4425" xr:uid="{00000000-0005-0000-0000-0000E7820000}"/>
    <cellStyle name="Финансовый 3 2 7 2 8 2" xfId="16404" xr:uid="{00000000-0005-0000-0000-0000E8820000}"/>
    <cellStyle name="Финансовый 3 2 7 2 8 2 2" xfId="40359" xr:uid="{00000000-0005-0000-0000-0000E9820000}"/>
    <cellStyle name="Финансовый 3 2 7 2 8 3" xfId="28382" xr:uid="{00000000-0005-0000-0000-0000EA820000}"/>
    <cellStyle name="Финансовый 3 2 7 2 9" xfId="6212" xr:uid="{00000000-0005-0000-0000-0000EB820000}"/>
    <cellStyle name="Финансовый 3 2 7 2 9 2" xfId="18190" xr:uid="{00000000-0005-0000-0000-0000EC820000}"/>
    <cellStyle name="Финансовый 3 2 7 2 9 2 2" xfId="42145" xr:uid="{00000000-0005-0000-0000-0000ED820000}"/>
    <cellStyle name="Финансовый 3 2 7 2 9 3" xfId="30167" xr:uid="{00000000-0005-0000-0000-0000EE820000}"/>
    <cellStyle name="Финансовый 3 2 7 3" xfId="320" xr:uid="{00000000-0005-0000-0000-0000EF820000}"/>
    <cellStyle name="Финансовый 3 2 7 3 10" xfId="24279" xr:uid="{00000000-0005-0000-0000-0000F0820000}"/>
    <cellStyle name="Финансовый 3 2 7 3 11" xfId="48225" xr:uid="{00000000-0005-0000-0000-0000F1820000}"/>
    <cellStyle name="Финансовый 3 2 7 3 2" xfId="2107" xr:uid="{00000000-0005-0000-0000-0000F2820000}"/>
    <cellStyle name="Финансовый 3 2 7 3 2 2" xfId="3752" xr:uid="{00000000-0005-0000-0000-0000F3820000}"/>
    <cellStyle name="Финансовый 3 2 7 3 2 2 2" xfId="11492" xr:uid="{00000000-0005-0000-0000-0000F4820000}"/>
    <cellStyle name="Финансовый 3 2 7 3 2 2 2 2" xfId="23470" xr:uid="{00000000-0005-0000-0000-0000F5820000}"/>
    <cellStyle name="Финансовый 3 2 7 3 2 2 2 2 2" xfId="47425" xr:uid="{00000000-0005-0000-0000-0000F6820000}"/>
    <cellStyle name="Финансовый 3 2 7 3 2 2 2 3" xfId="35447" xr:uid="{00000000-0005-0000-0000-0000F7820000}"/>
    <cellStyle name="Финансовый 3 2 7 3 2 2 3" xfId="15731" xr:uid="{00000000-0005-0000-0000-0000F8820000}"/>
    <cellStyle name="Финансовый 3 2 7 3 2 2 3 2" xfId="39686" xr:uid="{00000000-0005-0000-0000-0000F9820000}"/>
    <cellStyle name="Финансовый 3 2 7 3 2 2 4" xfId="27709" xr:uid="{00000000-0005-0000-0000-0000FA820000}"/>
    <cellStyle name="Финансовый 3 2 7 3 2 2 5" xfId="50978" xr:uid="{00000000-0005-0000-0000-0000FB820000}"/>
    <cellStyle name="Финансовый 3 2 7 3 2 3" xfId="5535" xr:uid="{00000000-0005-0000-0000-0000FC820000}"/>
    <cellStyle name="Финансовый 3 2 7 3 2 3 2" xfId="17513" xr:uid="{00000000-0005-0000-0000-0000FD820000}"/>
    <cellStyle name="Финансовый 3 2 7 3 2 3 2 2" xfId="41468" xr:uid="{00000000-0005-0000-0000-0000FE820000}"/>
    <cellStyle name="Финансовый 3 2 7 3 2 3 3" xfId="29490" xr:uid="{00000000-0005-0000-0000-0000FF820000}"/>
    <cellStyle name="Финансовый 3 2 7 3 2 4" xfId="8145" xr:uid="{00000000-0005-0000-0000-000000830000}"/>
    <cellStyle name="Финансовый 3 2 7 3 2 4 2" xfId="20123" xr:uid="{00000000-0005-0000-0000-000001830000}"/>
    <cellStyle name="Финансовый 3 2 7 3 2 4 2 2" xfId="44078" xr:uid="{00000000-0005-0000-0000-000002830000}"/>
    <cellStyle name="Финансовый 3 2 7 3 2 4 3" xfId="32100" xr:uid="{00000000-0005-0000-0000-000003830000}"/>
    <cellStyle name="Финансовый 3 2 7 3 2 5" xfId="9928" xr:uid="{00000000-0005-0000-0000-000004830000}"/>
    <cellStyle name="Финансовый 3 2 7 3 2 5 2" xfId="21906" xr:uid="{00000000-0005-0000-0000-000005830000}"/>
    <cellStyle name="Финансовый 3 2 7 3 2 5 2 2" xfId="45861" xr:uid="{00000000-0005-0000-0000-000006830000}"/>
    <cellStyle name="Финансовый 3 2 7 3 2 5 3" xfId="33883" xr:uid="{00000000-0005-0000-0000-000007830000}"/>
    <cellStyle name="Финансовый 3 2 7 3 2 6" xfId="14086" xr:uid="{00000000-0005-0000-0000-000008830000}"/>
    <cellStyle name="Финансовый 3 2 7 3 2 6 2" xfId="38041" xr:uid="{00000000-0005-0000-0000-000009830000}"/>
    <cellStyle name="Финансовый 3 2 7 3 2 7" xfId="26064" xr:uid="{00000000-0005-0000-0000-00000A830000}"/>
    <cellStyle name="Финансовый 3 2 7 3 2 8" xfId="49197" xr:uid="{00000000-0005-0000-0000-00000B830000}"/>
    <cellStyle name="Финансовый 3 2 7 3 3" xfId="1140" xr:uid="{00000000-0005-0000-0000-00000C830000}"/>
    <cellStyle name="Финансовый 3 2 7 3 3 2" xfId="7180" xr:uid="{00000000-0005-0000-0000-00000D830000}"/>
    <cellStyle name="Финансовый 3 2 7 3 3 2 2" xfId="19158" xr:uid="{00000000-0005-0000-0000-00000E830000}"/>
    <cellStyle name="Финансовый 3 2 7 3 3 2 2 2" xfId="43113" xr:uid="{00000000-0005-0000-0000-00000F830000}"/>
    <cellStyle name="Финансовый 3 2 7 3 3 2 3" xfId="31135" xr:uid="{00000000-0005-0000-0000-000010830000}"/>
    <cellStyle name="Финансовый 3 2 7 3 3 3" xfId="10720" xr:uid="{00000000-0005-0000-0000-000011830000}"/>
    <cellStyle name="Финансовый 3 2 7 3 3 3 2" xfId="22698" xr:uid="{00000000-0005-0000-0000-000012830000}"/>
    <cellStyle name="Финансовый 3 2 7 3 3 3 2 2" xfId="46653" xr:uid="{00000000-0005-0000-0000-000013830000}"/>
    <cellStyle name="Финансовый 3 2 7 3 3 3 3" xfId="34675" xr:uid="{00000000-0005-0000-0000-000014830000}"/>
    <cellStyle name="Финансовый 3 2 7 3 3 4" xfId="13121" xr:uid="{00000000-0005-0000-0000-000015830000}"/>
    <cellStyle name="Финансовый 3 2 7 3 3 4 2" xfId="37076" xr:uid="{00000000-0005-0000-0000-000016830000}"/>
    <cellStyle name="Финансовый 3 2 7 3 3 5" xfId="25099" xr:uid="{00000000-0005-0000-0000-000017830000}"/>
    <cellStyle name="Финансовый 3 2 7 3 3 6" xfId="50005" xr:uid="{00000000-0005-0000-0000-000018830000}"/>
    <cellStyle name="Финансовый 3 2 7 3 4" xfId="740" xr:uid="{00000000-0005-0000-0000-000019830000}"/>
    <cellStyle name="Финансовый 3 2 7 3 4 2" xfId="6780" xr:uid="{00000000-0005-0000-0000-00001A830000}"/>
    <cellStyle name="Финансовый 3 2 7 3 4 2 2" xfId="18758" xr:uid="{00000000-0005-0000-0000-00001B830000}"/>
    <cellStyle name="Финансовый 3 2 7 3 4 2 2 2" xfId="42713" xr:uid="{00000000-0005-0000-0000-00001C830000}"/>
    <cellStyle name="Финансовый 3 2 7 3 4 2 3" xfId="30735" xr:uid="{00000000-0005-0000-0000-00001D830000}"/>
    <cellStyle name="Финансовый 3 2 7 3 4 3" xfId="12721" xr:uid="{00000000-0005-0000-0000-00001E830000}"/>
    <cellStyle name="Финансовый 3 2 7 3 4 3 2" xfId="36676" xr:uid="{00000000-0005-0000-0000-00001F830000}"/>
    <cellStyle name="Финансовый 3 2 7 3 4 4" xfId="24699" xr:uid="{00000000-0005-0000-0000-000020830000}"/>
    <cellStyle name="Финансовый 3 2 7 3 5" xfId="2917" xr:uid="{00000000-0005-0000-0000-000021830000}"/>
    <cellStyle name="Финансовый 3 2 7 3 5 2" xfId="14896" xr:uid="{00000000-0005-0000-0000-000022830000}"/>
    <cellStyle name="Финансовый 3 2 7 3 5 2 2" xfId="38851" xr:uid="{00000000-0005-0000-0000-000023830000}"/>
    <cellStyle name="Финансовый 3 2 7 3 5 3" xfId="26874" xr:uid="{00000000-0005-0000-0000-000024830000}"/>
    <cellStyle name="Финансовый 3 2 7 3 6" xfId="4561" xr:uid="{00000000-0005-0000-0000-000025830000}"/>
    <cellStyle name="Финансовый 3 2 7 3 6 2" xfId="16540" xr:uid="{00000000-0005-0000-0000-000026830000}"/>
    <cellStyle name="Финансовый 3 2 7 3 6 2 2" xfId="40495" xr:uid="{00000000-0005-0000-0000-000027830000}"/>
    <cellStyle name="Финансовый 3 2 7 3 6 3" xfId="28518" xr:uid="{00000000-0005-0000-0000-000028830000}"/>
    <cellStyle name="Финансовый 3 2 7 3 7" xfId="6360" xr:uid="{00000000-0005-0000-0000-000029830000}"/>
    <cellStyle name="Финансовый 3 2 7 3 7 2" xfId="18338" xr:uid="{00000000-0005-0000-0000-00002A830000}"/>
    <cellStyle name="Финансовый 3 2 7 3 7 2 2" xfId="42293" xr:uid="{00000000-0005-0000-0000-00002B830000}"/>
    <cellStyle name="Финансовый 3 2 7 3 7 3" xfId="30315" xr:uid="{00000000-0005-0000-0000-00002C830000}"/>
    <cellStyle name="Финансовый 3 2 7 3 8" xfId="8955" xr:uid="{00000000-0005-0000-0000-00002D830000}"/>
    <cellStyle name="Финансовый 3 2 7 3 8 2" xfId="20933" xr:uid="{00000000-0005-0000-0000-00002E830000}"/>
    <cellStyle name="Финансовый 3 2 7 3 8 2 2" xfId="44888" xr:uid="{00000000-0005-0000-0000-00002F830000}"/>
    <cellStyle name="Финансовый 3 2 7 3 8 3" xfId="32910" xr:uid="{00000000-0005-0000-0000-000030830000}"/>
    <cellStyle name="Финансовый 3 2 7 3 9" xfId="12301" xr:uid="{00000000-0005-0000-0000-000031830000}"/>
    <cellStyle name="Финансовый 3 2 7 3 9 2" xfId="36256" xr:uid="{00000000-0005-0000-0000-000032830000}"/>
    <cellStyle name="Финансовый 3 2 7 4" xfId="1522" xr:uid="{00000000-0005-0000-0000-000033830000}"/>
    <cellStyle name="Финансовый 3 2 7 4 2" xfId="1843" xr:uid="{00000000-0005-0000-0000-000034830000}"/>
    <cellStyle name="Финансовый 3 2 7 4 2 2" xfId="3488" xr:uid="{00000000-0005-0000-0000-000035830000}"/>
    <cellStyle name="Финансовый 3 2 7 4 2 2 2" xfId="11236" xr:uid="{00000000-0005-0000-0000-000036830000}"/>
    <cellStyle name="Финансовый 3 2 7 4 2 2 2 2" xfId="23214" xr:uid="{00000000-0005-0000-0000-000037830000}"/>
    <cellStyle name="Финансовый 3 2 7 4 2 2 2 2 2" xfId="47169" xr:uid="{00000000-0005-0000-0000-000038830000}"/>
    <cellStyle name="Финансовый 3 2 7 4 2 2 2 3" xfId="35191" xr:uid="{00000000-0005-0000-0000-000039830000}"/>
    <cellStyle name="Финансовый 3 2 7 4 2 2 3" xfId="15467" xr:uid="{00000000-0005-0000-0000-00003A830000}"/>
    <cellStyle name="Финансовый 3 2 7 4 2 2 3 2" xfId="39422" xr:uid="{00000000-0005-0000-0000-00003B830000}"/>
    <cellStyle name="Финансовый 3 2 7 4 2 2 4" xfId="27445" xr:uid="{00000000-0005-0000-0000-00003C830000}"/>
    <cellStyle name="Финансовый 3 2 7 4 2 2 5" xfId="50714" xr:uid="{00000000-0005-0000-0000-00003D830000}"/>
    <cellStyle name="Финансовый 3 2 7 4 2 3" xfId="5271" xr:uid="{00000000-0005-0000-0000-00003E830000}"/>
    <cellStyle name="Финансовый 3 2 7 4 2 3 2" xfId="17249" xr:uid="{00000000-0005-0000-0000-00003F830000}"/>
    <cellStyle name="Финансовый 3 2 7 4 2 3 2 2" xfId="41204" xr:uid="{00000000-0005-0000-0000-000040830000}"/>
    <cellStyle name="Финансовый 3 2 7 4 2 3 3" xfId="29226" xr:uid="{00000000-0005-0000-0000-000041830000}"/>
    <cellStyle name="Финансовый 3 2 7 4 2 4" xfId="7881" xr:uid="{00000000-0005-0000-0000-000042830000}"/>
    <cellStyle name="Финансовый 3 2 7 4 2 4 2" xfId="19859" xr:uid="{00000000-0005-0000-0000-000043830000}"/>
    <cellStyle name="Финансовый 3 2 7 4 2 4 2 2" xfId="43814" xr:uid="{00000000-0005-0000-0000-000044830000}"/>
    <cellStyle name="Финансовый 3 2 7 4 2 4 3" xfId="31836" xr:uid="{00000000-0005-0000-0000-000045830000}"/>
    <cellStyle name="Финансовый 3 2 7 4 2 5" xfId="9664" xr:uid="{00000000-0005-0000-0000-000046830000}"/>
    <cellStyle name="Финансовый 3 2 7 4 2 5 2" xfId="21642" xr:uid="{00000000-0005-0000-0000-000047830000}"/>
    <cellStyle name="Финансовый 3 2 7 4 2 5 2 2" xfId="45597" xr:uid="{00000000-0005-0000-0000-000048830000}"/>
    <cellStyle name="Финансовый 3 2 7 4 2 5 3" xfId="33619" xr:uid="{00000000-0005-0000-0000-000049830000}"/>
    <cellStyle name="Финансовый 3 2 7 4 2 6" xfId="13822" xr:uid="{00000000-0005-0000-0000-00004A830000}"/>
    <cellStyle name="Финансовый 3 2 7 4 2 6 2" xfId="37777" xr:uid="{00000000-0005-0000-0000-00004B830000}"/>
    <cellStyle name="Финансовый 3 2 7 4 2 7" xfId="25800" xr:uid="{00000000-0005-0000-0000-00004C830000}"/>
    <cellStyle name="Финансовый 3 2 7 4 2 8" xfId="48933" xr:uid="{00000000-0005-0000-0000-00004D830000}"/>
    <cellStyle name="Финансовый 3 2 7 4 3" xfId="4950" xr:uid="{00000000-0005-0000-0000-00004E830000}"/>
    <cellStyle name="Финансовый 3 2 7 4 3 2" xfId="16928" xr:uid="{00000000-0005-0000-0000-00004F830000}"/>
    <cellStyle name="Финансовый 3 2 7 4 3 2 2" xfId="40883" xr:uid="{00000000-0005-0000-0000-000050830000}"/>
    <cellStyle name="Финансовый 3 2 7 4 3 3" xfId="28905" xr:uid="{00000000-0005-0000-0000-000051830000}"/>
    <cellStyle name="Финансовый 3 2 7 4 3 4" xfId="50393" xr:uid="{00000000-0005-0000-0000-000052830000}"/>
    <cellStyle name="Финансовый 3 2 7 4 4" xfId="7560" xr:uid="{00000000-0005-0000-0000-000053830000}"/>
    <cellStyle name="Финансовый 3 2 7 4 4 2" xfId="19538" xr:uid="{00000000-0005-0000-0000-000054830000}"/>
    <cellStyle name="Финансовый 3 2 7 4 4 2 2" xfId="43493" xr:uid="{00000000-0005-0000-0000-000055830000}"/>
    <cellStyle name="Финансовый 3 2 7 4 4 3" xfId="31515" xr:uid="{00000000-0005-0000-0000-000056830000}"/>
    <cellStyle name="Финансовый 3 2 7 4 5" xfId="9343" xr:uid="{00000000-0005-0000-0000-000057830000}"/>
    <cellStyle name="Финансовый 3 2 7 4 5 2" xfId="21321" xr:uid="{00000000-0005-0000-0000-000058830000}"/>
    <cellStyle name="Финансовый 3 2 7 4 5 2 2" xfId="45276" xr:uid="{00000000-0005-0000-0000-000059830000}"/>
    <cellStyle name="Финансовый 3 2 7 4 5 3" xfId="33298" xr:uid="{00000000-0005-0000-0000-00005A830000}"/>
    <cellStyle name="Финансовый 3 2 7 4 6" xfId="13501" xr:uid="{00000000-0005-0000-0000-00005B830000}"/>
    <cellStyle name="Финансовый 3 2 7 4 6 2" xfId="37456" xr:uid="{00000000-0005-0000-0000-00005C830000}"/>
    <cellStyle name="Финансовый 3 2 7 4 7" xfId="25479" xr:uid="{00000000-0005-0000-0000-00005D830000}"/>
    <cellStyle name="Финансовый 3 2 7 4 8" xfId="48612" xr:uid="{00000000-0005-0000-0000-00005E830000}"/>
    <cellStyle name="Финансовый 3 2 7 5" xfId="1727" xr:uid="{00000000-0005-0000-0000-00005F830000}"/>
    <cellStyle name="Финансовый 3 2 7 5 2" xfId="3372" xr:uid="{00000000-0005-0000-0000-000060830000}"/>
    <cellStyle name="Финансовый 3 2 7 5 2 2" xfId="11120" xr:uid="{00000000-0005-0000-0000-000061830000}"/>
    <cellStyle name="Финансовый 3 2 7 5 2 2 2" xfId="23098" xr:uid="{00000000-0005-0000-0000-000062830000}"/>
    <cellStyle name="Финансовый 3 2 7 5 2 2 2 2" xfId="47053" xr:uid="{00000000-0005-0000-0000-000063830000}"/>
    <cellStyle name="Финансовый 3 2 7 5 2 2 3" xfId="35075" xr:uid="{00000000-0005-0000-0000-000064830000}"/>
    <cellStyle name="Финансовый 3 2 7 5 2 3" xfId="15351" xr:uid="{00000000-0005-0000-0000-000065830000}"/>
    <cellStyle name="Финансовый 3 2 7 5 2 3 2" xfId="39306" xr:uid="{00000000-0005-0000-0000-000066830000}"/>
    <cellStyle name="Финансовый 3 2 7 5 2 4" xfId="27329" xr:uid="{00000000-0005-0000-0000-000067830000}"/>
    <cellStyle name="Финансовый 3 2 7 5 2 5" xfId="50598" xr:uid="{00000000-0005-0000-0000-000068830000}"/>
    <cellStyle name="Финансовый 3 2 7 5 3" xfId="5155" xr:uid="{00000000-0005-0000-0000-000069830000}"/>
    <cellStyle name="Финансовый 3 2 7 5 3 2" xfId="17133" xr:uid="{00000000-0005-0000-0000-00006A830000}"/>
    <cellStyle name="Финансовый 3 2 7 5 3 2 2" xfId="41088" xr:uid="{00000000-0005-0000-0000-00006B830000}"/>
    <cellStyle name="Финансовый 3 2 7 5 3 3" xfId="29110" xr:uid="{00000000-0005-0000-0000-00006C830000}"/>
    <cellStyle name="Финансовый 3 2 7 5 4" xfId="7765" xr:uid="{00000000-0005-0000-0000-00006D830000}"/>
    <cellStyle name="Финансовый 3 2 7 5 4 2" xfId="19743" xr:uid="{00000000-0005-0000-0000-00006E830000}"/>
    <cellStyle name="Финансовый 3 2 7 5 4 2 2" xfId="43698" xr:uid="{00000000-0005-0000-0000-00006F830000}"/>
    <cellStyle name="Финансовый 3 2 7 5 4 3" xfId="31720" xr:uid="{00000000-0005-0000-0000-000070830000}"/>
    <cellStyle name="Финансовый 3 2 7 5 5" xfId="9548" xr:uid="{00000000-0005-0000-0000-000071830000}"/>
    <cellStyle name="Финансовый 3 2 7 5 5 2" xfId="21526" xr:uid="{00000000-0005-0000-0000-000072830000}"/>
    <cellStyle name="Финансовый 3 2 7 5 5 2 2" xfId="45481" xr:uid="{00000000-0005-0000-0000-000073830000}"/>
    <cellStyle name="Финансовый 3 2 7 5 5 3" xfId="33503" xr:uid="{00000000-0005-0000-0000-000074830000}"/>
    <cellStyle name="Финансовый 3 2 7 5 6" xfId="13706" xr:uid="{00000000-0005-0000-0000-000075830000}"/>
    <cellStyle name="Финансовый 3 2 7 5 6 2" xfId="37661" xr:uid="{00000000-0005-0000-0000-000076830000}"/>
    <cellStyle name="Финансовый 3 2 7 5 7" xfId="25684" xr:uid="{00000000-0005-0000-0000-000077830000}"/>
    <cellStyle name="Финансовый 3 2 7 5 8" xfId="48817" xr:uid="{00000000-0005-0000-0000-000078830000}"/>
    <cellStyle name="Финансовый 3 2 7 6" xfId="2363" xr:uid="{00000000-0005-0000-0000-000079830000}"/>
    <cellStyle name="Финансовый 3 2 7 6 2" xfId="4008" xr:uid="{00000000-0005-0000-0000-00007A830000}"/>
    <cellStyle name="Финансовый 3 2 7 6 2 2" xfId="11748" xr:uid="{00000000-0005-0000-0000-00007B830000}"/>
    <cellStyle name="Финансовый 3 2 7 6 2 2 2" xfId="23726" xr:uid="{00000000-0005-0000-0000-00007C830000}"/>
    <cellStyle name="Финансовый 3 2 7 6 2 2 2 2" xfId="47681" xr:uid="{00000000-0005-0000-0000-00007D830000}"/>
    <cellStyle name="Финансовый 3 2 7 6 2 2 3" xfId="35703" xr:uid="{00000000-0005-0000-0000-00007E830000}"/>
    <cellStyle name="Финансовый 3 2 7 6 2 3" xfId="15987" xr:uid="{00000000-0005-0000-0000-00007F830000}"/>
    <cellStyle name="Финансовый 3 2 7 6 2 3 2" xfId="39942" xr:uid="{00000000-0005-0000-0000-000080830000}"/>
    <cellStyle name="Финансовый 3 2 7 6 2 4" xfId="27965" xr:uid="{00000000-0005-0000-0000-000081830000}"/>
    <cellStyle name="Финансовый 3 2 7 6 2 5" xfId="51234" xr:uid="{00000000-0005-0000-0000-000082830000}"/>
    <cellStyle name="Финансовый 3 2 7 6 3" xfId="5791" xr:uid="{00000000-0005-0000-0000-000083830000}"/>
    <cellStyle name="Финансовый 3 2 7 6 3 2" xfId="17769" xr:uid="{00000000-0005-0000-0000-000084830000}"/>
    <cellStyle name="Финансовый 3 2 7 6 3 2 2" xfId="41724" xr:uid="{00000000-0005-0000-0000-000085830000}"/>
    <cellStyle name="Финансовый 3 2 7 6 3 3" xfId="29746" xr:uid="{00000000-0005-0000-0000-000086830000}"/>
    <cellStyle name="Финансовый 3 2 7 6 4" xfId="8401" xr:uid="{00000000-0005-0000-0000-000087830000}"/>
    <cellStyle name="Финансовый 3 2 7 6 4 2" xfId="20379" xr:uid="{00000000-0005-0000-0000-000088830000}"/>
    <cellStyle name="Финансовый 3 2 7 6 4 2 2" xfId="44334" xr:uid="{00000000-0005-0000-0000-000089830000}"/>
    <cellStyle name="Финансовый 3 2 7 6 4 3" xfId="32356" xr:uid="{00000000-0005-0000-0000-00008A830000}"/>
    <cellStyle name="Финансовый 3 2 7 6 5" xfId="10184" xr:uid="{00000000-0005-0000-0000-00008B830000}"/>
    <cellStyle name="Финансовый 3 2 7 6 5 2" xfId="22162" xr:uid="{00000000-0005-0000-0000-00008C830000}"/>
    <cellStyle name="Финансовый 3 2 7 6 5 2 2" xfId="46117" xr:uid="{00000000-0005-0000-0000-00008D830000}"/>
    <cellStyle name="Финансовый 3 2 7 6 5 3" xfId="34139" xr:uid="{00000000-0005-0000-0000-00008E830000}"/>
    <cellStyle name="Финансовый 3 2 7 6 6" xfId="14342" xr:uid="{00000000-0005-0000-0000-00008F830000}"/>
    <cellStyle name="Финансовый 3 2 7 6 6 2" xfId="38297" xr:uid="{00000000-0005-0000-0000-000090830000}"/>
    <cellStyle name="Финансовый 3 2 7 6 7" xfId="26320" xr:uid="{00000000-0005-0000-0000-000091830000}"/>
    <cellStyle name="Финансовый 3 2 7 6 8" xfId="49453" xr:uid="{00000000-0005-0000-0000-000092830000}"/>
    <cellStyle name="Финансовый 3 2 7 7" xfId="1590" xr:uid="{00000000-0005-0000-0000-000093830000}"/>
    <cellStyle name="Финансовый 3 2 7 7 2" xfId="3235" xr:uid="{00000000-0005-0000-0000-000094830000}"/>
    <cellStyle name="Финансовый 3 2 7 7 2 2" xfId="10991" xr:uid="{00000000-0005-0000-0000-000095830000}"/>
    <cellStyle name="Финансовый 3 2 7 7 2 2 2" xfId="22969" xr:uid="{00000000-0005-0000-0000-000096830000}"/>
    <cellStyle name="Финансовый 3 2 7 7 2 2 2 2" xfId="46924" xr:uid="{00000000-0005-0000-0000-000097830000}"/>
    <cellStyle name="Финансовый 3 2 7 7 2 2 3" xfId="34946" xr:uid="{00000000-0005-0000-0000-000098830000}"/>
    <cellStyle name="Финансовый 3 2 7 7 2 3" xfId="15214" xr:uid="{00000000-0005-0000-0000-000099830000}"/>
    <cellStyle name="Финансовый 3 2 7 7 2 3 2" xfId="39169" xr:uid="{00000000-0005-0000-0000-00009A830000}"/>
    <cellStyle name="Финансовый 3 2 7 7 2 4" xfId="27192" xr:uid="{00000000-0005-0000-0000-00009B830000}"/>
    <cellStyle name="Финансовый 3 2 7 7 2 5" xfId="50461" xr:uid="{00000000-0005-0000-0000-00009C830000}"/>
    <cellStyle name="Финансовый 3 2 7 7 3" xfId="5018" xr:uid="{00000000-0005-0000-0000-00009D830000}"/>
    <cellStyle name="Финансовый 3 2 7 7 3 2" xfId="16996" xr:uid="{00000000-0005-0000-0000-00009E830000}"/>
    <cellStyle name="Финансовый 3 2 7 7 3 2 2" xfId="40951" xr:uid="{00000000-0005-0000-0000-00009F830000}"/>
    <cellStyle name="Финансовый 3 2 7 7 3 3" xfId="28973" xr:uid="{00000000-0005-0000-0000-0000A0830000}"/>
    <cellStyle name="Финансовый 3 2 7 7 4" xfId="7628" xr:uid="{00000000-0005-0000-0000-0000A1830000}"/>
    <cellStyle name="Финансовый 3 2 7 7 4 2" xfId="19606" xr:uid="{00000000-0005-0000-0000-0000A2830000}"/>
    <cellStyle name="Финансовый 3 2 7 7 4 2 2" xfId="43561" xr:uid="{00000000-0005-0000-0000-0000A3830000}"/>
    <cellStyle name="Финансовый 3 2 7 7 4 3" xfId="31583" xr:uid="{00000000-0005-0000-0000-0000A4830000}"/>
    <cellStyle name="Финансовый 3 2 7 7 5" xfId="9411" xr:uid="{00000000-0005-0000-0000-0000A5830000}"/>
    <cellStyle name="Финансовый 3 2 7 7 5 2" xfId="21389" xr:uid="{00000000-0005-0000-0000-0000A6830000}"/>
    <cellStyle name="Финансовый 3 2 7 7 5 2 2" xfId="45344" xr:uid="{00000000-0005-0000-0000-0000A7830000}"/>
    <cellStyle name="Финансовый 3 2 7 7 5 3" xfId="33366" xr:uid="{00000000-0005-0000-0000-0000A8830000}"/>
    <cellStyle name="Финансовый 3 2 7 7 6" xfId="13569" xr:uid="{00000000-0005-0000-0000-0000A9830000}"/>
    <cellStyle name="Финансовый 3 2 7 7 6 2" xfId="37524" xr:uid="{00000000-0005-0000-0000-0000AA830000}"/>
    <cellStyle name="Финансовый 3 2 7 7 7" xfId="25547" xr:uid="{00000000-0005-0000-0000-0000AB830000}"/>
    <cellStyle name="Финансовый 3 2 7 7 8" xfId="48680" xr:uid="{00000000-0005-0000-0000-0000AC830000}"/>
    <cellStyle name="Финансовый 3 2 7 8" xfId="876" xr:uid="{00000000-0005-0000-0000-0000AD830000}"/>
    <cellStyle name="Финансовый 3 2 7 8 2" xfId="6916" xr:uid="{00000000-0005-0000-0000-0000AE830000}"/>
    <cellStyle name="Финансовый 3 2 7 8 2 2" xfId="18894" xr:uid="{00000000-0005-0000-0000-0000AF830000}"/>
    <cellStyle name="Финансовый 3 2 7 8 2 2 2" xfId="42849" xr:uid="{00000000-0005-0000-0000-0000B0830000}"/>
    <cellStyle name="Финансовый 3 2 7 8 2 3" xfId="30871" xr:uid="{00000000-0005-0000-0000-0000B1830000}"/>
    <cellStyle name="Финансовый 3 2 7 8 3" xfId="10464" xr:uid="{00000000-0005-0000-0000-0000B2830000}"/>
    <cellStyle name="Финансовый 3 2 7 8 3 2" xfId="22442" xr:uid="{00000000-0005-0000-0000-0000B3830000}"/>
    <cellStyle name="Финансовый 3 2 7 8 3 2 2" xfId="46397" xr:uid="{00000000-0005-0000-0000-0000B4830000}"/>
    <cellStyle name="Финансовый 3 2 7 8 3 3" xfId="34419" xr:uid="{00000000-0005-0000-0000-0000B5830000}"/>
    <cellStyle name="Финансовый 3 2 7 8 4" xfId="12857" xr:uid="{00000000-0005-0000-0000-0000B6830000}"/>
    <cellStyle name="Финансовый 3 2 7 8 4 2" xfId="36812" xr:uid="{00000000-0005-0000-0000-0000B7830000}"/>
    <cellStyle name="Финансовый 3 2 7 8 5" xfId="24835" xr:uid="{00000000-0005-0000-0000-0000B8830000}"/>
    <cellStyle name="Финансовый 3 2 7 8 6" xfId="49733" xr:uid="{00000000-0005-0000-0000-0000B9830000}"/>
    <cellStyle name="Финансовый 3 2 7 9" xfId="456" xr:uid="{00000000-0005-0000-0000-0000BA830000}"/>
    <cellStyle name="Финансовый 3 2 7 9 2" xfId="6496" xr:uid="{00000000-0005-0000-0000-0000BB830000}"/>
    <cellStyle name="Финансовый 3 2 7 9 2 2" xfId="18474" xr:uid="{00000000-0005-0000-0000-0000BC830000}"/>
    <cellStyle name="Финансовый 3 2 7 9 2 2 2" xfId="42429" xr:uid="{00000000-0005-0000-0000-0000BD830000}"/>
    <cellStyle name="Финансовый 3 2 7 9 2 3" xfId="30451" xr:uid="{00000000-0005-0000-0000-0000BE830000}"/>
    <cellStyle name="Финансовый 3 2 7 9 3" xfId="12437" xr:uid="{00000000-0005-0000-0000-0000BF830000}"/>
    <cellStyle name="Финансовый 3 2 7 9 3 2" xfId="36392" xr:uid="{00000000-0005-0000-0000-0000C0830000}"/>
    <cellStyle name="Финансовый 3 2 7 9 4" xfId="24415" xr:uid="{00000000-0005-0000-0000-0000C1830000}"/>
    <cellStyle name="Финансовый 3 2 8" xfId="21" xr:uid="{00000000-0005-0000-0000-0000C2830000}"/>
    <cellStyle name="Финансовый 3 2 8 10" xfId="2633" xr:uid="{00000000-0005-0000-0000-0000C3830000}"/>
    <cellStyle name="Финансовый 3 2 8 10 2" xfId="14612" xr:uid="{00000000-0005-0000-0000-0000C4830000}"/>
    <cellStyle name="Финансовый 3 2 8 10 2 2" xfId="38567" xr:uid="{00000000-0005-0000-0000-0000C5830000}"/>
    <cellStyle name="Финансовый 3 2 8 10 3" xfId="26590" xr:uid="{00000000-0005-0000-0000-0000C6830000}"/>
    <cellStyle name="Финансовый 3 2 8 11" xfId="4276" xr:uid="{00000000-0005-0000-0000-0000C7830000}"/>
    <cellStyle name="Финансовый 3 2 8 11 2" xfId="16255" xr:uid="{00000000-0005-0000-0000-0000C8830000}"/>
    <cellStyle name="Финансовый 3 2 8 11 2 2" xfId="40210" xr:uid="{00000000-0005-0000-0000-0000C9830000}"/>
    <cellStyle name="Финансовый 3 2 8 11 3" xfId="28233" xr:uid="{00000000-0005-0000-0000-0000CA830000}"/>
    <cellStyle name="Финансовый 3 2 8 12" xfId="6064" xr:uid="{00000000-0005-0000-0000-0000CB830000}"/>
    <cellStyle name="Финансовый 3 2 8 12 2" xfId="18042" xr:uid="{00000000-0005-0000-0000-0000CC830000}"/>
    <cellStyle name="Финансовый 3 2 8 12 2 2" xfId="41997" xr:uid="{00000000-0005-0000-0000-0000CD830000}"/>
    <cellStyle name="Финансовый 3 2 8 12 3" xfId="30019" xr:uid="{00000000-0005-0000-0000-0000CE830000}"/>
    <cellStyle name="Финансовый 3 2 8 13" xfId="8671" xr:uid="{00000000-0005-0000-0000-0000CF830000}"/>
    <cellStyle name="Финансовый 3 2 8 13 2" xfId="20649" xr:uid="{00000000-0005-0000-0000-0000D0830000}"/>
    <cellStyle name="Финансовый 3 2 8 13 2 2" xfId="44604" xr:uid="{00000000-0005-0000-0000-0000D1830000}"/>
    <cellStyle name="Финансовый 3 2 8 13 3" xfId="32626" xr:uid="{00000000-0005-0000-0000-0000D2830000}"/>
    <cellStyle name="Финансовый 3 2 8 14" xfId="12005" xr:uid="{00000000-0005-0000-0000-0000D3830000}"/>
    <cellStyle name="Финансовый 3 2 8 14 2" xfId="35960" xr:uid="{00000000-0005-0000-0000-0000D4830000}"/>
    <cellStyle name="Финансовый 3 2 8 15" xfId="23983" xr:uid="{00000000-0005-0000-0000-0000D5830000}"/>
    <cellStyle name="Финансовый 3 2 8 16" xfId="47941" xr:uid="{00000000-0005-0000-0000-0000D6830000}"/>
    <cellStyle name="Финансовый 3 2 8 2" xfId="159" xr:uid="{00000000-0005-0000-0000-0000D7830000}"/>
    <cellStyle name="Финансовый 3 2 8 2 10" xfId="8807" xr:uid="{00000000-0005-0000-0000-0000D8830000}"/>
    <cellStyle name="Финансовый 3 2 8 2 10 2" xfId="20785" xr:uid="{00000000-0005-0000-0000-0000D9830000}"/>
    <cellStyle name="Финансовый 3 2 8 2 10 2 2" xfId="44740" xr:uid="{00000000-0005-0000-0000-0000DA830000}"/>
    <cellStyle name="Финансовый 3 2 8 2 10 3" xfId="32762" xr:uid="{00000000-0005-0000-0000-0000DB830000}"/>
    <cellStyle name="Финансовый 3 2 8 2 11" xfId="12141" xr:uid="{00000000-0005-0000-0000-0000DC830000}"/>
    <cellStyle name="Финансовый 3 2 8 2 11 2" xfId="36096" xr:uid="{00000000-0005-0000-0000-0000DD830000}"/>
    <cellStyle name="Финансовый 3 2 8 2 12" xfId="24119" xr:uid="{00000000-0005-0000-0000-0000DE830000}"/>
    <cellStyle name="Финансовый 3 2 8 2 13" xfId="48077" xr:uid="{00000000-0005-0000-0000-0000DF830000}"/>
    <cellStyle name="Финансовый 3 2 8 2 2" xfId="1257" xr:uid="{00000000-0005-0000-0000-0000E0830000}"/>
    <cellStyle name="Финансовый 3 2 8 2 2 2" xfId="2223" xr:uid="{00000000-0005-0000-0000-0000E1830000}"/>
    <cellStyle name="Финансовый 3 2 8 2 2 2 2" xfId="3868" xr:uid="{00000000-0005-0000-0000-0000E2830000}"/>
    <cellStyle name="Финансовый 3 2 8 2 2 2 2 2" xfId="11608" xr:uid="{00000000-0005-0000-0000-0000E3830000}"/>
    <cellStyle name="Финансовый 3 2 8 2 2 2 2 2 2" xfId="23586" xr:uid="{00000000-0005-0000-0000-0000E4830000}"/>
    <cellStyle name="Финансовый 3 2 8 2 2 2 2 2 2 2" xfId="47541" xr:uid="{00000000-0005-0000-0000-0000E5830000}"/>
    <cellStyle name="Финансовый 3 2 8 2 2 2 2 2 3" xfId="35563" xr:uid="{00000000-0005-0000-0000-0000E6830000}"/>
    <cellStyle name="Финансовый 3 2 8 2 2 2 2 3" xfId="15847" xr:uid="{00000000-0005-0000-0000-0000E7830000}"/>
    <cellStyle name="Финансовый 3 2 8 2 2 2 2 3 2" xfId="39802" xr:uid="{00000000-0005-0000-0000-0000E8830000}"/>
    <cellStyle name="Финансовый 3 2 8 2 2 2 2 4" xfId="27825" xr:uid="{00000000-0005-0000-0000-0000E9830000}"/>
    <cellStyle name="Финансовый 3 2 8 2 2 2 2 5" xfId="51094" xr:uid="{00000000-0005-0000-0000-0000EA830000}"/>
    <cellStyle name="Финансовый 3 2 8 2 2 2 3" xfId="5651" xr:uid="{00000000-0005-0000-0000-0000EB830000}"/>
    <cellStyle name="Финансовый 3 2 8 2 2 2 3 2" xfId="17629" xr:uid="{00000000-0005-0000-0000-0000EC830000}"/>
    <cellStyle name="Финансовый 3 2 8 2 2 2 3 2 2" xfId="41584" xr:uid="{00000000-0005-0000-0000-0000ED830000}"/>
    <cellStyle name="Финансовый 3 2 8 2 2 2 3 3" xfId="29606" xr:uid="{00000000-0005-0000-0000-0000EE830000}"/>
    <cellStyle name="Финансовый 3 2 8 2 2 2 4" xfId="8261" xr:uid="{00000000-0005-0000-0000-0000EF830000}"/>
    <cellStyle name="Финансовый 3 2 8 2 2 2 4 2" xfId="20239" xr:uid="{00000000-0005-0000-0000-0000F0830000}"/>
    <cellStyle name="Финансовый 3 2 8 2 2 2 4 2 2" xfId="44194" xr:uid="{00000000-0005-0000-0000-0000F1830000}"/>
    <cellStyle name="Финансовый 3 2 8 2 2 2 4 3" xfId="32216" xr:uid="{00000000-0005-0000-0000-0000F2830000}"/>
    <cellStyle name="Финансовый 3 2 8 2 2 2 5" xfId="10044" xr:uid="{00000000-0005-0000-0000-0000F3830000}"/>
    <cellStyle name="Финансовый 3 2 8 2 2 2 5 2" xfId="22022" xr:uid="{00000000-0005-0000-0000-0000F4830000}"/>
    <cellStyle name="Финансовый 3 2 8 2 2 2 5 2 2" xfId="45977" xr:uid="{00000000-0005-0000-0000-0000F5830000}"/>
    <cellStyle name="Финансовый 3 2 8 2 2 2 5 3" xfId="33999" xr:uid="{00000000-0005-0000-0000-0000F6830000}"/>
    <cellStyle name="Финансовый 3 2 8 2 2 2 6" xfId="14202" xr:uid="{00000000-0005-0000-0000-0000F7830000}"/>
    <cellStyle name="Финансовый 3 2 8 2 2 2 6 2" xfId="38157" xr:uid="{00000000-0005-0000-0000-0000F8830000}"/>
    <cellStyle name="Финансовый 3 2 8 2 2 2 7" xfId="26180" xr:uid="{00000000-0005-0000-0000-0000F9830000}"/>
    <cellStyle name="Финансовый 3 2 8 2 2 2 8" xfId="49313" xr:uid="{00000000-0005-0000-0000-0000FA830000}"/>
    <cellStyle name="Финансовый 3 2 8 2 2 3" xfId="3041" xr:uid="{00000000-0005-0000-0000-0000FB830000}"/>
    <cellStyle name="Финансовый 3 2 8 2 2 3 2" xfId="10836" xr:uid="{00000000-0005-0000-0000-0000FC830000}"/>
    <cellStyle name="Финансовый 3 2 8 2 2 3 2 2" xfId="22814" xr:uid="{00000000-0005-0000-0000-0000FD830000}"/>
    <cellStyle name="Финансовый 3 2 8 2 2 3 2 2 2" xfId="46769" xr:uid="{00000000-0005-0000-0000-0000FE830000}"/>
    <cellStyle name="Финансовый 3 2 8 2 2 3 2 3" xfId="34791" xr:uid="{00000000-0005-0000-0000-0000FF830000}"/>
    <cellStyle name="Финансовый 3 2 8 2 2 3 3" xfId="15020" xr:uid="{00000000-0005-0000-0000-000000840000}"/>
    <cellStyle name="Финансовый 3 2 8 2 2 3 3 2" xfId="38975" xr:uid="{00000000-0005-0000-0000-000001840000}"/>
    <cellStyle name="Финансовый 3 2 8 2 2 3 4" xfId="26998" xr:uid="{00000000-0005-0000-0000-000002840000}"/>
    <cellStyle name="Финансовый 3 2 8 2 2 3 5" xfId="50129" xr:uid="{00000000-0005-0000-0000-000003840000}"/>
    <cellStyle name="Финансовый 3 2 8 2 2 4" xfId="4685" xr:uid="{00000000-0005-0000-0000-000004840000}"/>
    <cellStyle name="Финансовый 3 2 8 2 2 4 2" xfId="16664" xr:uid="{00000000-0005-0000-0000-000005840000}"/>
    <cellStyle name="Финансовый 3 2 8 2 2 4 2 2" xfId="40619" xr:uid="{00000000-0005-0000-0000-000006840000}"/>
    <cellStyle name="Финансовый 3 2 8 2 2 4 3" xfId="28642" xr:uid="{00000000-0005-0000-0000-000007840000}"/>
    <cellStyle name="Финансовый 3 2 8 2 2 5" xfId="7297" xr:uid="{00000000-0005-0000-0000-000008840000}"/>
    <cellStyle name="Финансовый 3 2 8 2 2 5 2" xfId="19275" xr:uid="{00000000-0005-0000-0000-000009840000}"/>
    <cellStyle name="Финансовый 3 2 8 2 2 5 2 2" xfId="43230" xr:uid="{00000000-0005-0000-0000-00000A840000}"/>
    <cellStyle name="Финансовый 3 2 8 2 2 5 3" xfId="31252" xr:uid="{00000000-0005-0000-0000-00000B840000}"/>
    <cellStyle name="Финансовый 3 2 8 2 2 6" xfId="9079" xr:uid="{00000000-0005-0000-0000-00000C840000}"/>
    <cellStyle name="Финансовый 3 2 8 2 2 6 2" xfId="21057" xr:uid="{00000000-0005-0000-0000-00000D840000}"/>
    <cellStyle name="Финансовый 3 2 8 2 2 6 2 2" xfId="45012" xr:uid="{00000000-0005-0000-0000-00000E840000}"/>
    <cellStyle name="Финансовый 3 2 8 2 2 6 3" xfId="33034" xr:uid="{00000000-0005-0000-0000-00000F840000}"/>
    <cellStyle name="Финансовый 3 2 8 2 2 7" xfId="13238" xr:uid="{00000000-0005-0000-0000-000010840000}"/>
    <cellStyle name="Финансовый 3 2 8 2 2 7 2" xfId="37193" xr:uid="{00000000-0005-0000-0000-000011840000}"/>
    <cellStyle name="Финансовый 3 2 8 2 2 8" xfId="25216" xr:uid="{00000000-0005-0000-0000-000012840000}"/>
    <cellStyle name="Финансовый 3 2 8 2 2 9" xfId="48349" xr:uid="{00000000-0005-0000-0000-000013840000}"/>
    <cellStyle name="Финансовый 3 2 8 2 3" xfId="1967" xr:uid="{00000000-0005-0000-0000-000014840000}"/>
    <cellStyle name="Финансовый 3 2 8 2 3 2" xfId="3612" xr:uid="{00000000-0005-0000-0000-000015840000}"/>
    <cellStyle name="Финансовый 3 2 8 2 3 2 2" xfId="11352" xr:uid="{00000000-0005-0000-0000-000016840000}"/>
    <cellStyle name="Финансовый 3 2 8 2 3 2 2 2" xfId="23330" xr:uid="{00000000-0005-0000-0000-000017840000}"/>
    <cellStyle name="Финансовый 3 2 8 2 3 2 2 2 2" xfId="47285" xr:uid="{00000000-0005-0000-0000-000018840000}"/>
    <cellStyle name="Финансовый 3 2 8 2 3 2 2 3" xfId="35307" xr:uid="{00000000-0005-0000-0000-000019840000}"/>
    <cellStyle name="Финансовый 3 2 8 2 3 2 3" xfId="15591" xr:uid="{00000000-0005-0000-0000-00001A840000}"/>
    <cellStyle name="Финансовый 3 2 8 2 3 2 3 2" xfId="39546" xr:uid="{00000000-0005-0000-0000-00001B840000}"/>
    <cellStyle name="Финансовый 3 2 8 2 3 2 4" xfId="27569" xr:uid="{00000000-0005-0000-0000-00001C840000}"/>
    <cellStyle name="Финансовый 3 2 8 2 3 2 5" xfId="50838" xr:uid="{00000000-0005-0000-0000-00001D840000}"/>
    <cellStyle name="Финансовый 3 2 8 2 3 3" xfId="5395" xr:uid="{00000000-0005-0000-0000-00001E840000}"/>
    <cellStyle name="Финансовый 3 2 8 2 3 3 2" xfId="17373" xr:uid="{00000000-0005-0000-0000-00001F840000}"/>
    <cellStyle name="Финансовый 3 2 8 2 3 3 2 2" xfId="41328" xr:uid="{00000000-0005-0000-0000-000020840000}"/>
    <cellStyle name="Финансовый 3 2 8 2 3 3 3" xfId="29350" xr:uid="{00000000-0005-0000-0000-000021840000}"/>
    <cellStyle name="Финансовый 3 2 8 2 3 4" xfId="8005" xr:uid="{00000000-0005-0000-0000-000022840000}"/>
    <cellStyle name="Финансовый 3 2 8 2 3 4 2" xfId="19983" xr:uid="{00000000-0005-0000-0000-000023840000}"/>
    <cellStyle name="Финансовый 3 2 8 2 3 4 2 2" xfId="43938" xr:uid="{00000000-0005-0000-0000-000024840000}"/>
    <cellStyle name="Финансовый 3 2 8 2 3 4 3" xfId="31960" xr:uid="{00000000-0005-0000-0000-000025840000}"/>
    <cellStyle name="Финансовый 3 2 8 2 3 5" xfId="9788" xr:uid="{00000000-0005-0000-0000-000026840000}"/>
    <cellStyle name="Финансовый 3 2 8 2 3 5 2" xfId="21766" xr:uid="{00000000-0005-0000-0000-000027840000}"/>
    <cellStyle name="Финансовый 3 2 8 2 3 5 2 2" xfId="45721" xr:uid="{00000000-0005-0000-0000-000028840000}"/>
    <cellStyle name="Финансовый 3 2 8 2 3 5 3" xfId="33743" xr:uid="{00000000-0005-0000-0000-000029840000}"/>
    <cellStyle name="Финансовый 3 2 8 2 3 6" xfId="13946" xr:uid="{00000000-0005-0000-0000-00002A840000}"/>
    <cellStyle name="Финансовый 3 2 8 2 3 6 2" xfId="37901" xr:uid="{00000000-0005-0000-0000-00002B840000}"/>
    <cellStyle name="Финансовый 3 2 8 2 3 7" xfId="25924" xr:uid="{00000000-0005-0000-0000-00002C840000}"/>
    <cellStyle name="Финансовый 3 2 8 2 3 8" xfId="49057" xr:uid="{00000000-0005-0000-0000-00002D840000}"/>
    <cellStyle name="Финансовый 3 2 8 2 4" xfId="2488" xr:uid="{00000000-0005-0000-0000-00002E840000}"/>
    <cellStyle name="Финансовый 3 2 8 2 4 2" xfId="4133" xr:uid="{00000000-0005-0000-0000-00002F840000}"/>
    <cellStyle name="Финансовый 3 2 8 2 4 2 2" xfId="11865" xr:uid="{00000000-0005-0000-0000-000030840000}"/>
    <cellStyle name="Финансовый 3 2 8 2 4 2 2 2" xfId="23843" xr:uid="{00000000-0005-0000-0000-000031840000}"/>
    <cellStyle name="Финансовый 3 2 8 2 4 2 2 2 2" xfId="47798" xr:uid="{00000000-0005-0000-0000-000032840000}"/>
    <cellStyle name="Финансовый 3 2 8 2 4 2 2 3" xfId="35820" xr:uid="{00000000-0005-0000-0000-000033840000}"/>
    <cellStyle name="Финансовый 3 2 8 2 4 2 3" xfId="16112" xr:uid="{00000000-0005-0000-0000-000034840000}"/>
    <cellStyle name="Финансовый 3 2 8 2 4 2 3 2" xfId="40067" xr:uid="{00000000-0005-0000-0000-000035840000}"/>
    <cellStyle name="Финансовый 3 2 8 2 4 2 4" xfId="28090" xr:uid="{00000000-0005-0000-0000-000036840000}"/>
    <cellStyle name="Финансовый 3 2 8 2 4 2 5" xfId="51359" xr:uid="{00000000-0005-0000-0000-000037840000}"/>
    <cellStyle name="Финансовый 3 2 8 2 4 3" xfId="5916" xr:uid="{00000000-0005-0000-0000-000038840000}"/>
    <cellStyle name="Финансовый 3 2 8 2 4 3 2" xfId="17894" xr:uid="{00000000-0005-0000-0000-000039840000}"/>
    <cellStyle name="Финансовый 3 2 8 2 4 3 2 2" xfId="41849" xr:uid="{00000000-0005-0000-0000-00003A840000}"/>
    <cellStyle name="Финансовый 3 2 8 2 4 3 3" xfId="29871" xr:uid="{00000000-0005-0000-0000-00003B840000}"/>
    <cellStyle name="Финансовый 3 2 8 2 4 4" xfId="8526" xr:uid="{00000000-0005-0000-0000-00003C840000}"/>
    <cellStyle name="Финансовый 3 2 8 2 4 4 2" xfId="20504" xr:uid="{00000000-0005-0000-0000-00003D840000}"/>
    <cellStyle name="Финансовый 3 2 8 2 4 4 2 2" xfId="44459" xr:uid="{00000000-0005-0000-0000-00003E840000}"/>
    <cellStyle name="Финансовый 3 2 8 2 4 4 3" xfId="32481" xr:uid="{00000000-0005-0000-0000-00003F840000}"/>
    <cellStyle name="Финансовый 3 2 8 2 4 5" xfId="10309" xr:uid="{00000000-0005-0000-0000-000040840000}"/>
    <cellStyle name="Финансовый 3 2 8 2 4 5 2" xfId="22287" xr:uid="{00000000-0005-0000-0000-000041840000}"/>
    <cellStyle name="Финансовый 3 2 8 2 4 5 2 2" xfId="46242" xr:uid="{00000000-0005-0000-0000-000042840000}"/>
    <cellStyle name="Финансовый 3 2 8 2 4 5 3" xfId="34264" xr:uid="{00000000-0005-0000-0000-000043840000}"/>
    <cellStyle name="Финансовый 3 2 8 2 4 6" xfId="14467" xr:uid="{00000000-0005-0000-0000-000044840000}"/>
    <cellStyle name="Финансовый 3 2 8 2 4 6 2" xfId="38422" xr:uid="{00000000-0005-0000-0000-000045840000}"/>
    <cellStyle name="Финансовый 3 2 8 2 4 7" xfId="26445" xr:uid="{00000000-0005-0000-0000-000046840000}"/>
    <cellStyle name="Финансовый 3 2 8 2 4 8" xfId="49578" xr:uid="{00000000-0005-0000-0000-000047840000}"/>
    <cellStyle name="Финансовый 3 2 8 2 5" xfId="992" xr:uid="{00000000-0005-0000-0000-000048840000}"/>
    <cellStyle name="Финансовый 3 2 8 2 5 2" xfId="7032" xr:uid="{00000000-0005-0000-0000-000049840000}"/>
    <cellStyle name="Финансовый 3 2 8 2 5 2 2" xfId="19010" xr:uid="{00000000-0005-0000-0000-00004A840000}"/>
    <cellStyle name="Финансовый 3 2 8 2 5 2 2 2" xfId="42965" xr:uid="{00000000-0005-0000-0000-00004B840000}"/>
    <cellStyle name="Финансовый 3 2 8 2 5 2 3" xfId="30987" xr:uid="{00000000-0005-0000-0000-00004C840000}"/>
    <cellStyle name="Финансовый 3 2 8 2 5 3" xfId="10580" xr:uid="{00000000-0005-0000-0000-00004D840000}"/>
    <cellStyle name="Финансовый 3 2 8 2 5 3 2" xfId="22558" xr:uid="{00000000-0005-0000-0000-00004E840000}"/>
    <cellStyle name="Финансовый 3 2 8 2 5 3 2 2" xfId="46513" xr:uid="{00000000-0005-0000-0000-00004F840000}"/>
    <cellStyle name="Финансовый 3 2 8 2 5 3 3" xfId="34535" xr:uid="{00000000-0005-0000-0000-000050840000}"/>
    <cellStyle name="Финансовый 3 2 8 2 5 4" xfId="12973" xr:uid="{00000000-0005-0000-0000-000051840000}"/>
    <cellStyle name="Финансовый 3 2 8 2 5 4 2" xfId="36928" xr:uid="{00000000-0005-0000-0000-000052840000}"/>
    <cellStyle name="Финансовый 3 2 8 2 5 5" xfId="24951" xr:uid="{00000000-0005-0000-0000-000053840000}"/>
    <cellStyle name="Финансовый 3 2 8 2 5 6" xfId="49857" xr:uid="{00000000-0005-0000-0000-000054840000}"/>
    <cellStyle name="Финансовый 3 2 8 2 6" xfId="580" xr:uid="{00000000-0005-0000-0000-000055840000}"/>
    <cellStyle name="Финансовый 3 2 8 2 6 2" xfId="6620" xr:uid="{00000000-0005-0000-0000-000056840000}"/>
    <cellStyle name="Финансовый 3 2 8 2 6 2 2" xfId="18598" xr:uid="{00000000-0005-0000-0000-000057840000}"/>
    <cellStyle name="Финансовый 3 2 8 2 6 2 2 2" xfId="42553" xr:uid="{00000000-0005-0000-0000-000058840000}"/>
    <cellStyle name="Финансовый 3 2 8 2 6 2 3" xfId="30575" xr:uid="{00000000-0005-0000-0000-000059840000}"/>
    <cellStyle name="Финансовый 3 2 8 2 6 3" xfId="12561" xr:uid="{00000000-0005-0000-0000-00005A840000}"/>
    <cellStyle name="Финансовый 3 2 8 2 6 3 2" xfId="36516" xr:uid="{00000000-0005-0000-0000-00005B840000}"/>
    <cellStyle name="Финансовый 3 2 8 2 6 4" xfId="24539" xr:uid="{00000000-0005-0000-0000-00005C840000}"/>
    <cellStyle name="Финансовый 3 2 8 2 7" xfId="2769" xr:uid="{00000000-0005-0000-0000-00005D840000}"/>
    <cellStyle name="Финансовый 3 2 8 2 7 2" xfId="14748" xr:uid="{00000000-0005-0000-0000-00005E840000}"/>
    <cellStyle name="Финансовый 3 2 8 2 7 2 2" xfId="38703" xr:uid="{00000000-0005-0000-0000-00005F840000}"/>
    <cellStyle name="Финансовый 3 2 8 2 7 3" xfId="26726" xr:uid="{00000000-0005-0000-0000-000060840000}"/>
    <cellStyle name="Финансовый 3 2 8 2 8" xfId="4413" xr:uid="{00000000-0005-0000-0000-000061840000}"/>
    <cellStyle name="Финансовый 3 2 8 2 8 2" xfId="16392" xr:uid="{00000000-0005-0000-0000-000062840000}"/>
    <cellStyle name="Финансовый 3 2 8 2 8 2 2" xfId="40347" xr:uid="{00000000-0005-0000-0000-000063840000}"/>
    <cellStyle name="Финансовый 3 2 8 2 8 3" xfId="28370" xr:uid="{00000000-0005-0000-0000-000064840000}"/>
    <cellStyle name="Финансовый 3 2 8 2 9" xfId="6200" xr:uid="{00000000-0005-0000-0000-000065840000}"/>
    <cellStyle name="Финансовый 3 2 8 2 9 2" xfId="18178" xr:uid="{00000000-0005-0000-0000-000066840000}"/>
    <cellStyle name="Финансовый 3 2 8 2 9 2 2" xfId="42133" xr:uid="{00000000-0005-0000-0000-000067840000}"/>
    <cellStyle name="Финансовый 3 2 8 2 9 3" xfId="30155" xr:uid="{00000000-0005-0000-0000-000068840000}"/>
    <cellStyle name="Финансовый 3 2 8 3" xfId="308" xr:uid="{00000000-0005-0000-0000-000069840000}"/>
    <cellStyle name="Финансовый 3 2 8 3 10" xfId="24267" xr:uid="{00000000-0005-0000-0000-00006A840000}"/>
    <cellStyle name="Финансовый 3 2 8 3 11" xfId="48213" xr:uid="{00000000-0005-0000-0000-00006B840000}"/>
    <cellStyle name="Финансовый 3 2 8 3 2" xfId="2095" xr:uid="{00000000-0005-0000-0000-00006C840000}"/>
    <cellStyle name="Финансовый 3 2 8 3 2 2" xfId="3740" xr:uid="{00000000-0005-0000-0000-00006D840000}"/>
    <cellStyle name="Финансовый 3 2 8 3 2 2 2" xfId="11480" xr:uid="{00000000-0005-0000-0000-00006E840000}"/>
    <cellStyle name="Финансовый 3 2 8 3 2 2 2 2" xfId="23458" xr:uid="{00000000-0005-0000-0000-00006F840000}"/>
    <cellStyle name="Финансовый 3 2 8 3 2 2 2 2 2" xfId="47413" xr:uid="{00000000-0005-0000-0000-000070840000}"/>
    <cellStyle name="Финансовый 3 2 8 3 2 2 2 3" xfId="35435" xr:uid="{00000000-0005-0000-0000-000071840000}"/>
    <cellStyle name="Финансовый 3 2 8 3 2 2 3" xfId="15719" xr:uid="{00000000-0005-0000-0000-000072840000}"/>
    <cellStyle name="Финансовый 3 2 8 3 2 2 3 2" xfId="39674" xr:uid="{00000000-0005-0000-0000-000073840000}"/>
    <cellStyle name="Финансовый 3 2 8 3 2 2 4" xfId="27697" xr:uid="{00000000-0005-0000-0000-000074840000}"/>
    <cellStyle name="Финансовый 3 2 8 3 2 2 5" xfId="50966" xr:uid="{00000000-0005-0000-0000-000075840000}"/>
    <cellStyle name="Финансовый 3 2 8 3 2 3" xfId="5523" xr:uid="{00000000-0005-0000-0000-000076840000}"/>
    <cellStyle name="Финансовый 3 2 8 3 2 3 2" xfId="17501" xr:uid="{00000000-0005-0000-0000-000077840000}"/>
    <cellStyle name="Финансовый 3 2 8 3 2 3 2 2" xfId="41456" xr:uid="{00000000-0005-0000-0000-000078840000}"/>
    <cellStyle name="Финансовый 3 2 8 3 2 3 3" xfId="29478" xr:uid="{00000000-0005-0000-0000-000079840000}"/>
    <cellStyle name="Финансовый 3 2 8 3 2 4" xfId="8133" xr:uid="{00000000-0005-0000-0000-00007A840000}"/>
    <cellStyle name="Финансовый 3 2 8 3 2 4 2" xfId="20111" xr:uid="{00000000-0005-0000-0000-00007B840000}"/>
    <cellStyle name="Финансовый 3 2 8 3 2 4 2 2" xfId="44066" xr:uid="{00000000-0005-0000-0000-00007C840000}"/>
    <cellStyle name="Финансовый 3 2 8 3 2 4 3" xfId="32088" xr:uid="{00000000-0005-0000-0000-00007D840000}"/>
    <cellStyle name="Финансовый 3 2 8 3 2 5" xfId="9916" xr:uid="{00000000-0005-0000-0000-00007E840000}"/>
    <cellStyle name="Финансовый 3 2 8 3 2 5 2" xfId="21894" xr:uid="{00000000-0005-0000-0000-00007F840000}"/>
    <cellStyle name="Финансовый 3 2 8 3 2 5 2 2" xfId="45849" xr:uid="{00000000-0005-0000-0000-000080840000}"/>
    <cellStyle name="Финансовый 3 2 8 3 2 5 3" xfId="33871" xr:uid="{00000000-0005-0000-0000-000081840000}"/>
    <cellStyle name="Финансовый 3 2 8 3 2 6" xfId="14074" xr:uid="{00000000-0005-0000-0000-000082840000}"/>
    <cellStyle name="Финансовый 3 2 8 3 2 6 2" xfId="38029" xr:uid="{00000000-0005-0000-0000-000083840000}"/>
    <cellStyle name="Финансовый 3 2 8 3 2 7" xfId="26052" xr:uid="{00000000-0005-0000-0000-000084840000}"/>
    <cellStyle name="Финансовый 3 2 8 3 2 8" xfId="49185" xr:uid="{00000000-0005-0000-0000-000085840000}"/>
    <cellStyle name="Финансовый 3 2 8 3 3" xfId="1128" xr:uid="{00000000-0005-0000-0000-000086840000}"/>
    <cellStyle name="Финансовый 3 2 8 3 3 2" xfId="7168" xr:uid="{00000000-0005-0000-0000-000087840000}"/>
    <cellStyle name="Финансовый 3 2 8 3 3 2 2" xfId="19146" xr:uid="{00000000-0005-0000-0000-000088840000}"/>
    <cellStyle name="Финансовый 3 2 8 3 3 2 2 2" xfId="43101" xr:uid="{00000000-0005-0000-0000-000089840000}"/>
    <cellStyle name="Финансовый 3 2 8 3 3 2 3" xfId="31123" xr:uid="{00000000-0005-0000-0000-00008A840000}"/>
    <cellStyle name="Финансовый 3 2 8 3 3 3" xfId="10708" xr:uid="{00000000-0005-0000-0000-00008B840000}"/>
    <cellStyle name="Финансовый 3 2 8 3 3 3 2" xfId="22686" xr:uid="{00000000-0005-0000-0000-00008C840000}"/>
    <cellStyle name="Финансовый 3 2 8 3 3 3 2 2" xfId="46641" xr:uid="{00000000-0005-0000-0000-00008D840000}"/>
    <cellStyle name="Финансовый 3 2 8 3 3 3 3" xfId="34663" xr:uid="{00000000-0005-0000-0000-00008E840000}"/>
    <cellStyle name="Финансовый 3 2 8 3 3 4" xfId="13109" xr:uid="{00000000-0005-0000-0000-00008F840000}"/>
    <cellStyle name="Финансовый 3 2 8 3 3 4 2" xfId="37064" xr:uid="{00000000-0005-0000-0000-000090840000}"/>
    <cellStyle name="Финансовый 3 2 8 3 3 5" xfId="25087" xr:uid="{00000000-0005-0000-0000-000091840000}"/>
    <cellStyle name="Финансовый 3 2 8 3 3 6" xfId="49993" xr:uid="{00000000-0005-0000-0000-000092840000}"/>
    <cellStyle name="Финансовый 3 2 8 3 4" xfId="728" xr:uid="{00000000-0005-0000-0000-000093840000}"/>
    <cellStyle name="Финансовый 3 2 8 3 4 2" xfId="6768" xr:uid="{00000000-0005-0000-0000-000094840000}"/>
    <cellStyle name="Финансовый 3 2 8 3 4 2 2" xfId="18746" xr:uid="{00000000-0005-0000-0000-000095840000}"/>
    <cellStyle name="Финансовый 3 2 8 3 4 2 2 2" xfId="42701" xr:uid="{00000000-0005-0000-0000-000096840000}"/>
    <cellStyle name="Финансовый 3 2 8 3 4 2 3" xfId="30723" xr:uid="{00000000-0005-0000-0000-000097840000}"/>
    <cellStyle name="Финансовый 3 2 8 3 4 3" xfId="12709" xr:uid="{00000000-0005-0000-0000-000098840000}"/>
    <cellStyle name="Финансовый 3 2 8 3 4 3 2" xfId="36664" xr:uid="{00000000-0005-0000-0000-000099840000}"/>
    <cellStyle name="Финансовый 3 2 8 3 4 4" xfId="24687" xr:uid="{00000000-0005-0000-0000-00009A840000}"/>
    <cellStyle name="Финансовый 3 2 8 3 5" xfId="2905" xr:uid="{00000000-0005-0000-0000-00009B840000}"/>
    <cellStyle name="Финансовый 3 2 8 3 5 2" xfId="14884" xr:uid="{00000000-0005-0000-0000-00009C840000}"/>
    <cellStyle name="Финансовый 3 2 8 3 5 2 2" xfId="38839" xr:uid="{00000000-0005-0000-0000-00009D840000}"/>
    <cellStyle name="Финансовый 3 2 8 3 5 3" xfId="26862" xr:uid="{00000000-0005-0000-0000-00009E840000}"/>
    <cellStyle name="Финансовый 3 2 8 3 6" xfId="4549" xr:uid="{00000000-0005-0000-0000-00009F840000}"/>
    <cellStyle name="Финансовый 3 2 8 3 6 2" xfId="16528" xr:uid="{00000000-0005-0000-0000-0000A0840000}"/>
    <cellStyle name="Финансовый 3 2 8 3 6 2 2" xfId="40483" xr:uid="{00000000-0005-0000-0000-0000A1840000}"/>
    <cellStyle name="Финансовый 3 2 8 3 6 3" xfId="28506" xr:uid="{00000000-0005-0000-0000-0000A2840000}"/>
    <cellStyle name="Финансовый 3 2 8 3 7" xfId="6348" xr:uid="{00000000-0005-0000-0000-0000A3840000}"/>
    <cellStyle name="Финансовый 3 2 8 3 7 2" xfId="18326" xr:uid="{00000000-0005-0000-0000-0000A4840000}"/>
    <cellStyle name="Финансовый 3 2 8 3 7 2 2" xfId="42281" xr:uid="{00000000-0005-0000-0000-0000A5840000}"/>
    <cellStyle name="Финансовый 3 2 8 3 7 3" xfId="30303" xr:uid="{00000000-0005-0000-0000-0000A6840000}"/>
    <cellStyle name="Финансовый 3 2 8 3 8" xfId="8943" xr:uid="{00000000-0005-0000-0000-0000A7840000}"/>
    <cellStyle name="Финансовый 3 2 8 3 8 2" xfId="20921" xr:uid="{00000000-0005-0000-0000-0000A8840000}"/>
    <cellStyle name="Финансовый 3 2 8 3 8 2 2" xfId="44876" xr:uid="{00000000-0005-0000-0000-0000A9840000}"/>
    <cellStyle name="Финансовый 3 2 8 3 8 3" xfId="32898" xr:uid="{00000000-0005-0000-0000-0000AA840000}"/>
    <cellStyle name="Финансовый 3 2 8 3 9" xfId="12289" xr:uid="{00000000-0005-0000-0000-0000AB840000}"/>
    <cellStyle name="Финансовый 3 2 8 3 9 2" xfId="36244" xr:uid="{00000000-0005-0000-0000-0000AC840000}"/>
    <cellStyle name="Финансовый 3 2 8 4" xfId="1523" xr:uid="{00000000-0005-0000-0000-0000AD840000}"/>
    <cellStyle name="Финансовый 3 2 8 4 2" xfId="1831" xr:uid="{00000000-0005-0000-0000-0000AE840000}"/>
    <cellStyle name="Финансовый 3 2 8 4 2 2" xfId="3476" xr:uid="{00000000-0005-0000-0000-0000AF840000}"/>
    <cellStyle name="Финансовый 3 2 8 4 2 2 2" xfId="11224" xr:uid="{00000000-0005-0000-0000-0000B0840000}"/>
    <cellStyle name="Финансовый 3 2 8 4 2 2 2 2" xfId="23202" xr:uid="{00000000-0005-0000-0000-0000B1840000}"/>
    <cellStyle name="Финансовый 3 2 8 4 2 2 2 2 2" xfId="47157" xr:uid="{00000000-0005-0000-0000-0000B2840000}"/>
    <cellStyle name="Финансовый 3 2 8 4 2 2 2 3" xfId="35179" xr:uid="{00000000-0005-0000-0000-0000B3840000}"/>
    <cellStyle name="Финансовый 3 2 8 4 2 2 3" xfId="15455" xr:uid="{00000000-0005-0000-0000-0000B4840000}"/>
    <cellStyle name="Финансовый 3 2 8 4 2 2 3 2" xfId="39410" xr:uid="{00000000-0005-0000-0000-0000B5840000}"/>
    <cellStyle name="Финансовый 3 2 8 4 2 2 4" xfId="27433" xr:uid="{00000000-0005-0000-0000-0000B6840000}"/>
    <cellStyle name="Финансовый 3 2 8 4 2 2 5" xfId="50702" xr:uid="{00000000-0005-0000-0000-0000B7840000}"/>
    <cellStyle name="Финансовый 3 2 8 4 2 3" xfId="5259" xr:uid="{00000000-0005-0000-0000-0000B8840000}"/>
    <cellStyle name="Финансовый 3 2 8 4 2 3 2" xfId="17237" xr:uid="{00000000-0005-0000-0000-0000B9840000}"/>
    <cellStyle name="Финансовый 3 2 8 4 2 3 2 2" xfId="41192" xr:uid="{00000000-0005-0000-0000-0000BA840000}"/>
    <cellStyle name="Финансовый 3 2 8 4 2 3 3" xfId="29214" xr:uid="{00000000-0005-0000-0000-0000BB840000}"/>
    <cellStyle name="Финансовый 3 2 8 4 2 4" xfId="7869" xr:uid="{00000000-0005-0000-0000-0000BC840000}"/>
    <cellStyle name="Финансовый 3 2 8 4 2 4 2" xfId="19847" xr:uid="{00000000-0005-0000-0000-0000BD840000}"/>
    <cellStyle name="Финансовый 3 2 8 4 2 4 2 2" xfId="43802" xr:uid="{00000000-0005-0000-0000-0000BE840000}"/>
    <cellStyle name="Финансовый 3 2 8 4 2 4 3" xfId="31824" xr:uid="{00000000-0005-0000-0000-0000BF840000}"/>
    <cellStyle name="Финансовый 3 2 8 4 2 5" xfId="9652" xr:uid="{00000000-0005-0000-0000-0000C0840000}"/>
    <cellStyle name="Финансовый 3 2 8 4 2 5 2" xfId="21630" xr:uid="{00000000-0005-0000-0000-0000C1840000}"/>
    <cellStyle name="Финансовый 3 2 8 4 2 5 2 2" xfId="45585" xr:uid="{00000000-0005-0000-0000-0000C2840000}"/>
    <cellStyle name="Финансовый 3 2 8 4 2 5 3" xfId="33607" xr:uid="{00000000-0005-0000-0000-0000C3840000}"/>
    <cellStyle name="Финансовый 3 2 8 4 2 6" xfId="13810" xr:uid="{00000000-0005-0000-0000-0000C4840000}"/>
    <cellStyle name="Финансовый 3 2 8 4 2 6 2" xfId="37765" xr:uid="{00000000-0005-0000-0000-0000C5840000}"/>
    <cellStyle name="Финансовый 3 2 8 4 2 7" xfId="25788" xr:uid="{00000000-0005-0000-0000-0000C6840000}"/>
    <cellStyle name="Финансовый 3 2 8 4 2 8" xfId="48921" xr:uid="{00000000-0005-0000-0000-0000C7840000}"/>
    <cellStyle name="Финансовый 3 2 8 4 3" xfId="4951" xr:uid="{00000000-0005-0000-0000-0000C8840000}"/>
    <cellStyle name="Финансовый 3 2 8 4 3 2" xfId="16929" xr:uid="{00000000-0005-0000-0000-0000C9840000}"/>
    <cellStyle name="Финансовый 3 2 8 4 3 2 2" xfId="40884" xr:uid="{00000000-0005-0000-0000-0000CA840000}"/>
    <cellStyle name="Финансовый 3 2 8 4 3 3" xfId="28906" xr:uid="{00000000-0005-0000-0000-0000CB840000}"/>
    <cellStyle name="Финансовый 3 2 8 4 3 4" xfId="50394" xr:uid="{00000000-0005-0000-0000-0000CC840000}"/>
    <cellStyle name="Финансовый 3 2 8 4 4" xfId="7561" xr:uid="{00000000-0005-0000-0000-0000CD840000}"/>
    <cellStyle name="Финансовый 3 2 8 4 4 2" xfId="19539" xr:uid="{00000000-0005-0000-0000-0000CE840000}"/>
    <cellStyle name="Финансовый 3 2 8 4 4 2 2" xfId="43494" xr:uid="{00000000-0005-0000-0000-0000CF840000}"/>
    <cellStyle name="Финансовый 3 2 8 4 4 3" xfId="31516" xr:uid="{00000000-0005-0000-0000-0000D0840000}"/>
    <cellStyle name="Финансовый 3 2 8 4 5" xfId="9344" xr:uid="{00000000-0005-0000-0000-0000D1840000}"/>
    <cellStyle name="Финансовый 3 2 8 4 5 2" xfId="21322" xr:uid="{00000000-0005-0000-0000-0000D2840000}"/>
    <cellStyle name="Финансовый 3 2 8 4 5 2 2" xfId="45277" xr:uid="{00000000-0005-0000-0000-0000D3840000}"/>
    <cellStyle name="Финансовый 3 2 8 4 5 3" xfId="33299" xr:uid="{00000000-0005-0000-0000-0000D4840000}"/>
    <cellStyle name="Финансовый 3 2 8 4 6" xfId="13502" xr:uid="{00000000-0005-0000-0000-0000D5840000}"/>
    <cellStyle name="Финансовый 3 2 8 4 6 2" xfId="37457" xr:uid="{00000000-0005-0000-0000-0000D6840000}"/>
    <cellStyle name="Финансовый 3 2 8 4 7" xfId="25480" xr:uid="{00000000-0005-0000-0000-0000D7840000}"/>
    <cellStyle name="Финансовый 3 2 8 4 8" xfId="48613" xr:uid="{00000000-0005-0000-0000-0000D8840000}"/>
    <cellStyle name="Финансовый 3 2 8 5" xfId="1715" xr:uid="{00000000-0005-0000-0000-0000D9840000}"/>
    <cellStyle name="Финансовый 3 2 8 5 2" xfId="3360" xr:uid="{00000000-0005-0000-0000-0000DA840000}"/>
    <cellStyle name="Финансовый 3 2 8 5 2 2" xfId="11108" xr:uid="{00000000-0005-0000-0000-0000DB840000}"/>
    <cellStyle name="Финансовый 3 2 8 5 2 2 2" xfId="23086" xr:uid="{00000000-0005-0000-0000-0000DC840000}"/>
    <cellStyle name="Финансовый 3 2 8 5 2 2 2 2" xfId="47041" xr:uid="{00000000-0005-0000-0000-0000DD840000}"/>
    <cellStyle name="Финансовый 3 2 8 5 2 2 3" xfId="35063" xr:uid="{00000000-0005-0000-0000-0000DE840000}"/>
    <cellStyle name="Финансовый 3 2 8 5 2 3" xfId="15339" xr:uid="{00000000-0005-0000-0000-0000DF840000}"/>
    <cellStyle name="Финансовый 3 2 8 5 2 3 2" xfId="39294" xr:uid="{00000000-0005-0000-0000-0000E0840000}"/>
    <cellStyle name="Финансовый 3 2 8 5 2 4" xfId="27317" xr:uid="{00000000-0005-0000-0000-0000E1840000}"/>
    <cellStyle name="Финансовый 3 2 8 5 2 5" xfId="50586" xr:uid="{00000000-0005-0000-0000-0000E2840000}"/>
    <cellStyle name="Финансовый 3 2 8 5 3" xfId="5143" xr:uid="{00000000-0005-0000-0000-0000E3840000}"/>
    <cellStyle name="Финансовый 3 2 8 5 3 2" xfId="17121" xr:uid="{00000000-0005-0000-0000-0000E4840000}"/>
    <cellStyle name="Финансовый 3 2 8 5 3 2 2" xfId="41076" xr:uid="{00000000-0005-0000-0000-0000E5840000}"/>
    <cellStyle name="Финансовый 3 2 8 5 3 3" xfId="29098" xr:uid="{00000000-0005-0000-0000-0000E6840000}"/>
    <cellStyle name="Финансовый 3 2 8 5 4" xfId="7753" xr:uid="{00000000-0005-0000-0000-0000E7840000}"/>
    <cellStyle name="Финансовый 3 2 8 5 4 2" xfId="19731" xr:uid="{00000000-0005-0000-0000-0000E8840000}"/>
    <cellStyle name="Финансовый 3 2 8 5 4 2 2" xfId="43686" xr:uid="{00000000-0005-0000-0000-0000E9840000}"/>
    <cellStyle name="Финансовый 3 2 8 5 4 3" xfId="31708" xr:uid="{00000000-0005-0000-0000-0000EA840000}"/>
    <cellStyle name="Финансовый 3 2 8 5 5" xfId="9536" xr:uid="{00000000-0005-0000-0000-0000EB840000}"/>
    <cellStyle name="Финансовый 3 2 8 5 5 2" xfId="21514" xr:uid="{00000000-0005-0000-0000-0000EC840000}"/>
    <cellStyle name="Финансовый 3 2 8 5 5 2 2" xfId="45469" xr:uid="{00000000-0005-0000-0000-0000ED840000}"/>
    <cellStyle name="Финансовый 3 2 8 5 5 3" xfId="33491" xr:uid="{00000000-0005-0000-0000-0000EE840000}"/>
    <cellStyle name="Финансовый 3 2 8 5 6" xfId="13694" xr:uid="{00000000-0005-0000-0000-0000EF840000}"/>
    <cellStyle name="Финансовый 3 2 8 5 6 2" xfId="37649" xr:uid="{00000000-0005-0000-0000-0000F0840000}"/>
    <cellStyle name="Финансовый 3 2 8 5 7" xfId="25672" xr:uid="{00000000-0005-0000-0000-0000F1840000}"/>
    <cellStyle name="Финансовый 3 2 8 5 8" xfId="48805" xr:uid="{00000000-0005-0000-0000-0000F2840000}"/>
    <cellStyle name="Финансовый 3 2 8 6" xfId="2351" xr:uid="{00000000-0005-0000-0000-0000F3840000}"/>
    <cellStyle name="Финансовый 3 2 8 6 2" xfId="3996" xr:uid="{00000000-0005-0000-0000-0000F4840000}"/>
    <cellStyle name="Финансовый 3 2 8 6 2 2" xfId="11736" xr:uid="{00000000-0005-0000-0000-0000F5840000}"/>
    <cellStyle name="Финансовый 3 2 8 6 2 2 2" xfId="23714" xr:uid="{00000000-0005-0000-0000-0000F6840000}"/>
    <cellStyle name="Финансовый 3 2 8 6 2 2 2 2" xfId="47669" xr:uid="{00000000-0005-0000-0000-0000F7840000}"/>
    <cellStyle name="Финансовый 3 2 8 6 2 2 3" xfId="35691" xr:uid="{00000000-0005-0000-0000-0000F8840000}"/>
    <cellStyle name="Финансовый 3 2 8 6 2 3" xfId="15975" xr:uid="{00000000-0005-0000-0000-0000F9840000}"/>
    <cellStyle name="Финансовый 3 2 8 6 2 3 2" xfId="39930" xr:uid="{00000000-0005-0000-0000-0000FA840000}"/>
    <cellStyle name="Финансовый 3 2 8 6 2 4" xfId="27953" xr:uid="{00000000-0005-0000-0000-0000FB840000}"/>
    <cellStyle name="Финансовый 3 2 8 6 2 5" xfId="51222" xr:uid="{00000000-0005-0000-0000-0000FC840000}"/>
    <cellStyle name="Финансовый 3 2 8 6 3" xfId="5779" xr:uid="{00000000-0005-0000-0000-0000FD840000}"/>
    <cellStyle name="Финансовый 3 2 8 6 3 2" xfId="17757" xr:uid="{00000000-0005-0000-0000-0000FE840000}"/>
    <cellStyle name="Финансовый 3 2 8 6 3 2 2" xfId="41712" xr:uid="{00000000-0005-0000-0000-0000FF840000}"/>
    <cellStyle name="Финансовый 3 2 8 6 3 3" xfId="29734" xr:uid="{00000000-0005-0000-0000-000000850000}"/>
    <cellStyle name="Финансовый 3 2 8 6 4" xfId="8389" xr:uid="{00000000-0005-0000-0000-000001850000}"/>
    <cellStyle name="Финансовый 3 2 8 6 4 2" xfId="20367" xr:uid="{00000000-0005-0000-0000-000002850000}"/>
    <cellStyle name="Финансовый 3 2 8 6 4 2 2" xfId="44322" xr:uid="{00000000-0005-0000-0000-000003850000}"/>
    <cellStyle name="Финансовый 3 2 8 6 4 3" xfId="32344" xr:uid="{00000000-0005-0000-0000-000004850000}"/>
    <cellStyle name="Финансовый 3 2 8 6 5" xfId="10172" xr:uid="{00000000-0005-0000-0000-000005850000}"/>
    <cellStyle name="Финансовый 3 2 8 6 5 2" xfId="22150" xr:uid="{00000000-0005-0000-0000-000006850000}"/>
    <cellStyle name="Финансовый 3 2 8 6 5 2 2" xfId="46105" xr:uid="{00000000-0005-0000-0000-000007850000}"/>
    <cellStyle name="Финансовый 3 2 8 6 5 3" xfId="34127" xr:uid="{00000000-0005-0000-0000-000008850000}"/>
    <cellStyle name="Финансовый 3 2 8 6 6" xfId="14330" xr:uid="{00000000-0005-0000-0000-000009850000}"/>
    <cellStyle name="Финансовый 3 2 8 6 6 2" xfId="38285" xr:uid="{00000000-0005-0000-0000-00000A850000}"/>
    <cellStyle name="Финансовый 3 2 8 6 7" xfId="26308" xr:uid="{00000000-0005-0000-0000-00000B850000}"/>
    <cellStyle name="Финансовый 3 2 8 6 8" xfId="49441" xr:uid="{00000000-0005-0000-0000-00000C850000}"/>
    <cellStyle name="Финансовый 3 2 8 7" xfId="1578" xr:uid="{00000000-0005-0000-0000-00000D850000}"/>
    <cellStyle name="Финансовый 3 2 8 7 2" xfId="3223" xr:uid="{00000000-0005-0000-0000-00000E850000}"/>
    <cellStyle name="Финансовый 3 2 8 7 2 2" xfId="10979" xr:uid="{00000000-0005-0000-0000-00000F850000}"/>
    <cellStyle name="Финансовый 3 2 8 7 2 2 2" xfId="22957" xr:uid="{00000000-0005-0000-0000-000010850000}"/>
    <cellStyle name="Финансовый 3 2 8 7 2 2 2 2" xfId="46912" xr:uid="{00000000-0005-0000-0000-000011850000}"/>
    <cellStyle name="Финансовый 3 2 8 7 2 2 3" xfId="34934" xr:uid="{00000000-0005-0000-0000-000012850000}"/>
    <cellStyle name="Финансовый 3 2 8 7 2 3" xfId="15202" xr:uid="{00000000-0005-0000-0000-000013850000}"/>
    <cellStyle name="Финансовый 3 2 8 7 2 3 2" xfId="39157" xr:uid="{00000000-0005-0000-0000-000014850000}"/>
    <cellStyle name="Финансовый 3 2 8 7 2 4" xfId="27180" xr:uid="{00000000-0005-0000-0000-000015850000}"/>
    <cellStyle name="Финансовый 3 2 8 7 2 5" xfId="50449" xr:uid="{00000000-0005-0000-0000-000016850000}"/>
    <cellStyle name="Финансовый 3 2 8 7 3" xfId="5006" xr:uid="{00000000-0005-0000-0000-000017850000}"/>
    <cellStyle name="Финансовый 3 2 8 7 3 2" xfId="16984" xr:uid="{00000000-0005-0000-0000-000018850000}"/>
    <cellStyle name="Финансовый 3 2 8 7 3 2 2" xfId="40939" xr:uid="{00000000-0005-0000-0000-000019850000}"/>
    <cellStyle name="Финансовый 3 2 8 7 3 3" xfId="28961" xr:uid="{00000000-0005-0000-0000-00001A850000}"/>
    <cellStyle name="Финансовый 3 2 8 7 4" xfId="7616" xr:uid="{00000000-0005-0000-0000-00001B850000}"/>
    <cellStyle name="Финансовый 3 2 8 7 4 2" xfId="19594" xr:uid="{00000000-0005-0000-0000-00001C850000}"/>
    <cellStyle name="Финансовый 3 2 8 7 4 2 2" xfId="43549" xr:uid="{00000000-0005-0000-0000-00001D850000}"/>
    <cellStyle name="Финансовый 3 2 8 7 4 3" xfId="31571" xr:uid="{00000000-0005-0000-0000-00001E850000}"/>
    <cellStyle name="Финансовый 3 2 8 7 5" xfId="9399" xr:uid="{00000000-0005-0000-0000-00001F850000}"/>
    <cellStyle name="Финансовый 3 2 8 7 5 2" xfId="21377" xr:uid="{00000000-0005-0000-0000-000020850000}"/>
    <cellStyle name="Финансовый 3 2 8 7 5 2 2" xfId="45332" xr:uid="{00000000-0005-0000-0000-000021850000}"/>
    <cellStyle name="Финансовый 3 2 8 7 5 3" xfId="33354" xr:uid="{00000000-0005-0000-0000-000022850000}"/>
    <cellStyle name="Финансовый 3 2 8 7 6" xfId="13557" xr:uid="{00000000-0005-0000-0000-000023850000}"/>
    <cellStyle name="Финансовый 3 2 8 7 6 2" xfId="37512" xr:uid="{00000000-0005-0000-0000-000024850000}"/>
    <cellStyle name="Финансовый 3 2 8 7 7" xfId="25535" xr:uid="{00000000-0005-0000-0000-000025850000}"/>
    <cellStyle name="Финансовый 3 2 8 7 8" xfId="48668" xr:uid="{00000000-0005-0000-0000-000026850000}"/>
    <cellStyle name="Финансовый 3 2 8 8" xfId="864" xr:uid="{00000000-0005-0000-0000-000027850000}"/>
    <cellStyle name="Финансовый 3 2 8 8 2" xfId="6904" xr:uid="{00000000-0005-0000-0000-000028850000}"/>
    <cellStyle name="Финансовый 3 2 8 8 2 2" xfId="18882" xr:uid="{00000000-0005-0000-0000-000029850000}"/>
    <cellStyle name="Финансовый 3 2 8 8 2 2 2" xfId="42837" xr:uid="{00000000-0005-0000-0000-00002A850000}"/>
    <cellStyle name="Финансовый 3 2 8 8 2 3" xfId="30859" xr:uid="{00000000-0005-0000-0000-00002B850000}"/>
    <cellStyle name="Финансовый 3 2 8 8 3" xfId="10452" xr:uid="{00000000-0005-0000-0000-00002C850000}"/>
    <cellStyle name="Финансовый 3 2 8 8 3 2" xfId="22430" xr:uid="{00000000-0005-0000-0000-00002D850000}"/>
    <cellStyle name="Финансовый 3 2 8 8 3 2 2" xfId="46385" xr:uid="{00000000-0005-0000-0000-00002E850000}"/>
    <cellStyle name="Финансовый 3 2 8 8 3 3" xfId="34407" xr:uid="{00000000-0005-0000-0000-00002F850000}"/>
    <cellStyle name="Финансовый 3 2 8 8 4" xfId="12845" xr:uid="{00000000-0005-0000-0000-000030850000}"/>
    <cellStyle name="Финансовый 3 2 8 8 4 2" xfId="36800" xr:uid="{00000000-0005-0000-0000-000031850000}"/>
    <cellStyle name="Финансовый 3 2 8 8 5" xfId="24823" xr:uid="{00000000-0005-0000-0000-000032850000}"/>
    <cellStyle name="Финансовый 3 2 8 8 6" xfId="49721" xr:uid="{00000000-0005-0000-0000-000033850000}"/>
    <cellStyle name="Финансовый 3 2 8 9" xfId="444" xr:uid="{00000000-0005-0000-0000-000034850000}"/>
    <cellStyle name="Финансовый 3 2 8 9 2" xfId="6484" xr:uid="{00000000-0005-0000-0000-000035850000}"/>
    <cellStyle name="Финансовый 3 2 8 9 2 2" xfId="18462" xr:uid="{00000000-0005-0000-0000-000036850000}"/>
    <cellStyle name="Финансовый 3 2 8 9 2 2 2" xfId="42417" xr:uid="{00000000-0005-0000-0000-000037850000}"/>
    <cellStyle name="Финансовый 3 2 8 9 2 3" xfId="30439" xr:uid="{00000000-0005-0000-0000-000038850000}"/>
    <cellStyle name="Финансовый 3 2 8 9 3" xfId="12425" xr:uid="{00000000-0005-0000-0000-000039850000}"/>
    <cellStyle name="Финансовый 3 2 8 9 3 2" xfId="36380" xr:uid="{00000000-0005-0000-0000-00003A850000}"/>
    <cellStyle name="Финансовый 3 2 8 9 4" xfId="24403" xr:uid="{00000000-0005-0000-0000-00003B850000}"/>
    <cellStyle name="Финансовый 3 2 9" xfId="147" xr:uid="{00000000-0005-0000-0000-00003C850000}"/>
    <cellStyle name="Финансовый 3 2 9 10" xfId="8795" xr:uid="{00000000-0005-0000-0000-00003D850000}"/>
    <cellStyle name="Финансовый 3 2 9 10 2" xfId="20773" xr:uid="{00000000-0005-0000-0000-00003E850000}"/>
    <cellStyle name="Финансовый 3 2 9 10 2 2" xfId="44728" xr:uid="{00000000-0005-0000-0000-00003F850000}"/>
    <cellStyle name="Финансовый 3 2 9 10 3" xfId="32750" xr:uid="{00000000-0005-0000-0000-000040850000}"/>
    <cellStyle name="Финансовый 3 2 9 11" xfId="12129" xr:uid="{00000000-0005-0000-0000-000041850000}"/>
    <cellStyle name="Финансовый 3 2 9 11 2" xfId="36084" xr:uid="{00000000-0005-0000-0000-000042850000}"/>
    <cellStyle name="Финансовый 3 2 9 12" xfId="24107" xr:uid="{00000000-0005-0000-0000-000043850000}"/>
    <cellStyle name="Финансовый 3 2 9 13" xfId="48065" xr:uid="{00000000-0005-0000-0000-000044850000}"/>
    <cellStyle name="Финансовый 3 2 9 2" xfId="1245" xr:uid="{00000000-0005-0000-0000-000045850000}"/>
    <cellStyle name="Финансовый 3 2 9 2 2" xfId="2211" xr:uid="{00000000-0005-0000-0000-000046850000}"/>
    <cellStyle name="Финансовый 3 2 9 2 2 2" xfId="3856" xr:uid="{00000000-0005-0000-0000-000047850000}"/>
    <cellStyle name="Финансовый 3 2 9 2 2 2 2" xfId="11596" xr:uid="{00000000-0005-0000-0000-000048850000}"/>
    <cellStyle name="Финансовый 3 2 9 2 2 2 2 2" xfId="23574" xr:uid="{00000000-0005-0000-0000-000049850000}"/>
    <cellStyle name="Финансовый 3 2 9 2 2 2 2 2 2" xfId="47529" xr:uid="{00000000-0005-0000-0000-00004A850000}"/>
    <cellStyle name="Финансовый 3 2 9 2 2 2 2 3" xfId="35551" xr:uid="{00000000-0005-0000-0000-00004B850000}"/>
    <cellStyle name="Финансовый 3 2 9 2 2 2 3" xfId="15835" xr:uid="{00000000-0005-0000-0000-00004C850000}"/>
    <cellStyle name="Финансовый 3 2 9 2 2 2 3 2" xfId="39790" xr:uid="{00000000-0005-0000-0000-00004D850000}"/>
    <cellStyle name="Финансовый 3 2 9 2 2 2 4" xfId="27813" xr:uid="{00000000-0005-0000-0000-00004E850000}"/>
    <cellStyle name="Финансовый 3 2 9 2 2 2 5" xfId="51082" xr:uid="{00000000-0005-0000-0000-00004F850000}"/>
    <cellStyle name="Финансовый 3 2 9 2 2 3" xfId="5639" xr:uid="{00000000-0005-0000-0000-000050850000}"/>
    <cellStyle name="Финансовый 3 2 9 2 2 3 2" xfId="17617" xr:uid="{00000000-0005-0000-0000-000051850000}"/>
    <cellStyle name="Финансовый 3 2 9 2 2 3 2 2" xfId="41572" xr:uid="{00000000-0005-0000-0000-000052850000}"/>
    <cellStyle name="Финансовый 3 2 9 2 2 3 3" xfId="29594" xr:uid="{00000000-0005-0000-0000-000053850000}"/>
    <cellStyle name="Финансовый 3 2 9 2 2 4" xfId="8249" xr:uid="{00000000-0005-0000-0000-000054850000}"/>
    <cellStyle name="Финансовый 3 2 9 2 2 4 2" xfId="20227" xr:uid="{00000000-0005-0000-0000-000055850000}"/>
    <cellStyle name="Финансовый 3 2 9 2 2 4 2 2" xfId="44182" xr:uid="{00000000-0005-0000-0000-000056850000}"/>
    <cellStyle name="Финансовый 3 2 9 2 2 4 3" xfId="32204" xr:uid="{00000000-0005-0000-0000-000057850000}"/>
    <cellStyle name="Финансовый 3 2 9 2 2 5" xfId="10032" xr:uid="{00000000-0005-0000-0000-000058850000}"/>
    <cellStyle name="Финансовый 3 2 9 2 2 5 2" xfId="22010" xr:uid="{00000000-0005-0000-0000-000059850000}"/>
    <cellStyle name="Финансовый 3 2 9 2 2 5 2 2" xfId="45965" xr:uid="{00000000-0005-0000-0000-00005A850000}"/>
    <cellStyle name="Финансовый 3 2 9 2 2 5 3" xfId="33987" xr:uid="{00000000-0005-0000-0000-00005B850000}"/>
    <cellStyle name="Финансовый 3 2 9 2 2 6" xfId="14190" xr:uid="{00000000-0005-0000-0000-00005C850000}"/>
    <cellStyle name="Финансовый 3 2 9 2 2 6 2" xfId="38145" xr:uid="{00000000-0005-0000-0000-00005D850000}"/>
    <cellStyle name="Финансовый 3 2 9 2 2 7" xfId="26168" xr:uid="{00000000-0005-0000-0000-00005E850000}"/>
    <cellStyle name="Финансовый 3 2 9 2 2 8" xfId="49301" xr:uid="{00000000-0005-0000-0000-00005F850000}"/>
    <cellStyle name="Финансовый 3 2 9 2 3" xfId="3029" xr:uid="{00000000-0005-0000-0000-000060850000}"/>
    <cellStyle name="Финансовый 3 2 9 2 3 2" xfId="10824" xr:uid="{00000000-0005-0000-0000-000061850000}"/>
    <cellStyle name="Финансовый 3 2 9 2 3 2 2" xfId="22802" xr:uid="{00000000-0005-0000-0000-000062850000}"/>
    <cellStyle name="Финансовый 3 2 9 2 3 2 2 2" xfId="46757" xr:uid="{00000000-0005-0000-0000-000063850000}"/>
    <cellStyle name="Финансовый 3 2 9 2 3 2 3" xfId="34779" xr:uid="{00000000-0005-0000-0000-000064850000}"/>
    <cellStyle name="Финансовый 3 2 9 2 3 3" xfId="15008" xr:uid="{00000000-0005-0000-0000-000065850000}"/>
    <cellStyle name="Финансовый 3 2 9 2 3 3 2" xfId="38963" xr:uid="{00000000-0005-0000-0000-000066850000}"/>
    <cellStyle name="Финансовый 3 2 9 2 3 4" xfId="26986" xr:uid="{00000000-0005-0000-0000-000067850000}"/>
    <cellStyle name="Финансовый 3 2 9 2 3 5" xfId="50117" xr:uid="{00000000-0005-0000-0000-000068850000}"/>
    <cellStyle name="Финансовый 3 2 9 2 4" xfId="4673" xr:uid="{00000000-0005-0000-0000-000069850000}"/>
    <cellStyle name="Финансовый 3 2 9 2 4 2" xfId="16652" xr:uid="{00000000-0005-0000-0000-00006A850000}"/>
    <cellStyle name="Финансовый 3 2 9 2 4 2 2" xfId="40607" xr:uid="{00000000-0005-0000-0000-00006B850000}"/>
    <cellStyle name="Финансовый 3 2 9 2 4 3" xfId="28630" xr:uid="{00000000-0005-0000-0000-00006C850000}"/>
    <cellStyle name="Финансовый 3 2 9 2 5" xfId="7285" xr:uid="{00000000-0005-0000-0000-00006D850000}"/>
    <cellStyle name="Финансовый 3 2 9 2 5 2" xfId="19263" xr:uid="{00000000-0005-0000-0000-00006E850000}"/>
    <cellStyle name="Финансовый 3 2 9 2 5 2 2" xfId="43218" xr:uid="{00000000-0005-0000-0000-00006F850000}"/>
    <cellStyle name="Финансовый 3 2 9 2 5 3" xfId="31240" xr:uid="{00000000-0005-0000-0000-000070850000}"/>
    <cellStyle name="Финансовый 3 2 9 2 6" xfId="9067" xr:uid="{00000000-0005-0000-0000-000071850000}"/>
    <cellStyle name="Финансовый 3 2 9 2 6 2" xfId="21045" xr:uid="{00000000-0005-0000-0000-000072850000}"/>
    <cellStyle name="Финансовый 3 2 9 2 6 2 2" xfId="45000" xr:uid="{00000000-0005-0000-0000-000073850000}"/>
    <cellStyle name="Финансовый 3 2 9 2 6 3" xfId="33022" xr:uid="{00000000-0005-0000-0000-000074850000}"/>
    <cellStyle name="Финансовый 3 2 9 2 7" xfId="13226" xr:uid="{00000000-0005-0000-0000-000075850000}"/>
    <cellStyle name="Финансовый 3 2 9 2 7 2" xfId="37181" xr:uid="{00000000-0005-0000-0000-000076850000}"/>
    <cellStyle name="Финансовый 3 2 9 2 8" xfId="25204" xr:uid="{00000000-0005-0000-0000-000077850000}"/>
    <cellStyle name="Финансовый 3 2 9 2 9" xfId="48337" xr:uid="{00000000-0005-0000-0000-000078850000}"/>
    <cellStyle name="Финансовый 3 2 9 3" xfId="1955" xr:uid="{00000000-0005-0000-0000-000079850000}"/>
    <cellStyle name="Финансовый 3 2 9 3 2" xfId="3600" xr:uid="{00000000-0005-0000-0000-00007A850000}"/>
    <cellStyle name="Финансовый 3 2 9 3 2 2" xfId="11340" xr:uid="{00000000-0005-0000-0000-00007B850000}"/>
    <cellStyle name="Финансовый 3 2 9 3 2 2 2" xfId="23318" xr:uid="{00000000-0005-0000-0000-00007C850000}"/>
    <cellStyle name="Финансовый 3 2 9 3 2 2 2 2" xfId="47273" xr:uid="{00000000-0005-0000-0000-00007D850000}"/>
    <cellStyle name="Финансовый 3 2 9 3 2 2 3" xfId="35295" xr:uid="{00000000-0005-0000-0000-00007E850000}"/>
    <cellStyle name="Финансовый 3 2 9 3 2 3" xfId="15579" xr:uid="{00000000-0005-0000-0000-00007F850000}"/>
    <cellStyle name="Финансовый 3 2 9 3 2 3 2" xfId="39534" xr:uid="{00000000-0005-0000-0000-000080850000}"/>
    <cellStyle name="Финансовый 3 2 9 3 2 4" xfId="27557" xr:uid="{00000000-0005-0000-0000-000081850000}"/>
    <cellStyle name="Финансовый 3 2 9 3 2 5" xfId="50826" xr:uid="{00000000-0005-0000-0000-000082850000}"/>
    <cellStyle name="Финансовый 3 2 9 3 3" xfId="5383" xr:uid="{00000000-0005-0000-0000-000083850000}"/>
    <cellStyle name="Финансовый 3 2 9 3 3 2" xfId="17361" xr:uid="{00000000-0005-0000-0000-000084850000}"/>
    <cellStyle name="Финансовый 3 2 9 3 3 2 2" xfId="41316" xr:uid="{00000000-0005-0000-0000-000085850000}"/>
    <cellStyle name="Финансовый 3 2 9 3 3 3" xfId="29338" xr:uid="{00000000-0005-0000-0000-000086850000}"/>
    <cellStyle name="Финансовый 3 2 9 3 4" xfId="7993" xr:uid="{00000000-0005-0000-0000-000087850000}"/>
    <cellStyle name="Финансовый 3 2 9 3 4 2" xfId="19971" xr:uid="{00000000-0005-0000-0000-000088850000}"/>
    <cellStyle name="Финансовый 3 2 9 3 4 2 2" xfId="43926" xr:uid="{00000000-0005-0000-0000-000089850000}"/>
    <cellStyle name="Финансовый 3 2 9 3 4 3" xfId="31948" xr:uid="{00000000-0005-0000-0000-00008A850000}"/>
    <cellStyle name="Финансовый 3 2 9 3 5" xfId="9776" xr:uid="{00000000-0005-0000-0000-00008B850000}"/>
    <cellStyle name="Финансовый 3 2 9 3 5 2" xfId="21754" xr:uid="{00000000-0005-0000-0000-00008C850000}"/>
    <cellStyle name="Финансовый 3 2 9 3 5 2 2" xfId="45709" xr:uid="{00000000-0005-0000-0000-00008D850000}"/>
    <cellStyle name="Финансовый 3 2 9 3 5 3" xfId="33731" xr:uid="{00000000-0005-0000-0000-00008E850000}"/>
    <cellStyle name="Финансовый 3 2 9 3 6" xfId="13934" xr:uid="{00000000-0005-0000-0000-00008F850000}"/>
    <cellStyle name="Финансовый 3 2 9 3 6 2" xfId="37889" xr:uid="{00000000-0005-0000-0000-000090850000}"/>
    <cellStyle name="Финансовый 3 2 9 3 7" xfId="25912" xr:uid="{00000000-0005-0000-0000-000091850000}"/>
    <cellStyle name="Финансовый 3 2 9 3 8" xfId="49045" xr:uid="{00000000-0005-0000-0000-000092850000}"/>
    <cellStyle name="Финансовый 3 2 9 4" xfId="2476" xr:uid="{00000000-0005-0000-0000-000093850000}"/>
    <cellStyle name="Финансовый 3 2 9 4 2" xfId="4121" xr:uid="{00000000-0005-0000-0000-000094850000}"/>
    <cellStyle name="Финансовый 3 2 9 4 2 2" xfId="11853" xr:uid="{00000000-0005-0000-0000-000095850000}"/>
    <cellStyle name="Финансовый 3 2 9 4 2 2 2" xfId="23831" xr:uid="{00000000-0005-0000-0000-000096850000}"/>
    <cellStyle name="Финансовый 3 2 9 4 2 2 2 2" xfId="47786" xr:uid="{00000000-0005-0000-0000-000097850000}"/>
    <cellStyle name="Финансовый 3 2 9 4 2 2 3" xfId="35808" xr:uid="{00000000-0005-0000-0000-000098850000}"/>
    <cellStyle name="Финансовый 3 2 9 4 2 3" xfId="16100" xr:uid="{00000000-0005-0000-0000-000099850000}"/>
    <cellStyle name="Финансовый 3 2 9 4 2 3 2" xfId="40055" xr:uid="{00000000-0005-0000-0000-00009A850000}"/>
    <cellStyle name="Финансовый 3 2 9 4 2 4" xfId="28078" xr:uid="{00000000-0005-0000-0000-00009B850000}"/>
    <cellStyle name="Финансовый 3 2 9 4 2 5" xfId="51347" xr:uid="{00000000-0005-0000-0000-00009C850000}"/>
    <cellStyle name="Финансовый 3 2 9 4 3" xfId="5904" xr:uid="{00000000-0005-0000-0000-00009D850000}"/>
    <cellStyle name="Финансовый 3 2 9 4 3 2" xfId="17882" xr:uid="{00000000-0005-0000-0000-00009E850000}"/>
    <cellStyle name="Финансовый 3 2 9 4 3 2 2" xfId="41837" xr:uid="{00000000-0005-0000-0000-00009F850000}"/>
    <cellStyle name="Финансовый 3 2 9 4 3 3" xfId="29859" xr:uid="{00000000-0005-0000-0000-0000A0850000}"/>
    <cellStyle name="Финансовый 3 2 9 4 4" xfId="8514" xr:uid="{00000000-0005-0000-0000-0000A1850000}"/>
    <cellStyle name="Финансовый 3 2 9 4 4 2" xfId="20492" xr:uid="{00000000-0005-0000-0000-0000A2850000}"/>
    <cellStyle name="Финансовый 3 2 9 4 4 2 2" xfId="44447" xr:uid="{00000000-0005-0000-0000-0000A3850000}"/>
    <cellStyle name="Финансовый 3 2 9 4 4 3" xfId="32469" xr:uid="{00000000-0005-0000-0000-0000A4850000}"/>
    <cellStyle name="Финансовый 3 2 9 4 5" xfId="10297" xr:uid="{00000000-0005-0000-0000-0000A5850000}"/>
    <cellStyle name="Финансовый 3 2 9 4 5 2" xfId="22275" xr:uid="{00000000-0005-0000-0000-0000A6850000}"/>
    <cellStyle name="Финансовый 3 2 9 4 5 2 2" xfId="46230" xr:uid="{00000000-0005-0000-0000-0000A7850000}"/>
    <cellStyle name="Финансовый 3 2 9 4 5 3" xfId="34252" xr:uid="{00000000-0005-0000-0000-0000A8850000}"/>
    <cellStyle name="Финансовый 3 2 9 4 6" xfId="14455" xr:uid="{00000000-0005-0000-0000-0000A9850000}"/>
    <cellStyle name="Финансовый 3 2 9 4 6 2" xfId="38410" xr:uid="{00000000-0005-0000-0000-0000AA850000}"/>
    <cellStyle name="Финансовый 3 2 9 4 7" xfId="26433" xr:uid="{00000000-0005-0000-0000-0000AB850000}"/>
    <cellStyle name="Финансовый 3 2 9 4 8" xfId="49566" xr:uid="{00000000-0005-0000-0000-0000AC850000}"/>
    <cellStyle name="Финансовый 3 2 9 5" xfId="980" xr:uid="{00000000-0005-0000-0000-0000AD850000}"/>
    <cellStyle name="Финансовый 3 2 9 5 2" xfId="7020" xr:uid="{00000000-0005-0000-0000-0000AE850000}"/>
    <cellStyle name="Финансовый 3 2 9 5 2 2" xfId="18998" xr:uid="{00000000-0005-0000-0000-0000AF850000}"/>
    <cellStyle name="Финансовый 3 2 9 5 2 2 2" xfId="42953" xr:uid="{00000000-0005-0000-0000-0000B0850000}"/>
    <cellStyle name="Финансовый 3 2 9 5 2 3" xfId="30975" xr:uid="{00000000-0005-0000-0000-0000B1850000}"/>
    <cellStyle name="Финансовый 3 2 9 5 3" xfId="10568" xr:uid="{00000000-0005-0000-0000-0000B2850000}"/>
    <cellStyle name="Финансовый 3 2 9 5 3 2" xfId="22546" xr:uid="{00000000-0005-0000-0000-0000B3850000}"/>
    <cellStyle name="Финансовый 3 2 9 5 3 2 2" xfId="46501" xr:uid="{00000000-0005-0000-0000-0000B4850000}"/>
    <cellStyle name="Финансовый 3 2 9 5 3 3" xfId="34523" xr:uid="{00000000-0005-0000-0000-0000B5850000}"/>
    <cellStyle name="Финансовый 3 2 9 5 4" xfId="12961" xr:uid="{00000000-0005-0000-0000-0000B6850000}"/>
    <cellStyle name="Финансовый 3 2 9 5 4 2" xfId="36916" xr:uid="{00000000-0005-0000-0000-0000B7850000}"/>
    <cellStyle name="Финансовый 3 2 9 5 5" xfId="24939" xr:uid="{00000000-0005-0000-0000-0000B8850000}"/>
    <cellStyle name="Финансовый 3 2 9 5 6" xfId="49845" xr:uid="{00000000-0005-0000-0000-0000B9850000}"/>
    <cellStyle name="Финансовый 3 2 9 6" xfId="568" xr:uid="{00000000-0005-0000-0000-0000BA850000}"/>
    <cellStyle name="Финансовый 3 2 9 6 2" xfId="6608" xr:uid="{00000000-0005-0000-0000-0000BB850000}"/>
    <cellStyle name="Финансовый 3 2 9 6 2 2" xfId="18586" xr:uid="{00000000-0005-0000-0000-0000BC850000}"/>
    <cellStyle name="Финансовый 3 2 9 6 2 2 2" xfId="42541" xr:uid="{00000000-0005-0000-0000-0000BD850000}"/>
    <cellStyle name="Финансовый 3 2 9 6 2 3" xfId="30563" xr:uid="{00000000-0005-0000-0000-0000BE850000}"/>
    <cellStyle name="Финансовый 3 2 9 6 3" xfId="12549" xr:uid="{00000000-0005-0000-0000-0000BF850000}"/>
    <cellStyle name="Финансовый 3 2 9 6 3 2" xfId="36504" xr:uid="{00000000-0005-0000-0000-0000C0850000}"/>
    <cellStyle name="Финансовый 3 2 9 6 4" xfId="24527" xr:uid="{00000000-0005-0000-0000-0000C1850000}"/>
    <cellStyle name="Финансовый 3 2 9 7" xfId="2757" xr:uid="{00000000-0005-0000-0000-0000C2850000}"/>
    <cellStyle name="Финансовый 3 2 9 7 2" xfId="14736" xr:uid="{00000000-0005-0000-0000-0000C3850000}"/>
    <cellStyle name="Финансовый 3 2 9 7 2 2" xfId="38691" xr:uid="{00000000-0005-0000-0000-0000C4850000}"/>
    <cellStyle name="Финансовый 3 2 9 7 3" xfId="26714" xr:uid="{00000000-0005-0000-0000-0000C5850000}"/>
    <cellStyle name="Финансовый 3 2 9 8" xfId="4401" xr:uid="{00000000-0005-0000-0000-0000C6850000}"/>
    <cellStyle name="Финансовый 3 2 9 8 2" xfId="16380" xr:uid="{00000000-0005-0000-0000-0000C7850000}"/>
    <cellStyle name="Финансовый 3 2 9 8 2 2" xfId="40335" xr:uid="{00000000-0005-0000-0000-0000C8850000}"/>
    <cellStyle name="Финансовый 3 2 9 8 3" xfId="28358" xr:uid="{00000000-0005-0000-0000-0000C9850000}"/>
    <cellStyle name="Финансовый 3 2 9 9" xfId="6188" xr:uid="{00000000-0005-0000-0000-0000CA850000}"/>
    <cellStyle name="Финансовый 3 2 9 9 2" xfId="18166" xr:uid="{00000000-0005-0000-0000-0000CB850000}"/>
    <cellStyle name="Финансовый 3 2 9 9 2 2" xfId="42121" xr:uid="{00000000-0005-0000-0000-0000CC850000}"/>
    <cellStyle name="Финансовый 3 2 9 9 3" xfId="30143" xr:uid="{00000000-0005-0000-0000-0000CD850000}"/>
    <cellStyle name="Финансовый 3 20" xfId="2615" xr:uid="{00000000-0005-0000-0000-0000CE850000}"/>
    <cellStyle name="Финансовый 3 20 2" xfId="14594" xr:uid="{00000000-0005-0000-0000-0000CF850000}"/>
    <cellStyle name="Финансовый 3 20 2 2" xfId="38549" xr:uid="{00000000-0005-0000-0000-0000D0850000}"/>
    <cellStyle name="Финансовый 3 20 3" xfId="26572" xr:uid="{00000000-0005-0000-0000-0000D1850000}"/>
    <cellStyle name="Финансовый 3 21" xfId="4258" xr:uid="{00000000-0005-0000-0000-0000D2850000}"/>
    <cellStyle name="Финансовый 3 21 2" xfId="16237" xr:uid="{00000000-0005-0000-0000-0000D3850000}"/>
    <cellStyle name="Финансовый 3 21 2 2" xfId="40192" xr:uid="{00000000-0005-0000-0000-0000D4850000}"/>
    <cellStyle name="Финансовый 3 21 3" xfId="28215" xr:uid="{00000000-0005-0000-0000-0000D5850000}"/>
    <cellStyle name="Финансовый 3 22" xfId="6046" xr:uid="{00000000-0005-0000-0000-0000D6850000}"/>
    <cellStyle name="Финансовый 3 22 2" xfId="18024" xr:uid="{00000000-0005-0000-0000-0000D7850000}"/>
    <cellStyle name="Финансовый 3 22 2 2" xfId="41979" xr:uid="{00000000-0005-0000-0000-0000D8850000}"/>
    <cellStyle name="Финансовый 3 22 3" xfId="30001" xr:uid="{00000000-0005-0000-0000-0000D9850000}"/>
    <cellStyle name="Финансовый 3 23" xfId="8653" xr:uid="{00000000-0005-0000-0000-0000DA850000}"/>
    <cellStyle name="Финансовый 3 23 2" xfId="20631" xr:uid="{00000000-0005-0000-0000-0000DB850000}"/>
    <cellStyle name="Финансовый 3 23 2 2" xfId="44586" xr:uid="{00000000-0005-0000-0000-0000DC850000}"/>
    <cellStyle name="Финансовый 3 23 3" xfId="32608" xr:uid="{00000000-0005-0000-0000-0000DD850000}"/>
    <cellStyle name="Финансовый 3 24" xfId="11987" xr:uid="{00000000-0005-0000-0000-0000DE850000}"/>
    <cellStyle name="Финансовый 3 24 2" xfId="35942" xr:uid="{00000000-0005-0000-0000-0000DF850000}"/>
    <cellStyle name="Финансовый 3 25" xfId="23965" xr:uid="{00000000-0005-0000-0000-0000E0850000}"/>
    <cellStyle name="Финансовый 3 26" xfId="47923" xr:uid="{00000000-0005-0000-0000-0000E1850000}"/>
    <cellStyle name="Финансовый 3 3" xfId="39" xr:uid="{00000000-0005-0000-0000-0000E2850000}"/>
    <cellStyle name="Финансовый 3 3 10" xfId="882" xr:uid="{00000000-0005-0000-0000-0000E3850000}"/>
    <cellStyle name="Финансовый 3 3 10 2" xfId="6922" xr:uid="{00000000-0005-0000-0000-0000E4850000}"/>
    <cellStyle name="Финансовый 3 3 10 2 2" xfId="18900" xr:uid="{00000000-0005-0000-0000-0000E5850000}"/>
    <cellStyle name="Финансовый 3 3 10 2 2 2" xfId="42855" xr:uid="{00000000-0005-0000-0000-0000E6850000}"/>
    <cellStyle name="Финансовый 3 3 10 2 3" xfId="30877" xr:uid="{00000000-0005-0000-0000-0000E7850000}"/>
    <cellStyle name="Финансовый 3 3 10 3" xfId="10470" xr:uid="{00000000-0005-0000-0000-0000E8850000}"/>
    <cellStyle name="Финансовый 3 3 10 3 2" xfId="22448" xr:uid="{00000000-0005-0000-0000-0000E9850000}"/>
    <cellStyle name="Финансовый 3 3 10 3 2 2" xfId="46403" xr:uid="{00000000-0005-0000-0000-0000EA850000}"/>
    <cellStyle name="Финансовый 3 3 10 3 3" xfId="34425" xr:uid="{00000000-0005-0000-0000-0000EB850000}"/>
    <cellStyle name="Финансовый 3 3 10 4" xfId="12863" xr:uid="{00000000-0005-0000-0000-0000EC850000}"/>
    <cellStyle name="Финансовый 3 3 10 4 2" xfId="36818" xr:uid="{00000000-0005-0000-0000-0000ED850000}"/>
    <cellStyle name="Финансовый 3 3 10 5" xfId="24841" xr:uid="{00000000-0005-0000-0000-0000EE850000}"/>
    <cellStyle name="Финансовый 3 3 10 6" xfId="49739" xr:uid="{00000000-0005-0000-0000-0000EF850000}"/>
    <cellStyle name="Финансовый 3 3 11" xfId="462" xr:uid="{00000000-0005-0000-0000-0000F0850000}"/>
    <cellStyle name="Финансовый 3 3 11 2" xfId="6502" xr:uid="{00000000-0005-0000-0000-0000F1850000}"/>
    <cellStyle name="Финансовый 3 3 11 2 2" xfId="18480" xr:uid="{00000000-0005-0000-0000-0000F2850000}"/>
    <cellStyle name="Финансовый 3 3 11 2 2 2" xfId="42435" xr:uid="{00000000-0005-0000-0000-0000F3850000}"/>
    <cellStyle name="Финансовый 3 3 11 2 3" xfId="30457" xr:uid="{00000000-0005-0000-0000-0000F4850000}"/>
    <cellStyle name="Финансовый 3 3 11 3" xfId="12443" xr:uid="{00000000-0005-0000-0000-0000F5850000}"/>
    <cellStyle name="Финансовый 3 3 11 3 2" xfId="36398" xr:uid="{00000000-0005-0000-0000-0000F6850000}"/>
    <cellStyle name="Финансовый 3 3 11 4" xfId="24421" xr:uid="{00000000-0005-0000-0000-0000F7850000}"/>
    <cellStyle name="Финансовый 3 3 12" xfId="2651" xr:uid="{00000000-0005-0000-0000-0000F8850000}"/>
    <cellStyle name="Финансовый 3 3 12 2" xfId="14630" xr:uid="{00000000-0005-0000-0000-0000F9850000}"/>
    <cellStyle name="Финансовый 3 3 12 2 2" xfId="38585" xr:uid="{00000000-0005-0000-0000-0000FA850000}"/>
    <cellStyle name="Финансовый 3 3 12 3" xfId="26608" xr:uid="{00000000-0005-0000-0000-0000FB850000}"/>
    <cellStyle name="Финансовый 3 3 13" xfId="4294" xr:uid="{00000000-0005-0000-0000-0000FC850000}"/>
    <cellStyle name="Финансовый 3 3 13 2" xfId="16273" xr:uid="{00000000-0005-0000-0000-0000FD850000}"/>
    <cellStyle name="Финансовый 3 3 13 2 2" xfId="40228" xr:uid="{00000000-0005-0000-0000-0000FE850000}"/>
    <cellStyle name="Финансовый 3 3 13 3" xfId="28251" xr:uid="{00000000-0005-0000-0000-0000FF850000}"/>
    <cellStyle name="Финансовый 3 3 14" xfId="6082" xr:uid="{00000000-0005-0000-0000-000000860000}"/>
    <cellStyle name="Финансовый 3 3 14 2" xfId="18060" xr:uid="{00000000-0005-0000-0000-000001860000}"/>
    <cellStyle name="Финансовый 3 3 14 2 2" xfId="42015" xr:uid="{00000000-0005-0000-0000-000002860000}"/>
    <cellStyle name="Финансовый 3 3 14 3" xfId="30037" xr:uid="{00000000-0005-0000-0000-000003860000}"/>
    <cellStyle name="Финансовый 3 3 15" xfId="8689" xr:uid="{00000000-0005-0000-0000-000004860000}"/>
    <cellStyle name="Финансовый 3 3 15 2" xfId="20667" xr:uid="{00000000-0005-0000-0000-000005860000}"/>
    <cellStyle name="Финансовый 3 3 15 2 2" xfId="44622" xr:uid="{00000000-0005-0000-0000-000006860000}"/>
    <cellStyle name="Финансовый 3 3 15 3" xfId="32644" xr:uid="{00000000-0005-0000-0000-000007860000}"/>
    <cellStyle name="Финансовый 3 3 16" xfId="12023" xr:uid="{00000000-0005-0000-0000-000008860000}"/>
    <cellStyle name="Финансовый 3 3 16 2" xfId="35978" xr:uid="{00000000-0005-0000-0000-000009860000}"/>
    <cellStyle name="Финансовый 3 3 17" xfId="24001" xr:uid="{00000000-0005-0000-0000-00000A860000}"/>
    <cellStyle name="Финансовый 3 3 18" xfId="47959" xr:uid="{00000000-0005-0000-0000-00000B860000}"/>
    <cellStyle name="Финансовый 3 3 2" xfId="121" xr:uid="{00000000-0005-0000-0000-00000C860000}"/>
    <cellStyle name="Финансовый 3 3 2 10" xfId="2731" xr:uid="{00000000-0005-0000-0000-00000D860000}"/>
    <cellStyle name="Финансовый 3 3 2 10 2" xfId="14710" xr:uid="{00000000-0005-0000-0000-00000E860000}"/>
    <cellStyle name="Финансовый 3 3 2 10 2 2" xfId="38665" xr:uid="{00000000-0005-0000-0000-00000F860000}"/>
    <cellStyle name="Финансовый 3 3 2 10 3" xfId="26688" xr:uid="{00000000-0005-0000-0000-000010860000}"/>
    <cellStyle name="Финансовый 3 3 2 11" xfId="4375" xr:uid="{00000000-0005-0000-0000-000011860000}"/>
    <cellStyle name="Финансовый 3 3 2 11 2" xfId="16354" xr:uid="{00000000-0005-0000-0000-000012860000}"/>
    <cellStyle name="Финансовый 3 3 2 11 2 2" xfId="40309" xr:uid="{00000000-0005-0000-0000-000013860000}"/>
    <cellStyle name="Финансовый 3 3 2 11 3" xfId="28332" xr:uid="{00000000-0005-0000-0000-000014860000}"/>
    <cellStyle name="Финансовый 3 3 2 12" xfId="6162" xr:uid="{00000000-0005-0000-0000-000015860000}"/>
    <cellStyle name="Финансовый 3 3 2 12 2" xfId="18140" xr:uid="{00000000-0005-0000-0000-000016860000}"/>
    <cellStyle name="Финансовый 3 3 2 12 2 2" xfId="42095" xr:uid="{00000000-0005-0000-0000-000017860000}"/>
    <cellStyle name="Финансовый 3 3 2 12 3" xfId="30117" xr:uid="{00000000-0005-0000-0000-000018860000}"/>
    <cellStyle name="Финансовый 3 3 2 13" xfId="8769" xr:uid="{00000000-0005-0000-0000-000019860000}"/>
    <cellStyle name="Финансовый 3 3 2 13 2" xfId="20747" xr:uid="{00000000-0005-0000-0000-00001A860000}"/>
    <cellStyle name="Финансовый 3 3 2 13 2 2" xfId="44702" xr:uid="{00000000-0005-0000-0000-00001B860000}"/>
    <cellStyle name="Финансовый 3 3 2 13 3" xfId="32724" xr:uid="{00000000-0005-0000-0000-00001C860000}"/>
    <cellStyle name="Финансовый 3 3 2 14" xfId="12103" xr:uid="{00000000-0005-0000-0000-00001D860000}"/>
    <cellStyle name="Финансовый 3 3 2 14 2" xfId="36058" xr:uid="{00000000-0005-0000-0000-00001E860000}"/>
    <cellStyle name="Финансовый 3 3 2 15" xfId="24081" xr:uid="{00000000-0005-0000-0000-00001F860000}"/>
    <cellStyle name="Финансовый 3 3 2 16" xfId="48039" xr:uid="{00000000-0005-0000-0000-000020860000}"/>
    <cellStyle name="Финансовый 3 3 2 2" xfId="257" xr:uid="{00000000-0005-0000-0000-000021860000}"/>
    <cellStyle name="Финансовый 3 3 2 2 10" xfId="8905" xr:uid="{00000000-0005-0000-0000-000022860000}"/>
    <cellStyle name="Финансовый 3 3 2 2 10 2" xfId="20883" xr:uid="{00000000-0005-0000-0000-000023860000}"/>
    <cellStyle name="Финансовый 3 3 2 2 10 2 2" xfId="44838" xr:uid="{00000000-0005-0000-0000-000024860000}"/>
    <cellStyle name="Финансовый 3 3 2 2 10 3" xfId="32860" xr:uid="{00000000-0005-0000-0000-000025860000}"/>
    <cellStyle name="Финансовый 3 3 2 2 11" xfId="12239" xr:uid="{00000000-0005-0000-0000-000026860000}"/>
    <cellStyle name="Финансовый 3 3 2 2 11 2" xfId="36194" xr:uid="{00000000-0005-0000-0000-000027860000}"/>
    <cellStyle name="Финансовый 3 3 2 2 12" xfId="24217" xr:uid="{00000000-0005-0000-0000-000028860000}"/>
    <cellStyle name="Финансовый 3 3 2 2 13" xfId="48175" xr:uid="{00000000-0005-0000-0000-000029860000}"/>
    <cellStyle name="Финансовый 3 3 2 2 2" xfId="1355" xr:uid="{00000000-0005-0000-0000-00002A860000}"/>
    <cellStyle name="Финансовый 3 3 2 2 2 2" xfId="2313" xr:uid="{00000000-0005-0000-0000-00002B860000}"/>
    <cellStyle name="Финансовый 3 3 2 2 2 2 2" xfId="3958" xr:uid="{00000000-0005-0000-0000-00002C860000}"/>
    <cellStyle name="Финансовый 3 3 2 2 2 2 2 2" xfId="11698" xr:uid="{00000000-0005-0000-0000-00002D860000}"/>
    <cellStyle name="Финансовый 3 3 2 2 2 2 2 2 2" xfId="23676" xr:uid="{00000000-0005-0000-0000-00002E860000}"/>
    <cellStyle name="Финансовый 3 3 2 2 2 2 2 2 2 2" xfId="47631" xr:uid="{00000000-0005-0000-0000-00002F860000}"/>
    <cellStyle name="Финансовый 3 3 2 2 2 2 2 2 3" xfId="35653" xr:uid="{00000000-0005-0000-0000-000030860000}"/>
    <cellStyle name="Финансовый 3 3 2 2 2 2 2 3" xfId="15937" xr:uid="{00000000-0005-0000-0000-000031860000}"/>
    <cellStyle name="Финансовый 3 3 2 2 2 2 2 3 2" xfId="39892" xr:uid="{00000000-0005-0000-0000-000032860000}"/>
    <cellStyle name="Финансовый 3 3 2 2 2 2 2 4" xfId="27915" xr:uid="{00000000-0005-0000-0000-000033860000}"/>
    <cellStyle name="Финансовый 3 3 2 2 2 2 2 5" xfId="51184" xr:uid="{00000000-0005-0000-0000-000034860000}"/>
    <cellStyle name="Финансовый 3 3 2 2 2 2 3" xfId="5741" xr:uid="{00000000-0005-0000-0000-000035860000}"/>
    <cellStyle name="Финансовый 3 3 2 2 2 2 3 2" xfId="17719" xr:uid="{00000000-0005-0000-0000-000036860000}"/>
    <cellStyle name="Финансовый 3 3 2 2 2 2 3 2 2" xfId="41674" xr:uid="{00000000-0005-0000-0000-000037860000}"/>
    <cellStyle name="Финансовый 3 3 2 2 2 2 3 3" xfId="29696" xr:uid="{00000000-0005-0000-0000-000038860000}"/>
    <cellStyle name="Финансовый 3 3 2 2 2 2 4" xfId="8351" xr:uid="{00000000-0005-0000-0000-000039860000}"/>
    <cellStyle name="Финансовый 3 3 2 2 2 2 4 2" xfId="20329" xr:uid="{00000000-0005-0000-0000-00003A860000}"/>
    <cellStyle name="Финансовый 3 3 2 2 2 2 4 2 2" xfId="44284" xr:uid="{00000000-0005-0000-0000-00003B860000}"/>
    <cellStyle name="Финансовый 3 3 2 2 2 2 4 3" xfId="32306" xr:uid="{00000000-0005-0000-0000-00003C860000}"/>
    <cellStyle name="Финансовый 3 3 2 2 2 2 5" xfId="10134" xr:uid="{00000000-0005-0000-0000-00003D860000}"/>
    <cellStyle name="Финансовый 3 3 2 2 2 2 5 2" xfId="22112" xr:uid="{00000000-0005-0000-0000-00003E860000}"/>
    <cellStyle name="Финансовый 3 3 2 2 2 2 5 2 2" xfId="46067" xr:uid="{00000000-0005-0000-0000-00003F860000}"/>
    <cellStyle name="Финансовый 3 3 2 2 2 2 5 3" xfId="34089" xr:uid="{00000000-0005-0000-0000-000040860000}"/>
    <cellStyle name="Финансовый 3 3 2 2 2 2 6" xfId="14292" xr:uid="{00000000-0005-0000-0000-000041860000}"/>
    <cellStyle name="Финансовый 3 3 2 2 2 2 6 2" xfId="38247" xr:uid="{00000000-0005-0000-0000-000042860000}"/>
    <cellStyle name="Финансовый 3 3 2 2 2 2 7" xfId="26270" xr:uid="{00000000-0005-0000-0000-000043860000}"/>
    <cellStyle name="Финансовый 3 3 2 2 2 2 8" xfId="49403" xr:uid="{00000000-0005-0000-0000-000044860000}"/>
    <cellStyle name="Финансовый 3 3 2 2 2 3" xfId="3139" xr:uid="{00000000-0005-0000-0000-000045860000}"/>
    <cellStyle name="Финансовый 3 3 2 2 2 3 2" xfId="10926" xr:uid="{00000000-0005-0000-0000-000046860000}"/>
    <cellStyle name="Финансовый 3 3 2 2 2 3 2 2" xfId="22904" xr:uid="{00000000-0005-0000-0000-000047860000}"/>
    <cellStyle name="Финансовый 3 3 2 2 2 3 2 2 2" xfId="46859" xr:uid="{00000000-0005-0000-0000-000048860000}"/>
    <cellStyle name="Финансовый 3 3 2 2 2 3 2 3" xfId="34881" xr:uid="{00000000-0005-0000-0000-000049860000}"/>
    <cellStyle name="Финансовый 3 3 2 2 2 3 3" xfId="15118" xr:uid="{00000000-0005-0000-0000-00004A860000}"/>
    <cellStyle name="Финансовый 3 3 2 2 2 3 3 2" xfId="39073" xr:uid="{00000000-0005-0000-0000-00004B860000}"/>
    <cellStyle name="Финансовый 3 3 2 2 2 3 4" xfId="27096" xr:uid="{00000000-0005-0000-0000-00004C860000}"/>
    <cellStyle name="Финансовый 3 3 2 2 2 3 5" xfId="50227" xr:uid="{00000000-0005-0000-0000-00004D860000}"/>
    <cellStyle name="Финансовый 3 3 2 2 2 4" xfId="4783" xr:uid="{00000000-0005-0000-0000-00004E860000}"/>
    <cellStyle name="Финансовый 3 3 2 2 2 4 2" xfId="16762" xr:uid="{00000000-0005-0000-0000-00004F860000}"/>
    <cellStyle name="Финансовый 3 3 2 2 2 4 2 2" xfId="40717" xr:uid="{00000000-0005-0000-0000-000050860000}"/>
    <cellStyle name="Финансовый 3 3 2 2 2 4 3" xfId="28740" xr:uid="{00000000-0005-0000-0000-000051860000}"/>
    <cellStyle name="Финансовый 3 3 2 2 2 5" xfId="7395" xr:uid="{00000000-0005-0000-0000-000052860000}"/>
    <cellStyle name="Финансовый 3 3 2 2 2 5 2" xfId="19373" xr:uid="{00000000-0005-0000-0000-000053860000}"/>
    <cellStyle name="Финансовый 3 3 2 2 2 5 2 2" xfId="43328" xr:uid="{00000000-0005-0000-0000-000054860000}"/>
    <cellStyle name="Финансовый 3 3 2 2 2 5 3" xfId="31350" xr:uid="{00000000-0005-0000-0000-000055860000}"/>
    <cellStyle name="Финансовый 3 3 2 2 2 6" xfId="9177" xr:uid="{00000000-0005-0000-0000-000056860000}"/>
    <cellStyle name="Финансовый 3 3 2 2 2 6 2" xfId="21155" xr:uid="{00000000-0005-0000-0000-000057860000}"/>
    <cellStyle name="Финансовый 3 3 2 2 2 6 2 2" xfId="45110" xr:uid="{00000000-0005-0000-0000-000058860000}"/>
    <cellStyle name="Финансовый 3 3 2 2 2 6 3" xfId="33132" xr:uid="{00000000-0005-0000-0000-000059860000}"/>
    <cellStyle name="Финансовый 3 3 2 2 2 7" xfId="13336" xr:uid="{00000000-0005-0000-0000-00005A860000}"/>
    <cellStyle name="Финансовый 3 3 2 2 2 7 2" xfId="37291" xr:uid="{00000000-0005-0000-0000-00005B860000}"/>
    <cellStyle name="Финансовый 3 3 2 2 2 8" xfId="25314" xr:uid="{00000000-0005-0000-0000-00005C860000}"/>
    <cellStyle name="Финансовый 3 3 2 2 2 9" xfId="48447" xr:uid="{00000000-0005-0000-0000-00005D860000}"/>
    <cellStyle name="Финансовый 3 3 2 2 3" xfId="2057" xr:uid="{00000000-0005-0000-0000-00005E860000}"/>
    <cellStyle name="Финансовый 3 3 2 2 3 2" xfId="3702" xr:uid="{00000000-0005-0000-0000-00005F860000}"/>
    <cellStyle name="Финансовый 3 3 2 2 3 2 2" xfId="11442" xr:uid="{00000000-0005-0000-0000-000060860000}"/>
    <cellStyle name="Финансовый 3 3 2 2 3 2 2 2" xfId="23420" xr:uid="{00000000-0005-0000-0000-000061860000}"/>
    <cellStyle name="Финансовый 3 3 2 2 3 2 2 2 2" xfId="47375" xr:uid="{00000000-0005-0000-0000-000062860000}"/>
    <cellStyle name="Финансовый 3 3 2 2 3 2 2 3" xfId="35397" xr:uid="{00000000-0005-0000-0000-000063860000}"/>
    <cellStyle name="Финансовый 3 3 2 2 3 2 3" xfId="15681" xr:uid="{00000000-0005-0000-0000-000064860000}"/>
    <cellStyle name="Финансовый 3 3 2 2 3 2 3 2" xfId="39636" xr:uid="{00000000-0005-0000-0000-000065860000}"/>
    <cellStyle name="Финансовый 3 3 2 2 3 2 4" xfId="27659" xr:uid="{00000000-0005-0000-0000-000066860000}"/>
    <cellStyle name="Финансовый 3 3 2 2 3 2 5" xfId="50928" xr:uid="{00000000-0005-0000-0000-000067860000}"/>
    <cellStyle name="Финансовый 3 3 2 2 3 3" xfId="5485" xr:uid="{00000000-0005-0000-0000-000068860000}"/>
    <cellStyle name="Финансовый 3 3 2 2 3 3 2" xfId="17463" xr:uid="{00000000-0005-0000-0000-000069860000}"/>
    <cellStyle name="Финансовый 3 3 2 2 3 3 2 2" xfId="41418" xr:uid="{00000000-0005-0000-0000-00006A860000}"/>
    <cellStyle name="Финансовый 3 3 2 2 3 3 3" xfId="29440" xr:uid="{00000000-0005-0000-0000-00006B860000}"/>
    <cellStyle name="Финансовый 3 3 2 2 3 4" xfId="8095" xr:uid="{00000000-0005-0000-0000-00006C860000}"/>
    <cellStyle name="Финансовый 3 3 2 2 3 4 2" xfId="20073" xr:uid="{00000000-0005-0000-0000-00006D860000}"/>
    <cellStyle name="Финансовый 3 3 2 2 3 4 2 2" xfId="44028" xr:uid="{00000000-0005-0000-0000-00006E860000}"/>
    <cellStyle name="Финансовый 3 3 2 2 3 4 3" xfId="32050" xr:uid="{00000000-0005-0000-0000-00006F860000}"/>
    <cellStyle name="Финансовый 3 3 2 2 3 5" xfId="9878" xr:uid="{00000000-0005-0000-0000-000070860000}"/>
    <cellStyle name="Финансовый 3 3 2 2 3 5 2" xfId="21856" xr:uid="{00000000-0005-0000-0000-000071860000}"/>
    <cellStyle name="Финансовый 3 3 2 2 3 5 2 2" xfId="45811" xr:uid="{00000000-0005-0000-0000-000072860000}"/>
    <cellStyle name="Финансовый 3 3 2 2 3 5 3" xfId="33833" xr:uid="{00000000-0005-0000-0000-000073860000}"/>
    <cellStyle name="Финансовый 3 3 2 2 3 6" xfId="14036" xr:uid="{00000000-0005-0000-0000-000074860000}"/>
    <cellStyle name="Финансовый 3 3 2 2 3 6 2" xfId="37991" xr:uid="{00000000-0005-0000-0000-000075860000}"/>
    <cellStyle name="Финансовый 3 3 2 2 3 7" xfId="26014" xr:uid="{00000000-0005-0000-0000-000076860000}"/>
    <cellStyle name="Финансовый 3 3 2 2 3 8" xfId="49147" xr:uid="{00000000-0005-0000-0000-000077860000}"/>
    <cellStyle name="Финансовый 3 3 2 2 4" xfId="2586" xr:uid="{00000000-0005-0000-0000-000078860000}"/>
    <cellStyle name="Финансовый 3 3 2 2 4 2" xfId="4231" xr:uid="{00000000-0005-0000-0000-000079860000}"/>
    <cellStyle name="Финансовый 3 3 2 2 4 2 2" xfId="11955" xr:uid="{00000000-0005-0000-0000-00007A860000}"/>
    <cellStyle name="Финансовый 3 3 2 2 4 2 2 2" xfId="23933" xr:uid="{00000000-0005-0000-0000-00007B860000}"/>
    <cellStyle name="Финансовый 3 3 2 2 4 2 2 2 2" xfId="47888" xr:uid="{00000000-0005-0000-0000-00007C860000}"/>
    <cellStyle name="Финансовый 3 3 2 2 4 2 2 3" xfId="35910" xr:uid="{00000000-0005-0000-0000-00007D860000}"/>
    <cellStyle name="Финансовый 3 3 2 2 4 2 3" xfId="16210" xr:uid="{00000000-0005-0000-0000-00007E860000}"/>
    <cellStyle name="Финансовый 3 3 2 2 4 2 3 2" xfId="40165" xr:uid="{00000000-0005-0000-0000-00007F860000}"/>
    <cellStyle name="Финансовый 3 3 2 2 4 2 4" xfId="28188" xr:uid="{00000000-0005-0000-0000-000080860000}"/>
    <cellStyle name="Финансовый 3 3 2 2 4 2 5" xfId="51457" xr:uid="{00000000-0005-0000-0000-000081860000}"/>
    <cellStyle name="Финансовый 3 3 2 2 4 3" xfId="6014" xr:uid="{00000000-0005-0000-0000-000082860000}"/>
    <cellStyle name="Финансовый 3 3 2 2 4 3 2" xfId="17992" xr:uid="{00000000-0005-0000-0000-000083860000}"/>
    <cellStyle name="Финансовый 3 3 2 2 4 3 2 2" xfId="41947" xr:uid="{00000000-0005-0000-0000-000084860000}"/>
    <cellStyle name="Финансовый 3 3 2 2 4 3 3" xfId="29969" xr:uid="{00000000-0005-0000-0000-000085860000}"/>
    <cellStyle name="Финансовый 3 3 2 2 4 4" xfId="8624" xr:uid="{00000000-0005-0000-0000-000086860000}"/>
    <cellStyle name="Финансовый 3 3 2 2 4 4 2" xfId="20602" xr:uid="{00000000-0005-0000-0000-000087860000}"/>
    <cellStyle name="Финансовый 3 3 2 2 4 4 2 2" xfId="44557" xr:uid="{00000000-0005-0000-0000-000088860000}"/>
    <cellStyle name="Финансовый 3 3 2 2 4 4 3" xfId="32579" xr:uid="{00000000-0005-0000-0000-000089860000}"/>
    <cellStyle name="Финансовый 3 3 2 2 4 5" xfId="10407" xr:uid="{00000000-0005-0000-0000-00008A860000}"/>
    <cellStyle name="Финансовый 3 3 2 2 4 5 2" xfId="22385" xr:uid="{00000000-0005-0000-0000-00008B860000}"/>
    <cellStyle name="Финансовый 3 3 2 2 4 5 2 2" xfId="46340" xr:uid="{00000000-0005-0000-0000-00008C860000}"/>
    <cellStyle name="Финансовый 3 3 2 2 4 5 3" xfId="34362" xr:uid="{00000000-0005-0000-0000-00008D860000}"/>
    <cellStyle name="Финансовый 3 3 2 2 4 6" xfId="14565" xr:uid="{00000000-0005-0000-0000-00008E860000}"/>
    <cellStyle name="Финансовый 3 3 2 2 4 6 2" xfId="38520" xr:uid="{00000000-0005-0000-0000-00008F860000}"/>
    <cellStyle name="Финансовый 3 3 2 2 4 7" xfId="26543" xr:uid="{00000000-0005-0000-0000-000090860000}"/>
    <cellStyle name="Финансовый 3 3 2 2 4 8" xfId="49676" xr:uid="{00000000-0005-0000-0000-000091860000}"/>
    <cellStyle name="Финансовый 3 3 2 2 5" xfId="1090" xr:uid="{00000000-0005-0000-0000-000092860000}"/>
    <cellStyle name="Финансовый 3 3 2 2 5 2" xfId="7130" xr:uid="{00000000-0005-0000-0000-000093860000}"/>
    <cellStyle name="Финансовый 3 3 2 2 5 2 2" xfId="19108" xr:uid="{00000000-0005-0000-0000-000094860000}"/>
    <cellStyle name="Финансовый 3 3 2 2 5 2 2 2" xfId="43063" xr:uid="{00000000-0005-0000-0000-000095860000}"/>
    <cellStyle name="Финансовый 3 3 2 2 5 2 3" xfId="31085" xr:uid="{00000000-0005-0000-0000-000096860000}"/>
    <cellStyle name="Финансовый 3 3 2 2 5 3" xfId="10670" xr:uid="{00000000-0005-0000-0000-000097860000}"/>
    <cellStyle name="Финансовый 3 3 2 2 5 3 2" xfId="22648" xr:uid="{00000000-0005-0000-0000-000098860000}"/>
    <cellStyle name="Финансовый 3 3 2 2 5 3 2 2" xfId="46603" xr:uid="{00000000-0005-0000-0000-000099860000}"/>
    <cellStyle name="Финансовый 3 3 2 2 5 3 3" xfId="34625" xr:uid="{00000000-0005-0000-0000-00009A860000}"/>
    <cellStyle name="Финансовый 3 3 2 2 5 4" xfId="13071" xr:uid="{00000000-0005-0000-0000-00009B860000}"/>
    <cellStyle name="Финансовый 3 3 2 2 5 4 2" xfId="37026" xr:uid="{00000000-0005-0000-0000-00009C860000}"/>
    <cellStyle name="Финансовый 3 3 2 2 5 5" xfId="25049" xr:uid="{00000000-0005-0000-0000-00009D860000}"/>
    <cellStyle name="Финансовый 3 3 2 2 5 6" xfId="49955" xr:uid="{00000000-0005-0000-0000-00009E860000}"/>
    <cellStyle name="Финансовый 3 3 2 2 6" xfId="678" xr:uid="{00000000-0005-0000-0000-00009F860000}"/>
    <cellStyle name="Финансовый 3 3 2 2 6 2" xfId="6718" xr:uid="{00000000-0005-0000-0000-0000A0860000}"/>
    <cellStyle name="Финансовый 3 3 2 2 6 2 2" xfId="18696" xr:uid="{00000000-0005-0000-0000-0000A1860000}"/>
    <cellStyle name="Финансовый 3 3 2 2 6 2 2 2" xfId="42651" xr:uid="{00000000-0005-0000-0000-0000A2860000}"/>
    <cellStyle name="Финансовый 3 3 2 2 6 2 3" xfId="30673" xr:uid="{00000000-0005-0000-0000-0000A3860000}"/>
    <cellStyle name="Финансовый 3 3 2 2 6 3" xfId="12659" xr:uid="{00000000-0005-0000-0000-0000A4860000}"/>
    <cellStyle name="Финансовый 3 3 2 2 6 3 2" xfId="36614" xr:uid="{00000000-0005-0000-0000-0000A5860000}"/>
    <cellStyle name="Финансовый 3 3 2 2 6 4" xfId="24637" xr:uid="{00000000-0005-0000-0000-0000A6860000}"/>
    <cellStyle name="Финансовый 3 3 2 2 7" xfId="2867" xr:uid="{00000000-0005-0000-0000-0000A7860000}"/>
    <cellStyle name="Финансовый 3 3 2 2 7 2" xfId="14846" xr:uid="{00000000-0005-0000-0000-0000A8860000}"/>
    <cellStyle name="Финансовый 3 3 2 2 7 2 2" xfId="38801" xr:uid="{00000000-0005-0000-0000-0000A9860000}"/>
    <cellStyle name="Финансовый 3 3 2 2 7 3" xfId="26824" xr:uid="{00000000-0005-0000-0000-0000AA860000}"/>
    <cellStyle name="Финансовый 3 3 2 2 8" xfId="4511" xr:uid="{00000000-0005-0000-0000-0000AB860000}"/>
    <cellStyle name="Финансовый 3 3 2 2 8 2" xfId="16490" xr:uid="{00000000-0005-0000-0000-0000AC860000}"/>
    <cellStyle name="Финансовый 3 3 2 2 8 2 2" xfId="40445" xr:uid="{00000000-0005-0000-0000-0000AD860000}"/>
    <cellStyle name="Финансовый 3 3 2 2 8 3" xfId="28468" xr:uid="{00000000-0005-0000-0000-0000AE860000}"/>
    <cellStyle name="Финансовый 3 3 2 2 9" xfId="6298" xr:uid="{00000000-0005-0000-0000-0000AF860000}"/>
    <cellStyle name="Финансовый 3 3 2 2 9 2" xfId="18276" xr:uid="{00000000-0005-0000-0000-0000B0860000}"/>
    <cellStyle name="Финансовый 3 3 2 2 9 2 2" xfId="42231" xr:uid="{00000000-0005-0000-0000-0000B1860000}"/>
    <cellStyle name="Финансовый 3 3 2 2 9 3" xfId="30253" xr:uid="{00000000-0005-0000-0000-0000B2860000}"/>
    <cellStyle name="Финансовый 3 3 2 3" xfId="406" xr:uid="{00000000-0005-0000-0000-0000B3860000}"/>
    <cellStyle name="Финансовый 3 3 2 3 10" xfId="24365" xr:uid="{00000000-0005-0000-0000-0000B4860000}"/>
    <cellStyle name="Финансовый 3 3 2 3 11" xfId="48311" xr:uid="{00000000-0005-0000-0000-0000B5860000}"/>
    <cellStyle name="Финансовый 3 3 2 3 2" xfId="2185" xr:uid="{00000000-0005-0000-0000-0000B6860000}"/>
    <cellStyle name="Финансовый 3 3 2 3 2 2" xfId="3830" xr:uid="{00000000-0005-0000-0000-0000B7860000}"/>
    <cellStyle name="Финансовый 3 3 2 3 2 2 2" xfId="11570" xr:uid="{00000000-0005-0000-0000-0000B8860000}"/>
    <cellStyle name="Финансовый 3 3 2 3 2 2 2 2" xfId="23548" xr:uid="{00000000-0005-0000-0000-0000B9860000}"/>
    <cellStyle name="Финансовый 3 3 2 3 2 2 2 2 2" xfId="47503" xr:uid="{00000000-0005-0000-0000-0000BA860000}"/>
    <cellStyle name="Финансовый 3 3 2 3 2 2 2 3" xfId="35525" xr:uid="{00000000-0005-0000-0000-0000BB860000}"/>
    <cellStyle name="Финансовый 3 3 2 3 2 2 3" xfId="15809" xr:uid="{00000000-0005-0000-0000-0000BC860000}"/>
    <cellStyle name="Финансовый 3 3 2 3 2 2 3 2" xfId="39764" xr:uid="{00000000-0005-0000-0000-0000BD860000}"/>
    <cellStyle name="Финансовый 3 3 2 3 2 2 4" xfId="27787" xr:uid="{00000000-0005-0000-0000-0000BE860000}"/>
    <cellStyle name="Финансовый 3 3 2 3 2 2 5" xfId="51056" xr:uid="{00000000-0005-0000-0000-0000BF860000}"/>
    <cellStyle name="Финансовый 3 3 2 3 2 3" xfId="5613" xr:uid="{00000000-0005-0000-0000-0000C0860000}"/>
    <cellStyle name="Финансовый 3 3 2 3 2 3 2" xfId="17591" xr:uid="{00000000-0005-0000-0000-0000C1860000}"/>
    <cellStyle name="Финансовый 3 3 2 3 2 3 2 2" xfId="41546" xr:uid="{00000000-0005-0000-0000-0000C2860000}"/>
    <cellStyle name="Финансовый 3 3 2 3 2 3 3" xfId="29568" xr:uid="{00000000-0005-0000-0000-0000C3860000}"/>
    <cellStyle name="Финансовый 3 3 2 3 2 4" xfId="8223" xr:uid="{00000000-0005-0000-0000-0000C4860000}"/>
    <cellStyle name="Финансовый 3 3 2 3 2 4 2" xfId="20201" xr:uid="{00000000-0005-0000-0000-0000C5860000}"/>
    <cellStyle name="Финансовый 3 3 2 3 2 4 2 2" xfId="44156" xr:uid="{00000000-0005-0000-0000-0000C6860000}"/>
    <cellStyle name="Финансовый 3 3 2 3 2 4 3" xfId="32178" xr:uid="{00000000-0005-0000-0000-0000C7860000}"/>
    <cellStyle name="Финансовый 3 3 2 3 2 5" xfId="10006" xr:uid="{00000000-0005-0000-0000-0000C8860000}"/>
    <cellStyle name="Финансовый 3 3 2 3 2 5 2" xfId="21984" xr:uid="{00000000-0005-0000-0000-0000C9860000}"/>
    <cellStyle name="Финансовый 3 3 2 3 2 5 2 2" xfId="45939" xr:uid="{00000000-0005-0000-0000-0000CA860000}"/>
    <cellStyle name="Финансовый 3 3 2 3 2 5 3" xfId="33961" xr:uid="{00000000-0005-0000-0000-0000CB860000}"/>
    <cellStyle name="Финансовый 3 3 2 3 2 6" xfId="14164" xr:uid="{00000000-0005-0000-0000-0000CC860000}"/>
    <cellStyle name="Финансовый 3 3 2 3 2 6 2" xfId="38119" xr:uid="{00000000-0005-0000-0000-0000CD860000}"/>
    <cellStyle name="Финансовый 3 3 2 3 2 7" xfId="26142" xr:uid="{00000000-0005-0000-0000-0000CE860000}"/>
    <cellStyle name="Финансовый 3 3 2 3 2 8" xfId="49275" xr:uid="{00000000-0005-0000-0000-0000CF860000}"/>
    <cellStyle name="Финансовый 3 3 2 3 3" xfId="1219" xr:uid="{00000000-0005-0000-0000-0000D0860000}"/>
    <cellStyle name="Финансовый 3 3 2 3 3 2" xfId="7259" xr:uid="{00000000-0005-0000-0000-0000D1860000}"/>
    <cellStyle name="Финансовый 3 3 2 3 3 2 2" xfId="19237" xr:uid="{00000000-0005-0000-0000-0000D2860000}"/>
    <cellStyle name="Финансовый 3 3 2 3 3 2 2 2" xfId="43192" xr:uid="{00000000-0005-0000-0000-0000D3860000}"/>
    <cellStyle name="Финансовый 3 3 2 3 3 2 3" xfId="31214" xr:uid="{00000000-0005-0000-0000-0000D4860000}"/>
    <cellStyle name="Финансовый 3 3 2 3 3 3" xfId="10798" xr:uid="{00000000-0005-0000-0000-0000D5860000}"/>
    <cellStyle name="Финансовый 3 3 2 3 3 3 2" xfId="22776" xr:uid="{00000000-0005-0000-0000-0000D6860000}"/>
    <cellStyle name="Финансовый 3 3 2 3 3 3 2 2" xfId="46731" xr:uid="{00000000-0005-0000-0000-0000D7860000}"/>
    <cellStyle name="Финансовый 3 3 2 3 3 3 3" xfId="34753" xr:uid="{00000000-0005-0000-0000-0000D8860000}"/>
    <cellStyle name="Финансовый 3 3 2 3 3 4" xfId="13200" xr:uid="{00000000-0005-0000-0000-0000D9860000}"/>
    <cellStyle name="Финансовый 3 3 2 3 3 4 2" xfId="37155" xr:uid="{00000000-0005-0000-0000-0000DA860000}"/>
    <cellStyle name="Финансовый 3 3 2 3 3 5" xfId="25178" xr:uid="{00000000-0005-0000-0000-0000DB860000}"/>
    <cellStyle name="Финансовый 3 3 2 3 3 6" xfId="50091" xr:uid="{00000000-0005-0000-0000-0000DC860000}"/>
    <cellStyle name="Финансовый 3 3 2 3 4" xfId="826" xr:uid="{00000000-0005-0000-0000-0000DD860000}"/>
    <cellStyle name="Финансовый 3 3 2 3 4 2" xfId="6866" xr:uid="{00000000-0005-0000-0000-0000DE860000}"/>
    <cellStyle name="Финансовый 3 3 2 3 4 2 2" xfId="18844" xr:uid="{00000000-0005-0000-0000-0000DF860000}"/>
    <cellStyle name="Финансовый 3 3 2 3 4 2 2 2" xfId="42799" xr:uid="{00000000-0005-0000-0000-0000E0860000}"/>
    <cellStyle name="Финансовый 3 3 2 3 4 2 3" xfId="30821" xr:uid="{00000000-0005-0000-0000-0000E1860000}"/>
    <cellStyle name="Финансовый 3 3 2 3 4 3" xfId="12807" xr:uid="{00000000-0005-0000-0000-0000E2860000}"/>
    <cellStyle name="Финансовый 3 3 2 3 4 3 2" xfId="36762" xr:uid="{00000000-0005-0000-0000-0000E3860000}"/>
    <cellStyle name="Финансовый 3 3 2 3 4 4" xfId="24785" xr:uid="{00000000-0005-0000-0000-0000E4860000}"/>
    <cellStyle name="Финансовый 3 3 2 3 5" xfId="3003" xr:uid="{00000000-0005-0000-0000-0000E5860000}"/>
    <cellStyle name="Финансовый 3 3 2 3 5 2" xfId="14982" xr:uid="{00000000-0005-0000-0000-0000E6860000}"/>
    <cellStyle name="Финансовый 3 3 2 3 5 2 2" xfId="38937" xr:uid="{00000000-0005-0000-0000-0000E7860000}"/>
    <cellStyle name="Финансовый 3 3 2 3 5 3" xfId="26960" xr:uid="{00000000-0005-0000-0000-0000E8860000}"/>
    <cellStyle name="Финансовый 3 3 2 3 6" xfId="4647" xr:uid="{00000000-0005-0000-0000-0000E9860000}"/>
    <cellStyle name="Финансовый 3 3 2 3 6 2" xfId="16626" xr:uid="{00000000-0005-0000-0000-0000EA860000}"/>
    <cellStyle name="Финансовый 3 3 2 3 6 2 2" xfId="40581" xr:uid="{00000000-0005-0000-0000-0000EB860000}"/>
    <cellStyle name="Финансовый 3 3 2 3 6 3" xfId="28604" xr:uid="{00000000-0005-0000-0000-0000EC860000}"/>
    <cellStyle name="Финансовый 3 3 2 3 7" xfId="6446" xr:uid="{00000000-0005-0000-0000-0000ED860000}"/>
    <cellStyle name="Финансовый 3 3 2 3 7 2" xfId="18424" xr:uid="{00000000-0005-0000-0000-0000EE860000}"/>
    <cellStyle name="Финансовый 3 3 2 3 7 2 2" xfId="42379" xr:uid="{00000000-0005-0000-0000-0000EF860000}"/>
    <cellStyle name="Финансовый 3 3 2 3 7 3" xfId="30401" xr:uid="{00000000-0005-0000-0000-0000F0860000}"/>
    <cellStyle name="Финансовый 3 3 2 3 8" xfId="9041" xr:uid="{00000000-0005-0000-0000-0000F1860000}"/>
    <cellStyle name="Финансовый 3 3 2 3 8 2" xfId="21019" xr:uid="{00000000-0005-0000-0000-0000F2860000}"/>
    <cellStyle name="Финансовый 3 3 2 3 8 2 2" xfId="44974" xr:uid="{00000000-0005-0000-0000-0000F3860000}"/>
    <cellStyle name="Финансовый 3 3 2 3 8 3" xfId="32996" xr:uid="{00000000-0005-0000-0000-0000F4860000}"/>
    <cellStyle name="Финансовый 3 3 2 3 9" xfId="12387" xr:uid="{00000000-0005-0000-0000-0000F5860000}"/>
    <cellStyle name="Финансовый 3 3 2 3 9 2" xfId="36342" xr:uid="{00000000-0005-0000-0000-0000F6860000}"/>
    <cellStyle name="Финансовый 3 3 2 4" xfId="1525" xr:uid="{00000000-0005-0000-0000-0000F7860000}"/>
    <cellStyle name="Финансовый 3 3 2 4 2" xfId="1929" xr:uid="{00000000-0005-0000-0000-0000F8860000}"/>
    <cellStyle name="Финансовый 3 3 2 4 2 2" xfId="3574" xr:uid="{00000000-0005-0000-0000-0000F9860000}"/>
    <cellStyle name="Финансовый 3 3 2 4 2 2 2" xfId="11314" xr:uid="{00000000-0005-0000-0000-0000FA860000}"/>
    <cellStyle name="Финансовый 3 3 2 4 2 2 2 2" xfId="23292" xr:uid="{00000000-0005-0000-0000-0000FB860000}"/>
    <cellStyle name="Финансовый 3 3 2 4 2 2 2 2 2" xfId="47247" xr:uid="{00000000-0005-0000-0000-0000FC860000}"/>
    <cellStyle name="Финансовый 3 3 2 4 2 2 2 3" xfId="35269" xr:uid="{00000000-0005-0000-0000-0000FD860000}"/>
    <cellStyle name="Финансовый 3 3 2 4 2 2 3" xfId="15553" xr:uid="{00000000-0005-0000-0000-0000FE860000}"/>
    <cellStyle name="Финансовый 3 3 2 4 2 2 3 2" xfId="39508" xr:uid="{00000000-0005-0000-0000-0000FF860000}"/>
    <cellStyle name="Финансовый 3 3 2 4 2 2 4" xfId="27531" xr:uid="{00000000-0005-0000-0000-000000870000}"/>
    <cellStyle name="Финансовый 3 3 2 4 2 2 5" xfId="50800" xr:uid="{00000000-0005-0000-0000-000001870000}"/>
    <cellStyle name="Финансовый 3 3 2 4 2 3" xfId="5357" xr:uid="{00000000-0005-0000-0000-000002870000}"/>
    <cellStyle name="Финансовый 3 3 2 4 2 3 2" xfId="17335" xr:uid="{00000000-0005-0000-0000-000003870000}"/>
    <cellStyle name="Финансовый 3 3 2 4 2 3 2 2" xfId="41290" xr:uid="{00000000-0005-0000-0000-000004870000}"/>
    <cellStyle name="Финансовый 3 3 2 4 2 3 3" xfId="29312" xr:uid="{00000000-0005-0000-0000-000005870000}"/>
    <cellStyle name="Финансовый 3 3 2 4 2 4" xfId="7967" xr:uid="{00000000-0005-0000-0000-000006870000}"/>
    <cellStyle name="Финансовый 3 3 2 4 2 4 2" xfId="19945" xr:uid="{00000000-0005-0000-0000-000007870000}"/>
    <cellStyle name="Финансовый 3 3 2 4 2 4 2 2" xfId="43900" xr:uid="{00000000-0005-0000-0000-000008870000}"/>
    <cellStyle name="Финансовый 3 3 2 4 2 4 3" xfId="31922" xr:uid="{00000000-0005-0000-0000-000009870000}"/>
    <cellStyle name="Финансовый 3 3 2 4 2 5" xfId="9750" xr:uid="{00000000-0005-0000-0000-00000A870000}"/>
    <cellStyle name="Финансовый 3 3 2 4 2 5 2" xfId="21728" xr:uid="{00000000-0005-0000-0000-00000B870000}"/>
    <cellStyle name="Финансовый 3 3 2 4 2 5 2 2" xfId="45683" xr:uid="{00000000-0005-0000-0000-00000C870000}"/>
    <cellStyle name="Финансовый 3 3 2 4 2 5 3" xfId="33705" xr:uid="{00000000-0005-0000-0000-00000D870000}"/>
    <cellStyle name="Финансовый 3 3 2 4 2 6" xfId="13908" xr:uid="{00000000-0005-0000-0000-00000E870000}"/>
    <cellStyle name="Финансовый 3 3 2 4 2 6 2" xfId="37863" xr:uid="{00000000-0005-0000-0000-00000F870000}"/>
    <cellStyle name="Финансовый 3 3 2 4 2 7" xfId="25886" xr:uid="{00000000-0005-0000-0000-000010870000}"/>
    <cellStyle name="Финансовый 3 3 2 4 2 8" xfId="49019" xr:uid="{00000000-0005-0000-0000-000011870000}"/>
    <cellStyle name="Финансовый 3 3 2 4 3" xfId="4953" xr:uid="{00000000-0005-0000-0000-000012870000}"/>
    <cellStyle name="Финансовый 3 3 2 4 3 2" xfId="16931" xr:uid="{00000000-0005-0000-0000-000013870000}"/>
    <cellStyle name="Финансовый 3 3 2 4 3 2 2" xfId="40886" xr:uid="{00000000-0005-0000-0000-000014870000}"/>
    <cellStyle name="Финансовый 3 3 2 4 3 3" xfId="28908" xr:uid="{00000000-0005-0000-0000-000015870000}"/>
    <cellStyle name="Финансовый 3 3 2 4 3 4" xfId="50396" xr:uid="{00000000-0005-0000-0000-000016870000}"/>
    <cellStyle name="Финансовый 3 3 2 4 4" xfId="7563" xr:uid="{00000000-0005-0000-0000-000017870000}"/>
    <cellStyle name="Финансовый 3 3 2 4 4 2" xfId="19541" xr:uid="{00000000-0005-0000-0000-000018870000}"/>
    <cellStyle name="Финансовый 3 3 2 4 4 2 2" xfId="43496" xr:uid="{00000000-0005-0000-0000-000019870000}"/>
    <cellStyle name="Финансовый 3 3 2 4 4 3" xfId="31518" xr:uid="{00000000-0005-0000-0000-00001A870000}"/>
    <cellStyle name="Финансовый 3 3 2 4 5" xfId="9346" xr:uid="{00000000-0005-0000-0000-00001B870000}"/>
    <cellStyle name="Финансовый 3 3 2 4 5 2" xfId="21324" xr:uid="{00000000-0005-0000-0000-00001C870000}"/>
    <cellStyle name="Финансовый 3 3 2 4 5 2 2" xfId="45279" xr:uid="{00000000-0005-0000-0000-00001D870000}"/>
    <cellStyle name="Финансовый 3 3 2 4 5 3" xfId="33301" xr:uid="{00000000-0005-0000-0000-00001E870000}"/>
    <cellStyle name="Финансовый 3 3 2 4 6" xfId="13504" xr:uid="{00000000-0005-0000-0000-00001F870000}"/>
    <cellStyle name="Финансовый 3 3 2 4 6 2" xfId="37459" xr:uid="{00000000-0005-0000-0000-000020870000}"/>
    <cellStyle name="Финансовый 3 3 2 4 7" xfId="25482" xr:uid="{00000000-0005-0000-0000-000021870000}"/>
    <cellStyle name="Финансовый 3 3 2 4 8" xfId="48615" xr:uid="{00000000-0005-0000-0000-000022870000}"/>
    <cellStyle name="Финансовый 3 3 2 5" xfId="1805" xr:uid="{00000000-0005-0000-0000-000023870000}"/>
    <cellStyle name="Финансовый 3 3 2 5 2" xfId="3450" xr:uid="{00000000-0005-0000-0000-000024870000}"/>
    <cellStyle name="Финансовый 3 3 2 5 2 2" xfId="11198" xr:uid="{00000000-0005-0000-0000-000025870000}"/>
    <cellStyle name="Финансовый 3 3 2 5 2 2 2" xfId="23176" xr:uid="{00000000-0005-0000-0000-000026870000}"/>
    <cellStyle name="Финансовый 3 3 2 5 2 2 2 2" xfId="47131" xr:uid="{00000000-0005-0000-0000-000027870000}"/>
    <cellStyle name="Финансовый 3 3 2 5 2 2 3" xfId="35153" xr:uid="{00000000-0005-0000-0000-000028870000}"/>
    <cellStyle name="Финансовый 3 3 2 5 2 3" xfId="15429" xr:uid="{00000000-0005-0000-0000-000029870000}"/>
    <cellStyle name="Финансовый 3 3 2 5 2 3 2" xfId="39384" xr:uid="{00000000-0005-0000-0000-00002A870000}"/>
    <cellStyle name="Финансовый 3 3 2 5 2 4" xfId="27407" xr:uid="{00000000-0005-0000-0000-00002B870000}"/>
    <cellStyle name="Финансовый 3 3 2 5 2 5" xfId="50676" xr:uid="{00000000-0005-0000-0000-00002C870000}"/>
    <cellStyle name="Финансовый 3 3 2 5 3" xfId="5233" xr:uid="{00000000-0005-0000-0000-00002D870000}"/>
    <cellStyle name="Финансовый 3 3 2 5 3 2" xfId="17211" xr:uid="{00000000-0005-0000-0000-00002E870000}"/>
    <cellStyle name="Финансовый 3 3 2 5 3 2 2" xfId="41166" xr:uid="{00000000-0005-0000-0000-00002F870000}"/>
    <cellStyle name="Финансовый 3 3 2 5 3 3" xfId="29188" xr:uid="{00000000-0005-0000-0000-000030870000}"/>
    <cellStyle name="Финансовый 3 3 2 5 4" xfId="7843" xr:uid="{00000000-0005-0000-0000-000031870000}"/>
    <cellStyle name="Финансовый 3 3 2 5 4 2" xfId="19821" xr:uid="{00000000-0005-0000-0000-000032870000}"/>
    <cellStyle name="Финансовый 3 3 2 5 4 2 2" xfId="43776" xr:uid="{00000000-0005-0000-0000-000033870000}"/>
    <cellStyle name="Финансовый 3 3 2 5 4 3" xfId="31798" xr:uid="{00000000-0005-0000-0000-000034870000}"/>
    <cellStyle name="Финансовый 3 3 2 5 5" xfId="9626" xr:uid="{00000000-0005-0000-0000-000035870000}"/>
    <cellStyle name="Финансовый 3 3 2 5 5 2" xfId="21604" xr:uid="{00000000-0005-0000-0000-000036870000}"/>
    <cellStyle name="Финансовый 3 3 2 5 5 2 2" xfId="45559" xr:uid="{00000000-0005-0000-0000-000037870000}"/>
    <cellStyle name="Финансовый 3 3 2 5 5 3" xfId="33581" xr:uid="{00000000-0005-0000-0000-000038870000}"/>
    <cellStyle name="Финансовый 3 3 2 5 6" xfId="13784" xr:uid="{00000000-0005-0000-0000-000039870000}"/>
    <cellStyle name="Финансовый 3 3 2 5 6 2" xfId="37739" xr:uid="{00000000-0005-0000-0000-00003A870000}"/>
    <cellStyle name="Финансовый 3 3 2 5 7" xfId="25762" xr:uid="{00000000-0005-0000-0000-00003B870000}"/>
    <cellStyle name="Финансовый 3 3 2 5 8" xfId="48895" xr:uid="{00000000-0005-0000-0000-00003C870000}"/>
    <cellStyle name="Финансовый 3 3 2 6" xfId="2450" xr:uid="{00000000-0005-0000-0000-00003D870000}"/>
    <cellStyle name="Финансовый 3 3 2 6 2" xfId="4095" xr:uid="{00000000-0005-0000-0000-00003E870000}"/>
    <cellStyle name="Финансовый 3 3 2 6 2 2" xfId="11827" xr:uid="{00000000-0005-0000-0000-00003F870000}"/>
    <cellStyle name="Финансовый 3 3 2 6 2 2 2" xfId="23805" xr:uid="{00000000-0005-0000-0000-000040870000}"/>
    <cellStyle name="Финансовый 3 3 2 6 2 2 2 2" xfId="47760" xr:uid="{00000000-0005-0000-0000-000041870000}"/>
    <cellStyle name="Финансовый 3 3 2 6 2 2 3" xfId="35782" xr:uid="{00000000-0005-0000-0000-000042870000}"/>
    <cellStyle name="Финансовый 3 3 2 6 2 3" xfId="16074" xr:uid="{00000000-0005-0000-0000-000043870000}"/>
    <cellStyle name="Финансовый 3 3 2 6 2 3 2" xfId="40029" xr:uid="{00000000-0005-0000-0000-000044870000}"/>
    <cellStyle name="Финансовый 3 3 2 6 2 4" xfId="28052" xr:uid="{00000000-0005-0000-0000-000045870000}"/>
    <cellStyle name="Финансовый 3 3 2 6 2 5" xfId="51321" xr:uid="{00000000-0005-0000-0000-000046870000}"/>
    <cellStyle name="Финансовый 3 3 2 6 3" xfId="5878" xr:uid="{00000000-0005-0000-0000-000047870000}"/>
    <cellStyle name="Финансовый 3 3 2 6 3 2" xfId="17856" xr:uid="{00000000-0005-0000-0000-000048870000}"/>
    <cellStyle name="Финансовый 3 3 2 6 3 2 2" xfId="41811" xr:uid="{00000000-0005-0000-0000-000049870000}"/>
    <cellStyle name="Финансовый 3 3 2 6 3 3" xfId="29833" xr:uid="{00000000-0005-0000-0000-00004A870000}"/>
    <cellStyle name="Финансовый 3 3 2 6 4" xfId="8488" xr:uid="{00000000-0005-0000-0000-00004B870000}"/>
    <cellStyle name="Финансовый 3 3 2 6 4 2" xfId="20466" xr:uid="{00000000-0005-0000-0000-00004C870000}"/>
    <cellStyle name="Финансовый 3 3 2 6 4 2 2" xfId="44421" xr:uid="{00000000-0005-0000-0000-00004D870000}"/>
    <cellStyle name="Финансовый 3 3 2 6 4 3" xfId="32443" xr:uid="{00000000-0005-0000-0000-00004E870000}"/>
    <cellStyle name="Финансовый 3 3 2 6 5" xfId="10271" xr:uid="{00000000-0005-0000-0000-00004F870000}"/>
    <cellStyle name="Финансовый 3 3 2 6 5 2" xfId="22249" xr:uid="{00000000-0005-0000-0000-000050870000}"/>
    <cellStyle name="Финансовый 3 3 2 6 5 2 2" xfId="46204" xr:uid="{00000000-0005-0000-0000-000051870000}"/>
    <cellStyle name="Финансовый 3 3 2 6 5 3" xfId="34226" xr:uid="{00000000-0005-0000-0000-000052870000}"/>
    <cellStyle name="Финансовый 3 3 2 6 6" xfId="14429" xr:uid="{00000000-0005-0000-0000-000053870000}"/>
    <cellStyle name="Финансовый 3 3 2 6 6 2" xfId="38384" xr:uid="{00000000-0005-0000-0000-000054870000}"/>
    <cellStyle name="Финансовый 3 3 2 6 7" xfId="26407" xr:uid="{00000000-0005-0000-0000-000055870000}"/>
    <cellStyle name="Финансовый 3 3 2 6 8" xfId="49540" xr:uid="{00000000-0005-0000-0000-000056870000}"/>
    <cellStyle name="Финансовый 3 3 2 7" xfId="1677" xr:uid="{00000000-0005-0000-0000-000057870000}"/>
    <cellStyle name="Финансовый 3 3 2 7 2" xfId="3322" xr:uid="{00000000-0005-0000-0000-000058870000}"/>
    <cellStyle name="Финансовый 3 3 2 7 2 2" xfId="11070" xr:uid="{00000000-0005-0000-0000-000059870000}"/>
    <cellStyle name="Финансовый 3 3 2 7 2 2 2" xfId="23048" xr:uid="{00000000-0005-0000-0000-00005A870000}"/>
    <cellStyle name="Финансовый 3 3 2 7 2 2 2 2" xfId="47003" xr:uid="{00000000-0005-0000-0000-00005B870000}"/>
    <cellStyle name="Финансовый 3 3 2 7 2 2 3" xfId="35025" xr:uid="{00000000-0005-0000-0000-00005C870000}"/>
    <cellStyle name="Финансовый 3 3 2 7 2 3" xfId="15301" xr:uid="{00000000-0005-0000-0000-00005D870000}"/>
    <cellStyle name="Финансовый 3 3 2 7 2 3 2" xfId="39256" xr:uid="{00000000-0005-0000-0000-00005E870000}"/>
    <cellStyle name="Финансовый 3 3 2 7 2 4" xfId="27279" xr:uid="{00000000-0005-0000-0000-00005F870000}"/>
    <cellStyle name="Финансовый 3 3 2 7 2 5" xfId="50548" xr:uid="{00000000-0005-0000-0000-000060870000}"/>
    <cellStyle name="Финансовый 3 3 2 7 3" xfId="5105" xr:uid="{00000000-0005-0000-0000-000061870000}"/>
    <cellStyle name="Финансовый 3 3 2 7 3 2" xfId="17083" xr:uid="{00000000-0005-0000-0000-000062870000}"/>
    <cellStyle name="Финансовый 3 3 2 7 3 2 2" xfId="41038" xr:uid="{00000000-0005-0000-0000-000063870000}"/>
    <cellStyle name="Финансовый 3 3 2 7 3 3" xfId="29060" xr:uid="{00000000-0005-0000-0000-000064870000}"/>
    <cellStyle name="Финансовый 3 3 2 7 4" xfId="7715" xr:uid="{00000000-0005-0000-0000-000065870000}"/>
    <cellStyle name="Финансовый 3 3 2 7 4 2" xfId="19693" xr:uid="{00000000-0005-0000-0000-000066870000}"/>
    <cellStyle name="Финансовый 3 3 2 7 4 2 2" xfId="43648" xr:uid="{00000000-0005-0000-0000-000067870000}"/>
    <cellStyle name="Финансовый 3 3 2 7 4 3" xfId="31670" xr:uid="{00000000-0005-0000-0000-000068870000}"/>
    <cellStyle name="Финансовый 3 3 2 7 5" xfId="9498" xr:uid="{00000000-0005-0000-0000-000069870000}"/>
    <cellStyle name="Финансовый 3 3 2 7 5 2" xfId="21476" xr:uid="{00000000-0005-0000-0000-00006A870000}"/>
    <cellStyle name="Финансовый 3 3 2 7 5 2 2" xfId="45431" xr:uid="{00000000-0005-0000-0000-00006B870000}"/>
    <cellStyle name="Финансовый 3 3 2 7 5 3" xfId="33453" xr:uid="{00000000-0005-0000-0000-00006C870000}"/>
    <cellStyle name="Финансовый 3 3 2 7 6" xfId="13656" xr:uid="{00000000-0005-0000-0000-00006D870000}"/>
    <cellStyle name="Финансовый 3 3 2 7 6 2" xfId="37611" xr:uid="{00000000-0005-0000-0000-00006E870000}"/>
    <cellStyle name="Финансовый 3 3 2 7 7" xfId="25634" xr:uid="{00000000-0005-0000-0000-00006F870000}"/>
    <cellStyle name="Финансовый 3 3 2 7 8" xfId="48767" xr:uid="{00000000-0005-0000-0000-000070870000}"/>
    <cellStyle name="Финансовый 3 3 2 8" xfId="954" xr:uid="{00000000-0005-0000-0000-000071870000}"/>
    <cellStyle name="Финансовый 3 3 2 8 2" xfId="6994" xr:uid="{00000000-0005-0000-0000-000072870000}"/>
    <cellStyle name="Финансовый 3 3 2 8 2 2" xfId="18972" xr:uid="{00000000-0005-0000-0000-000073870000}"/>
    <cellStyle name="Финансовый 3 3 2 8 2 2 2" xfId="42927" xr:uid="{00000000-0005-0000-0000-000074870000}"/>
    <cellStyle name="Финансовый 3 3 2 8 2 3" xfId="30949" xr:uid="{00000000-0005-0000-0000-000075870000}"/>
    <cellStyle name="Финансовый 3 3 2 8 3" xfId="10542" xr:uid="{00000000-0005-0000-0000-000076870000}"/>
    <cellStyle name="Финансовый 3 3 2 8 3 2" xfId="22520" xr:uid="{00000000-0005-0000-0000-000077870000}"/>
    <cellStyle name="Финансовый 3 3 2 8 3 2 2" xfId="46475" xr:uid="{00000000-0005-0000-0000-000078870000}"/>
    <cellStyle name="Финансовый 3 3 2 8 3 3" xfId="34497" xr:uid="{00000000-0005-0000-0000-000079870000}"/>
    <cellStyle name="Финансовый 3 3 2 8 4" xfId="12935" xr:uid="{00000000-0005-0000-0000-00007A870000}"/>
    <cellStyle name="Финансовый 3 3 2 8 4 2" xfId="36890" xr:uid="{00000000-0005-0000-0000-00007B870000}"/>
    <cellStyle name="Финансовый 3 3 2 8 5" xfId="24913" xr:uid="{00000000-0005-0000-0000-00007C870000}"/>
    <cellStyle name="Финансовый 3 3 2 8 6" xfId="49819" xr:uid="{00000000-0005-0000-0000-00007D870000}"/>
    <cellStyle name="Финансовый 3 3 2 9" xfId="542" xr:uid="{00000000-0005-0000-0000-00007E870000}"/>
    <cellStyle name="Финансовый 3 3 2 9 2" xfId="6582" xr:uid="{00000000-0005-0000-0000-00007F870000}"/>
    <cellStyle name="Финансовый 3 3 2 9 2 2" xfId="18560" xr:uid="{00000000-0005-0000-0000-000080870000}"/>
    <cellStyle name="Финансовый 3 3 2 9 2 2 2" xfId="42515" xr:uid="{00000000-0005-0000-0000-000081870000}"/>
    <cellStyle name="Финансовый 3 3 2 9 2 3" xfId="30537" xr:uid="{00000000-0005-0000-0000-000082870000}"/>
    <cellStyle name="Финансовый 3 3 2 9 3" xfId="12523" xr:uid="{00000000-0005-0000-0000-000083870000}"/>
    <cellStyle name="Финансовый 3 3 2 9 3 2" xfId="36478" xr:uid="{00000000-0005-0000-0000-000084870000}"/>
    <cellStyle name="Финансовый 3 3 2 9 4" xfId="24501" xr:uid="{00000000-0005-0000-0000-000085870000}"/>
    <cellStyle name="Финансовый 3 3 3" xfId="85" xr:uid="{00000000-0005-0000-0000-000086870000}"/>
    <cellStyle name="Финансовый 3 3 3 10" xfId="2695" xr:uid="{00000000-0005-0000-0000-000087870000}"/>
    <cellStyle name="Финансовый 3 3 3 10 2" xfId="14674" xr:uid="{00000000-0005-0000-0000-000088870000}"/>
    <cellStyle name="Финансовый 3 3 3 10 2 2" xfId="38629" xr:uid="{00000000-0005-0000-0000-000089870000}"/>
    <cellStyle name="Финансовый 3 3 3 10 3" xfId="26652" xr:uid="{00000000-0005-0000-0000-00008A870000}"/>
    <cellStyle name="Финансовый 3 3 3 11" xfId="4339" xr:uid="{00000000-0005-0000-0000-00008B870000}"/>
    <cellStyle name="Финансовый 3 3 3 11 2" xfId="16318" xr:uid="{00000000-0005-0000-0000-00008C870000}"/>
    <cellStyle name="Финансовый 3 3 3 11 2 2" xfId="40273" xr:uid="{00000000-0005-0000-0000-00008D870000}"/>
    <cellStyle name="Финансовый 3 3 3 11 3" xfId="28296" xr:uid="{00000000-0005-0000-0000-00008E870000}"/>
    <cellStyle name="Финансовый 3 3 3 12" xfId="6126" xr:uid="{00000000-0005-0000-0000-00008F870000}"/>
    <cellStyle name="Финансовый 3 3 3 12 2" xfId="18104" xr:uid="{00000000-0005-0000-0000-000090870000}"/>
    <cellStyle name="Финансовый 3 3 3 12 2 2" xfId="42059" xr:uid="{00000000-0005-0000-0000-000091870000}"/>
    <cellStyle name="Финансовый 3 3 3 12 3" xfId="30081" xr:uid="{00000000-0005-0000-0000-000092870000}"/>
    <cellStyle name="Финансовый 3 3 3 13" xfId="8733" xr:uid="{00000000-0005-0000-0000-000093870000}"/>
    <cellStyle name="Финансовый 3 3 3 13 2" xfId="20711" xr:uid="{00000000-0005-0000-0000-000094870000}"/>
    <cellStyle name="Финансовый 3 3 3 13 2 2" xfId="44666" xr:uid="{00000000-0005-0000-0000-000095870000}"/>
    <cellStyle name="Финансовый 3 3 3 13 3" xfId="32688" xr:uid="{00000000-0005-0000-0000-000096870000}"/>
    <cellStyle name="Финансовый 3 3 3 14" xfId="12067" xr:uid="{00000000-0005-0000-0000-000097870000}"/>
    <cellStyle name="Финансовый 3 3 3 14 2" xfId="36022" xr:uid="{00000000-0005-0000-0000-000098870000}"/>
    <cellStyle name="Финансовый 3 3 3 15" xfId="24045" xr:uid="{00000000-0005-0000-0000-000099870000}"/>
    <cellStyle name="Финансовый 3 3 3 16" xfId="48003" xr:uid="{00000000-0005-0000-0000-00009A870000}"/>
    <cellStyle name="Финансовый 3 3 3 2" xfId="221" xr:uid="{00000000-0005-0000-0000-00009B870000}"/>
    <cellStyle name="Финансовый 3 3 3 2 10" xfId="8869" xr:uid="{00000000-0005-0000-0000-00009C870000}"/>
    <cellStyle name="Финансовый 3 3 3 2 10 2" xfId="20847" xr:uid="{00000000-0005-0000-0000-00009D870000}"/>
    <cellStyle name="Финансовый 3 3 3 2 10 2 2" xfId="44802" xr:uid="{00000000-0005-0000-0000-00009E870000}"/>
    <cellStyle name="Финансовый 3 3 3 2 10 3" xfId="32824" xr:uid="{00000000-0005-0000-0000-00009F870000}"/>
    <cellStyle name="Финансовый 3 3 3 2 11" xfId="12203" xr:uid="{00000000-0005-0000-0000-0000A0870000}"/>
    <cellStyle name="Финансовый 3 3 3 2 11 2" xfId="36158" xr:uid="{00000000-0005-0000-0000-0000A1870000}"/>
    <cellStyle name="Финансовый 3 3 3 2 12" xfId="24181" xr:uid="{00000000-0005-0000-0000-0000A2870000}"/>
    <cellStyle name="Финансовый 3 3 3 2 13" xfId="48139" xr:uid="{00000000-0005-0000-0000-0000A3870000}"/>
    <cellStyle name="Финансовый 3 3 3 2 2" xfId="1319" xr:uid="{00000000-0005-0000-0000-0000A4870000}"/>
    <cellStyle name="Финансовый 3 3 3 2 2 2" xfId="2277" xr:uid="{00000000-0005-0000-0000-0000A5870000}"/>
    <cellStyle name="Финансовый 3 3 3 2 2 2 2" xfId="3922" xr:uid="{00000000-0005-0000-0000-0000A6870000}"/>
    <cellStyle name="Финансовый 3 3 3 2 2 2 2 2" xfId="11662" xr:uid="{00000000-0005-0000-0000-0000A7870000}"/>
    <cellStyle name="Финансовый 3 3 3 2 2 2 2 2 2" xfId="23640" xr:uid="{00000000-0005-0000-0000-0000A8870000}"/>
    <cellStyle name="Финансовый 3 3 3 2 2 2 2 2 2 2" xfId="47595" xr:uid="{00000000-0005-0000-0000-0000A9870000}"/>
    <cellStyle name="Финансовый 3 3 3 2 2 2 2 2 3" xfId="35617" xr:uid="{00000000-0005-0000-0000-0000AA870000}"/>
    <cellStyle name="Финансовый 3 3 3 2 2 2 2 3" xfId="15901" xr:uid="{00000000-0005-0000-0000-0000AB870000}"/>
    <cellStyle name="Финансовый 3 3 3 2 2 2 2 3 2" xfId="39856" xr:uid="{00000000-0005-0000-0000-0000AC870000}"/>
    <cellStyle name="Финансовый 3 3 3 2 2 2 2 4" xfId="27879" xr:uid="{00000000-0005-0000-0000-0000AD870000}"/>
    <cellStyle name="Финансовый 3 3 3 2 2 2 2 5" xfId="51148" xr:uid="{00000000-0005-0000-0000-0000AE870000}"/>
    <cellStyle name="Финансовый 3 3 3 2 2 2 3" xfId="5705" xr:uid="{00000000-0005-0000-0000-0000AF870000}"/>
    <cellStyle name="Финансовый 3 3 3 2 2 2 3 2" xfId="17683" xr:uid="{00000000-0005-0000-0000-0000B0870000}"/>
    <cellStyle name="Финансовый 3 3 3 2 2 2 3 2 2" xfId="41638" xr:uid="{00000000-0005-0000-0000-0000B1870000}"/>
    <cellStyle name="Финансовый 3 3 3 2 2 2 3 3" xfId="29660" xr:uid="{00000000-0005-0000-0000-0000B2870000}"/>
    <cellStyle name="Финансовый 3 3 3 2 2 2 4" xfId="8315" xr:uid="{00000000-0005-0000-0000-0000B3870000}"/>
    <cellStyle name="Финансовый 3 3 3 2 2 2 4 2" xfId="20293" xr:uid="{00000000-0005-0000-0000-0000B4870000}"/>
    <cellStyle name="Финансовый 3 3 3 2 2 2 4 2 2" xfId="44248" xr:uid="{00000000-0005-0000-0000-0000B5870000}"/>
    <cellStyle name="Финансовый 3 3 3 2 2 2 4 3" xfId="32270" xr:uid="{00000000-0005-0000-0000-0000B6870000}"/>
    <cellStyle name="Финансовый 3 3 3 2 2 2 5" xfId="10098" xr:uid="{00000000-0005-0000-0000-0000B7870000}"/>
    <cellStyle name="Финансовый 3 3 3 2 2 2 5 2" xfId="22076" xr:uid="{00000000-0005-0000-0000-0000B8870000}"/>
    <cellStyle name="Финансовый 3 3 3 2 2 2 5 2 2" xfId="46031" xr:uid="{00000000-0005-0000-0000-0000B9870000}"/>
    <cellStyle name="Финансовый 3 3 3 2 2 2 5 3" xfId="34053" xr:uid="{00000000-0005-0000-0000-0000BA870000}"/>
    <cellStyle name="Финансовый 3 3 3 2 2 2 6" xfId="14256" xr:uid="{00000000-0005-0000-0000-0000BB870000}"/>
    <cellStyle name="Финансовый 3 3 3 2 2 2 6 2" xfId="38211" xr:uid="{00000000-0005-0000-0000-0000BC870000}"/>
    <cellStyle name="Финансовый 3 3 3 2 2 2 7" xfId="26234" xr:uid="{00000000-0005-0000-0000-0000BD870000}"/>
    <cellStyle name="Финансовый 3 3 3 2 2 2 8" xfId="49367" xr:uid="{00000000-0005-0000-0000-0000BE870000}"/>
    <cellStyle name="Финансовый 3 3 3 2 2 3" xfId="3103" xr:uid="{00000000-0005-0000-0000-0000BF870000}"/>
    <cellStyle name="Финансовый 3 3 3 2 2 3 2" xfId="10890" xr:uid="{00000000-0005-0000-0000-0000C0870000}"/>
    <cellStyle name="Финансовый 3 3 3 2 2 3 2 2" xfId="22868" xr:uid="{00000000-0005-0000-0000-0000C1870000}"/>
    <cellStyle name="Финансовый 3 3 3 2 2 3 2 2 2" xfId="46823" xr:uid="{00000000-0005-0000-0000-0000C2870000}"/>
    <cellStyle name="Финансовый 3 3 3 2 2 3 2 3" xfId="34845" xr:uid="{00000000-0005-0000-0000-0000C3870000}"/>
    <cellStyle name="Финансовый 3 3 3 2 2 3 3" xfId="15082" xr:uid="{00000000-0005-0000-0000-0000C4870000}"/>
    <cellStyle name="Финансовый 3 3 3 2 2 3 3 2" xfId="39037" xr:uid="{00000000-0005-0000-0000-0000C5870000}"/>
    <cellStyle name="Финансовый 3 3 3 2 2 3 4" xfId="27060" xr:uid="{00000000-0005-0000-0000-0000C6870000}"/>
    <cellStyle name="Финансовый 3 3 3 2 2 3 5" xfId="50191" xr:uid="{00000000-0005-0000-0000-0000C7870000}"/>
    <cellStyle name="Финансовый 3 3 3 2 2 4" xfId="4747" xr:uid="{00000000-0005-0000-0000-0000C8870000}"/>
    <cellStyle name="Финансовый 3 3 3 2 2 4 2" xfId="16726" xr:uid="{00000000-0005-0000-0000-0000C9870000}"/>
    <cellStyle name="Финансовый 3 3 3 2 2 4 2 2" xfId="40681" xr:uid="{00000000-0005-0000-0000-0000CA870000}"/>
    <cellStyle name="Финансовый 3 3 3 2 2 4 3" xfId="28704" xr:uid="{00000000-0005-0000-0000-0000CB870000}"/>
    <cellStyle name="Финансовый 3 3 3 2 2 5" xfId="7359" xr:uid="{00000000-0005-0000-0000-0000CC870000}"/>
    <cellStyle name="Финансовый 3 3 3 2 2 5 2" xfId="19337" xr:uid="{00000000-0005-0000-0000-0000CD870000}"/>
    <cellStyle name="Финансовый 3 3 3 2 2 5 2 2" xfId="43292" xr:uid="{00000000-0005-0000-0000-0000CE870000}"/>
    <cellStyle name="Финансовый 3 3 3 2 2 5 3" xfId="31314" xr:uid="{00000000-0005-0000-0000-0000CF870000}"/>
    <cellStyle name="Финансовый 3 3 3 2 2 6" xfId="9141" xr:uid="{00000000-0005-0000-0000-0000D0870000}"/>
    <cellStyle name="Финансовый 3 3 3 2 2 6 2" xfId="21119" xr:uid="{00000000-0005-0000-0000-0000D1870000}"/>
    <cellStyle name="Финансовый 3 3 3 2 2 6 2 2" xfId="45074" xr:uid="{00000000-0005-0000-0000-0000D2870000}"/>
    <cellStyle name="Финансовый 3 3 3 2 2 6 3" xfId="33096" xr:uid="{00000000-0005-0000-0000-0000D3870000}"/>
    <cellStyle name="Финансовый 3 3 3 2 2 7" xfId="13300" xr:uid="{00000000-0005-0000-0000-0000D4870000}"/>
    <cellStyle name="Финансовый 3 3 3 2 2 7 2" xfId="37255" xr:uid="{00000000-0005-0000-0000-0000D5870000}"/>
    <cellStyle name="Финансовый 3 3 3 2 2 8" xfId="25278" xr:uid="{00000000-0005-0000-0000-0000D6870000}"/>
    <cellStyle name="Финансовый 3 3 3 2 2 9" xfId="48411" xr:uid="{00000000-0005-0000-0000-0000D7870000}"/>
    <cellStyle name="Финансовый 3 3 3 2 3" xfId="2021" xr:uid="{00000000-0005-0000-0000-0000D8870000}"/>
    <cellStyle name="Финансовый 3 3 3 2 3 2" xfId="3666" xr:uid="{00000000-0005-0000-0000-0000D9870000}"/>
    <cellStyle name="Финансовый 3 3 3 2 3 2 2" xfId="11406" xr:uid="{00000000-0005-0000-0000-0000DA870000}"/>
    <cellStyle name="Финансовый 3 3 3 2 3 2 2 2" xfId="23384" xr:uid="{00000000-0005-0000-0000-0000DB870000}"/>
    <cellStyle name="Финансовый 3 3 3 2 3 2 2 2 2" xfId="47339" xr:uid="{00000000-0005-0000-0000-0000DC870000}"/>
    <cellStyle name="Финансовый 3 3 3 2 3 2 2 3" xfId="35361" xr:uid="{00000000-0005-0000-0000-0000DD870000}"/>
    <cellStyle name="Финансовый 3 3 3 2 3 2 3" xfId="15645" xr:uid="{00000000-0005-0000-0000-0000DE870000}"/>
    <cellStyle name="Финансовый 3 3 3 2 3 2 3 2" xfId="39600" xr:uid="{00000000-0005-0000-0000-0000DF870000}"/>
    <cellStyle name="Финансовый 3 3 3 2 3 2 4" xfId="27623" xr:uid="{00000000-0005-0000-0000-0000E0870000}"/>
    <cellStyle name="Финансовый 3 3 3 2 3 2 5" xfId="50892" xr:uid="{00000000-0005-0000-0000-0000E1870000}"/>
    <cellStyle name="Финансовый 3 3 3 2 3 3" xfId="5449" xr:uid="{00000000-0005-0000-0000-0000E2870000}"/>
    <cellStyle name="Финансовый 3 3 3 2 3 3 2" xfId="17427" xr:uid="{00000000-0005-0000-0000-0000E3870000}"/>
    <cellStyle name="Финансовый 3 3 3 2 3 3 2 2" xfId="41382" xr:uid="{00000000-0005-0000-0000-0000E4870000}"/>
    <cellStyle name="Финансовый 3 3 3 2 3 3 3" xfId="29404" xr:uid="{00000000-0005-0000-0000-0000E5870000}"/>
    <cellStyle name="Финансовый 3 3 3 2 3 4" xfId="8059" xr:uid="{00000000-0005-0000-0000-0000E6870000}"/>
    <cellStyle name="Финансовый 3 3 3 2 3 4 2" xfId="20037" xr:uid="{00000000-0005-0000-0000-0000E7870000}"/>
    <cellStyle name="Финансовый 3 3 3 2 3 4 2 2" xfId="43992" xr:uid="{00000000-0005-0000-0000-0000E8870000}"/>
    <cellStyle name="Финансовый 3 3 3 2 3 4 3" xfId="32014" xr:uid="{00000000-0005-0000-0000-0000E9870000}"/>
    <cellStyle name="Финансовый 3 3 3 2 3 5" xfId="9842" xr:uid="{00000000-0005-0000-0000-0000EA870000}"/>
    <cellStyle name="Финансовый 3 3 3 2 3 5 2" xfId="21820" xr:uid="{00000000-0005-0000-0000-0000EB870000}"/>
    <cellStyle name="Финансовый 3 3 3 2 3 5 2 2" xfId="45775" xr:uid="{00000000-0005-0000-0000-0000EC870000}"/>
    <cellStyle name="Финансовый 3 3 3 2 3 5 3" xfId="33797" xr:uid="{00000000-0005-0000-0000-0000ED870000}"/>
    <cellStyle name="Финансовый 3 3 3 2 3 6" xfId="14000" xr:uid="{00000000-0005-0000-0000-0000EE870000}"/>
    <cellStyle name="Финансовый 3 3 3 2 3 6 2" xfId="37955" xr:uid="{00000000-0005-0000-0000-0000EF870000}"/>
    <cellStyle name="Финансовый 3 3 3 2 3 7" xfId="25978" xr:uid="{00000000-0005-0000-0000-0000F0870000}"/>
    <cellStyle name="Финансовый 3 3 3 2 3 8" xfId="49111" xr:uid="{00000000-0005-0000-0000-0000F1870000}"/>
    <cellStyle name="Финансовый 3 3 3 2 4" xfId="2550" xr:uid="{00000000-0005-0000-0000-0000F2870000}"/>
    <cellStyle name="Финансовый 3 3 3 2 4 2" xfId="4195" xr:uid="{00000000-0005-0000-0000-0000F3870000}"/>
    <cellStyle name="Финансовый 3 3 3 2 4 2 2" xfId="11919" xr:uid="{00000000-0005-0000-0000-0000F4870000}"/>
    <cellStyle name="Финансовый 3 3 3 2 4 2 2 2" xfId="23897" xr:uid="{00000000-0005-0000-0000-0000F5870000}"/>
    <cellStyle name="Финансовый 3 3 3 2 4 2 2 2 2" xfId="47852" xr:uid="{00000000-0005-0000-0000-0000F6870000}"/>
    <cellStyle name="Финансовый 3 3 3 2 4 2 2 3" xfId="35874" xr:uid="{00000000-0005-0000-0000-0000F7870000}"/>
    <cellStyle name="Финансовый 3 3 3 2 4 2 3" xfId="16174" xr:uid="{00000000-0005-0000-0000-0000F8870000}"/>
    <cellStyle name="Финансовый 3 3 3 2 4 2 3 2" xfId="40129" xr:uid="{00000000-0005-0000-0000-0000F9870000}"/>
    <cellStyle name="Финансовый 3 3 3 2 4 2 4" xfId="28152" xr:uid="{00000000-0005-0000-0000-0000FA870000}"/>
    <cellStyle name="Финансовый 3 3 3 2 4 2 5" xfId="51421" xr:uid="{00000000-0005-0000-0000-0000FB870000}"/>
    <cellStyle name="Финансовый 3 3 3 2 4 3" xfId="5978" xr:uid="{00000000-0005-0000-0000-0000FC870000}"/>
    <cellStyle name="Финансовый 3 3 3 2 4 3 2" xfId="17956" xr:uid="{00000000-0005-0000-0000-0000FD870000}"/>
    <cellStyle name="Финансовый 3 3 3 2 4 3 2 2" xfId="41911" xr:uid="{00000000-0005-0000-0000-0000FE870000}"/>
    <cellStyle name="Финансовый 3 3 3 2 4 3 3" xfId="29933" xr:uid="{00000000-0005-0000-0000-0000FF870000}"/>
    <cellStyle name="Финансовый 3 3 3 2 4 4" xfId="8588" xr:uid="{00000000-0005-0000-0000-000000880000}"/>
    <cellStyle name="Финансовый 3 3 3 2 4 4 2" xfId="20566" xr:uid="{00000000-0005-0000-0000-000001880000}"/>
    <cellStyle name="Финансовый 3 3 3 2 4 4 2 2" xfId="44521" xr:uid="{00000000-0005-0000-0000-000002880000}"/>
    <cellStyle name="Финансовый 3 3 3 2 4 4 3" xfId="32543" xr:uid="{00000000-0005-0000-0000-000003880000}"/>
    <cellStyle name="Финансовый 3 3 3 2 4 5" xfId="10371" xr:uid="{00000000-0005-0000-0000-000004880000}"/>
    <cellStyle name="Финансовый 3 3 3 2 4 5 2" xfId="22349" xr:uid="{00000000-0005-0000-0000-000005880000}"/>
    <cellStyle name="Финансовый 3 3 3 2 4 5 2 2" xfId="46304" xr:uid="{00000000-0005-0000-0000-000006880000}"/>
    <cellStyle name="Финансовый 3 3 3 2 4 5 3" xfId="34326" xr:uid="{00000000-0005-0000-0000-000007880000}"/>
    <cellStyle name="Финансовый 3 3 3 2 4 6" xfId="14529" xr:uid="{00000000-0005-0000-0000-000008880000}"/>
    <cellStyle name="Финансовый 3 3 3 2 4 6 2" xfId="38484" xr:uid="{00000000-0005-0000-0000-000009880000}"/>
    <cellStyle name="Финансовый 3 3 3 2 4 7" xfId="26507" xr:uid="{00000000-0005-0000-0000-00000A880000}"/>
    <cellStyle name="Финансовый 3 3 3 2 4 8" xfId="49640" xr:uid="{00000000-0005-0000-0000-00000B880000}"/>
    <cellStyle name="Финансовый 3 3 3 2 5" xfId="1054" xr:uid="{00000000-0005-0000-0000-00000C880000}"/>
    <cellStyle name="Финансовый 3 3 3 2 5 2" xfId="7094" xr:uid="{00000000-0005-0000-0000-00000D880000}"/>
    <cellStyle name="Финансовый 3 3 3 2 5 2 2" xfId="19072" xr:uid="{00000000-0005-0000-0000-00000E880000}"/>
    <cellStyle name="Финансовый 3 3 3 2 5 2 2 2" xfId="43027" xr:uid="{00000000-0005-0000-0000-00000F880000}"/>
    <cellStyle name="Финансовый 3 3 3 2 5 2 3" xfId="31049" xr:uid="{00000000-0005-0000-0000-000010880000}"/>
    <cellStyle name="Финансовый 3 3 3 2 5 3" xfId="10634" xr:uid="{00000000-0005-0000-0000-000011880000}"/>
    <cellStyle name="Финансовый 3 3 3 2 5 3 2" xfId="22612" xr:uid="{00000000-0005-0000-0000-000012880000}"/>
    <cellStyle name="Финансовый 3 3 3 2 5 3 2 2" xfId="46567" xr:uid="{00000000-0005-0000-0000-000013880000}"/>
    <cellStyle name="Финансовый 3 3 3 2 5 3 3" xfId="34589" xr:uid="{00000000-0005-0000-0000-000014880000}"/>
    <cellStyle name="Финансовый 3 3 3 2 5 4" xfId="13035" xr:uid="{00000000-0005-0000-0000-000015880000}"/>
    <cellStyle name="Финансовый 3 3 3 2 5 4 2" xfId="36990" xr:uid="{00000000-0005-0000-0000-000016880000}"/>
    <cellStyle name="Финансовый 3 3 3 2 5 5" xfId="25013" xr:uid="{00000000-0005-0000-0000-000017880000}"/>
    <cellStyle name="Финансовый 3 3 3 2 5 6" xfId="49919" xr:uid="{00000000-0005-0000-0000-000018880000}"/>
    <cellStyle name="Финансовый 3 3 3 2 6" xfId="642" xr:uid="{00000000-0005-0000-0000-000019880000}"/>
    <cellStyle name="Финансовый 3 3 3 2 6 2" xfId="6682" xr:uid="{00000000-0005-0000-0000-00001A880000}"/>
    <cellStyle name="Финансовый 3 3 3 2 6 2 2" xfId="18660" xr:uid="{00000000-0005-0000-0000-00001B880000}"/>
    <cellStyle name="Финансовый 3 3 3 2 6 2 2 2" xfId="42615" xr:uid="{00000000-0005-0000-0000-00001C880000}"/>
    <cellStyle name="Финансовый 3 3 3 2 6 2 3" xfId="30637" xr:uid="{00000000-0005-0000-0000-00001D880000}"/>
    <cellStyle name="Финансовый 3 3 3 2 6 3" xfId="12623" xr:uid="{00000000-0005-0000-0000-00001E880000}"/>
    <cellStyle name="Финансовый 3 3 3 2 6 3 2" xfId="36578" xr:uid="{00000000-0005-0000-0000-00001F880000}"/>
    <cellStyle name="Финансовый 3 3 3 2 6 4" xfId="24601" xr:uid="{00000000-0005-0000-0000-000020880000}"/>
    <cellStyle name="Финансовый 3 3 3 2 7" xfId="2831" xr:uid="{00000000-0005-0000-0000-000021880000}"/>
    <cellStyle name="Финансовый 3 3 3 2 7 2" xfId="14810" xr:uid="{00000000-0005-0000-0000-000022880000}"/>
    <cellStyle name="Финансовый 3 3 3 2 7 2 2" xfId="38765" xr:uid="{00000000-0005-0000-0000-000023880000}"/>
    <cellStyle name="Финансовый 3 3 3 2 7 3" xfId="26788" xr:uid="{00000000-0005-0000-0000-000024880000}"/>
    <cellStyle name="Финансовый 3 3 3 2 8" xfId="4475" xr:uid="{00000000-0005-0000-0000-000025880000}"/>
    <cellStyle name="Финансовый 3 3 3 2 8 2" xfId="16454" xr:uid="{00000000-0005-0000-0000-000026880000}"/>
    <cellStyle name="Финансовый 3 3 3 2 8 2 2" xfId="40409" xr:uid="{00000000-0005-0000-0000-000027880000}"/>
    <cellStyle name="Финансовый 3 3 3 2 8 3" xfId="28432" xr:uid="{00000000-0005-0000-0000-000028880000}"/>
    <cellStyle name="Финансовый 3 3 3 2 9" xfId="6262" xr:uid="{00000000-0005-0000-0000-000029880000}"/>
    <cellStyle name="Финансовый 3 3 3 2 9 2" xfId="18240" xr:uid="{00000000-0005-0000-0000-00002A880000}"/>
    <cellStyle name="Финансовый 3 3 3 2 9 2 2" xfId="42195" xr:uid="{00000000-0005-0000-0000-00002B880000}"/>
    <cellStyle name="Финансовый 3 3 3 2 9 3" xfId="30217" xr:uid="{00000000-0005-0000-0000-00002C880000}"/>
    <cellStyle name="Финансовый 3 3 3 3" xfId="370" xr:uid="{00000000-0005-0000-0000-00002D880000}"/>
    <cellStyle name="Финансовый 3 3 3 3 10" xfId="24329" xr:uid="{00000000-0005-0000-0000-00002E880000}"/>
    <cellStyle name="Финансовый 3 3 3 3 11" xfId="48275" xr:uid="{00000000-0005-0000-0000-00002F880000}"/>
    <cellStyle name="Финансовый 3 3 3 3 2" xfId="2149" xr:uid="{00000000-0005-0000-0000-000030880000}"/>
    <cellStyle name="Финансовый 3 3 3 3 2 2" xfId="3794" xr:uid="{00000000-0005-0000-0000-000031880000}"/>
    <cellStyle name="Финансовый 3 3 3 3 2 2 2" xfId="11534" xr:uid="{00000000-0005-0000-0000-000032880000}"/>
    <cellStyle name="Финансовый 3 3 3 3 2 2 2 2" xfId="23512" xr:uid="{00000000-0005-0000-0000-000033880000}"/>
    <cellStyle name="Финансовый 3 3 3 3 2 2 2 2 2" xfId="47467" xr:uid="{00000000-0005-0000-0000-000034880000}"/>
    <cellStyle name="Финансовый 3 3 3 3 2 2 2 3" xfId="35489" xr:uid="{00000000-0005-0000-0000-000035880000}"/>
    <cellStyle name="Финансовый 3 3 3 3 2 2 3" xfId="15773" xr:uid="{00000000-0005-0000-0000-000036880000}"/>
    <cellStyle name="Финансовый 3 3 3 3 2 2 3 2" xfId="39728" xr:uid="{00000000-0005-0000-0000-000037880000}"/>
    <cellStyle name="Финансовый 3 3 3 3 2 2 4" xfId="27751" xr:uid="{00000000-0005-0000-0000-000038880000}"/>
    <cellStyle name="Финансовый 3 3 3 3 2 2 5" xfId="51020" xr:uid="{00000000-0005-0000-0000-000039880000}"/>
    <cellStyle name="Финансовый 3 3 3 3 2 3" xfId="5577" xr:uid="{00000000-0005-0000-0000-00003A880000}"/>
    <cellStyle name="Финансовый 3 3 3 3 2 3 2" xfId="17555" xr:uid="{00000000-0005-0000-0000-00003B880000}"/>
    <cellStyle name="Финансовый 3 3 3 3 2 3 2 2" xfId="41510" xr:uid="{00000000-0005-0000-0000-00003C880000}"/>
    <cellStyle name="Финансовый 3 3 3 3 2 3 3" xfId="29532" xr:uid="{00000000-0005-0000-0000-00003D880000}"/>
    <cellStyle name="Финансовый 3 3 3 3 2 4" xfId="8187" xr:uid="{00000000-0005-0000-0000-00003E880000}"/>
    <cellStyle name="Финансовый 3 3 3 3 2 4 2" xfId="20165" xr:uid="{00000000-0005-0000-0000-00003F880000}"/>
    <cellStyle name="Финансовый 3 3 3 3 2 4 2 2" xfId="44120" xr:uid="{00000000-0005-0000-0000-000040880000}"/>
    <cellStyle name="Финансовый 3 3 3 3 2 4 3" xfId="32142" xr:uid="{00000000-0005-0000-0000-000041880000}"/>
    <cellStyle name="Финансовый 3 3 3 3 2 5" xfId="9970" xr:uid="{00000000-0005-0000-0000-000042880000}"/>
    <cellStyle name="Финансовый 3 3 3 3 2 5 2" xfId="21948" xr:uid="{00000000-0005-0000-0000-000043880000}"/>
    <cellStyle name="Финансовый 3 3 3 3 2 5 2 2" xfId="45903" xr:uid="{00000000-0005-0000-0000-000044880000}"/>
    <cellStyle name="Финансовый 3 3 3 3 2 5 3" xfId="33925" xr:uid="{00000000-0005-0000-0000-000045880000}"/>
    <cellStyle name="Финансовый 3 3 3 3 2 6" xfId="14128" xr:uid="{00000000-0005-0000-0000-000046880000}"/>
    <cellStyle name="Финансовый 3 3 3 3 2 6 2" xfId="38083" xr:uid="{00000000-0005-0000-0000-000047880000}"/>
    <cellStyle name="Финансовый 3 3 3 3 2 7" xfId="26106" xr:uid="{00000000-0005-0000-0000-000048880000}"/>
    <cellStyle name="Финансовый 3 3 3 3 2 8" xfId="49239" xr:uid="{00000000-0005-0000-0000-000049880000}"/>
    <cellStyle name="Финансовый 3 3 3 3 3" xfId="1183" xr:uid="{00000000-0005-0000-0000-00004A880000}"/>
    <cellStyle name="Финансовый 3 3 3 3 3 2" xfId="7223" xr:uid="{00000000-0005-0000-0000-00004B880000}"/>
    <cellStyle name="Финансовый 3 3 3 3 3 2 2" xfId="19201" xr:uid="{00000000-0005-0000-0000-00004C880000}"/>
    <cellStyle name="Финансовый 3 3 3 3 3 2 2 2" xfId="43156" xr:uid="{00000000-0005-0000-0000-00004D880000}"/>
    <cellStyle name="Финансовый 3 3 3 3 3 2 3" xfId="31178" xr:uid="{00000000-0005-0000-0000-00004E880000}"/>
    <cellStyle name="Финансовый 3 3 3 3 3 3" xfId="10762" xr:uid="{00000000-0005-0000-0000-00004F880000}"/>
    <cellStyle name="Финансовый 3 3 3 3 3 3 2" xfId="22740" xr:uid="{00000000-0005-0000-0000-000050880000}"/>
    <cellStyle name="Финансовый 3 3 3 3 3 3 2 2" xfId="46695" xr:uid="{00000000-0005-0000-0000-000051880000}"/>
    <cellStyle name="Финансовый 3 3 3 3 3 3 3" xfId="34717" xr:uid="{00000000-0005-0000-0000-000052880000}"/>
    <cellStyle name="Финансовый 3 3 3 3 3 4" xfId="13164" xr:uid="{00000000-0005-0000-0000-000053880000}"/>
    <cellStyle name="Финансовый 3 3 3 3 3 4 2" xfId="37119" xr:uid="{00000000-0005-0000-0000-000054880000}"/>
    <cellStyle name="Финансовый 3 3 3 3 3 5" xfId="25142" xr:uid="{00000000-0005-0000-0000-000055880000}"/>
    <cellStyle name="Финансовый 3 3 3 3 3 6" xfId="50055" xr:uid="{00000000-0005-0000-0000-000056880000}"/>
    <cellStyle name="Финансовый 3 3 3 3 4" xfId="790" xr:uid="{00000000-0005-0000-0000-000057880000}"/>
    <cellStyle name="Финансовый 3 3 3 3 4 2" xfId="6830" xr:uid="{00000000-0005-0000-0000-000058880000}"/>
    <cellStyle name="Финансовый 3 3 3 3 4 2 2" xfId="18808" xr:uid="{00000000-0005-0000-0000-000059880000}"/>
    <cellStyle name="Финансовый 3 3 3 3 4 2 2 2" xfId="42763" xr:uid="{00000000-0005-0000-0000-00005A880000}"/>
    <cellStyle name="Финансовый 3 3 3 3 4 2 3" xfId="30785" xr:uid="{00000000-0005-0000-0000-00005B880000}"/>
    <cellStyle name="Финансовый 3 3 3 3 4 3" xfId="12771" xr:uid="{00000000-0005-0000-0000-00005C880000}"/>
    <cellStyle name="Финансовый 3 3 3 3 4 3 2" xfId="36726" xr:uid="{00000000-0005-0000-0000-00005D880000}"/>
    <cellStyle name="Финансовый 3 3 3 3 4 4" xfId="24749" xr:uid="{00000000-0005-0000-0000-00005E880000}"/>
    <cellStyle name="Финансовый 3 3 3 3 5" xfId="2967" xr:uid="{00000000-0005-0000-0000-00005F880000}"/>
    <cellStyle name="Финансовый 3 3 3 3 5 2" xfId="14946" xr:uid="{00000000-0005-0000-0000-000060880000}"/>
    <cellStyle name="Финансовый 3 3 3 3 5 2 2" xfId="38901" xr:uid="{00000000-0005-0000-0000-000061880000}"/>
    <cellStyle name="Финансовый 3 3 3 3 5 3" xfId="26924" xr:uid="{00000000-0005-0000-0000-000062880000}"/>
    <cellStyle name="Финансовый 3 3 3 3 6" xfId="4611" xr:uid="{00000000-0005-0000-0000-000063880000}"/>
    <cellStyle name="Финансовый 3 3 3 3 6 2" xfId="16590" xr:uid="{00000000-0005-0000-0000-000064880000}"/>
    <cellStyle name="Финансовый 3 3 3 3 6 2 2" xfId="40545" xr:uid="{00000000-0005-0000-0000-000065880000}"/>
    <cellStyle name="Финансовый 3 3 3 3 6 3" xfId="28568" xr:uid="{00000000-0005-0000-0000-000066880000}"/>
    <cellStyle name="Финансовый 3 3 3 3 7" xfId="6410" xr:uid="{00000000-0005-0000-0000-000067880000}"/>
    <cellStyle name="Финансовый 3 3 3 3 7 2" xfId="18388" xr:uid="{00000000-0005-0000-0000-000068880000}"/>
    <cellStyle name="Финансовый 3 3 3 3 7 2 2" xfId="42343" xr:uid="{00000000-0005-0000-0000-000069880000}"/>
    <cellStyle name="Финансовый 3 3 3 3 7 3" xfId="30365" xr:uid="{00000000-0005-0000-0000-00006A880000}"/>
    <cellStyle name="Финансовый 3 3 3 3 8" xfId="9005" xr:uid="{00000000-0005-0000-0000-00006B880000}"/>
    <cellStyle name="Финансовый 3 3 3 3 8 2" xfId="20983" xr:uid="{00000000-0005-0000-0000-00006C880000}"/>
    <cellStyle name="Финансовый 3 3 3 3 8 2 2" xfId="44938" xr:uid="{00000000-0005-0000-0000-00006D880000}"/>
    <cellStyle name="Финансовый 3 3 3 3 8 3" xfId="32960" xr:uid="{00000000-0005-0000-0000-00006E880000}"/>
    <cellStyle name="Финансовый 3 3 3 3 9" xfId="12351" xr:uid="{00000000-0005-0000-0000-00006F880000}"/>
    <cellStyle name="Финансовый 3 3 3 3 9 2" xfId="36306" xr:uid="{00000000-0005-0000-0000-000070880000}"/>
    <cellStyle name="Финансовый 3 3 3 4" xfId="1526" xr:uid="{00000000-0005-0000-0000-000071880000}"/>
    <cellStyle name="Финансовый 3 3 3 4 2" xfId="1893" xr:uid="{00000000-0005-0000-0000-000072880000}"/>
    <cellStyle name="Финансовый 3 3 3 4 2 2" xfId="3538" xr:uid="{00000000-0005-0000-0000-000073880000}"/>
    <cellStyle name="Финансовый 3 3 3 4 2 2 2" xfId="11278" xr:uid="{00000000-0005-0000-0000-000074880000}"/>
    <cellStyle name="Финансовый 3 3 3 4 2 2 2 2" xfId="23256" xr:uid="{00000000-0005-0000-0000-000075880000}"/>
    <cellStyle name="Финансовый 3 3 3 4 2 2 2 2 2" xfId="47211" xr:uid="{00000000-0005-0000-0000-000076880000}"/>
    <cellStyle name="Финансовый 3 3 3 4 2 2 2 3" xfId="35233" xr:uid="{00000000-0005-0000-0000-000077880000}"/>
    <cellStyle name="Финансовый 3 3 3 4 2 2 3" xfId="15517" xr:uid="{00000000-0005-0000-0000-000078880000}"/>
    <cellStyle name="Финансовый 3 3 3 4 2 2 3 2" xfId="39472" xr:uid="{00000000-0005-0000-0000-000079880000}"/>
    <cellStyle name="Финансовый 3 3 3 4 2 2 4" xfId="27495" xr:uid="{00000000-0005-0000-0000-00007A880000}"/>
    <cellStyle name="Финансовый 3 3 3 4 2 2 5" xfId="50764" xr:uid="{00000000-0005-0000-0000-00007B880000}"/>
    <cellStyle name="Финансовый 3 3 3 4 2 3" xfId="5321" xr:uid="{00000000-0005-0000-0000-00007C880000}"/>
    <cellStyle name="Финансовый 3 3 3 4 2 3 2" xfId="17299" xr:uid="{00000000-0005-0000-0000-00007D880000}"/>
    <cellStyle name="Финансовый 3 3 3 4 2 3 2 2" xfId="41254" xr:uid="{00000000-0005-0000-0000-00007E880000}"/>
    <cellStyle name="Финансовый 3 3 3 4 2 3 3" xfId="29276" xr:uid="{00000000-0005-0000-0000-00007F880000}"/>
    <cellStyle name="Финансовый 3 3 3 4 2 4" xfId="7931" xr:uid="{00000000-0005-0000-0000-000080880000}"/>
    <cellStyle name="Финансовый 3 3 3 4 2 4 2" xfId="19909" xr:uid="{00000000-0005-0000-0000-000081880000}"/>
    <cellStyle name="Финансовый 3 3 3 4 2 4 2 2" xfId="43864" xr:uid="{00000000-0005-0000-0000-000082880000}"/>
    <cellStyle name="Финансовый 3 3 3 4 2 4 3" xfId="31886" xr:uid="{00000000-0005-0000-0000-000083880000}"/>
    <cellStyle name="Финансовый 3 3 3 4 2 5" xfId="9714" xr:uid="{00000000-0005-0000-0000-000084880000}"/>
    <cellStyle name="Финансовый 3 3 3 4 2 5 2" xfId="21692" xr:uid="{00000000-0005-0000-0000-000085880000}"/>
    <cellStyle name="Финансовый 3 3 3 4 2 5 2 2" xfId="45647" xr:uid="{00000000-0005-0000-0000-000086880000}"/>
    <cellStyle name="Финансовый 3 3 3 4 2 5 3" xfId="33669" xr:uid="{00000000-0005-0000-0000-000087880000}"/>
    <cellStyle name="Финансовый 3 3 3 4 2 6" xfId="13872" xr:uid="{00000000-0005-0000-0000-000088880000}"/>
    <cellStyle name="Финансовый 3 3 3 4 2 6 2" xfId="37827" xr:uid="{00000000-0005-0000-0000-000089880000}"/>
    <cellStyle name="Финансовый 3 3 3 4 2 7" xfId="25850" xr:uid="{00000000-0005-0000-0000-00008A880000}"/>
    <cellStyle name="Финансовый 3 3 3 4 2 8" xfId="48983" xr:uid="{00000000-0005-0000-0000-00008B880000}"/>
    <cellStyle name="Финансовый 3 3 3 4 3" xfId="4954" xr:uid="{00000000-0005-0000-0000-00008C880000}"/>
    <cellStyle name="Финансовый 3 3 3 4 3 2" xfId="16932" xr:uid="{00000000-0005-0000-0000-00008D880000}"/>
    <cellStyle name="Финансовый 3 3 3 4 3 2 2" xfId="40887" xr:uid="{00000000-0005-0000-0000-00008E880000}"/>
    <cellStyle name="Финансовый 3 3 3 4 3 3" xfId="28909" xr:uid="{00000000-0005-0000-0000-00008F880000}"/>
    <cellStyle name="Финансовый 3 3 3 4 3 4" xfId="50397" xr:uid="{00000000-0005-0000-0000-000090880000}"/>
    <cellStyle name="Финансовый 3 3 3 4 4" xfId="7564" xr:uid="{00000000-0005-0000-0000-000091880000}"/>
    <cellStyle name="Финансовый 3 3 3 4 4 2" xfId="19542" xr:uid="{00000000-0005-0000-0000-000092880000}"/>
    <cellStyle name="Финансовый 3 3 3 4 4 2 2" xfId="43497" xr:uid="{00000000-0005-0000-0000-000093880000}"/>
    <cellStyle name="Финансовый 3 3 3 4 4 3" xfId="31519" xr:uid="{00000000-0005-0000-0000-000094880000}"/>
    <cellStyle name="Финансовый 3 3 3 4 5" xfId="9347" xr:uid="{00000000-0005-0000-0000-000095880000}"/>
    <cellStyle name="Финансовый 3 3 3 4 5 2" xfId="21325" xr:uid="{00000000-0005-0000-0000-000096880000}"/>
    <cellStyle name="Финансовый 3 3 3 4 5 2 2" xfId="45280" xr:uid="{00000000-0005-0000-0000-000097880000}"/>
    <cellStyle name="Финансовый 3 3 3 4 5 3" xfId="33302" xr:uid="{00000000-0005-0000-0000-000098880000}"/>
    <cellStyle name="Финансовый 3 3 3 4 6" xfId="13505" xr:uid="{00000000-0005-0000-0000-000099880000}"/>
    <cellStyle name="Финансовый 3 3 3 4 6 2" xfId="37460" xr:uid="{00000000-0005-0000-0000-00009A880000}"/>
    <cellStyle name="Финансовый 3 3 3 4 7" xfId="25483" xr:uid="{00000000-0005-0000-0000-00009B880000}"/>
    <cellStyle name="Финансовый 3 3 3 4 8" xfId="48616" xr:uid="{00000000-0005-0000-0000-00009C880000}"/>
    <cellStyle name="Финансовый 3 3 3 5" xfId="1769" xr:uid="{00000000-0005-0000-0000-00009D880000}"/>
    <cellStyle name="Финансовый 3 3 3 5 2" xfId="3414" xr:uid="{00000000-0005-0000-0000-00009E880000}"/>
    <cellStyle name="Финансовый 3 3 3 5 2 2" xfId="11162" xr:uid="{00000000-0005-0000-0000-00009F880000}"/>
    <cellStyle name="Финансовый 3 3 3 5 2 2 2" xfId="23140" xr:uid="{00000000-0005-0000-0000-0000A0880000}"/>
    <cellStyle name="Финансовый 3 3 3 5 2 2 2 2" xfId="47095" xr:uid="{00000000-0005-0000-0000-0000A1880000}"/>
    <cellStyle name="Финансовый 3 3 3 5 2 2 3" xfId="35117" xr:uid="{00000000-0005-0000-0000-0000A2880000}"/>
    <cellStyle name="Финансовый 3 3 3 5 2 3" xfId="15393" xr:uid="{00000000-0005-0000-0000-0000A3880000}"/>
    <cellStyle name="Финансовый 3 3 3 5 2 3 2" xfId="39348" xr:uid="{00000000-0005-0000-0000-0000A4880000}"/>
    <cellStyle name="Финансовый 3 3 3 5 2 4" xfId="27371" xr:uid="{00000000-0005-0000-0000-0000A5880000}"/>
    <cellStyle name="Финансовый 3 3 3 5 2 5" xfId="50640" xr:uid="{00000000-0005-0000-0000-0000A6880000}"/>
    <cellStyle name="Финансовый 3 3 3 5 3" xfId="5197" xr:uid="{00000000-0005-0000-0000-0000A7880000}"/>
    <cellStyle name="Финансовый 3 3 3 5 3 2" xfId="17175" xr:uid="{00000000-0005-0000-0000-0000A8880000}"/>
    <cellStyle name="Финансовый 3 3 3 5 3 2 2" xfId="41130" xr:uid="{00000000-0005-0000-0000-0000A9880000}"/>
    <cellStyle name="Финансовый 3 3 3 5 3 3" xfId="29152" xr:uid="{00000000-0005-0000-0000-0000AA880000}"/>
    <cellStyle name="Финансовый 3 3 3 5 4" xfId="7807" xr:uid="{00000000-0005-0000-0000-0000AB880000}"/>
    <cellStyle name="Финансовый 3 3 3 5 4 2" xfId="19785" xr:uid="{00000000-0005-0000-0000-0000AC880000}"/>
    <cellStyle name="Финансовый 3 3 3 5 4 2 2" xfId="43740" xr:uid="{00000000-0005-0000-0000-0000AD880000}"/>
    <cellStyle name="Финансовый 3 3 3 5 4 3" xfId="31762" xr:uid="{00000000-0005-0000-0000-0000AE880000}"/>
    <cellStyle name="Финансовый 3 3 3 5 5" xfId="9590" xr:uid="{00000000-0005-0000-0000-0000AF880000}"/>
    <cellStyle name="Финансовый 3 3 3 5 5 2" xfId="21568" xr:uid="{00000000-0005-0000-0000-0000B0880000}"/>
    <cellStyle name="Финансовый 3 3 3 5 5 2 2" xfId="45523" xr:uid="{00000000-0005-0000-0000-0000B1880000}"/>
    <cellStyle name="Финансовый 3 3 3 5 5 3" xfId="33545" xr:uid="{00000000-0005-0000-0000-0000B2880000}"/>
    <cellStyle name="Финансовый 3 3 3 5 6" xfId="13748" xr:uid="{00000000-0005-0000-0000-0000B3880000}"/>
    <cellStyle name="Финансовый 3 3 3 5 6 2" xfId="37703" xr:uid="{00000000-0005-0000-0000-0000B4880000}"/>
    <cellStyle name="Финансовый 3 3 3 5 7" xfId="25726" xr:uid="{00000000-0005-0000-0000-0000B5880000}"/>
    <cellStyle name="Финансовый 3 3 3 5 8" xfId="48859" xr:uid="{00000000-0005-0000-0000-0000B6880000}"/>
    <cellStyle name="Финансовый 3 3 3 6" xfId="2414" xr:uid="{00000000-0005-0000-0000-0000B7880000}"/>
    <cellStyle name="Финансовый 3 3 3 6 2" xfId="4059" xr:uid="{00000000-0005-0000-0000-0000B8880000}"/>
    <cellStyle name="Финансовый 3 3 3 6 2 2" xfId="11791" xr:uid="{00000000-0005-0000-0000-0000B9880000}"/>
    <cellStyle name="Финансовый 3 3 3 6 2 2 2" xfId="23769" xr:uid="{00000000-0005-0000-0000-0000BA880000}"/>
    <cellStyle name="Финансовый 3 3 3 6 2 2 2 2" xfId="47724" xr:uid="{00000000-0005-0000-0000-0000BB880000}"/>
    <cellStyle name="Финансовый 3 3 3 6 2 2 3" xfId="35746" xr:uid="{00000000-0005-0000-0000-0000BC880000}"/>
    <cellStyle name="Финансовый 3 3 3 6 2 3" xfId="16038" xr:uid="{00000000-0005-0000-0000-0000BD880000}"/>
    <cellStyle name="Финансовый 3 3 3 6 2 3 2" xfId="39993" xr:uid="{00000000-0005-0000-0000-0000BE880000}"/>
    <cellStyle name="Финансовый 3 3 3 6 2 4" xfId="28016" xr:uid="{00000000-0005-0000-0000-0000BF880000}"/>
    <cellStyle name="Финансовый 3 3 3 6 2 5" xfId="51285" xr:uid="{00000000-0005-0000-0000-0000C0880000}"/>
    <cellStyle name="Финансовый 3 3 3 6 3" xfId="5842" xr:uid="{00000000-0005-0000-0000-0000C1880000}"/>
    <cellStyle name="Финансовый 3 3 3 6 3 2" xfId="17820" xr:uid="{00000000-0005-0000-0000-0000C2880000}"/>
    <cellStyle name="Финансовый 3 3 3 6 3 2 2" xfId="41775" xr:uid="{00000000-0005-0000-0000-0000C3880000}"/>
    <cellStyle name="Финансовый 3 3 3 6 3 3" xfId="29797" xr:uid="{00000000-0005-0000-0000-0000C4880000}"/>
    <cellStyle name="Финансовый 3 3 3 6 4" xfId="8452" xr:uid="{00000000-0005-0000-0000-0000C5880000}"/>
    <cellStyle name="Финансовый 3 3 3 6 4 2" xfId="20430" xr:uid="{00000000-0005-0000-0000-0000C6880000}"/>
    <cellStyle name="Финансовый 3 3 3 6 4 2 2" xfId="44385" xr:uid="{00000000-0005-0000-0000-0000C7880000}"/>
    <cellStyle name="Финансовый 3 3 3 6 4 3" xfId="32407" xr:uid="{00000000-0005-0000-0000-0000C8880000}"/>
    <cellStyle name="Финансовый 3 3 3 6 5" xfId="10235" xr:uid="{00000000-0005-0000-0000-0000C9880000}"/>
    <cellStyle name="Финансовый 3 3 3 6 5 2" xfId="22213" xr:uid="{00000000-0005-0000-0000-0000CA880000}"/>
    <cellStyle name="Финансовый 3 3 3 6 5 2 2" xfId="46168" xr:uid="{00000000-0005-0000-0000-0000CB880000}"/>
    <cellStyle name="Финансовый 3 3 3 6 5 3" xfId="34190" xr:uid="{00000000-0005-0000-0000-0000CC880000}"/>
    <cellStyle name="Финансовый 3 3 3 6 6" xfId="14393" xr:uid="{00000000-0005-0000-0000-0000CD880000}"/>
    <cellStyle name="Финансовый 3 3 3 6 6 2" xfId="38348" xr:uid="{00000000-0005-0000-0000-0000CE880000}"/>
    <cellStyle name="Финансовый 3 3 3 6 7" xfId="26371" xr:uid="{00000000-0005-0000-0000-0000CF880000}"/>
    <cellStyle name="Финансовый 3 3 3 6 8" xfId="49504" xr:uid="{00000000-0005-0000-0000-0000D0880000}"/>
    <cellStyle name="Финансовый 3 3 3 7" xfId="1641" xr:uid="{00000000-0005-0000-0000-0000D1880000}"/>
    <cellStyle name="Финансовый 3 3 3 7 2" xfId="3286" xr:uid="{00000000-0005-0000-0000-0000D2880000}"/>
    <cellStyle name="Финансовый 3 3 3 7 2 2" xfId="11034" xr:uid="{00000000-0005-0000-0000-0000D3880000}"/>
    <cellStyle name="Финансовый 3 3 3 7 2 2 2" xfId="23012" xr:uid="{00000000-0005-0000-0000-0000D4880000}"/>
    <cellStyle name="Финансовый 3 3 3 7 2 2 2 2" xfId="46967" xr:uid="{00000000-0005-0000-0000-0000D5880000}"/>
    <cellStyle name="Финансовый 3 3 3 7 2 2 3" xfId="34989" xr:uid="{00000000-0005-0000-0000-0000D6880000}"/>
    <cellStyle name="Финансовый 3 3 3 7 2 3" xfId="15265" xr:uid="{00000000-0005-0000-0000-0000D7880000}"/>
    <cellStyle name="Финансовый 3 3 3 7 2 3 2" xfId="39220" xr:uid="{00000000-0005-0000-0000-0000D8880000}"/>
    <cellStyle name="Финансовый 3 3 3 7 2 4" xfId="27243" xr:uid="{00000000-0005-0000-0000-0000D9880000}"/>
    <cellStyle name="Финансовый 3 3 3 7 2 5" xfId="50512" xr:uid="{00000000-0005-0000-0000-0000DA880000}"/>
    <cellStyle name="Финансовый 3 3 3 7 3" xfId="5069" xr:uid="{00000000-0005-0000-0000-0000DB880000}"/>
    <cellStyle name="Финансовый 3 3 3 7 3 2" xfId="17047" xr:uid="{00000000-0005-0000-0000-0000DC880000}"/>
    <cellStyle name="Финансовый 3 3 3 7 3 2 2" xfId="41002" xr:uid="{00000000-0005-0000-0000-0000DD880000}"/>
    <cellStyle name="Финансовый 3 3 3 7 3 3" xfId="29024" xr:uid="{00000000-0005-0000-0000-0000DE880000}"/>
    <cellStyle name="Финансовый 3 3 3 7 4" xfId="7679" xr:uid="{00000000-0005-0000-0000-0000DF880000}"/>
    <cellStyle name="Финансовый 3 3 3 7 4 2" xfId="19657" xr:uid="{00000000-0005-0000-0000-0000E0880000}"/>
    <cellStyle name="Финансовый 3 3 3 7 4 2 2" xfId="43612" xr:uid="{00000000-0005-0000-0000-0000E1880000}"/>
    <cellStyle name="Финансовый 3 3 3 7 4 3" xfId="31634" xr:uid="{00000000-0005-0000-0000-0000E2880000}"/>
    <cellStyle name="Финансовый 3 3 3 7 5" xfId="9462" xr:uid="{00000000-0005-0000-0000-0000E3880000}"/>
    <cellStyle name="Финансовый 3 3 3 7 5 2" xfId="21440" xr:uid="{00000000-0005-0000-0000-0000E4880000}"/>
    <cellStyle name="Финансовый 3 3 3 7 5 2 2" xfId="45395" xr:uid="{00000000-0005-0000-0000-0000E5880000}"/>
    <cellStyle name="Финансовый 3 3 3 7 5 3" xfId="33417" xr:uid="{00000000-0005-0000-0000-0000E6880000}"/>
    <cellStyle name="Финансовый 3 3 3 7 6" xfId="13620" xr:uid="{00000000-0005-0000-0000-0000E7880000}"/>
    <cellStyle name="Финансовый 3 3 3 7 6 2" xfId="37575" xr:uid="{00000000-0005-0000-0000-0000E8880000}"/>
    <cellStyle name="Финансовый 3 3 3 7 7" xfId="25598" xr:uid="{00000000-0005-0000-0000-0000E9880000}"/>
    <cellStyle name="Финансовый 3 3 3 7 8" xfId="48731" xr:uid="{00000000-0005-0000-0000-0000EA880000}"/>
    <cellStyle name="Финансовый 3 3 3 8" xfId="918" xr:uid="{00000000-0005-0000-0000-0000EB880000}"/>
    <cellStyle name="Финансовый 3 3 3 8 2" xfId="6958" xr:uid="{00000000-0005-0000-0000-0000EC880000}"/>
    <cellStyle name="Финансовый 3 3 3 8 2 2" xfId="18936" xr:uid="{00000000-0005-0000-0000-0000ED880000}"/>
    <cellStyle name="Финансовый 3 3 3 8 2 2 2" xfId="42891" xr:uid="{00000000-0005-0000-0000-0000EE880000}"/>
    <cellStyle name="Финансовый 3 3 3 8 2 3" xfId="30913" xr:uid="{00000000-0005-0000-0000-0000EF880000}"/>
    <cellStyle name="Финансовый 3 3 3 8 3" xfId="10506" xr:uid="{00000000-0005-0000-0000-0000F0880000}"/>
    <cellStyle name="Финансовый 3 3 3 8 3 2" xfId="22484" xr:uid="{00000000-0005-0000-0000-0000F1880000}"/>
    <cellStyle name="Финансовый 3 3 3 8 3 2 2" xfId="46439" xr:uid="{00000000-0005-0000-0000-0000F2880000}"/>
    <cellStyle name="Финансовый 3 3 3 8 3 3" xfId="34461" xr:uid="{00000000-0005-0000-0000-0000F3880000}"/>
    <cellStyle name="Финансовый 3 3 3 8 4" xfId="12899" xr:uid="{00000000-0005-0000-0000-0000F4880000}"/>
    <cellStyle name="Финансовый 3 3 3 8 4 2" xfId="36854" xr:uid="{00000000-0005-0000-0000-0000F5880000}"/>
    <cellStyle name="Финансовый 3 3 3 8 5" xfId="24877" xr:uid="{00000000-0005-0000-0000-0000F6880000}"/>
    <cellStyle name="Финансовый 3 3 3 8 6" xfId="49783" xr:uid="{00000000-0005-0000-0000-0000F7880000}"/>
    <cellStyle name="Финансовый 3 3 3 9" xfId="506" xr:uid="{00000000-0005-0000-0000-0000F8880000}"/>
    <cellStyle name="Финансовый 3 3 3 9 2" xfId="6546" xr:uid="{00000000-0005-0000-0000-0000F9880000}"/>
    <cellStyle name="Финансовый 3 3 3 9 2 2" xfId="18524" xr:uid="{00000000-0005-0000-0000-0000FA880000}"/>
    <cellStyle name="Финансовый 3 3 3 9 2 2 2" xfId="42479" xr:uid="{00000000-0005-0000-0000-0000FB880000}"/>
    <cellStyle name="Финансовый 3 3 3 9 2 3" xfId="30501" xr:uid="{00000000-0005-0000-0000-0000FC880000}"/>
    <cellStyle name="Финансовый 3 3 3 9 3" xfId="12487" xr:uid="{00000000-0005-0000-0000-0000FD880000}"/>
    <cellStyle name="Финансовый 3 3 3 9 3 2" xfId="36442" xr:uid="{00000000-0005-0000-0000-0000FE880000}"/>
    <cellStyle name="Финансовый 3 3 3 9 4" xfId="24465" xr:uid="{00000000-0005-0000-0000-0000FF880000}"/>
    <cellStyle name="Финансовый 3 3 4" xfId="177" xr:uid="{00000000-0005-0000-0000-000000890000}"/>
    <cellStyle name="Финансовый 3 3 4 10" xfId="8825" xr:uid="{00000000-0005-0000-0000-000001890000}"/>
    <cellStyle name="Финансовый 3 3 4 10 2" xfId="20803" xr:uid="{00000000-0005-0000-0000-000002890000}"/>
    <cellStyle name="Финансовый 3 3 4 10 2 2" xfId="44758" xr:uid="{00000000-0005-0000-0000-000003890000}"/>
    <cellStyle name="Финансовый 3 3 4 10 3" xfId="32780" xr:uid="{00000000-0005-0000-0000-000004890000}"/>
    <cellStyle name="Финансовый 3 3 4 11" xfId="12159" xr:uid="{00000000-0005-0000-0000-000005890000}"/>
    <cellStyle name="Финансовый 3 3 4 11 2" xfId="36114" xr:uid="{00000000-0005-0000-0000-000006890000}"/>
    <cellStyle name="Финансовый 3 3 4 12" xfId="24137" xr:uid="{00000000-0005-0000-0000-000007890000}"/>
    <cellStyle name="Финансовый 3 3 4 13" xfId="48095" xr:uid="{00000000-0005-0000-0000-000008890000}"/>
    <cellStyle name="Финансовый 3 3 4 2" xfId="1275" xr:uid="{00000000-0005-0000-0000-000009890000}"/>
    <cellStyle name="Финансовый 3 3 4 2 2" xfId="2241" xr:uid="{00000000-0005-0000-0000-00000A890000}"/>
    <cellStyle name="Финансовый 3 3 4 2 2 2" xfId="3886" xr:uid="{00000000-0005-0000-0000-00000B890000}"/>
    <cellStyle name="Финансовый 3 3 4 2 2 2 2" xfId="11626" xr:uid="{00000000-0005-0000-0000-00000C890000}"/>
    <cellStyle name="Финансовый 3 3 4 2 2 2 2 2" xfId="23604" xr:uid="{00000000-0005-0000-0000-00000D890000}"/>
    <cellStyle name="Финансовый 3 3 4 2 2 2 2 2 2" xfId="47559" xr:uid="{00000000-0005-0000-0000-00000E890000}"/>
    <cellStyle name="Финансовый 3 3 4 2 2 2 2 3" xfId="35581" xr:uid="{00000000-0005-0000-0000-00000F890000}"/>
    <cellStyle name="Финансовый 3 3 4 2 2 2 3" xfId="15865" xr:uid="{00000000-0005-0000-0000-000010890000}"/>
    <cellStyle name="Финансовый 3 3 4 2 2 2 3 2" xfId="39820" xr:uid="{00000000-0005-0000-0000-000011890000}"/>
    <cellStyle name="Финансовый 3 3 4 2 2 2 4" xfId="27843" xr:uid="{00000000-0005-0000-0000-000012890000}"/>
    <cellStyle name="Финансовый 3 3 4 2 2 2 5" xfId="51112" xr:uid="{00000000-0005-0000-0000-000013890000}"/>
    <cellStyle name="Финансовый 3 3 4 2 2 3" xfId="5669" xr:uid="{00000000-0005-0000-0000-000014890000}"/>
    <cellStyle name="Финансовый 3 3 4 2 2 3 2" xfId="17647" xr:uid="{00000000-0005-0000-0000-000015890000}"/>
    <cellStyle name="Финансовый 3 3 4 2 2 3 2 2" xfId="41602" xr:uid="{00000000-0005-0000-0000-000016890000}"/>
    <cellStyle name="Финансовый 3 3 4 2 2 3 3" xfId="29624" xr:uid="{00000000-0005-0000-0000-000017890000}"/>
    <cellStyle name="Финансовый 3 3 4 2 2 4" xfId="8279" xr:uid="{00000000-0005-0000-0000-000018890000}"/>
    <cellStyle name="Финансовый 3 3 4 2 2 4 2" xfId="20257" xr:uid="{00000000-0005-0000-0000-000019890000}"/>
    <cellStyle name="Финансовый 3 3 4 2 2 4 2 2" xfId="44212" xr:uid="{00000000-0005-0000-0000-00001A890000}"/>
    <cellStyle name="Финансовый 3 3 4 2 2 4 3" xfId="32234" xr:uid="{00000000-0005-0000-0000-00001B890000}"/>
    <cellStyle name="Финансовый 3 3 4 2 2 5" xfId="10062" xr:uid="{00000000-0005-0000-0000-00001C890000}"/>
    <cellStyle name="Финансовый 3 3 4 2 2 5 2" xfId="22040" xr:uid="{00000000-0005-0000-0000-00001D890000}"/>
    <cellStyle name="Финансовый 3 3 4 2 2 5 2 2" xfId="45995" xr:uid="{00000000-0005-0000-0000-00001E890000}"/>
    <cellStyle name="Финансовый 3 3 4 2 2 5 3" xfId="34017" xr:uid="{00000000-0005-0000-0000-00001F890000}"/>
    <cellStyle name="Финансовый 3 3 4 2 2 6" xfId="14220" xr:uid="{00000000-0005-0000-0000-000020890000}"/>
    <cellStyle name="Финансовый 3 3 4 2 2 6 2" xfId="38175" xr:uid="{00000000-0005-0000-0000-000021890000}"/>
    <cellStyle name="Финансовый 3 3 4 2 2 7" xfId="26198" xr:uid="{00000000-0005-0000-0000-000022890000}"/>
    <cellStyle name="Финансовый 3 3 4 2 2 8" xfId="49331" xr:uid="{00000000-0005-0000-0000-000023890000}"/>
    <cellStyle name="Финансовый 3 3 4 2 3" xfId="3059" xr:uid="{00000000-0005-0000-0000-000024890000}"/>
    <cellStyle name="Финансовый 3 3 4 2 3 2" xfId="10854" xr:uid="{00000000-0005-0000-0000-000025890000}"/>
    <cellStyle name="Финансовый 3 3 4 2 3 2 2" xfId="22832" xr:uid="{00000000-0005-0000-0000-000026890000}"/>
    <cellStyle name="Финансовый 3 3 4 2 3 2 2 2" xfId="46787" xr:uid="{00000000-0005-0000-0000-000027890000}"/>
    <cellStyle name="Финансовый 3 3 4 2 3 2 3" xfId="34809" xr:uid="{00000000-0005-0000-0000-000028890000}"/>
    <cellStyle name="Финансовый 3 3 4 2 3 3" xfId="15038" xr:uid="{00000000-0005-0000-0000-000029890000}"/>
    <cellStyle name="Финансовый 3 3 4 2 3 3 2" xfId="38993" xr:uid="{00000000-0005-0000-0000-00002A890000}"/>
    <cellStyle name="Финансовый 3 3 4 2 3 4" xfId="27016" xr:uid="{00000000-0005-0000-0000-00002B890000}"/>
    <cellStyle name="Финансовый 3 3 4 2 3 5" xfId="50147" xr:uid="{00000000-0005-0000-0000-00002C890000}"/>
    <cellStyle name="Финансовый 3 3 4 2 4" xfId="4703" xr:uid="{00000000-0005-0000-0000-00002D890000}"/>
    <cellStyle name="Финансовый 3 3 4 2 4 2" xfId="16682" xr:uid="{00000000-0005-0000-0000-00002E890000}"/>
    <cellStyle name="Финансовый 3 3 4 2 4 2 2" xfId="40637" xr:uid="{00000000-0005-0000-0000-00002F890000}"/>
    <cellStyle name="Финансовый 3 3 4 2 4 3" xfId="28660" xr:uid="{00000000-0005-0000-0000-000030890000}"/>
    <cellStyle name="Финансовый 3 3 4 2 5" xfId="7315" xr:uid="{00000000-0005-0000-0000-000031890000}"/>
    <cellStyle name="Финансовый 3 3 4 2 5 2" xfId="19293" xr:uid="{00000000-0005-0000-0000-000032890000}"/>
    <cellStyle name="Финансовый 3 3 4 2 5 2 2" xfId="43248" xr:uid="{00000000-0005-0000-0000-000033890000}"/>
    <cellStyle name="Финансовый 3 3 4 2 5 3" xfId="31270" xr:uid="{00000000-0005-0000-0000-000034890000}"/>
    <cellStyle name="Финансовый 3 3 4 2 6" xfId="9097" xr:uid="{00000000-0005-0000-0000-000035890000}"/>
    <cellStyle name="Финансовый 3 3 4 2 6 2" xfId="21075" xr:uid="{00000000-0005-0000-0000-000036890000}"/>
    <cellStyle name="Финансовый 3 3 4 2 6 2 2" xfId="45030" xr:uid="{00000000-0005-0000-0000-000037890000}"/>
    <cellStyle name="Финансовый 3 3 4 2 6 3" xfId="33052" xr:uid="{00000000-0005-0000-0000-000038890000}"/>
    <cellStyle name="Финансовый 3 3 4 2 7" xfId="13256" xr:uid="{00000000-0005-0000-0000-000039890000}"/>
    <cellStyle name="Финансовый 3 3 4 2 7 2" xfId="37211" xr:uid="{00000000-0005-0000-0000-00003A890000}"/>
    <cellStyle name="Финансовый 3 3 4 2 8" xfId="25234" xr:uid="{00000000-0005-0000-0000-00003B890000}"/>
    <cellStyle name="Финансовый 3 3 4 2 9" xfId="48367" xr:uid="{00000000-0005-0000-0000-00003C890000}"/>
    <cellStyle name="Финансовый 3 3 4 3" xfId="1985" xr:uid="{00000000-0005-0000-0000-00003D890000}"/>
    <cellStyle name="Финансовый 3 3 4 3 2" xfId="3630" xr:uid="{00000000-0005-0000-0000-00003E890000}"/>
    <cellStyle name="Финансовый 3 3 4 3 2 2" xfId="11370" xr:uid="{00000000-0005-0000-0000-00003F890000}"/>
    <cellStyle name="Финансовый 3 3 4 3 2 2 2" xfId="23348" xr:uid="{00000000-0005-0000-0000-000040890000}"/>
    <cellStyle name="Финансовый 3 3 4 3 2 2 2 2" xfId="47303" xr:uid="{00000000-0005-0000-0000-000041890000}"/>
    <cellStyle name="Финансовый 3 3 4 3 2 2 3" xfId="35325" xr:uid="{00000000-0005-0000-0000-000042890000}"/>
    <cellStyle name="Финансовый 3 3 4 3 2 3" xfId="15609" xr:uid="{00000000-0005-0000-0000-000043890000}"/>
    <cellStyle name="Финансовый 3 3 4 3 2 3 2" xfId="39564" xr:uid="{00000000-0005-0000-0000-000044890000}"/>
    <cellStyle name="Финансовый 3 3 4 3 2 4" xfId="27587" xr:uid="{00000000-0005-0000-0000-000045890000}"/>
    <cellStyle name="Финансовый 3 3 4 3 2 5" xfId="50856" xr:uid="{00000000-0005-0000-0000-000046890000}"/>
    <cellStyle name="Финансовый 3 3 4 3 3" xfId="5413" xr:uid="{00000000-0005-0000-0000-000047890000}"/>
    <cellStyle name="Финансовый 3 3 4 3 3 2" xfId="17391" xr:uid="{00000000-0005-0000-0000-000048890000}"/>
    <cellStyle name="Финансовый 3 3 4 3 3 2 2" xfId="41346" xr:uid="{00000000-0005-0000-0000-000049890000}"/>
    <cellStyle name="Финансовый 3 3 4 3 3 3" xfId="29368" xr:uid="{00000000-0005-0000-0000-00004A890000}"/>
    <cellStyle name="Финансовый 3 3 4 3 4" xfId="8023" xr:uid="{00000000-0005-0000-0000-00004B890000}"/>
    <cellStyle name="Финансовый 3 3 4 3 4 2" xfId="20001" xr:uid="{00000000-0005-0000-0000-00004C890000}"/>
    <cellStyle name="Финансовый 3 3 4 3 4 2 2" xfId="43956" xr:uid="{00000000-0005-0000-0000-00004D890000}"/>
    <cellStyle name="Финансовый 3 3 4 3 4 3" xfId="31978" xr:uid="{00000000-0005-0000-0000-00004E890000}"/>
    <cellStyle name="Финансовый 3 3 4 3 5" xfId="9806" xr:uid="{00000000-0005-0000-0000-00004F890000}"/>
    <cellStyle name="Финансовый 3 3 4 3 5 2" xfId="21784" xr:uid="{00000000-0005-0000-0000-000050890000}"/>
    <cellStyle name="Финансовый 3 3 4 3 5 2 2" xfId="45739" xr:uid="{00000000-0005-0000-0000-000051890000}"/>
    <cellStyle name="Финансовый 3 3 4 3 5 3" xfId="33761" xr:uid="{00000000-0005-0000-0000-000052890000}"/>
    <cellStyle name="Финансовый 3 3 4 3 6" xfId="13964" xr:uid="{00000000-0005-0000-0000-000053890000}"/>
    <cellStyle name="Финансовый 3 3 4 3 6 2" xfId="37919" xr:uid="{00000000-0005-0000-0000-000054890000}"/>
    <cellStyle name="Финансовый 3 3 4 3 7" xfId="25942" xr:uid="{00000000-0005-0000-0000-000055890000}"/>
    <cellStyle name="Финансовый 3 3 4 3 8" xfId="49075" xr:uid="{00000000-0005-0000-0000-000056890000}"/>
    <cellStyle name="Финансовый 3 3 4 4" xfId="2506" xr:uid="{00000000-0005-0000-0000-000057890000}"/>
    <cellStyle name="Финансовый 3 3 4 4 2" xfId="4151" xr:uid="{00000000-0005-0000-0000-000058890000}"/>
    <cellStyle name="Финансовый 3 3 4 4 2 2" xfId="11883" xr:uid="{00000000-0005-0000-0000-000059890000}"/>
    <cellStyle name="Финансовый 3 3 4 4 2 2 2" xfId="23861" xr:uid="{00000000-0005-0000-0000-00005A890000}"/>
    <cellStyle name="Финансовый 3 3 4 4 2 2 2 2" xfId="47816" xr:uid="{00000000-0005-0000-0000-00005B890000}"/>
    <cellStyle name="Финансовый 3 3 4 4 2 2 3" xfId="35838" xr:uid="{00000000-0005-0000-0000-00005C890000}"/>
    <cellStyle name="Финансовый 3 3 4 4 2 3" xfId="16130" xr:uid="{00000000-0005-0000-0000-00005D890000}"/>
    <cellStyle name="Финансовый 3 3 4 4 2 3 2" xfId="40085" xr:uid="{00000000-0005-0000-0000-00005E890000}"/>
    <cellStyle name="Финансовый 3 3 4 4 2 4" xfId="28108" xr:uid="{00000000-0005-0000-0000-00005F890000}"/>
    <cellStyle name="Финансовый 3 3 4 4 2 5" xfId="51377" xr:uid="{00000000-0005-0000-0000-000060890000}"/>
    <cellStyle name="Финансовый 3 3 4 4 3" xfId="5934" xr:uid="{00000000-0005-0000-0000-000061890000}"/>
    <cellStyle name="Финансовый 3 3 4 4 3 2" xfId="17912" xr:uid="{00000000-0005-0000-0000-000062890000}"/>
    <cellStyle name="Финансовый 3 3 4 4 3 2 2" xfId="41867" xr:uid="{00000000-0005-0000-0000-000063890000}"/>
    <cellStyle name="Финансовый 3 3 4 4 3 3" xfId="29889" xr:uid="{00000000-0005-0000-0000-000064890000}"/>
    <cellStyle name="Финансовый 3 3 4 4 4" xfId="8544" xr:uid="{00000000-0005-0000-0000-000065890000}"/>
    <cellStyle name="Финансовый 3 3 4 4 4 2" xfId="20522" xr:uid="{00000000-0005-0000-0000-000066890000}"/>
    <cellStyle name="Финансовый 3 3 4 4 4 2 2" xfId="44477" xr:uid="{00000000-0005-0000-0000-000067890000}"/>
    <cellStyle name="Финансовый 3 3 4 4 4 3" xfId="32499" xr:uid="{00000000-0005-0000-0000-000068890000}"/>
    <cellStyle name="Финансовый 3 3 4 4 5" xfId="10327" xr:uid="{00000000-0005-0000-0000-000069890000}"/>
    <cellStyle name="Финансовый 3 3 4 4 5 2" xfId="22305" xr:uid="{00000000-0005-0000-0000-00006A890000}"/>
    <cellStyle name="Финансовый 3 3 4 4 5 2 2" xfId="46260" xr:uid="{00000000-0005-0000-0000-00006B890000}"/>
    <cellStyle name="Финансовый 3 3 4 4 5 3" xfId="34282" xr:uid="{00000000-0005-0000-0000-00006C890000}"/>
    <cellStyle name="Финансовый 3 3 4 4 6" xfId="14485" xr:uid="{00000000-0005-0000-0000-00006D890000}"/>
    <cellStyle name="Финансовый 3 3 4 4 6 2" xfId="38440" xr:uid="{00000000-0005-0000-0000-00006E890000}"/>
    <cellStyle name="Финансовый 3 3 4 4 7" xfId="26463" xr:uid="{00000000-0005-0000-0000-00006F890000}"/>
    <cellStyle name="Финансовый 3 3 4 4 8" xfId="49596" xr:uid="{00000000-0005-0000-0000-000070890000}"/>
    <cellStyle name="Финансовый 3 3 4 5" xfId="1010" xr:uid="{00000000-0005-0000-0000-000071890000}"/>
    <cellStyle name="Финансовый 3 3 4 5 2" xfId="7050" xr:uid="{00000000-0005-0000-0000-000072890000}"/>
    <cellStyle name="Финансовый 3 3 4 5 2 2" xfId="19028" xr:uid="{00000000-0005-0000-0000-000073890000}"/>
    <cellStyle name="Финансовый 3 3 4 5 2 2 2" xfId="42983" xr:uid="{00000000-0005-0000-0000-000074890000}"/>
    <cellStyle name="Финансовый 3 3 4 5 2 3" xfId="31005" xr:uid="{00000000-0005-0000-0000-000075890000}"/>
    <cellStyle name="Финансовый 3 3 4 5 3" xfId="10598" xr:uid="{00000000-0005-0000-0000-000076890000}"/>
    <cellStyle name="Финансовый 3 3 4 5 3 2" xfId="22576" xr:uid="{00000000-0005-0000-0000-000077890000}"/>
    <cellStyle name="Финансовый 3 3 4 5 3 2 2" xfId="46531" xr:uid="{00000000-0005-0000-0000-000078890000}"/>
    <cellStyle name="Финансовый 3 3 4 5 3 3" xfId="34553" xr:uid="{00000000-0005-0000-0000-000079890000}"/>
    <cellStyle name="Финансовый 3 3 4 5 4" xfId="12991" xr:uid="{00000000-0005-0000-0000-00007A890000}"/>
    <cellStyle name="Финансовый 3 3 4 5 4 2" xfId="36946" xr:uid="{00000000-0005-0000-0000-00007B890000}"/>
    <cellStyle name="Финансовый 3 3 4 5 5" xfId="24969" xr:uid="{00000000-0005-0000-0000-00007C890000}"/>
    <cellStyle name="Финансовый 3 3 4 5 6" xfId="49875" xr:uid="{00000000-0005-0000-0000-00007D890000}"/>
    <cellStyle name="Финансовый 3 3 4 6" xfId="598" xr:uid="{00000000-0005-0000-0000-00007E890000}"/>
    <cellStyle name="Финансовый 3 3 4 6 2" xfId="6638" xr:uid="{00000000-0005-0000-0000-00007F890000}"/>
    <cellStyle name="Финансовый 3 3 4 6 2 2" xfId="18616" xr:uid="{00000000-0005-0000-0000-000080890000}"/>
    <cellStyle name="Финансовый 3 3 4 6 2 2 2" xfId="42571" xr:uid="{00000000-0005-0000-0000-000081890000}"/>
    <cellStyle name="Финансовый 3 3 4 6 2 3" xfId="30593" xr:uid="{00000000-0005-0000-0000-000082890000}"/>
    <cellStyle name="Финансовый 3 3 4 6 3" xfId="12579" xr:uid="{00000000-0005-0000-0000-000083890000}"/>
    <cellStyle name="Финансовый 3 3 4 6 3 2" xfId="36534" xr:uid="{00000000-0005-0000-0000-000084890000}"/>
    <cellStyle name="Финансовый 3 3 4 6 4" xfId="24557" xr:uid="{00000000-0005-0000-0000-000085890000}"/>
    <cellStyle name="Финансовый 3 3 4 7" xfId="2787" xr:uid="{00000000-0005-0000-0000-000086890000}"/>
    <cellStyle name="Финансовый 3 3 4 7 2" xfId="14766" xr:uid="{00000000-0005-0000-0000-000087890000}"/>
    <cellStyle name="Финансовый 3 3 4 7 2 2" xfId="38721" xr:uid="{00000000-0005-0000-0000-000088890000}"/>
    <cellStyle name="Финансовый 3 3 4 7 3" xfId="26744" xr:uid="{00000000-0005-0000-0000-000089890000}"/>
    <cellStyle name="Финансовый 3 3 4 8" xfId="4431" xr:uid="{00000000-0005-0000-0000-00008A890000}"/>
    <cellStyle name="Финансовый 3 3 4 8 2" xfId="16410" xr:uid="{00000000-0005-0000-0000-00008B890000}"/>
    <cellStyle name="Финансовый 3 3 4 8 2 2" xfId="40365" xr:uid="{00000000-0005-0000-0000-00008C890000}"/>
    <cellStyle name="Финансовый 3 3 4 8 3" xfId="28388" xr:uid="{00000000-0005-0000-0000-00008D890000}"/>
    <cellStyle name="Финансовый 3 3 4 9" xfId="6218" xr:uid="{00000000-0005-0000-0000-00008E890000}"/>
    <cellStyle name="Финансовый 3 3 4 9 2" xfId="18196" xr:uid="{00000000-0005-0000-0000-00008F890000}"/>
    <cellStyle name="Финансовый 3 3 4 9 2 2" xfId="42151" xr:uid="{00000000-0005-0000-0000-000090890000}"/>
    <cellStyle name="Финансовый 3 3 4 9 3" xfId="30173" xr:uid="{00000000-0005-0000-0000-000091890000}"/>
    <cellStyle name="Финансовый 3 3 5" xfId="326" xr:uid="{00000000-0005-0000-0000-000092890000}"/>
    <cellStyle name="Финансовый 3 3 5 10" xfId="24285" xr:uid="{00000000-0005-0000-0000-000093890000}"/>
    <cellStyle name="Финансовый 3 3 5 11" xfId="48231" xr:uid="{00000000-0005-0000-0000-000094890000}"/>
    <cellStyle name="Финансовый 3 3 5 2" xfId="2113" xr:uid="{00000000-0005-0000-0000-000095890000}"/>
    <cellStyle name="Финансовый 3 3 5 2 2" xfId="3758" xr:uid="{00000000-0005-0000-0000-000096890000}"/>
    <cellStyle name="Финансовый 3 3 5 2 2 2" xfId="11498" xr:uid="{00000000-0005-0000-0000-000097890000}"/>
    <cellStyle name="Финансовый 3 3 5 2 2 2 2" xfId="23476" xr:uid="{00000000-0005-0000-0000-000098890000}"/>
    <cellStyle name="Финансовый 3 3 5 2 2 2 2 2" xfId="47431" xr:uid="{00000000-0005-0000-0000-000099890000}"/>
    <cellStyle name="Финансовый 3 3 5 2 2 2 3" xfId="35453" xr:uid="{00000000-0005-0000-0000-00009A890000}"/>
    <cellStyle name="Финансовый 3 3 5 2 2 3" xfId="15737" xr:uid="{00000000-0005-0000-0000-00009B890000}"/>
    <cellStyle name="Финансовый 3 3 5 2 2 3 2" xfId="39692" xr:uid="{00000000-0005-0000-0000-00009C890000}"/>
    <cellStyle name="Финансовый 3 3 5 2 2 4" xfId="27715" xr:uid="{00000000-0005-0000-0000-00009D890000}"/>
    <cellStyle name="Финансовый 3 3 5 2 2 5" xfId="50984" xr:uid="{00000000-0005-0000-0000-00009E890000}"/>
    <cellStyle name="Финансовый 3 3 5 2 3" xfId="5541" xr:uid="{00000000-0005-0000-0000-00009F890000}"/>
    <cellStyle name="Финансовый 3 3 5 2 3 2" xfId="17519" xr:uid="{00000000-0005-0000-0000-0000A0890000}"/>
    <cellStyle name="Финансовый 3 3 5 2 3 2 2" xfId="41474" xr:uid="{00000000-0005-0000-0000-0000A1890000}"/>
    <cellStyle name="Финансовый 3 3 5 2 3 3" xfId="29496" xr:uid="{00000000-0005-0000-0000-0000A2890000}"/>
    <cellStyle name="Финансовый 3 3 5 2 4" xfId="8151" xr:uid="{00000000-0005-0000-0000-0000A3890000}"/>
    <cellStyle name="Финансовый 3 3 5 2 4 2" xfId="20129" xr:uid="{00000000-0005-0000-0000-0000A4890000}"/>
    <cellStyle name="Финансовый 3 3 5 2 4 2 2" xfId="44084" xr:uid="{00000000-0005-0000-0000-0000A5890000}"/>
    <cellStyle name="Финансовый 3 3 5 2 4 3" xfId="32106" xr:uid="{00000000-0005-0000-0000-0000A6890000}"/>
    <cellStyle name="Финансовый 3 3 5 2 5" xfId="9934" xr:uid="{00000000-0005-0000-0000-0000A7890000}"/>
    <cellStyle name="Финансовый 3 3 5 2 5 2" xfId="21912" xr:uid="{00000000-0005-0000-0000-0000A8890000}"/>
    <cellStyle name="Финансовый 3 3 5 2 5 2 2" xfId="45867" xr:uid="{00000000-0005-0000-0000-0000A9890000}"/>
    <cellStyle name="Финансовый 3 3 5 2 5 3" xfId="33889" xr:uid="{00000000-0005-0000-0000-0000AA890000}"/>
    <cellStyle name="Финансовый 3 3 5 2 6" xfId="14092" xr:uid="{00000000-0005-0000-0000-0000AB890000}"/>
    <cellStyle name="Финансовый 3 3 5 2 6 2" xfId="38047" xr:uid="{00000000-0005-0000-0000-0000AC890000}"/>
    <cellStyle name="Финансовый 3 3 5 2 7" xfId="26070" xr:uid="{00000000-0005-0000-0000-0000AD890000}"/>
    <cellStyle name="Финансовый 3 3 5 2 8" xfId="49203" xr:uid="{00000000-0005-0000-0000-0000AE890000}"/>
    <cellStyle name="Финансовый 3 3 5 3" xfId="1146" xr:uid="{00000000-0005-0000-0000-0000AF890000}"/>
    <cellStyle name="Финансовый 3 3 5 3 2" xfId="7186" xr:uid="{00000000-0005-0000-0000-0000B0890000}"/>
    <cellStyle name="Финансовый 3 3 5 3 2 2" xfId="19164" xr:uid="{00000000-0005-0000-0000-0000B1890000}"/>
    <cellStyle name="Финансовый 3 3 5 3 2 2 2" xfId="43119" xr:uid="{00000000-0005-0000-0000-0000B2890000}"/>
    <cellStyle name="Финансовый 3 3 5 3 2 3" xfId="31141" xr:uid="{00000000-0005-0000-0000-0000B3890000}"/>
    <cellStyle name="Финансовый 3 3 5 3 3" xfId="10726" xr:uid="{00000000-0005-0000-0000-0000B4890000}"/>
    <cellStyle name="Финансовый 3 3 5 3 3 2" xfId="22704" xr:uid="{00000000-0005-0000-0000-0000B5890000}"/>
    <cellStyle name="Финансовый 3 3 5 3 3 2 2" xfId="46659" xr:uid="{00000000-0005-0000-0000-0000B6890000}"/>
    <cellStyle name="Финансовый 3 3 5 3 3 3" xfId="34681" xr:uid="{00000000-0005-0000-0000-0000B7890000}"/>
    <cellStyle name="Финансовый 3 3 5 3 4" xfId="13127" xr:uid="{00000000-0005-0000-0000-0000B8890000}"/>
    <cellStyle name="Финансовый 3 3 5 3 4 2" xfId="37082" xr:uid="{00000000-0005-0000-0000-0000B9890000}"/>
    <cellStyle name="Финансовый 3 3 5 3 5" xfId="25105" xr:uid="{00000000-0005-0000-0000-0000BA890000}"/>
    <cellStyle name="Финансовый 3 3 5 3 6" xfId="50011" xr:uid="{00000000-0005-0000-0000-0000BB890000}"/>
    <cellStyle name="Финансовый 3 3 5 4" xfId="746" xr:uid="{00000000-0005-0000-0000-0000BC890000}"/>
    <cellStyle name="Финансовый 3 3 5 4 2" xfId="6786" xr:uid="{00000000-0005-0000-0000-0000BD890000}"/>
    <cellStyle name="Финансовый 3 3 5 4 2 2" xfId="18764" xr:uid="{00000000-0005-0000-0000-0000BE890000}"/>
    <cellStyle name="Финансовый 3 3 5 4 2 2 2" xfId="42719" xr:uid="{00000000-0005-0000-0000-0000BF890000}"/>
    <cellStyle name="Финансовый 3 3 5 4 2 3" xfId="30741" xr:uid="{00000000-0005-0000-0000-0000C0890000}"/>
    <cellStyle name="Финансовый 3 3 5 4 3" xfId="12727" xr:uid="{00000000-0005-0000-0000-0000C1890000}"/>
    <cellStyle name="Финансовый 3 3 5 4 3 2" xfId="36682" xr:uid="{00000000-0005-0000-0000-0000C2890000}"/>
    <cellStyle name="Финансовый 3 3 5 4 4" xfId="24705" xr:uid="{00000000-0005-0000-0000-0000C3890000}"/>
    <cellStyle name="Финансовый 3 3 5 5" xfId="2923" xr:uid="{00000000-0005-0000-0000-0000C4890000}"/>
    <cellStyle name="Финансовый 3 3 5 5 2" xfId="14902" xr:uid="{00000000-0005-0000-0000-0000C5890000}"/>
    <cellStyle name="Финансовый 3 3 5 5 2 2" xfId="38857" xr:uid="{00000000-0005-0000-0000-0000C6890000}"/>
    <cellStyle name="Финансовый 3 3 5 5 3" xfId="26880" xr:uid="{00000000-0005-0000-0000-0000C7890000}"/>
    <cellStyle name="Финансовый 3 3 5 6" xfId="4567" xr:uid="{00000000-0005-0000-0000-0000C8890000}"/>
    <cellStyle name="Финансовый 3 3 5 6 2" xfId="16546" xr:uid="{00000000-0005-0000-0000-0000C9890000}"/>
    <cellStyle name="Финансовый 3 3 5 6 2 2" xfId="40501" xr:uid="{00000000-0005-0000-0000-0000CA890000}"/>
    <cellStyle name="Финансовый 3 3 5 6 3" xfId="28524" xr:uid="{00000000-0005-0000-0000-0000CB890000}"/>
    <cellStyle name="Финансовый 3 3 5 7" xfId="6366" xr:uid="{00000000-0005-0000-0000-0000CC890000}"/>
    <cellStyle name="Финансовый 3 3 5 7 2" xfId="18344" xr:uid="{00000000-0005-0000-0000-0000CD890000}"/>
    <cellStyle name="Финансовый 3 3 5 7 2 2" xfId="42299" xr:uid="{00000000-0005-0000-0000-0000CE890000}"/>
    <cellStyle name="Финансовый 3 3 5 7 3" xfId="30321" xr:uid="{00000000-0005-0000-0000-0000CF890000}"/>
    <cellStyle name="Финансовый 3 3 5 8" xfId="8961" xr:uid="{00000000-0005-0000-0000-0000D0890000}"/>
    <cellStyle name="Финансовый 3 3 5 8 2" xfId="20939" xr:uid="{00000000-0005-0000-0000-0000D1890000}"/>
    <cellStyle name="Финансовый 3 3 5 8 2 2" xfId="44894" xr:uid="{00000000-0005-0000-0000-0000D2890000}"/>
    <cellStyle name="Финансовый 3 3 5 8 3" xfId="32916" xr:uid="{00000000-0005-0000-0000-0000D3890000}"/>
    <cellStyle name="Финансовый 3 3 5 9" xfId="12307" xr:uid="{00000000-0005-0000-0000-0000D4890000}"/>
    <cellStyle name="Финансовый 3 3 5 9 2" xfId="36262" xr:uid="{00000000-0005-0000-0000-0000D5890000}"/>
    <cellStyle name="Финансовый 3 3 6" xfId="1524" xr:uid="{00000000-0005-0000-0000-0000D6890000}"/>
    <cellStyle name="Финансовый 3 3 6 2" xfId="1849" xr:uid="{00000000-0005-0000-0000-0000D7890000}"/>
    <cellStyle name="Финансовый 3 3 6 2 2" xfId="3494" xr:uid="{00000000-0005-0000-0000-0000D8890000}"/>
    <cellStyle name="Финансовый 3 3 6 2 2 2" xfId="11242" xr:uid="{00000000-0005-0000-0000-0000D9890000}"/>
    <cellStyle name="Финансовый 3 3 6 2 2 2 2" xfId="23220" xr:uid="{00000000-0005-0000-0000-0000DA890000}"/>
    <cellStyle name="Финансовый 3 3 6 2 2 2 2 2" xfId="47175" xr:uid="{00000000-0005-0000-0000-0000DB890000}"/>
    <cellStyle name="Финансовый 3 3 6 2 2 2 3" xfId="35197" xr:uid="{00000000-0005-0000-0000-0000DC890000}"/>
    <cellStyle name="Финансовый 3 3 6 2 2 3" xfId="15473" xr:uid="{00000000-0005-0000-0000-0000DD890000}"/>
    <cellStyle name="Финансовый 3 3 6 2 2 3 2" xfId="39428" xr:uid="{00000000-0005-0000-0000-0000DE890000}"/>
    <cellStyle name="Финансовый 3 3 6 2 2 4" xfId="27451" xr:uid="{00000000-0005-0000-0000-0000DF890000}"/>
    <cellStyle name="Финансовый 3 3 6 2 2 5" xfId="50720" xr:uid="{00000000-0005-0000-0000-0000E0890000}"/>
    <cellStyle name="Финансовый 3 3 6 2 3" xfId="5277" xr:uid="{00000000-0005-0000-0000-0000E1890000}"/>
    <cellStyle name="Финансовый 3 3 6 2 3 2" xfId="17255" xr:uid="{00000000-0005-0000-0000-0000E2890000}"/>
    <cellStyle name="Финансовый 3 3 6 2 3 2 2" xfId="41210" xr:uid="{00000000-0005-0000-0000-0000E3890000}"/>
    <cellStyle name="Финансовый 3 3 6 2 3 3" xfId="29232" xr:uid="{00000000-0005-0000-0000-0000E4890000}"/>
    <cellStyle name="Финансовый 3 3 6 2 4" xfId="7887" xr:uid="{00000000-0005-0000-0000-0000E5890000}"/>
    <cellStyle name="Финансовый 3 3 6 2 4 2" xfId="19865" xr:uid="{00000000-0005-0000-0000-0000E6890000}"/>
    <cellStyle name="Финансовый 3 3 6 2 4 2 2" xfId="43820" xr:uid="{00000000-0005-0000-0000-0000E7890000}"/>
    <cellStyle name="Финансовый 3 3 6 2 4 3" xfId="31842" xr:uid="{00000000-0005-0000-0000-0000E8890000}"/>
    <cellStyle name="Финансовый 3 3 6 2 5" xfId="9670" xr:uid="{00000000-0005-0000-0000-0000E9890000}"/>
    <cellStyle name="Финансовый 3 3 6 2 5 2" xfId="21648" xr:uid="{00000000-0005-0000-0000-0000EA890000}"/>
    <cellStyle name="Финансовый 3 3 6 2 5 2 2" xfId="45603" xr:uid="{00000000-0005-0000-0000-0000EB890000}"/>
    <cellStyle name="Финансовый 3 3 6 2 5 3" xfId="33625" xr:uid="{00000000-0005-0000-0000-0000EC890000}"/>
    <cellStyle name="Финансовый 3 3 6 2 6" xfId="13828" xr:uid="{00000000-0005-0000-0000-0000ED890000}"/>
    <cellStyle name="Финансовый 3 3 6 2 6 2" xfId="37783" xr:uid="{00000000-0005-0000-0000-0000EE890000}"/>
    <cellStyle name="Финансовый 3 3 6 2 7" xfId="25806" xr:uid="{00000000-0005-0000-0000-0000EF890000}"/>
    <cellStyle name="Финансовый 3 3 6 2 8" xfId="48939" xr:uid="{00000000-0005-0000-0000-0000F0890000}"/>
    <cellStyle name="Финансовый 3 3 6 3" xfId="4952" xr:uid="{00000000-0005-0000-0000-0000F1890000}"/>
    <cellStyle name="Финансовый 3 3 6 3 2" xfId="16930" xr:uid="{00000000-0005-0000-0000-0000F2890000}"/>
    <cellStyle name="Финансовый 3 3 6 3 2 2" xfId="40885" xr:uid="{00000000-0005-0000-0000-0000F3890000}"/>
    <cellStyle name="Финансовый 3 3 6 3 3" xfId="28907" xr:uid="{00000000-0005-0000-0000-0000F4890000}"/>
    <cellStyle name="Финансовый 3 3 6 3 4" xfId="50395" xr:uid="{00000000-0005-0000-0000-0000F5890000}"/>
    <cellStyle name="Финансовый 3 3 6 4" xfId="7562" xr:uid="{00000000-0005-0000-0000-0000F6890000}"/>
    <cellStyle name="Финансовый 3 3 6 4 2" xfId="19540" xr:uid="{00000000-0005-0000-0000-0000F7890000}"/>
    <cellStyle name="Финансовый 3 3 6 4 2 2" xfId="43495" xr:uid="{00000000-0005-0000-0000-0000F8890000}"/>
    <cellStyle name="Финансовый 3 3 6 4 3" xfId="31517" xr:uid="{00000000-0005-0000-0000-0000F9890000}"/>
    <cellStyle name="Финансовый 3 3 6 5" xfId="9345" xr:uid="{00000000-0005-0000-0000-0000FA890000}"/>
    <cellStyle name="Финансовый 3 3 6 5 2" xfId="21323" xr:uid="{00000000-0005-0000-0000-0000FB890000}"/>
    <cellStyle name="Финансовый 3 3 6 5 2 2" xfId="45278" xr:uid="{00000000-0005-0000-0000-0000FC890000}"/>
    <cellStyle name="Финансовый 3 3 6 5 3" xfId="33300" xr:uid="{00000000-0005-0000-0000-0000FD890000}"/>
    <cellStyle name="Финансовый 3 3 6 6" xfId="13503" xr:uid="{00000000-0005-0000-0000-0000FE890000}"/>
    <cellStyle name="Финансовый 3 3 6 6 2" xfId="37458" xr:uid="{00000000-0005-0000-0000-0000FF890000}"/>
    <cellStyle name="Финансовый 3 3 6 7" xfId="25481" xr:uid="{00000000-0005-0000-0000-0000008A0000}"/>
    <cellStyle name="Финансовый 3 3 6 8" xfId="48614" xr:uid="{00000000-0005-0000-0000-0000018A0000}"/>
    <cellStyle name="Финансовый 3 3 7" xfId="1733" xr:uid="{00000000-0005-0000-0000-0000028A0000}"/>
    <cellStyle name="Финансовый 3 3 7 2" xfId="3378" xr:uid="{00000000-0005-0000-0000-0000038A0000}"/>
    <cellStyle name="Финансовый 3 3 7 2 2" xfId="11126" xr:uid="{00000000-0005-0000-0000-0000048A0000}"/>
    <cellStyle name="Финансовый 3 3 7 2 2 2" xfId="23104" xr:uid="{00000000-0005-0000-0000-0000058A0000}"/>
    <cellStyle name="Финансовый 3 3 7 2 2 2 2" xfId="47059" xr:uid="{00000000-0005-0000-0000-0000068A0000}"/>
    <cellStyle name="Финансовый 3 3 7 2 2 3" xfId="35081" xr:uid="{00000000-0005-0000-0000-0000078A0000}"/>
    <cellStyle name="Финансовый 3 3 7 2 3" xfId="15357" xr:uid="{00000000-0005-0000-0000-0000088A0000}"/>
    <cellStyle name="Финансовый 3 3 7 2 3 2" xfId="39312" xr:uid="{00000000-0005-0000-0000-0000098A0000}"/>
    <cellStyle name="Финансовый 3 3 7 2 4" xfId="27335" xr:uid="{00000000-0005-0000-0000-00000A8A0000}"/>
    <cellStyle name="Финансовый 3 3 7 2 5" xfId="50604" xr:uid="{00000000-0005-0000-0000-00000B8A0000}"/>
    <cellStyle name="Финансовый 3 3 7 3" xfId="5161" xr:uid="{00000000-0005-0000-0000-00000C8A0000}"/>
    <cellStyle name="Финансовый 3 3 7 3 2" xfId="17139" xr:uid="{00000000-0005-0000-0000-00000D8A0000}"/>
    <cellStyle name="Финансовый 3 3 7 3 2 2" xfId="41094" xr:uid="{00000000-0005-0000-0000-00000E8A0000}"/>
    <cellStyle name="Финансовый 3 3 7 3 3" xfId="29116" xr:uid="{00000000-0005-0000-0000-00000F8A0000}"/>
    <cellStyle name="Финансовый 3 3 7 4" xfId="7771" xr:uid="{00000000-0005-0000-0000-0000108A0000}"/>
    <cellStyle name="Финансовый 3 3 7 4 2" xfId="19749" xr:uid="{00000000-0005-0000-0000-0000118A0000}"/>
    <cellStyle name="Финансовый 3 3 7 4 2 2" xfId="43704" xr:uid="{00000000-0005-0000-0000-0000128A0000}"/>
    <cellStyle name="Финансовый 3 3 7 4 3" xfId="31726" xr:uid="{00000000-0005-0000-0000-0000138A0000}"/>
    <cellStyle name="Финансовый 3 3 7 5" xfId="9554" xr:uid="{00000000-0005-0000-0000-0000148A0000}"/>
    <cellStyle name="Финансовый 3 3 7 5 2" xfId="21532" xr:uid="{00000000-0005-0000-0000-0000158A0000}"/>
    <cellStyle name="Финансовый 3 3 7 5 2 2" xfId="45487" xr:uid="{00000000-0005-0000-0000-0000168A0000}"/>
    <cellStyle name="Финансовый 3 3 7 5 3" xfId="33509" xr:uid="{00000000-0005-0000-0000-0000178A0000}"/>
    <cellStyle name="Финансовый 3 3 7 6" xfId="13712" xr:uid="{00000000-0005-0000-0000-0000188A0000}"/>
    <cellStyle name="Финансовый 3 3 7 6 2" xfId="37667" xr:uid="{00000000-0005-0000-0000-0000198A0000}"/>
    <cellStyle name="Финансовый 3 3 7 7" xfId="25690" xr:uid="{00000000-0005-0000-0000-00001A8A0000}"/>
    <cellStyle name="Финансовый 3 3 7 8" xfId="48823" xr:uid="{00000000-0005-0000-0000-00001B8A0000}"/>
    <cellStyle name="Финансовый 3 3 8" xfId="2369" xr:uid="{00000000-0005-0000-0000-00001C8A0000}"/>
    <cellStyle name="Финансовый 3 3 8 2" xfId="4014" xr:uid="{00000000-0005-0000-0000-00001D8A0000}"/>
    <cellStyle name="Финансовый 3 3 8 2 2" xfId="11754" xr:uid="{00000000-0005-0000-0000-00001E8A0000}"/>
    <cellStyle name="Финансовый 3 3 8 2 2 2" xfId="23732" xr:uid="{00000000-0005-0000-0000-00001F8A0000}"/>
    <cellStyle name="Финансовый 3 3 8 2 2 2 2" xfId="47687" xr:uid="{00000000-0005-0000-0000-0000208A0000}"/>
    <cellStyle name="Финансовый 3 3 8 2 2 3" xfId="35709" xr:uid="{00000000-0005-0000-0000-0000218A0000}"/>
    <cellStyle name="Финансовый 3 3 8 2 3" xfId="15993" xr:uid="{00000000-0005-0000-0000-0000228A0000}"/>
    <cellStyle name="Финансовый 3 3 8 2 3 2" xfId="39948" xr:uid="{00000000-0005-0000-0000-0000238A0000}"/>
    <cellStyle name="Финансовый 3 3 8 2 4" xfId="27971" xr:uid="{00000000-0005-0000-0000-0000248A0000}"/>
    <cellStyle name="Финансовый 3 3 8 2 5" xfId="51240" xr:uid="{00000000-0005-0000-0000-0000258A0000}"/>
    <cellStyle name="Финансовый 3 3 8 3" xfId="5797" xr:uid="{00000000-0005-0000-0000-0000268A0000}"/>
    <cellStyle name="Финансовый 3 3 8 3 2" xfId="17775" xr:uid="{00000000-0005-0000-0000-0000278A0000}"/>
    <cellStyle name="Финансовый 3 3 8 3 2 2" xfId="41730" xr:uid="{00000000-0005-0000-0000-0000288A0000}"/>
    <cellStyle name="Финансовый 3 3 8 3 3" xfId="29752" xr:uid="{00000000-0005-0000-0000-0000298A0000}"/>
    <cellStyle name="Финансовый 3 3 8 4" xfId="8407" xr:uid="{00000000-0005-0000-0000-00002A8A0000}"/>
    <cellStyle name="Финансовый 3 3 8 4 2" xfId="20385" xr:uid="{00000000-0005-0000-0000-00002B8A0000}"/>
    <cellStyle name="Финансовый 3 3 8 4 2 2" xfId="44340" xr:uid="{00000000-0005-0000-0000-00002C8A0000}"/>
    <cellStyle name="Финансовый 3 3 8 4 3" xfId="32362" xr:uid="{00000000-0005-0000-0000-00002D8A0000}"/>
    <cellStyle name="Финансовый 3 3 8 5" xfId="10190" xr:uid="{00000000-0005-0000-0000-00002E8A0000}"/>
    <cellStyle name="Финансовый 3 3 8 5 2" xfId="22168" xr:uid="{00000000-0005-0000-0000-00002F8A0000}"/>
    <cellStyle name="Финансовый 3 3 8 5 2 2" xfId="46123" xr:uid="{00000000-0005-0000-0000-0000308A0000}"/>
    <cellStyle name="Финансовый 3 3 8 5 3" xfId="34145" xr:uid="{00000000-0005-0000-0000-0000318A0000}"/>
    <cellStyle name="Финансовый 3 3 8 6" xfId="14348" xr:uid="{00000000-0005-0000-0000-0000328A0000}"/>
    <cellStyle name="Финансовый 3 3 8 6 2" xfId="38303" xr:uid="{00000000-0005-0000-0000-0000338A0000}"/>
    <cellStyle name="Финансовый 3 3 8 7" xfId="26326" xr:uid="{00000000-0005-0000-0000-0000348A0000}"/>
    <cellStyle name="Финансовый 3 3 8 8" xfId="49459" xr:uid="{00000000-0005-0000-0000-0000358A0000}"/>
    <cellStyle name="Финансовый 3 3 9" xfId="1596" xr:uid="{00000000-0005-0000-0000-0000368A0000}"/>
    <cellStyle name="Финансовый 3 3 9 2" xfId="3241" xr:uid="{00000000-0005-0000-0000-0000378A0000}"/>
    <cellStyle name="Финансовый 3 3 9 2 2" xfId="10997" xr:uid="{00000000-0005-0000-0000-0000388A0000}"/>
    <cellStyle name="Финансовый 3 3 9 2 2 2" xfId="22975" xr:uid="{00000000-0005-0000-0000-0000398A0000}"/>
    <cellStyle name="Финансовый 3 3 9 2 2 2 2" xfId="46930" xr:uid="{00000000-0005-0000-0000-00003A8A0000}"/>
    <cellStyle name="Финансовый 3 3 9 2 2 3" xfId="34952" xr:uid="{00000000-0005-0000-0000-00003B8A0000}"/>
    <cellStyle name="Финансовый 3 3 9 2 3" xfId="15220" xr:uid="{00000000-0005-0000-0000-00003C8A0000}"/>
    <cellStyle name="Финансовый 3 3 9 2 3 2" xfId="39175" xr:uid="{00000000-0005-0000-0000-00003D8A0000}"/>
    <cellStyle name="Финансовый 3 3 9 2 4" xfId="27198" xr:uid="{00000000-0005-0000-0000-00003E8A0000}"/>
    <cellStyle name="Финансовый 3 3 9 2 5" xfId="50467" xr:uid="{00000000-0005-0000-0000-00003F8A0000}"/>
    <cellStyle name="Финансовый 3 3 9 3" xfId="5024" xr:uid="{00000000-0005-0000-0000-0000408A0000}"/>
    <cellStyle name="Финансовый 3 3 9 3 2" xfId="17002" xr:uid="{00000000-0005-0000-0000-0000418A0000}"/>
    <cellStyle name="Финансовый 3 3 9 3 2 2" xfId="40957" xr:uid="{00000000-0005-0000-0000-0000428A0000}"/>
    <cellStyle name="Финансовый 3 3 9 3 3" xfId="28979" xr:uid="{00000000-0005-0000-0000-0000438A0000}"/>
    <cellStyle name="Финансовый 3 3 9 4" xfId="7634" xr:uid="{00000000-0005-0000-0000-0000448A0000}"/>
    <cellStyle name="Финансовый 3 3 9 4 2" xfId="19612" xr:uid="{00000000-0005-0000-0000-0000458A0000}"/>
    <cellStyle name="Финансовый 3 3 9 4 2 2" xfId="43567" xr:uid="{00000000-0005-0000-0000-0000468A0000}"/>
    <cellStyle name="Финансовый 3 3 9 4 3" xfId="31589" xr:uid="{00000000-0005-0000-0000-0000478A0000}"/>
    <cellStyle name="Финансовый 3 3 9 5" xfId="9417" xr:uid="{00000000-0005-0000-0000-0000488A0000}"/>
    <cellStyle name="Финансовый 3 3 9 5 2" xfId="21395" xr:uid="{00000000-0005-0000-0000-0000498A0000}"/>
    <cellStyle name="Финансовый 3 3 9 5 2 2" xfId="45350" xr:uid="{00000000-0005-0000-0000-00004A8A0000}"/>
    <cellStyle name="Финансовый 3 3 9 5 3" xfId="33372" xr:uid="{00000000-0005-0000-0000-00004B8A0000}"/>
    <cellStyle name="Финансовый 3 3 9 6" xfId="13575" xr:uid="{00000000-0005-0000-0000-00004C8A0000}"/>
    <cellStyle name="Финансовый 3 3 9 6 2" xfId="37530" xr:uid="{00000000-0005-0000-0000-00004D8A0000}"/>
    <cellStyle name="Финансовый 3 3 9 7" xfId="25553" xr:uid="{00000000-0005-0000-0000-00004E8A0000}"/>
    <cellStyle name="Финансовый 3 3 9 8" xfId="48686" xr:uid="{00000000-0005-0000-0000-00004F8A0000}"/>
    <cellStyle name="Финансовый 3 4" xfId="91" xr:uid="{00000000-0005-0000-0000-0000508A0000}"/>
    <cellStyle name="Финансовый 3 4 10" xfId="2701" xr:uid="{00000000-0005-0000-0000-0000518A0000}"/>
    <cellStyle name="Финансовый 3 4 10 2" xfId="14680" xr:uid="{00000000-0005-0000-0000-0000528A0000}"/>
    <cellStyle name="Финансовый 3 4 10 2 2" xfId="38635" xr:uid="{00000000-0005-0000-0000-0000538A0000}"/>
    <cellStyle name="Финансовый 3 4 10 3" xfId="26658" xr:uid="{00000000-0005-0000-0000-0000548A0000}"/>
    <cellStyle name="Финансовый 3 4 11" xfId="4345" xr:uid="{00000000-0005-0000-0000-0000558A0000}"/>
    <cellStyle name="Финансовый 3 4 11 2" xfId="16324" xr:uid="{00000000-0005-0000-0000-0000568A0000}"/>
    <cellStyle name="Финансовый 3 4 11 2 2" xfId="40279" xr:uid="{00000000-0005-0000-0000-0000578A0000}"/>
    <cellStyle name="Финансовый 3 4 11 3" xfId="28302" xr:uid="{00000000-0005-0000-0000-0000588A0000}"/>
    <cellStyle name="Финансовый 3 4 12" xfId="6132" xr:uid="{00000000-0005-0000-0000-0000598A0000}"/>
    <cellStyle name="Финансовый 3 4 12 2" xfId="18110" xr:uid="{00000000-0005-0000-0000-00005A8A0000}"/>
    <cellStyle name="Финансовый 3 4 12 2 2" xfId="42065" xr:uid="{00000000-0005-0000-0000-00005B8A0000}"/>
    <cellStyle name="Финансовый 3 4 12 3" xfId="30087" xr:uid="{00000000-0005-0000-0000-00005C8A0000}"/>
    <cellStyle name="Финансовый 3 4 13" xfId="8739" xr:uid="{00000000-0005-0000-0000-00005D8A0000}"/>
    <cellStyle name="Финансовый 3 4 13 2" xfId="20717" xr:uid="{00000000-0005-0000-0000-00005E8A0000}"/>
    <cellStyle name="Финансовый 3 4 13 2 2" xfId="44672" xr:uid="{00000000-0005-0000-0000-00005F8A0000}"/>
    <cellStyle name="Финансовый 3 4 13 3" xfId="32694" xr:uid="{00000000-0005-0000-0000-0000608A0000}"/>
    <cellStyle name="Финансовый 3 4 14" xfId="12073" xr:uid="{00000000-0005-0000-0000-0000618A0000}"/>
    <cellStyle name="Финансовый 3 4 14 2" xfId="36028" xr:uid="{00000000-0005-0000-0000-0000628A0000}"/>
    <cellStyle name="Финансовый 3 4 15" xfId="24051" xr:uid="{00000000-0005-0000-0000-0000638A0000}"/>
    <cellStyle name="Финансовый 3 4 16" xfId="48009" xr:uid="{00000000-0005-0000-0000-0000648A0000}"/>
    <cellStyle name="Финансовый 3 4 2" xfId="227" xr:uid="{00000000-0005-0000-0000-0000658A0000}"/>
    <cellStyle name="Финансовый 3 4 2 10" xfId="8875" xr:uid="{00000000-0005-0000-0000-0000668A0000}"/>
    <cellStyle name="Финансовый 3 4 2 10 2" xfId="20853" xr:uid="{00000000-0005-0000-0000-0000678A0000}"/>
    <cellStyle name="Финансовый 3 4 2 10 2 2" xfId="44808" xr:uid="{00000000-0005-0000-0000-0000688A0000}"/>
    <cellStyle name="Финансовый 3 4 2 10 3" xfId="32830" xr:uid="{00000000-0005-0000-0000-0000698A0000}"/>
    <cellStyle name="Финансовый 3 4 2 11" xfId="12209" xr:uid="{00000000-0005-0000-0000-00006A8A0000}"/>
    <cellStyle name="Финансовый 3 4 2 11 2" xfId="36164" xr:uid="{00000000-0005-0000-0000-00006B8A0000}"/>
    <cellStyle name="Финансовый 3 4 2 12" xfId="24187" xr:uid="{00000000-0005-0000-0000-00006C8A0000}"/>
    <cellStyle name="Финансовый 3 4 2 13" xfId="48145" xr:uid="{00000000-0005-0000-0000-00006D8A0000}"/>
    <cellStyle name="Финансовый 3 4 2 2" xfId="1325" xr:uid="{00000000-0005-0000-0000-00006E8A0000}"/>
    <cellStyle name="Финансовый 3 4 2 2 2" xfId="2283" xr:uid="{00000000-0005-0000-0000-00006F8A0000}"/>
    <cellStyle name="Финансовый 3 4 2 2 2 2" xfId="3928" xr:uid="{00000000-0005-0000-0000-0000708A0000}"/>
    <cellStyle name="Финансовый 3 4 2 2 2 2 2" xfId="11668" xr:uid="{00000000-0005-0000-0000-0000718A0000}"/>
    <cellStyle name="Финансовый 3 4 2 2 2 2 2 2" xfId="23646" xr:uid="{00000000-0005-0000-0000-0000728A0000}"/>
    <cellStyle name="Финансовый 3 4 2 2 2 2 2 2 2" xfId="47601" xr:uid="{00000000-0005-0000-0000-0000738A0000}"/>
    <cellStyle name="Финансовый 3 4 2 2 2 2 2 3" xfId="35623" xr:uid="{00000000-0005-0000-0000-0000748A0000}"/>
    <cellStyle name="Финансовый 3 4 2 2 2 2 3" xfId="15907" xr:uid="{00000000-0005-0000-0000-0000758A0000}"/>
    <cellStyle name="Финансовый 3 4 2 2 2 2 3 2" xfId="39862" xr:uid="{00000000-0005-0000-0000-0000768A0000}"/>
    <cellStyle name="Финансовый 3 4 2 2 2 2 4" xfId="27885" xr:uid="{00000000-0005-0000-0000-0000778A0000}"/>
    <cellStyle name="Финансовый 3 4 2 2 2 2 5" xfId="51154" xr:uid="{00000000-0005-0000-0000-0000788A0000}"/>
    <cellStyle name="Финансовый 3 4 2 2 2 3" xfId="5711" xr:uid="{00000000-0005-0000-0000-0000798A0000}"/>
    <cellStyle name="Финансовый 3 4 2 2 2 3 2" xfId="17689" xr:uid="{00000000-0005-0000-0000-00007A8A0000}"/>
    <cellStyle name="Финансовый 3 4 2 2 2 3 2 2" xfId="41644" xr:uid="{00000000-0005-0000-0000-00007B8A0000}"/>
    <cellStyle name="Финансовый 3 4 2 2 2 3 3" xfId="29666" xr:uid="{00000000-0005-0000-0000-00007C8A0000}"/>
    <cellStyle name="Финансовый 3 4 2 2 2 4" xfId="8321" xr:uid="{00000000-0005-0000-0000-00007D8A0000}"/>
    <cellStyle name="Финансовый 3 4 2 2 2 4 2" xfId="20299" xr:uid="{00000000-0005-0000-0000-00007E8A0000}"/>
    <cellStyle name="Финансовый 3 4 2 2 2 4 2 2" xfId="44254" xr:uid="{00000000-0005-0000-0000-00007F8A0000}"/>
    <cellStyle name="Финансовый 3 4 2 2 2 4 3" xfId="32276" xr:uid="{00000000-0005-0000-0000-0000808A0000}"/>
    <cellStyle name="Финансовый 3 4 2 2 2 5" xfId="10104" xr:uid="{00000000-0005-0000-0000-0000818A0000}"/>
    <cellStyle name="Финансовый 3 4 2 2 2 5 2" xfId="22082" xr:uid="{00000000-0005-0000-0000-0000828A0000}"/>
    <cellStyle name="Финансовый 3 4 2 2 2 5 2 2" xfId="46037" xr:uid="{00000000-0005-0000-0000-0000838A0000}"/>
    <cellStyle name="Финансовый 3 4 2 2 2 5 3" xfId="34059" xr:uid="{00000000-0005-0000-0000-0000848A0000}"/>
    <cellStyle name="Финансовый 3 4 2 2 2 6" xfId="14262" xr:uid="{00000000-0005-0000-0000-0000858A0000}"/>
    <cellStyle name="Финансовый 3 4 2 2 2 6 2" xfId="38217" xr:uid="{00000000-0005-0000-0000-0000868A0000}"/>
    <cellStyle name="Финансовый 3 4 2 2 2 7" xfId="26240" xr:uid="{00000000-0005-0000-0000-0000878A0000}"/>
    <cellStyle name="Финансовый 3 4 2 2 2 8" xfId="49373" xr:uid="{00000000-0005-0000-0000-0000888A0000}"/>
    <cellStyle name="Финансовый 3 4 2 2 3" xfId="3109" xr:uid="{00000000-0005-0000-0000-0000898A0000}"/>
    <cellStyle name="Финансовый 3 4 2 2 3 2" xfId="10896" xr:uid="{00000000-0005-0000-0000-00008A8A0000}"/>
    <cellStyle name="Финансовый 3 4 2 2 3 2 2" xfId="22874" xr:uid="{00000000-0005-0000-0000-00008B8A0000}"/>
    <cellStyle name="Финансовый 3 4 2 2 3 2 2 2" xfId="46829" xr:uid="{00000000-0005-0000-0000-00008C8A0000}"/>
    <cellStyle name="Финансовый 3 4 2 2 3 2 3" xfId="34851" xr:uid="{00000000-0005-0000-0000-00008D8A0000}"/>
    <cellStyle name="Финансовый 3 4 2 2 3 3" xfId="15088" xr:uid="{00000000-0005-0000-0000-00008E8A0000}"/>
    <cellStyle name="Финансовый 3 4 2 2 3 3 2" xfId="39043" xr:uid="{00000000-0005-0000-0000-00008F8A0000}"/>
    <cellStyle name="Финансовый 3 4 2 2 3 4" xfId="27066" xr:uid="{00000000-0005-0000-0000-0000908A0000}"/>
    <cellStyle name="Финансовый 3 4 2 2 3 5" xfId="50197" xr:uid="{00000000-0005-0000-0000-0000918A0000}"/>
    <cellStyle name="Финансовый 3 4 2 2 4" xfId="4753" xr:uid="{00000000-0005-0000-0000-0000928A0000}"/>
    <cellStyle name="Финансовый 3 4 2 2 4 2" xfId="16732" xr:uid="{00000000-0005-0000-0000-0000938A0000}"/>
    <cellStyle name="Финансовый 3 4 2 2 4 2 2" xfId="40687" xr:uid="{00000000-0005-0000-0000-0000948A0000}"/>
    <cellStyle name="Финансовый 3 4 2 2 4 3" xfId="28710" xr:uid="{00000000-0005-0000-0000-0000958A0000}"/>
    <cellStyle name="Финансовый 3 4 2 2 5" xfId="7365" xr:uid="{00000000-0005-0000-0000-0000968A0000}"/>
    <cellStyle name="Финансовый 3 4 2 2 5 2" xfId="19343" xr:uid="{00000000-0005-0000-0000-0000978A0000}"/>
    <cellStyle name="Финансовый 3 4 2 2 5 2 2" xfId="43298" xr:uid="{00000000-0005-0000-0000-0000988A0000}"/>
    <cellStyle name="Финансовый 3 4 2 2 5 3" xfId="31320" xr:uid="{00000000-0005-0000-0000-0000998A0000}"/>
    <cellStyle name="Финансовый 3 4 2 2 6" xfId="9147" xr:uid="{00000000-0005-0000-0000-00009A8A0000}"/>
    <cellStyle name="Финансовый 3 4 2 2 6 2" xfId="21125" xr:uid="{00000000-0005-0000-0000-00009B8A0000}"/>
    <cellStyle name="Финансовый 3 4 2 2 6 2 2" xfId="45080" xr:uid="{00000000-0005-0000-0000-00009C8A0000}"/>
    <cellStyle name="Финансовый 3 4 2 2 6 3" xfId="33102" xr:uid="{00000000-0005-0000-0000-00009D8A0000}"/>
    <cellStyle name="Финансовый 3 4 2 2 7" xfId="13306" xr:uid="{00000000-0005-0000-0000-00009E8A0000}"/>
    <cellStyle name="Финансовый 3 4 2 2 7 2" xfId="37261" xr:uid="{00000000-0005-0000-0000-00009F8A0000}"/>
    <cellStyle name="Финансовый 3 4 2 2 8" xfId="25284" xr:uid="{00000000-0005-0000-0000-0000A08A0000}"/>
    <cellStyle name="Финансовый 3 4 2 2 9" xfId="48417" xr:uid="{00000000-0005-0000-0000-0000A18A0000}"/>
    <cellStyle name="Финансовый 3 4 2 3" xfId="2027" xr:uid="{00000000-0005-0000-0000-0000A28A0000}"/>
    <cellStyle name="Финансовый 3 4 2 3 2" xfId="3672" xr:uid="{00000000-0005-0000-0000-0000A38A0000}"/>
    <cellStyle name="Финансовый 3 4 2 3 2 2" xfId="11412" xr:uid="{00000000-0005-0000-0000-0000A48A0000}"/>
    <cellStyle name="Финансовый 3 4 2 3 2 2 2" xfId="23390" xr:uid="{00000000-0005-0000-0000-0000A58A0000}"/>
    <cellStyle name="Финансовый 3 4 2 3 2 2 2 2" xfId="47345" xr:uid="{00000000-0005-0000-0000-0000A68A0000}"/>
    <cellStyle name="Финансовый 3 4 2 3 2 2 3" xfId="35367" xr:uid="{00000000-0005-0000-0000-0000A78A0000}"/>
    <cellStyle name="Финансовый 3 4 2 3 2 3" xfId="15651" xr:uid="{00000000-0005-0000-0000-0000A88A0000}"/>
    <cellStyle name="Финансовый 3 4 2 3 2 3 2" xfId="39606" xr:uid="{00000000-0005-0000-0000-0000A98A0000}"/>
    <cellStyle name="Финансовый 3 4 2 3 2 4" xfId="27629" xr:uid="{00000000-0005-0000-0000-0000AA8A0000}"/>
    <cellStyle name="Финансовый 3 4 2 3 2 5" xfId="50898" xr:uid="{00000000-0005-0000-0000-0000AB8A0000}"/>
    <cellStyle name="Финансовый 3 4 2 3 3" xfId="5455" xr:uid="{00000000-0005-0000-0000-0000AC8A0000}"/>
    <cellStyle name="Финансовый 3 4 2 3 3 2" xfId="17433" xr:uid="{00000000-0005-0000-0000-0000AD8A0000}"/>
    <cellStyle name="Финансовый 3 4 2 3 3 2 2" xfId="41388" xr:uid="{00000000-0005-0000-0000-0000AE8A0000}"/>
    <cellStyle name="Финансовый 3 4 2 3 3 3" xfId="29410" xr:uid="{00000000-0005-0000-0000-0000AF8A0000}"/>
    <cellStyle name="Финансовый 3 4 2 3 4" xfId="8065" xr:uid="{00000000-0005-0000-0000-0000B08A0000}"/>
    <cellStyle name="Финансовый 3 4 2 3 4 2" xfId="20043" xr:uid="{00000000-0005-0000-0000-0000B18A0000}"/>
    <cellStyle name="Финансовый 3 4 2 3 4 2 2" xfId="43998" xr:uid="{00000000-0005-0000-0000-0000B28A0000}"/>
    <cellStyle name="Финансовый 3 4 2 3 4 3" xfId="32020" xr:uid="{00000000-0005-0000-0000-0000B38A0000}"/>
    <cellStyle name="Финансовый 3 4 2 3 5" xfId="9848" xr:uid="{00000000-0005-0000-0000-0000B48A0000}"/>
    <cellStyle name="Финансовый 3 4 2 3 5 2" xfId="21826" xr:uid="{00000000-0005-0000-0000-0000B58A0000}"/>
    <cellStyle name="Финансовый 3 4 2 3 5 2 2" xfId="45781" xr:uid="{00000000-0005-0000-0000-0000B68A0000}"/>
    <cellStyle name="Финансовый 3 4 2 3 5 3" xfId="33803" xr:uid="{00000000-0005-0000-0000-0000B78A0000}"/>
    <cellStyle name="Финансовый 3 4 2 3 6" xfId="14006" xr:uid="{00000000-0005-0000-0000-0000B88A0000}"/>
    <cellStyle name="Финансовый 3 4 2 3 6 2" xfId="37961" xr:uid="{00000000-0005-0000-0000-0000B98A0000}"/>
    <cellStyle name="Финансовый 3 4 2 3 7" xfId="25984" xr:uid="{00000000-0005-0000-0000-0000BA8A0000}"/>
    <cellStyle name="Финансовый 3 4 2 3 8" xfId="49117" xr:uid="{00000000-0005-0000-0000-0000BB8A0000}"/>
    <cellStyle name="Финансовый 3 4 2 4" xfId="2556" xr:uid="{00000000-0005-0000-0000-0000BC8A0000}"/>
    <cellStyle name="Финансовый 3 4 2 4 2" xfId="4201" xr:uid="{00000000-0005-0000-0000-0000BD8A0000}"/>
    <cellStyle name="Финансовый 3 4 2 4 2 2" xfId="11925" xr:uid="{00000000-0005-0000-0000-0000BE8A0000}"/>
    <cellStyle name="Финансовый 3 4 2 4 2 2 2" xfId="23903" xr:uid="{00000000-0005-0000-0000-0000BF8A0000}"/>
    <cellStyle name="Финансовый 3 4 2 4 2 2 2 2" xfId="47858" xr:uid="{00000000-0005-0000-0000-0000C08A0000}"/>
    <cellStyle name="Финансовый 3 4 2 4 2 2 3" xfId="35880" xr:uid="{00000000-0005-0000-0000-0000C18A0000}"/>
    <cellStyle name="Финансовый 3 4 2 4 2 3" xfId="16180" xr:uid="{00000000-0005-0000-0000-0000C28A0000}"/>
    <cellStyle name="Финансовый 3 4 2 4 2 3 2" xfId="40135" xr:uid="{00000000-0005-0000-0000-0000C38A0000}"/>
    <cellStyle name="Финансовый 3 4 2 4 2 4" xfId="28158" xr:uid="{00000000-0005-0000-0000-0000C48A0000}"/>
    <cellStyle name="Финансовый 3 4 2 4 2 5" xfId="51427" xr:uid="{00000000-0005-0000-0000-0000C58A0000}"/>
    <cellStyle name="Финансовый 3 4 2 4 3" xfId="5984" xr:uid="{00000000-0005-0000-0000-0000C68A0000}"/>
    <cellStyle name="Финансовый 3 4 2 4 3 2" xfId="17962" xr:uid="{00000000-0005-0000-0000-0000C78A0000}"/>
    <cellStyle name="Финансовый 3 4 2 4 3 2 2" xfId="41917" xr:uid="{00000000-0005-0000-0000-0000C88A0000}"/>
    <cellStyle name="Финансовый 3 4 2 4 3 3" xfId="29939" xr:uid="{00000000-0005-0000-0000-0000C98A0000}"/>
    <cellStyle name="Финансовый 3 4 2 4 4" xfId="8594" xr:uid="{00000000-0005-0000-0000-0000CA8A0000}"/>
    <cellStyle name="Финансовый 3 4 2 4 4 2" xfId="20572" xr:uid="{00000000-0005-0000-0000-0000CB8A0000}"/>
    <cellStyle name="Финансовый 3 4 2 4 4 2 2" xfId="44527" xr:uid="{00000000-0005-0000-0000-0000CC8A0000}"/>
    <cellStyle name="Финансовый 3 4 2 4 4 3" xfId="32549" xr:uid="{00000000-0005-0000-0000-0000CD8A0000}"/>
    <cellStyle name="Финансовый 3 4 2 4 5" xfId="10377" xr:uid="{00000000-0005-0000-0000-0000CE8A0000}"/>
    <cellStyle name="Финансовый 3 4 2 4 5 2" xfId="22355" xr:uid="{00000000-0005-0000-0000-0000CF8A0000}"/>
    <cellStyle name="Финансовый 3 4 2 4 5 2 2" xfId="46310" xr:uid="{00000000-0005-0000-0000-0000D08A0000}"/>
    <cellStyle name="Финансовый 3 4 2 4 5 3" xfId="34332" xr:uid="{00000000-0005-0000-0000-0000D18A0000}"/>
    <cellStyle name="Финансовый 3 4 2 4 6" xfId="14535" xr:uid="{00000000-0005-0000-0000-0000D28A0000}"/>
    <cellStyle name="Финансовый 3 4 2 4 6 2" xfId="38490" xr:uid="{00000000-0005-0000-0000-0000D38A0000}"/>
    <cellStyle name="Финансовый 3 4 2 4 7" xfId="26513" xr:uid="{00000000-0005-0000-0000-0000D48A0000}"/>
    <cellStyle name="Финансовый 3 4 2 4 8" xfId="49646" xr:uid="{00000000-0005-0000-0000-0000D58A0000}"/>
    <cellStyle name="Финансовый 3 4 2 5" xfId="1060" xr:uid="{00000000-0005-0000-0000-0000D68A0000}"/>
    <cellStyle name="Финансовый 3 4 2 5 2" xfId="7100" xr:uid="{00000000-0005-0000-0000-0000D78A0000}"/>
    <cellStyle name="Финансовый 3 4 2 5 2 2" xfId="19078" xr:uid="{00000000-0005-0000-0000-0000D88A0000}"/>
    <cellStyle name="Финансовый 3 4 2 5 2 2 2" xfId="43033" xr:uid="{00000000-0005-0000-0000-0000D98A0000}"/>
    <cellStyle name="Финансовый 3 4 2 5 2 3" xfId="31055" xr:uid="{00000000-0005-0000-0000-0000DA8A0000}"/>
    <cellStyle name="Финансовый 3 4 2 5 3" xfId="10640" xr:uid="{00000000-0005-0000-0000-0000DB8A0000}"/>
    <cellStyle name="Финансовый 3 4 2 5 3 2" xfId="22618" xr:uid="{00000000-0005-0000-0000-0000DC8A0000}"/>
    <cellStyle name="Финансовый 3 4 2 5 3 2 2" xfId="46573" xr:uid="{00000000-0005-0000-0000-0000DD8A0000}"/>
    <cellStyle name="Финансовый 3 4 2 5 3 3" xfId="34595" xr:uid="{00000000-0005-0000-0000-0000DE8A0000}"/>
    <cellStyle name="Финансовый 3 4 2 5 4" xfId="13041" xr:uid="{00000000-0005-0000-0000-0000DF8A0000}"/>
    <cellStyle name="Финансовый 3 4 2 5 4 2" xfId="36996" xr:uid="{00000000-0005-0000-0000-0000E08A0000}"/>
    <cellStyle name="Финансовый 3 4 2 5 5" xfId="25019" xr:uid="{00000000-0005-0000-0000-0000E18A0000}"/>
    <cellStyle name="Финансовый 3 4 2 5 6" xfId="49925" xr:uid="{00000000-0005-0000-0000-0000E28A0000}"/>
    <cellStyle name="Финансовый 3 4 2 6" xfId="648" xr:uid="{00000000-0005-0000-0000-0000E38A0000}"/>
    <cellStyle name="Финансовый 3 4 2 6 2" xfId="6688" xr:uid="{00000000-0005-0000-0000-0000E48A0000}"/>
    <cellStyle name="Финансовый 3 4 2 6 2 2" xfId="18666" xr:uid="{00000000-0005-0000-0000-0000E58A0000}"/>
    <cellStyle name="Финансовый 3 4 2 6 2 2 2" xfId="42621" xr:uid="{00000000-0005-0000-0000-0000E68A0000}"/>
    <cellStyle name="Финансовый 3 4 2 6 2 3" xfId="30643" xr:uid="{00000000-0005-0000-0000-0000E78A0000}"/>
    <cellStyle name="Финансовый 3 4 2 6 3" xfId="12629" xr:uid="{00000000-0005-0000-0000-0000E88A0000}"/>
    <cellStyle name="Финансовый 3 4 2 6 3 2" xfId="36584" xr:uid="{00000000-0005-0000-0000-0000E98A0000}"/>
    <cellStyle name="Финансовый 3 4 2 6 4" xfId="24607" xr:uid="{00000000-0005-0000-0000-0000EA8A0000}"/>
    <cellStyle name="Финансовый 3 4 2 7" xfId="2837" xr:uid="{00000000-0005-0000-0000-0000EB8A0000}"/>
    <cellStyle name="Финансовый 3 4 2 7 2" xfId="14816" xr:uid="{00000000-0005-0000-0000-0000EC8A0000}"/>
    <cellStyle name="Финансовый 3 4 2 7 2 2" xfId="38771" xr:uid="{00000000-0005-0000-0000-0000ED8A0000}"/>
    <cellStyle name="Финансовый 3 4 2 7 3" xfId="26794" xr:uid="{00000000-0005-0000-0000-0000EE8A0000}"/>
    <cellStyle name="Финансовый 3 4 2 8" xfId="4481" xr:uid="{00000000-0005-0000-0000-0000EF8A0000}"/>
    <cellStyle name="Финансовый 3 4 2 8 2" xfId="16460" xr:uid="{00000000-0005-0000-0000-0000F08A0000}"/>
    <cellStyle name="Финансовый 3 4 2 8 2 2" xfId="40415" xr:uid="{00000000-0005-0000-0000-0000F18A0000}"/>
    <cellStyle name="Финансовый 3 4 2 8 3" xfId="28438" xr:uid="{00000000-0005-0000-0000-0000F28A0000}"/>
    <cellStyle name="Финансовый 3 4 2 9" xfId="6268" xr:uid="{00000000-0005-0000-0000-0000F38A0000}"/>
    <cellStyle name="Финансовый 3 4 2 9 2" xfId="18246" xr:uid="{00000000-0005-0000-0000-0000F48A0000}"/>
    <cellStyle name="Финансовый 3 4 2 9 2 2" xfId="42201" xr:uid="{00000000-0005-0000-0000-0000F58A0000}"/>
    <cellStyle name="Финансовый 3 4 2 9 3" xfId="30223" xr:uid="{00000000-0005-0000-0000-0000F68A0000}"/>
    <cellStyle name="Финансовый 3 4 3" xfId="376" xr:uid="{00000000-0005-0000-0000-0000F78A0000}"/>
    <cellStyle name="Финансовый 3 4 3 10" xfId="24335" xr:uid="{00000000-0005-0000-0000-0000F88A0000}"/>
    <cellStyle name="Финансовый 3 4 3 11" xfId="48281" xr:uid="{00000000-0005-0000-0000-0000F98A0000}"/>
    <cellStyle name="Финансовый 3 4 3 2" xfId="2155" xr:uid="{00000000-0005-0000-0000-0000FA8A0000}"/>
    <cellStyle name="Финансовый 3 4 3 2 2" xfId="3800" xr:uid="{00000000-0005-0000-0000-0000FB8A0000}"/>
    <cellStyle name="Финансовый 3 4 3 2 2 2" xfId="11540" xr:uid="{00000000-0005-0000-0000-0000FC8A0000}"/>
    <cellStyle name="Финансовый 3 4 3 2 2 2 2" xfId="23518" xr:uid="{00000000-0005-0000-0000-0000FD8A0000}"/>
    <cellStyle name="Финансовый 3 4 3 2 2 2 2 2" xfId="47473" xr:uid="{00000000-0005-0000-0000-0000FE8A0000}"/>
    <cellStyle name="Финансовый 3 4 3 2 2 2 3" xfId="35495" xr:uid="{00000000-0005-0000-0000-0000FF8A0000}"/>
    <cellStyle name="Финансовый 3 4 3 2 2 3" xfId="15779" xr:uid="{00000000-0005-0000-0000-0000008B0000}"/>
    <cellStyle name="Финансовый 3 4 3 2 2 3 2" xfId="39734" xr:uid="{00000000-0005-0000-0000-0000018B0000}"/>
    <cellStyle name="Финансовый 3 4 3 2 2 4" xfId="27757" xr:uid="{00000000-0005-0000-0000-0000028B0000}"/>
    <cellStyle name="Финансовый 3 4 3 2 2 5" xfId="51026" xr:uid="{00000000-0005-0000-0000-0000038B0000}"/>
    <cellStyle name="Финансовый 3 4 3 2 3" xfId="5583" xr:uid="{00000000-0005-0000-0000-0000048B0000}"/>
    <cellStyle name="Финансовый 3 4 3 2 3 2" xfId="17561" xr:uid="{00000000-0005-0000-0000-0000058B0000}"/>
    <cellStyle name="Финансовый 3 4 3 2 3 2 2" xfId="41516" xr:uid="{00000000-0005-0000-0000-0000068B0000}"/>
    <cellStyle name="Финансовый 3 4 3 2 3 3" xfId="29538" xr:uid="{00000000-0005-0000-0000-0000078B0000}"/>
    <cellStyle name="Финансовый 3 4 3 2 4" xfId="8193" xr:uid="{00000000-0005-0000-0000-0000088B0000}"/>
    <cellStyle name="Финансовый 3 4 3 2 4 2" xfId="20171" xr:uid="{00000000-0005-0000-0000-0000098B0000}"/>
    <cellStyle name="Финансовый 3 4 3 2 4 2 2" xfId="44126" xr:uid="{00000000-0005-0000-0000-00000A8B0000}"/>
    <cellStyle name="Финансовый 3 4 3 2 4 3" xfId="32148" xr:uid="{00000000-0005-0000-0000-00000B8B0000}"/>
    <cellStyle name="Финансовый 3 4 3 2 5" xfId="9976" xr:uid="{00000000-0005-0000-0000-00000C8B0000}"/>
    <cellStyle name="Финансовый 3 4 3 2 5 2" xfId="21954" xr:uid="{00000000-0005-0000-0000-00000D8B0000}"/>
    <cellStyle name="Финансовый 3 4 3 2 5 2 2" xfId="45909" xr:uid="{00000000-0005-0000-0000-00000E8B0000}"/>
    <cellStyle name="Финансовый 3 4 3 2 5 3" xfId="33931" xr:uid="{00000000-0005-0000-0000-00000F8B0000}"/>
    <cellStyle name="Финансовый 3 4 3 2 6" xfId="14134" xr:uid="{00000000-0005-0000-0000-0000108B0000}"/>
    <cellStyle name="Финансовый 3 4 3 2 6 2" xfId="38089" xr:uid="{00000000-0005-0000-0000-0000118B0000}"/>
    <cellStyle name="Финансовый 3 4 3 2 7" xfId="26112" xr:uid="{00000000-0005-0000-0000-0000128B0000}"/>
    <cellStyle name="Финансовый 3 4 3 2 8" xfId="49245" xr:uid="{00000000-0005-0000-0000-0000138B0000}"/>
    <cellStyle name="Финансовый 3 4 3 3" xfId="1189" xr:uid="{00000000-0005-0000-0000-0000148B0000}"/>
    <cellStyle name="Финансовый 3 4 3 3 2" xfId="7229" xr:uid="{00000000-0005-0000-0000-0000158B0000}"/>
    <cellStyle name="Финансовый 3 4 3 3 2 2" xfId="19207" xr:uid="{00000000-0005-0000-0000-0000168B0000}"/>
    <cellStyle name="Финансовый 3 4 3 3 2 2 2" xfId="43162" xr:uid="{00000000-0005-0000-0000-0000178B0000}"/>
    <cellStyle name="Финансовый 3 4 3 3 2 3" xfId="31184" xr:uid="{00000000-0005-0000-0000-0000188B0000}"/>
    <cellStyle name="Финансовый 3 4 3 3 3" xfId="10768" xr:uid="{00000000-0005-0000-0000-0000198B0000}"/>
    <cellStyle name="Финансовый 3 4 3 3 3 2" xfId="22746" xr:uid="{00000000-0005-0000-0000-00001A8B0000}"/>
    <cellStyle name="Финансовый 3 4 3 3 3 2 2" xfId="46701" xr:uid="{00000000-0005-0000-0000-00001B8B0000}"/>
    <cellStyle name="Финансовый 3 4 3 3 3 3" xfId="34723" xr:uid="{00000000-0005-0000-0000-00001C8B0000}"/>
    <cellStyle name="Финансовый 3 4 3 3 4" xfId="13170" xr:uid="{00000000-0005-0000-0000-00001D8B0000}"/>
    <cellStyle name="Финансовый 3 4 3 3 4 2" xfId="37125" xr:uid="{00000000-0005-0000-0000-00001E8B0000}"/>
    <cellStyle name="Финансовый 3 4 3 3 5" xfId="25148" xr:uid="{00000000-0005-0000-0000-00001F8B0000}"/>
    <cellStyle name="Финансовый 3 4 3 3 6" xfId="50061" xr:uid="{00000000-0005-0000-0000-0000208B0000}"/>
    <cellStyle name="Финансовый 3 4 3 4" xfId="796" xr:uid="{00000000-0005-0000-0000-0000218B0000}"/>
    <cellStyle name="Финансовый 3 4 3 4 2" xfId="6836" xr:uid="{00000000-0005-0000-0000-0000228B0000}"/>
    <cellStyle name="Финансовый 3 4 3 4 2 2" xfId="18814" xr:uid="{00000000-0005-0000-0000-0000238B0000}"/>
    <cellStyle name="Финансовый 3 4 3 4 2 2 2" xfId="42769" xr:uid="{00000000-0005-0000-0000-0000248B0000}"/>
    <cellStyle name="Финансовый 3 4 3 4 2 3" xfId="30791" xr:uid="{00000000-0005-0000-0000-0000258B0000}"/>
    <cellStyle name="Финансовый 3 4 3 4 3" xfId="12777" xr:uid="{00000000-0005-0000-0000-0000268B0000}"/>
    <cellStyle name="Финансовый 3 4 3 4 3 2" xfId="36732" xr:uid="{00000000-0005-0000-0000-0000278B0000}"/>
    <cellStyle name="Финансовый 3 4 3 4 4" xfId="24755" xr:uid="{00000000-0005-0000-0000-0000288B0000}"/>
    <cellStyle name="Финансовый 3 4 3 5" xfId="2973" xr:uid="{00000000-0005-0000-0000-0000298B0000}"/>
    <cellStyle name="Финансовый 3 4 3 5 2" xfId="14952" xr:uid="{00000000-0005-0000-0000-00002A8B0000}"/>
    <cellStyle name="Финансовый 3 4 3 5 2 2" xfId="38907" xr:uid="{00000000-0005-0000-0000-00002B8B0000}"/>
    <cellStyle name="Финансовый 3 4 3 5 3" xfId="26930" xr:uid="{00000000-0005-0000-0000-00002C8B0000}"/>
    <cellStyle name="Финансовый 3 4 3 6" xfId="4617" xr:uid="{00000000-0005-0000-0000-00002D8B0000}"/>
    <cellStyle name="Финансовый 3 4 3 6 2" xfId="16596" xr:uid="{00000000-0005-0000-0000-00002E8B0000}"/>
    <cellStyle name="Финансовый 3 4 3 6 2 2" xfId="40551" xr:uid="{00000000-0005-0000-0000-00002F8B0000}"/>
    <cellStyle name="Финансовый 3 4 3 6 3" xfId="28574" xr:uid="{00000000-0005-0000-0000-0000308B0000}"/>
    <cellStyle name="Финансовый 3 4 3 7" xfId="6416" xr:uid="{00000000-0005-0000-0000-0000318B0000}"/>
    <cellStyle name="Финансовый 3 4 3 7 2" xfId="18394" xr:uid="{00000000-0005-0000-0000-0000328B0000}"/>
    <cellStyle name="Финансовый 3 4 3 7 2 2" xfId="42349" xr:uid="{00000000-0005-0000-0000-0000338B0000}"/>
    <cellStyle name="Финансовый 3 4 3 7 3" xfId="30371" xr:uid="{00000000-0005-0000-0000-0000348B0000}"/>
    <cellStyle name="Финансовый 3 4 3 8" xfId="9011" xr:uid="{00000000-0005-0000-0000-0000358B0000}"/>
    <cellStyle name="Финансовый 3 4 3 8 2" xfId="20989" xr:uid="{00000000-0005-0000-0000-0000368B0000}"/>
    <cellStyle name="Финансовый 3 4 3 8 2 2" xfId="44944" xr:uid="{00000000-0005-0000-0000-0000378B0000}"/>
    <cellStyle name="Финансовый 3 4 3 8 3" xfId="32966" xr:uid="{00000000-0005-0000-0000-0000388B0000}"/>
    <cellStyle name="Финансовый 3 4 3 9" xfId="12357" xr:uid="{00000000-0005-0000-0000-0000398B0000}"/>
    <cellStyle name="Финансовый 3 4 3 9 2" xfId="36312" xr:uid="{00000000-0005-0000-0000-00003A8B0000}"/>
    <cellStyle name="Финансовый 3 4 4" xfId="1527" xr:uid="{00000000-0005-0000-0000-00003B8B0000}"/>
    <cellStyle name="Финансовый 3 4 4 2" xfId="1899" xr:uid="{00000000-0005-0000-0000-00003C8B0000}"/>
    <cellStyle name="Финансовый 3 4 4 2 2" xfId="3544" xr:uid="{00000000-0005-0000-0000-00003D8B0000}"/>
    <cellStyle name="Финансовый 3 4 4 2 2 2" xfId="11284" xr:uid="{00000000-0005-0000-0000-00003E8B0000}"/>
    <cellStyle name="Финансовый 3 4 4 2 2 2 2" xfId="23262" xr:uid="{00000000-0005-0000-0000-00003F8B0000}"/>
    <cellStyle name="Финансовый 3 4 4 2 2 2 2 2" xfId="47217" xr:uid="{00000000-0005-0000-0000-0000408B0000}"/>
    <cellStyle name="Финансовый 3 4 4 2 2 2 3" xfId="35239" xr:uid="{00000000-0005-0000-0000-0000418B0000}"/>
    <cellStyle name="Финансовый 3 4 4 2 2 3" xfId="15523" xr:uid="{00000000-0005-0000-0000-0000428B0000}"/>
    <cellStyle name="Финансовый 3 4 4 2 2 3 2" xfId="39478" xr:uid="{00000000-0005-0000-0000-0000438B0000}"/>
    <cellStyle name="Финансовый 3 4 4 2 2 4" xfId="27501" xr:uid="{00000000-0005-0000-0000-0000448B0000}"/>
    <cellStyle name="Финансовый 3 4 4 2 2 5" xfId="50770" xr:uid="{00000000-0005-0000-0000-0000458B0000}"/>
    <cellStyle name="Финансовый 3 4 4 2 3" xfId="5327" xr:uid="{00000000-0005-0000-0000-0000468B0000}"/>
    <cellStyle name="Финансовый 3 4 4 2 3 2" xfId="17305" xr:uid="{00000000-0005-0000-0000-0000478B0000}"/>
    <cellStyle name="Финансовый 3 4 4 2 3 2 2" xfId="41260" xr:uid="{00000000-0005-0000-0000-0000488B0000}"/>
    <cellStyle name="Финансовый 3 4 4 2 3 3" xfId="29282" xr:uid="{00000000-0005-0000-0000-0000498B0000}"/>
    <cellStyle name="Финансовый 3 4 4 2 4" xfId="7937" xr:uid="{00000000-0005-0000-0000-00004A8B0000}"/>
    <cellStyle name="Финансовый 3 4 4 2 4 2" xfId="19915" xr:uid="{00000000-0005-0000-0000-00004B8B0000}"/>
    <cellStyle name="Финансовый 3 4 4 2 4 2 2" xfId="43870" xr:uid="{00000000-0005-0000-0000-00004C8B0000}"/>
    <cellStyle name="Финансовый 3 4 4 2 4 3" xfId="31892" xr:uid="{00000000-0005-0000-0000-00004D8B0000}"/>
    <cellStyle name="Финансовый 3 4 4 2 5" xfId="9720" xr:uid="{00000000-0005-0000-0000-00004E8B0000}"/>
    <cellStyle name="Финансовый 3 4 4 2 5 2" xfId="21698" xr:uid="{00000000-0005-0000-0000-00004F8B0000}"/>
    <cellStyle name="Финансовый 3 4 4 2 5 2 2" xfId="45653" xr:uid="{00000000-0005-0000-0000-0000508B0000}"/>
    <cellStyle name="Финансовый 3 4 4 2 5 3" xfId="33675" xr:uid="{00000000-0005-0000-0000-0000518B0000}"/>
    <cellStyle name="Финансовый 3 4 4 2 6" xfId="13878" xr:uid="{00000000-0005-0000-0000-0000528B0000}"/>
    <cellStyle name="Финансовый 3 4 4 2 6 2" xfId="37833" xr:uid="{00000000-0005-0000-0000-0000538B0000}"/>
    <cellStyle name="Финансовый 3 4 4 2 7" xfId="25856" xr:uid="{00000000-0005-0000-0000-0000548B0000}"/>
    <cellStyle name="Финансовый 3 4 4 2 8" xfId="48989" xr:uid="{00000000-0005-0000-0000-0000558B0000}"/>
    <cellStyle name="Финансовый 3 4 4 3" xfId="4955" xr:uid="{00000000-0005-0000-0000-0000568B0000}"/>
    <cellStyle name="Финансовый 3 4 4 3 2" xfId="16933" xr:uid="{00000000-0005-0000-0000-0000578B0000}"/>
    <cellStyle name="Финансовый 3 4 4 3 2 2" xfId="40888" xr:uid="{00000000-0005-0000-0000-0000588B0000}"/>
    <cellStyle name="Финансовый 3 4 4 3 3" xfId="28910" xr:uid="{00000000-0005-0000-0000-0000598B0000}"/>
    <cellStyle name="Финансовый 3 4 4 3 4" xfId="50398" xr:uid="{00000000-0005-0000-0000-00005A8B0000}"/>
    <cellStyle name="Финансовый 3 4 4 4" xfId="7565" xr:uid="{00000000-0005-0000-0000-00005B8B0000}"/>
    <cellStyle name="Финансовый 3 4 4 4 2" xfId="19543" xr:uid="{00000000-0005-0000-0000-00005C8B0000}"/>
    <cellStyle name="Финансовый 3 4 4 4 2 2" xfId="43498" xr:uid="{00000000-0005-0000-0000-00005D8B0000}"/>
    <cellStyle name="Финансовый 3 4 4 4 3" xfId="31520" xr:uid="{00000000-0005-0000-0000-00005E8B0000}"/>
    <cellStyle name="Финансовый 3 4 4 5" xfId="9348" xr:uid="{00000000-0005-0000-0000-00005F8B0000}"/>
    <cellStyle name="Финансовый 3 4 4 5 2" xfId="21326" xr:uid="{00000000-0005-0000-0000-0000608B0000}"/>
    <cellStyle name="Финансовый 3 4 4 5 2 2" xfId="45281" xr:uid="{00000000-0005-0000-0000-0000618B0000}"/>
    <cellStyle name="Финансовый 3 4 4 5 3" xfId="33303" xr:uid="{00000000-0005-0000-0000-0000628B0000}"/>
    <cellStyle name="Финансовый 3 4 4 6" xfId="13506" xr:uid="{00000000-0005-0000-0000-0000638B0000}"/>
    <cellStyle name="Финансовый 3 4 4 6 2" xfId="37461" xr:uid="{00000000-0005-0000-0000-0000648B0000}"/>
    <cellStyle name="Финансовый 3 4 4 7" xfId="25484" xr:uid="{00000000-0005-0000-0000-0000658B0000}"/>
    <cellStyle name="Финансовый 3 4 4 8" xfId="48617" xr:uid="{00000000-0005-0000-0000-0000668B0000}"/>
    <cellStyle name="Финансовый 3 4 5" xfId="1775" xr:uid="{00000000-0005-0000-0000-0000678B0000}"/>
    <cellStyle name="Финансовый 3 4 5 2" xfId="3420" xr:uid="{00000000-0005-0000-0000-0000688B0000}"/>
    <cellStyle name="Финансовый 3 4 5 2 2" xfId="11168" xr:uid="{00000000-0005-0000-0000-0000698B0000}"/>
    <cellStyle name="Финансовый 3 4 5 2 2 2" xfId="23146" xr:uid="{00000000-0005-0000-0000-00006A8B0000}"/>
    <cellStyle name="Финансовый 3 4 5 2 2 2 2" xfId="47101" xr:uid="{00000000-0005-0000-0000-00006B8B0000}"/>
    <cellStyle name="Финансовый 3 4 5 2 2 3" xfId="35123" xr:uid="{00000000-0005-0000-0000-00006C8B0000}"/>
    <cellStyle name="Финансовый 3 4 5 2 3" xfId="15399" xr:uid="{00000000-0005-0000-0000-00006D8B0000}"/>
    <cellStyle name="Финансовый 3 4 5 2 3 2" xfId="39354" xr:uid="{00000000-0005-0000-0000-00006E8B0000}"/>
    <cellStyle name="Финансовый 3 4 5 2 4" xfId="27377" xr:uid="{00000000-0005-0000-0000-00006F8B0000}"/>
    <cellStyle name="Финансовый 3 4 5 2 5" xfId="50646" xr:uid="{00000000-0005-0000-0000-0000708B0000}"/>
    <cellStyle name="Финансовый 3 4 5 3" xfId="5203" xr:uid="{00000000-0005-0000-0000-0000718B0000}"/>
    <cellStyle name="Финансовый 3 4 5 3 2" xfId="17181" xr:uid="{00000000-0005-0000-0000-0000728B0000}"/>
    <cellStyle name="Финансовый 3 4 5 3 2 2" xfId="41136" xr:uid="{00000000-0005-0000-0000-0000738B0000}"/>
    <cellStyle name="Финансовый 3 4 5 3 3" xfId="29158" xr:uid="{00000000-0005-0000-0000-0000748B0000}"/>
    <cellStyle name="Финансовый 3 4 5 4" xfId="7813" xr:uid="{00000000-0005-0000-0000-0000758B0000}"/>
    <cellStyle name="Финансовый 3 4 5 4 2" xfId="19791" xr:uid="{00000000-0005-0000-0000-0000768B0000}"/>
    <cellStyle name="Финансовый 3 4 5 4 2 2" xfId="43746" xr:uid="{00000000-0005-0000-0000-0000778B0000}"/>
    <cellStyle name="Финансовый 3 4 5 4 3" xfId="31768" xr:uid="{00000000-0005-0000-0000-0000788B0000}"/>
    <cellStyle name="Финансовый 3 4 5 5" xfId="9596" xr:uid="{00000000-0005-0000-0000-0000798B0000}"/>
    <cellStyle name="Финансовый 3 4 5 5 2" xfId="21574" xr:uid="{00000000-0005-0000-0000-00007A8B0000}"/>
    <cellStyle name="Финансовый 3 4 5 5 2 2" xfId="45529" xr:uid="{00000000-0005-0000-0000-00007B8B0000}"/>
    <cellStyle name="Финансовый 3 4 5 5 3" xfId="33551" xr:uid="{00000000-0005-0000-0000-00007C8B0000}"/>
    <cellStyle name="Финансовый 3 4 5 6" xfId="13754" xr:uid="{00000000-0005-0000-0000-00007D8B0000}"/>
    <cellStyle name="Финансовый 3 4 5 6 2" xfId="37709" xr:uid="{00000000-0005-0000-0000-00007E8B0000}"/>
    <cellStyle name="Финансовый 3 4 5 7" xfId="25732" xr:uid="{00000000-0005-0000-0000-00007F8B0000}"/>
    <cellStyle name="Финансовый 3 4 5 8" xfId="48865" xr:uid="{00000000-0005-0000-0000-0000808B0000}"/>
    <cellStyle name="Финансовый 3 4 6" xfId="2420" xr:uid="{00000000-0005-0000-0000-0000818B0000}"/>
    <cellStyle name="Финансовый 3 4 6 2" xfId="4065" xr:uid="{00000000-0005-0000-0000-0000828B0000}"/>
    <cellStyle name="Финансовый 3 4 6 2 2" xfId="11797" xr:uid="{00000000-0005-0000-0000-0000838B0000}"/>
    <cellStyle name="Финансовый 3 4 6 2 2 2" xfId="23775" xr:uid="{00000000-0005-0000-0000-0000848B0000}"/>
    <cellStyle name="Финансовый 3 4 6 2 2 2 2" xfId="47730" xr:uid="{00000000-0005-0000-0000-0000858B0000}"/>
    <cellStyle name="Финансовый 3 4 6 2 2 3" xfId="35752" xr:uid="{00000000-0005-0000-0000-0000868B0000}"/>
    <cellStyle name="Финансовый 3 4 6 2 3" xfId="16044" xr:uid="{00000000-0005-0000-0000-0000878B0000}"/>
    <cellStyle name="Финансовый 3 4 6 2 3 2" xfId="39999" xr:uid="{00000000-0005-0000-0000-0000888B0000}"/>
    <cellStyle name="Финансовый 3 4 6 2 4" xfId="28022" xr:uid="{00000000-0005-0000-0000-0000898B0000}"/>
    <cellStyle name="Финансовый 3 4 6 2 5" xfId="51291" xr:uid="{00000000-0005-0000-0000-00008A8B0000}"/>
    <cellStyle name="Финансовый 3 4 6 3" xfId="5848" xr:uid="{00000000-0005-0000-0000-00008B8B0000}"/>
    <cellStyle name="Финансовый 3 4 6 3 2" xfId="17826" xr:uid="{00000000-0005-0000-0000-00008C8B0000}"/>
    <cellStyle name="Финансовый 3 4 6 3 2 2" xfId="41781" xr:uid="{00000000-0005-0000-0000-00008D8B0000}"/>
    <cellStyle name="Финансовый 3 4 6 3 3" xfId="29803" xr:uid="{00000000-0005-0000-0000-00008E8B0000}"/>
    <cellStyle name="Финансовый 3 4 6 4" xfId="8458" xr:uid="{00000000-0005-0000-0000-00008F8B0000}"/>
    <cellStyle name="Финансовый 3 4 6 4 2" xfId="20436" xr:uid="{00000000-0005-0000-0000-0000908B0000}"/>
    <cellStyle name="Финансовый 3 4 6 4 2 2" xfId="44391" xr:uid="{00000000-0005-0000-0000-0000918B0000}"/>
    <cellStyle name="Финансовый 3 4 6 4 3" xfId="32413" xr:uid="{00000000-0005-0000-0000-0000928B0000}"/>
    <cellStyle name="Финансовый 3 4 6 5" xfId="10241" xr:uid="{00000000-0005-0000-0000-0000938B0000}"/>
    <cellStyle name="Финансовый 3 4 6 5 2" xfId="22219" xr:uid="{00000000-0005-0000-0000-0000948B0000}"/>
    <cellStyle name="Финансовый 3 4 6 5 2 2" xfId="46174" xr:uid="{00000000-0005-0000-0000-0000958B0000}"/>
    <cellStyle name="Финансовый 3 4 6 5 3" xfId="34196" xr:uid="{00000000-0005-0000-0000-0000968B0000}"/>
    <cellStyle name="Финансовый 3 4 6 6" xfId="14399" xr:uid="{00000000-0005-0000-0000-0000978B0000}"/>
    <cellStyle name="Финансовый 3 4 6 6 2" xfId="38354" xr:uid="{00000000-0005-0000-0000-0000988B0000}"/>
    <cellStyle name="Финансовый 3 4 6 7" xfId="26377" xr:uid="{00000000-0005-0000-0000-0000998B0000}"/>
    <cellStyle name="Финансовый 3 4 6 8" xfId="49510" xr:uid="{00000000-0005-0000-0000-00009A8B0000}"/>
    <cellStyle name="Финансовый 3 4 7" xfId="1647" xr:uid="{00000000-0005-0000-0000-00009B8B0000}"/>
    <cellStyle name="Финансовый 3 4 7 2" xfId="3292" xr:uid="{00000000-0005-0000-0000-00009C8B0000}"/>
    <cellStyle name="Финансовый 3 4 7 2 2" xfId="11040" xr:uid="{00000000-0005-0000-0000-00009D8B0000}"/>
    <cellStyle name="Финансовый 3 4 7 2 2 2" xfId="23018" xr:uid="{00000000-0005-0000-0000-00009E8B0000}"/>
    <cellStyle name="Финансовый 3 4 7 2 2 2 2" xfId="46973" xr:uid="{00000000-0005-0000-0000-00009F8B0000}"/>
    <cellStyle name="Финансовый 3 4 7 2 2 3" xfId="34995" xr:uid="{00000000-0005-0000-0000-0000A08B0000}"/>
    <cellStyle name="Финансовый 3 4 7 2 3" xfId="15271" xr:uid="{00000000-0005-0000-0000-0000A18B0000}"/>
    <cellStyle name="Финансовый 3 4 7 2 3 2" xfId="39226" xr:uid="{00000000-0005-0000-0000-0000A28B0000}"/>
    <cellStyle name="Финансовый 3 4 7 2 4" xfId="27249" xr:uid="{00000000-0005-0000-0000-0000A38B0000}"/>
    <cellStyle name="Финансовый 3 4 7 2 5" xfId="50518" xr:uid="{00000000-0005-0000-0000-0000A48B0000}"/>
    <cellStyle name="Финансовый 3 4 7 3" xfId="5075" xr:uid="{00000000-0005-0000-0000-0000A58B0000}"/>
    <cellStyle name="Финансовый 3 4 7 3 2" xfId="17053" xr:uid="{00000000-0005-0000-0000-0000A68B0000}"/>
    <cellStyle name="Финансовый 3 4 7 3 2 2" xfId="41008" xr:uid="{00000000-0005-0000-0000-0000A78B0000}"/>
    <cellStyle name="Финансовый 3 4 7 3 3" xfId="29030" xr:uid="{00000000-0005-0000-0000-0000A88B0000}"/>
    <cellStyle name="Финансовый 3 4 7 4" xfId="7685" xr:uid="{00000000-0005-0000-0000-0000A98B0000}"/>
    <cellStyle name="Финансовый 3 4 7 4 2" xfId="19663" xr:uid="{00000000-0005-0000-0000-0000AA8B0000}"/>
    <cellStyle name="Финансовый 3 4 7 4 2 2" xfId="43618" xr:uid="{00000000-0005-0000-0000-0000AB8B0000}"/>
    <cellStyle name="Финансовый 3 4 7 4 3" xfId="31640" xr:uid="{00000000-0005-0000-0000-0000AC8B0000}"/>
    <cellStyle name="Финансовый 3 4 7 5" xfId="9468" xr:uid="{00000000-0005-0000-0000-0000AD8B0000}"/>
    <cellStyle name="Финансовый 3 4 7 5 2" xfId="21446" xr:uid="{00000000-0005-0000-0000-0000AE8B0000}"/>
    <cellStyle name="Финансовый 3 4 7 5 2 2" xfId="45401" xr:uid="{00000000-0005-0000-0000-0000AF8B0000}"/>
    <cellStyle name="Финансовый 3 4 7 5 3" xfId="33423" xr:uid="{00000000-0005-0000-0000-0000B08B0000}"/>
    <cellStyle name="Финансовый 3 4 7 6" xfId="13626" xr:uid="{00000000-0005-0000-0000-0000B18B0000}"/>
    <cellStyle name="Финансовый 3 4 7 6 2" xfId="37581" xr:uid="{00000000-0005-0000-0000-0000B28B0000}"/>
    <cellStyle name="Финансовый 3 4 7 7" xfId="25604" xr:uid="{00000000-0005-0000-0000-0000B38B0000}"/>
    <cellStyle name="Финансовый 3 4 7 8" xfId="48737" xr:uid="{00000000-0005-0000-0000-0000B48B0000}"/>
    <cellStyle name="Финансовый 3 4 8" xfId="924" xr:uid="{00000000-0005-0000-0000-0000B58B0000}"/>
    <cellStyle name="Финансовый 3 4 8 2" xfId="6964" xr:uid="{00000000-0005-0000-0000-0000B68B0000}"/>
    <cellStyle name="Финансовый 3 4 8 2 2" xfId="18942" xr:uid="{00000000-0005-0000-0000-0000B78B0000}"/>
    <cellStyle name="Финансовый 3 4 8 2 2 2" xfId="42897" xr:uid="{00000000-0005-0000-0000-0000B88B0000}"/>
    <cellStyle name="Финансовый 3 4 8 2 3" xfId="30919" xr:uid="{00000000-0005-0000-0000-0000B98B0000}"/>
    <cellStyle name="Финансовый 3 4 8 3" xfId="10512" xr:uid="{00000000-0005-0000-0000-0000BA8B0000}"/>
    <cellStyle name="Финансовый 3 4 8 3 2" xfId="22490" xr:uid="{00000000-0005-0000-0000-0000BB8B0000}"/>
    <cellStyle name="Финансовый 3 4 8 3 2 2" xfId="46445" xr:uid="{00000000-0005-0000-0000-0000BC8B0000}"/>
    <cellStyle name="Финансовый 3 4 8 3 3" xfId="34467" xr:uid="{00000000-0005-0000-0000-0000BD8B0000}"/>
    <cellStyle name="Финансовый 3 4 8 4" xfId="12905" xr:uid="{00000000-0005-0000-0000-0000BE8B0000}"/>
    <cellStyle name="Финансовый 3 4 8 4 2" xfId="36860" xr:uid="{00000000-0005-0000-0000-0000BF8B0000}"/>
    <cellStyle name="Финансовый 3 4 8 5" xfId="24883" xr:uid="{00000000-0005-0000-0000-0000C08B0000}"/>
    <cellStyle name="Финансовый 3 4 8 6" xfId="49789" xr:uid="{00000000-0005-0000-0000-0000C18B0000}"/>
    <cellStyle name="Финансовый 3 4 9" xfId="512" xr:uid="{00000000-0005-0000-0000-0000C28B0000}"/>
    <cellStyle name="Финансовый 3 4 9 2" xfId="6552" xr:uid="{00000000-0005-0000-0000-0000C38B0000}"/>
    <cellStyle name="Финансовый 3 4 9 2 2" xfId="18530" xr:uid="{00000000-0005-0000-0000-0000C48B0000}"/>
    <cellStyle name="Финансовый 3 4 9 2 2 2" xfId="42485" xr:uid="{00000000-0005-0000-0000-0000C58B0000}"/>
    <cellStyle name="Финансовый 3 4 9 2 3" xfId="30507" xr:uid="{00000000-0005-0000-0000-0000C68B0000}"/>
    <cellStyle name="Финансовый 3 4 9 3" xfId="12493" xr:uid="{00000000-0005-0000-0000-0000C78B0000}"/>
    <cellStyle name="Финансовый 3 4 9 3 2" xfId="36448" xr:uid="{00000000-0005-0000-0000-0000C88B0000}"/>
    <cellStyle name="Финансовый 3 4 9 4" xfId="24471" xr:uid="{00000000-0005-0000-0000-0000C98B0000}"/>
    <cellStyle name="Финансовый 3 5" xfId="97" xr:uid="{00000000-0005-0000-0000-0000CA8B0000}"/>
    <cellStyle name="Финансовый 3 5 10" xfId="2707" xr:uid="{00000000-0005-0000-0000-0000CB8B0000}"/>
    <cellStyle name="Финансовый 3 5 10 2" xfId="14686" xr:uid="{00000000-0005-0000-0000-0000CC8B0000}"/>
    <cellStyle name="Финансовый 3 5 10 2 2" xfId="38641" xr:uid="{00000000-0005-0000-0000-0000CD8B0000}"/>
    <cellStyle name="Финансовый 3 5 10 3" xfId="26664" xr:uid="{00000000-0005-0000-0000-0000CE8B0000}"/>
    <cellStyle name="Финансовый 3 5 11" xfId="4351" xr:uid="{00000000-0005-0000-0000-0000CF8B0000}"/>
    <cellStyle name="Финансовый 3 5 11 2" xfId="16330" xr:uid="{00000000-0005-0000-0000-0000D08B0000}"/>
    <cellStyle name="Финансовый 3 5 11 2 2" xfId="40285" xr:uid="{00000000-0005-0000-0000-0000D18B0000}"/>
    <cellStyle name="Финансовый 3 5 11 3" xfId="28308" xr:uid="{00000000-0005-0000-0000-0000D28B0000}"/>
    <cellStyle name="Финансовый 3 5 12" xfId="6138" xr:uid="{00000000-0005-0000-0000-0000D38B0000}"/>
    <cellStyle name="Финансовый 3 5 12 2" xfId="18116" xr:uid="{00000000-0005-0000-0000-0000D48B0000}"/>
    <cellStyle name="Финансовый 3 5 12 2 2" xfId="42071" xr:uid="{00000000-0005-0000-0000-0000D58B0000}"/>
    <cellStyle name="Финансовый 3 5 12 3" xfId="30093" xr:uid="{00000000-0005-0000-0000-0000D68B0000}"/>
    <cellStyle name="Финансовый 3 5 13" xfId="8745" xr:uid="{00000000-0005-0000-0000-0000D78B0000}"/>
    <cellStyle name="Финансовый 3 5 13 2" xfId="20723" xr:uid="{00000000-0005-0000-0000-0000D88B0000}"/>
    <cellStyle name="Финансовый 3 5 13 2 2" xfId="44678" xr:uid="{00000000-0005-0000-0000-0000D98B0000}"/>
    <cellStyle name="Финансовый 3 5 13 3" xfId="32700" xr:uid="{00000000-0005-0000-0000-0000DA8B0000}"/>
    <cellStyle name="Финансовый 3 5 14" xfId="12079" xr:uid="{00000000-0005-0000-0000-0000DB8B0000}"/>
    <cellStyle name="Финансовый 3 5 14 2" xfId="36034" xr:uid="{00000000-0005-0000-0000-0000DC8B0000}"/>
    <cellStyle name="Финансовый 3 5 15" xfId="24057" xr:uid="{00000000-0005-0000-0000-0000DD8B0000}"/>
    <cellStyle name="Финансовый 3 5 16" xfId="48015" xr:uid="{00000000-0005-0000-0000-0000DE8B0000}"/>
    <cellStyle name="Финансовый 3 5 2" xfId="233" xr:uid="{00000000-0005-0000-0000-0000DF8B0000}"/>
    <cellStyle name="Финансовый 3 5 2 10" xfId="8881" xr:uid="{00000000-0005-0000-0000-0000E08B0000}"/>
    <cellStyle name="Финансовый 3 5 2 10 2" xfId="20859" xr:uid="{00000000-0005-0000-0000-0000E18B0000}"/>
    <cellStyle name="Финансовый 3 5 2 10 2 2" xfId="44814" xr:uid="{00000000-0005-0000-0000-0000E28B0000}"/>
    <cellStyle name="Финансовый 3 5 2 10 3" xfId="32836" xr:uid="{00000000-0005-0000-0000-0000E38B0000}"/>
    <cellStyle name="Финансовый 3 5 2 11" xfId="12215" xr:uid="{00000000-0005-0000-0000-0000E48B0000}"/>
    <cellStyle name="Финансовый 3 5 2 11 2" xfId="36170" xr:uid="{00000000-0005-0000-0000-0000E58B0000}"/>
    <cellStyle name="Финансовый 3 5 2 12" xfId="24193" xr:uid="{00000000-0005-0000-0000-0000E68B0000}"/>
    <cellStyle name="Финансовый 3 5 2 13" xfId="48151" xr:uid="{00000000-0005-0000-0000-0000E78B0000}"/>
    <cellStyle name="Финансовый 3 5 2 2" xfId="1331" xr:uid="{00000000-0005-0000-0000-0000E88B0000}"/>
    <cellStyle name="Финансовый 3 5 2 2 2" xfId="2289" xr:uid="{00000000-0005-0000-0000-0000E98B0000}"/>
    <cellStyle name="Финансовый 3 5 2 2 2 2" xfId="3934" xr:uid="{00000000-0005-0000-0000-0000EA8B0000}"/>
    <cellStyle name="Финансовый 3 5 2 2 2 2 2" xfId="11674" xr:uid="{00000000-0005-0000-0000-0000EB8B0000}"/>
    <cellStyle name="Финансовый 3 5 2 2 2 2 2 2" xfId="23652" xr:uid="{00000000-0005-0000-0000-0000EC8B0000}"/>
    <cellStyle name="Финансовый 3 5 2 2 2 2 2 2 2" xfId="47607" xr:uid="{00000000-0005-0000-0000-0000ED8B0000}"/>
    <cellStyle name="Финансовый 3 5 2 2 2 2 2 3" xfId="35629" xr:uid="{00000000-0005-0000-0000-0000EE8B0000}"/>
    <cellStyle name="Финансовый 3 5 2 2 2 2 3" xfId="15913" xr:uid="{00000000-0005-0000-0000-0000EF8B0000}"/>
    <cellStyle name="Финансовый 3 5 2 2 2 2 3 2" xfId="39868" xr:uid="{00000000-0005-0000-0000-0000F08B0000}"/>
    <cellStyle name="Финансовый 3 5 2 2 2 2 4" xfId="27891" xr:uid="{00000000-0005-0000-0000-0000F18B0000}"/>
    <cellStyle name="Финансовый 3 5 2 2 2 2 5" xfId="51160" xr:uid="{00000000-0005-0000-0000-0000F28B0000}"/>
    <cellStyle name="Финансовый 3 5 2 2 2 3" xfId="5717" xr:uid="{00000000-0005-0000-0000-0000F38B0000}"/>
    <cellStyle name="Финансовый 3 5 2 2 2 3 2" xfId="17695" xr:uid="{00000000-0005-0000-0000-0000F48B0000}"/>
    <cellStyle name="Финансовый 3 5 2 2 2 3 2 2" xfId="41650" xr:uid="{00000000-0005-0000-0000-0000F58B0000}"/>
    <cellStyle name="Финансовый 3 5 2 2 2 3 3" xfId="29672" xr:uid="{00000000-0005-0000-0000-0000F68B0000}"/>
    <cellStyle name="Финансовый 3 5 2 2 2 4" xfId="8327" xr:uid="{00000000-0005-0000-0000-0000F78B0000}"/>
    <cellStyle name="Финансовый 3 5 2 2 2 4 2" xfId="20305" xr:uid="{00000000-0005-0000-0000-0000F88B0000}"/>
    <cellStyle name="Финансовый 3 5 2 2 2 4 2 2" xfId="44260" xr:uid="{00000000-0005-0000-0000-0000F98B0000}"/>
    <cellStyle name="Финансовый 3 5 2 2 2 4 3" xfId="32282" xr:uid="{00000000-0005-0000-0000-0000FA8B0000}"/>
    <cellStyle name="Финансовый 3 5 2 2 2 5" xfId="10110" xr:uid="{00000000-0005-0000-0000-0000FB8B0000}"/>
    <cellStyle name="Финансовый 3 5 2 2 2 5 2" xfId="22088" xr:uid="{00000000-0005-0000-0000-0000FC8B0000}"/>
    <cellStyle name="Финансовый 3 5 2 2 2 5 2 2" xfId="46043" xr:uid="{00000000-0005-0000-0000-0000FD8B0000}"/>
    <cellStyle name="Финансовый 3 5 2 2 2 5 3" xfId="34065" xr:uid="{00000000-0005-0000-0000-0000FE8B0000}"/>
    <cellStyle name="Финансовый 3 5 2 2 2 6" xfId="14268" xr:uid="{00000000-0005-0000-0000-0000FF8B0000}"/>
    <cellStyle name="Финансовый 3 5 2 2 2 6 2" xfId="38223" xr:uid="{00000000-0005-0000-0000-0000008C0000}"/>
    <cellStyle name="Финансовый 3 5 2 2 2 7" xfId="26246" xr:uid="{00000000-0005-0000-0000-0000018C0000}"/>
    <cellStyle name="Финансовый 3 5 2 2 2 8" xfId="49379" xr:uid="{00000000-0005-0000-0000-0000028C0000}"/>
    <cellStyle name="Финансовый 3 5 2 2 3" xfId="3115" xr:uid="{00000000-0005-0000-0000-0000038C0000}"/>
    <cellStyle name="Финансовый 3 5 2 2 3 2" xfId="10902" xr:uid="{00000000-0005-0000-0000-0000048C0000}"/>
    <cellStyle name="Финансовый 3 5 2 2 3 2 2" xfId="22880" xr:uid="{00000000-0005-0000-0000-0000058C0000}"/>
    <cellStyle name="Финансовый 3 5 2 2 3 2 2 2" xfId="46835" xr:uid="{00000000-0005-0000-0000-0000068C0000}"/>
    <cellStyle name="Финансовый 3 5 2 2 3 2 3" xfId="34857" xr:uid="{00000000-0005-0000-0000-0000078C0000}"/>
    <cellStyle name="Финансовый 3 5 2 2 3 3" xfId="15094" xr:uid="{00000000-0005-0000-0000-0000088C0000}"/>
    <cellStyle name="Финансовый 3 5 2 2 3 3 2" xfId="39049" xr:uid="{00000000-0005-0000-0000-0000098C0000}"/>
    <cellStyle name="Финансовый 3 5 2 2 3 4" xfId="27072" xr:uid="{00000000-0005-0000-0000-00000A8C0000}"/>
    <cellStyle name="Финансовый 3 5 2 2 3 5" xfId="50203" xr:uid="{00000000-0005-0000-0000-00000B8C0000}"/>
    <cellStyle name="Финансовый 3 5 2 2 4" xfId="4759" xr:uid="{00000000-0005-0000-0000-00000C8C0000}"/>
    <cellStyle name="Финансовый 3 5 2 2 4 2" xfId="16738" xr:uid="{00000000-0005-0000-0000-00000D8C0000}"/>
    <cellStyle name="Финансовый 3 5 2 2 4 2 2" xfId="40693" xr:uid="{00000000-0005-0000-0000-00000E8C0000}"/>
    <cellStyle name="Финансовый 3 5 2 2 4 3" xfId="28716" xr:uid="{00000000-0005-0000-0000-00000F8C0000}"/>
    <cellStyle name="Финансовый 3 5 2 2 5" xfId="7371" xr:uid="{00000000-0005-0000-0000-0000108C0000}"/>
    <cellStyle name="Финансовый 3 5 2 2 5 2" xfId="19349" xr:uid="{00000000-0005-0000-0000-0000118C0000}"/>
    <cellStyle name="Финансовый 3 5 2 2 5 2 2" xfId="43304" xr:uid="{00000000-0005-0000-0000-0000128C0000}"/>
    <cellStyle name="Финансовый 3 5 2 2 5 3" xfId="31326" xr:uid="{00000000-0005-0000-0000-0000138C0000}"/>
    <cellStyle name="Финансовый 3 5 2 2 6" xfId="9153" xr:uid="{00000000-0005-0000-0000-0000148C0000}"/>
    <cellStyle name="Финансовый 3 5 2 2 6 2" xfId="21131" xr:uid="{00000000-0005-0000-0000-0000158C0000}"/>
    <cellStyle name="Финансовый 3 5 2 2 6 2 2" xfId="45086" xr:uid="{00000000-0005-0000-0000-0000168C0000}"/>
    <cellStyle name="Финансовый 3 5 2 2 6 3" xfId="33108" xr:uid="{00000000-0005-0000-0000-0000178C0000}"/>
    <cellStyle name="Финансовый 3 5 2 2 7" xfId="13312" xr:uid="{00000000-0005-0000-0000-0000188C0000}"/>
    <cellStyle name="Финансовый 3 5 2 2 7 2" xfId="37267" xr:uid="{00000000-0005-0000-0000-0000198C0000}"/>
    <cellStyle name="Финансовый 3 5 2 2 8" xfId="25290" xr:uid="{00000000-0005-0000-0000-00001A8C0000}"/>
    <cellStyle name="Финансовый 3 5 2 2 9" xfId="48423" xr:uid="{00000000-0005-0000-0000-00001B8C0000}"/>
    <cellStyle name="Финансовый 3 5 2 3" xfId="2033" xr:uid="{00000000-0005-0000-0000-00001C8C0000}"/>
    <cellStyle name="Финансовый 3 5 2 3 2" xfId="3678" xr:uid="{00000000-0005-0000-0000-00001D8C0000}"/>
    <cellStyle name="Финансовый 3 5 2 3 2 2" xfId="11418" xr:uid="{00000000-0005-0000-0000-00001E8C0000}"/>
    <cellStyle name="Финансовый 3 5 2 3 2 2 2" xfId="23396" xr:uid="{00000000-0005-0000-0000-00001F8C0000}"/>
    <cellStyle name="Финансовый 3 5 2 3 2 2 2 2" xfId="47351" xr:uid="{00000000-0005-0000-0000-0000208C0000}"/>
    <cellStyle name="Финансовый 3 5 2 3 2 2 3" xfId="35373" xr:uid="{00000000-0005-0000-0000-0000218C0000}"/>
    <cellStyle name="Финансовый 3 5 2 3 2 3" xfId="15657" xr:uid="{00000000-0005-0000-0000-0000228C0000}"/>
    <cellStyle name="Финансовый 3 5 2 3 2 3 2" xfId="39612" xr:uid="{00000000-0005-0000-0000-0000238C0000}"/>
    <cellStyle name="Финансовый 3 5 2 3 2 4" xfId="27635" xr:uid="{00000000-0005-0000-0000-0000248C0000}"/>
    <cellStyle name="Финансовый 3 5 2 3 2 5" xfId="50904" xr:uid="{00000000-0005-0000-0000-0000258C0000}"/>
    <cellStyle name="Финансовый 3 5 2 3 3" xfId="5461" xr:uid="{00000000-0005-0000-0000-0000268C0000}"/>
    <cellStyle name="Финансовый 3 5 2 3 3 2" xfId="17439" xr:uid="{00000000-0005-0000-0000-0000278C0000}"/>
    <cellStyle name="Финансовый 3 5 2 3 3 2 2" xfId="41394" xr:uid="{00000000-0005-0000-0000-0000288C0000}"/>
    <cellStyle name="Финансовый 3 5 2 3 3 3" xfId="29416" xr:uid="{00000000-0005-0000-0000-0000298C0000}"/>
    <cellStyle name="Финансовый 3 5 2 3 4" xfId="8071" xr:uid="{00000000-0005-0000-0000-00002A8C0000}"/>
    <cellStyle name="Финансовый 3 5 2 3 4 2" xfId="20049" xr:uid="{00000000-0005-0000-0000-00002B8C0000}"/>
    <cellStyle name="Финансовый 3 5 2 3 4 2 2" xfId="44004" xr:uid="{00000000-0005-0000-0000-00002C8C0000}"/>
    <cellStyle name="Финансовый 3 5 2 3 4 3" xfId="32026" xr:uid="{00000000-0005-0000-0000-00002D8C0000}"/>
    <cellStyle name="Финансовый 3 5 2 3 5" xfId="9854" xr:uid="{00000000-0005-0000-0000-00002E8C0000}"/>
    <cellStyle name="Финансовый 3 5 2 3 5 2" xfId="21832" xr:uid="{00000000-0005-0000-0000-00002F8C0000}"/>
    <cellStyle name="Финансовый 3 5 2 3 5 2 2" xfId="45787" xr:uid="{00000000-0005-0000-0000-0000308C0000}"/>
    <cellStyle name="Финансовый 3 5 2 3 5 3" xfId="33809" xr:uid="{00000000-0005-0000-0000-0000318C0000}"/>
    <cellStyle name="Финансовый 3 5 2 3 6" xfId="14012" xr:uid="{00000000-0005-0000-0000-0000328C0000}"/>
    <cellStyle name="Финансовый 3 5 2 3 6 2" xfId="37967" xr:uid="{00000000-0005-0000-0000-0000338C0000}"/>
    <cellStyle name="Финансовый 3 5 2 3 7" xfId="25990" xr:uid="{00000000-0005-0000-0000-0000348C0000}"/>
    <cellStyle name="Финансовый 3 5 2 3 8" xfId="49123" xr:uid="{00000000-0005-0000-0000-0000358C0000}"/>
    <cellStyle name="Финансовый 3 5 2 4" xfId="2562" xr:uid="{00000000-0005-0000-0000-0000368C0000}"/>
    <cellStyle name="Финансовый 3 5 2 4 2" xfId="4207" xr:uid="{00000000-0005-0000-0000-0000378C0000}"/>
    <cellStyle name="Финансовый 3 5 2 4 2 2" xfId="11931" xr:uid="{00000000-0005-0000-0000-0000388C0000}"/>
    <cellStyle name="Финансовый 3 5 2 4 2 2 2" xfId="23909" xr:uid="{00000000-0005-0000-0000-0000398C0000}"/>
    <cellStyle name="Финансовый 3 5 2 4 2 2 2 2" xfId="47864" xr:uid="{00000000-0005-0000-0000-00003A8C0000}"/>
    <cellStyle name="Финансовый 3 5 2 4 2 2 3" xfId="35886" xr:uid="{00000000-0005-0000-0000-00003B8C0000}"/>
    <cellStyle name="Финансовый 3 5 2 4 2 3" xfId="16186" xr:uid="{00000000-0005-0000-0000-00003C8C0000}"/>
    <cellStyle name="Финансовый 3 5 2 4 2 3 2" xfId="40141" xr:uid="{00000000-0005-0000-0000-00003D8C0000}"/>
    <cellStyle name="Финансовый 3 5 2 4 2 4" xfId="28164" xr:uid="{00000000-0005-0000-0000-00003E8C0000}"/>
    <cellStyle name="Финансовый 3 5 2 4 2 5" xfId="51433" xr:uid="{00000000-0005-0000-0000-00003F8C0000}"/>
    <cellStyle name="Финансовый 3 5 2 4 3" xfId="5990" xr:uid="{00000000-0005-0000-0000-0000408C0000}"/>
    <cellStyle name="Финансовый 3 5 2 4 3 2" xfId="17968" xr:uid="{00000000-0005-0000-0000-0000418C0000}"/>
    <cellStyle name="Финансовый 3 5 2 4 3 2 2" xfId="41923" xr:uid="{00000000-0005-0000-0000-0000428C0000}"/>
    <cellStyle name="Финансовый 3 5 2 4 3 3" xfId="29945" xr:uid="{00000000-0005-0000-0000-0000438C0000}"/>
    <cellStyle name="Финансовый 3 5 2 4 4" xfId="8600" xr:uid="{00000000-0005-0000-0000-0000448C0000}"/>
    <cellStyle name="Финансовый 3 5 2 4 4 2" xfId="20578" xr:uid="{00000000-0005-0000-0000-0000458C0000}"/>
    <cellStyle name="Финансовый 3 5 2 4 4 2 2" xfId="44533" xr:uid="{00000000-0005-0000-0000-0000468C0000}"/>
    <cellStyle name="Финансовый 3 5 2 4 4 3" xfId="32555" xr:uid="{00000000-0005-0000-0000-0000478C0000}"/>
    <cellStyle name="Финансовый 3 5 2 4 5" xfId="10383" xr:uid="{00000000-0005-0000-0000-0000488C0000}"/>
    <cellStyle name="Финансовый 3 5 2 4 5 2" xfId="22361" xr:uid="{00000000-0005-0000-0000-0000498C0000}"/>
    <cellStyle name="Финансовый 3 5 2 4 5 2 2" xfId="46316" xr:uid="{00000000-0005-0000-0000-00004A8C0000}"/>
    <cellStyle name="Финансовый 3 5 2 4 5 3" xfId="34338" xr:uid="{00000000-0005-0000-0000-00004B8C0000}"/>
    <cellStyle name="Финансовый 3 5 2 4 6" xfId="14541" xr:uid="{00000000-0005-0000-0000-00004C8C0000}"/>
    <cellStyle name="Финансовый 3 5 2 4 6 2" xfId="38496" xr:uid="{00000000-0005-0000-0000-00004D8C0000}"/>
    <cellStyle name="Финансовый 3 5 2 4 7" xfId="26519" xr:uid="{00000000-0005-0000-0000-00004E8C0000}"/>
    <cellStyle name="Финансовый 3 5 2 4 8" xfId="49652" xr:uid="{00000000-0005-0000-0000-00004F8C0000}"/>
    <cellStyle name="Финансовый 3 5 2 5" xfId="1066" xr:uid="{00000000-0005-0000-0000-0000508C0000}"/>
    <cellStyle name="Финансовый 3 5 2 5 2" xfId="7106" xr:uid="{00000000-0005-0000-0000-0000518C0000}"/>
    <cellStyle name="Финансовый 3 5 2 5 2 2" xfId="19084" xr:uid="{00000000-0005-0000-0000-0000528C0000}"/>
    <cellStyle name="Финансовый 3 5 2 5 2 2 2" xfId="43039" xr:uid="{00000000-0005-0000-0000-0000538C0000}"/>
    <cellStyle name="Финансовый 3 5 2 5 2 3" xfId="31061" xr:uid="{00000000-0005-0000-0000-0000548C0000}"/>
    <cellStyle name="Финансовый 3 5 2 5 3" xfId="10646" xr:uid="{00000000-0005-0000-0000-0000558C0000}"/>
    <cellStyle name="Финансовый 3 5 2 5 3 2" xfId="22624" xr:uid="{00000000-0005-0000-0000-0000568C0000}"/>
    <cellStyle name="Финансовый 3 5 2 5 3 2 2" xfId="46579" xr:uid="{00000000-0005-0000-0000-0000578C0000}"/>
    <cellStyle name="Финансовый 3 5 2 5 3 3" xfId="34601" xr:uid="{00000000-0005-0000-0000-0000588C0000}"/>
    <cellStyle name="Финансовый 3 5 2 5 4" xfId="13047" xr:uid="{00000000-0005-0000-0000-0000598C0000}"/>
    <cellStyle name="Финансовый 3 5 2 5 4 2" xfId="37002" xr:uid="{00000000-0005-0000-0000-00005A8C0000}"/>
    <cellStyle name="Финансовый 3 5 2 5 5" xfId="25025" xr:uid="{00000000-0005-0000-0000-00005B8C0000}"/>
    <cellStyle name="Финансовый 3 5 2 5 6" xfId="49931" xr:uid="{00000000-0005-0000-0000-00005C8C0000}"/>
    <cellStyle name="Финансовый 3 5 2 6" xfId="654" xr:uid="{00000000-0005-0000-0000-00005D8C0000}"/>
    <cellStyle name="Финансовый 3 5 2 6 2" xfId="6694" xr:uid="{00000000-0005-0000-0000-00005E8C0000}"/>
    <cellStyle name="Финансовый 3 5 2 6 2 2" xfId="18672" xr:uid="{00000000-0005-0000-0000-00005F8C0000}"/>
    <cellStyle name="Финансовый 3 5 2 6 2 2 2" xfId="42627" xr:uid="{00000000-0005-0000-0000-0000608C0000}"/>
    <cellStyle name="Финансовый 3 5 2 6 2 3" xfId="30649" xr:uid="{00000000-0005-0000-0000-0000618C0000}"/>
    <cellStyle name="Финансовый 3 5 2 6 3" xfId="12635" xr:uid="{00000000-0005-0000-0000-0000628C0000}"/>
    <cellStyle name="Финансовый 3 5 2 6 3 2" xfId="36590" xr:uid="{00000000-0005-0000-0000-0000638C0000}"/>
    <cellStyle name="Финансовый 3 5 2 6 4" xfId="24613" xr:uid="{00000000-0005-0000-0000-0000648C0000}"/>
    <cellStyle name="Финансовый 3 5 2 7" xfId="2843" xr:uid="{00000000-0005-0000-0000-0000658C0000}"/>
    <cellStyle name="Финансовый 3 5 2 7 2" xfId="14822" xr:uid="{00000000-0005-0000-0000-0000668C0000}"/>
    <cellStyle name="Финансовый 3 5 2 7 2 2" xfId="38777" xr:uid="{00000000-0005-0000-0000-0000678C0000}"/>
    <cellStyle name="Финансовый 3 5 2 7 3" xfId="26800" xr:uid="{00000000-0005-0000-0000-0000688C0000}"/>
    <cellStyle name="Финансовый 3 5 2 8" xfId="4487" xr:uid="{00000000-0005-0000-0000-0000698C0000}"/>
    <cellStyle name="Финансовый 3 5 2 8 2" xfId="16466" xr:uid="{00000000-0005-0000-0000-00006A8C0000}"/>
    <cellStyle name="Финансовый 3 5 2 8 2 2" xfId="40421" xr:uid="{00000000-0005-0000-0000-00006B8C0000}"/>
    <cellStyle name="Финансовый 3 5 2 8 3" xfId="28444" xr:uid="{00000000-0005-0000-0000-00006C8C0000}"/>
    <cellStyle name="Финансовый 3 5 2 9" xfId="6274" xr:uid="{00000000-0005-0000-0000-00006D8C0000}"/>
    <cellStyle name="Финансовый 3 5 2 9 2" xfId="18252" xr:uid="{00000000-0005-0000-0000-00006E8C0000}"/>
    <cellStyle name="Финансовый 3 5 2 9 2 2" xfId="42207" xr:uid="{00000000-0005-0000-0000-00006F8C0000}"/>
    <cellStyle name="Финансовый 3 5 2 9 3" xfId="30229" xr:uid="{00000000-0005-0000-0000-0000708C0000}"/>
    <cellStyle name="Финансовый 3 5 3" xfId="382" xr:uid="{00000000-0005-0000-0000-0000718C0000}"/>
    <cellStyle name="Финансовый 3 5 3 10" xfId="24341" xr:uid="{00000000-0005-0000-0000-0000728C0000}"/>
    <cellStyle name="Финансовый 3 5 3 11" xfId="48287" xr:uid="{00000000-0005-0000-0000-0000738C0000}"/>
    <cellStyle name="Финансовый 3 5 3 2" xfId="2161" xr:uid="{00000000-0005-0000-0000-0000748C0000}"/>
    <cellStyle name="Финансовый 3 5 3 2 2" xfId="3806" xr:uid="{00000000-0005-0000-0000-0000758C0000}"/>
    <cellStyle name="Финансовый 3 5 3 2 2 2" xfId="11546" xr:uid="{00000000-0005-0000-0000-0000768C0000}"/>
    <cellStyle name="Финансовый 3 5 3 2 2 2 2" xfId="23524" xr:uid="{00000000-0005-0000-0000-0000778C0000}"/>
    <cellStyle name="Финансовый 3 5 3 2 2 2 2 2" xfId="47479" xr:uid="{00000000-0005-0000-0000-0000788C0000}"/>
    <cellStyle name="Финансовый 3 5 3 2 2 2 3" xfId="35501" xr:uid="{00000000-0005-0000-0000-0000798C0000}"/>
    <cellStyle name="Финансовый 3 5 3 2 2 3" xfId="15785" xr:uid="{00000000-0005-0000-0000-00007A8C0000}"/>
    <cellStyle name="Финансовый 3 5 3 2 2 3 2" xfId="39740" xr:uid="{00000000-0005-0000-0000-00007B8C0000}"/>
    <cellStyle name="Финансовый 3 5 3 2 2 4" xfId="27763" xr:uid="{00000000-0005-0000-0000-00007C8C0000}"/>
    <cellStyle name="Финансовый 3 5 3 2 2 5" xfId="51032" xr:uid="{00000000-0005-0000-0000-00007D8C0000}"/>
    <cellStyle name="Финансовый 3 5 3 2 3" xfId="5589" xr:uid="{00000000-0005-0000-0000-00007E8C0000}"/>
    <cellStyle name="Финансовый 3 5 3 2 3 2" xfId="17567" xr:uid="{00000000-0005-0000-0000-00007F8C0000}"/>
    <cellStyle name="Финансовый 3 5 3 2 3 2 2" xfId="41522" xr:uid="{00000000-0005-0000-0000-0000808C0000}"/>
    <cellStyle name="Финансовый 3 5 3 2 3 3" xfId="29544" xr:uid="{00000000-0005-0000-0000-0000818C0000}"/>
    <cellStyle name="Финансовый 3 5 3 2 4" xfId="8199" xr:uid="{00000000-0005-0000-0000-0000828C0000}"/>
    <cellStyle name="Финансовый 3 5 3 2 4 2" xfId="20177" xr:uid="{00000000-0005-0000-0000-0000838C0000}"/>
    <cellStyle name="Финансовый 3 5 3 2 4 2 2" xfId="44132" xr:uid="{00000000-0005-0000-0000-0000848C0000}"/>
    <cellStyle name="Финансовый 3 5 3 2 4 3" xfId="32154" xr:uid="{00000000-0005-0000-0000-0000858C0000}"/>
    <cellStyle name="Финансовый 3 5 3 2 5" xfId="9982" xr:uid="{00000000-0005-0000-0000-0000868C0000}"/>
    <cellStyle name="Финансовый 3 5 3 2 5 2" xfId="21960" xr:uid="{00000000-0005-0000-0000-0000878C0000}"/>
    <cellStyle name="Финансовый 3 5 3 2 5 2 2" xfId="45915" xr:uid="{00000000-0005-0000-0000-0000888C0000}"/>
    <cellStyle name="Финансовый 3 5 3 2 5 3" xfId="33937" xr:uid="{00000000-0005-0000-0000-0000898C0000}"/>
    <cellStyle name="Финансовый 3 5 3 2 6" xfId="14140" xr:uid="{00000000-0005-0000-0000-00008A8C0000}"/>
    <cellStyle name="Финансовый 3 5 3 2 6 2" xfId="38095" xr:uid="{00000000-0005-0000-0000-00008B8C0000}"/>
    <cellStyle name="Финансовый 3 5 3 2 7" xfId="26118" xr:uid="{00000000-0005-0000-0000-00008C8C0000}"/>
    <cellStyle name="Финансовый 3 5 3 2 8" xfId="49251" xr:uid="{00000000-0005-0000-0000-00008D8C0000}"/>
    <cellStyle name="Финансовый 3 5 3 3" xfId="1195" xr:uid="{00000000-0005-0000-0000-00008E8C0000}"/>
    <cellStyle name="Финансовый 3 5 3 3 2" xfId="7235" xr:uid="{00000000-0005-0000-0000-00008F8C0000}"/>
    <cellStyle name="Финансовый 3 5 3 3 2 2" xfId="19213" xr:uid="{00000000-0005-0000-0000-0000908C0000}"/>
    <cellStyle name="Финансовый 3 5 3 3 2 2 2" xfId="43168" xr:uid="{00000000-0005-0000-0000-0000918C0000}"/>
    <cellStyle name="Финансовый 3 5 3 3 2 3" xfId="31190" xr:uid="{00000000-0005-0000-0000-0000928C0000}"/>
    <cellStyle name="Финансовый 3 5 3 3 3" xfId="10774" xr:uid="{00000000-0005-0000-0000-0000938C0000}"/>
    <cellStyle name="Финансовый 3 5 3 3 3 2" xfId="22752" xr:uid="{00000000-0005-0000-0000-0000948C0000}"/>
    <cellStyle name="Финансовый 3 5 3 3 3 2 2" xfId="46707" xr:uid="{00000000-0005-0000-0000-0000958C0000}"/>
    <cellStyle name="Финансовый 3 5 3 3 3 3" xfId="34729" xr:uid="{00000000-0005-0000-0000-0000968C0000}"/>
    <cellStyle name="Финансовый 3 5 3 3 4" xfId="13176" xr:uid="{00000000-0005-0000-0000-0000978C0000}"/>
    <cellStyle name="Финансовый 3 5 3 3 4 2" xfId="37131" xr:uid="{00000000-0005-0000-0000-0000988C0000}"/>
    <cellStyle name="Финансовый 3 5 3 3 5" xfId="25154" xr:uid="{00000000-0005-0000-0000-0000998C0000}"/>
    <cellStyle name="Финансовый 3 5 3 3 6" xfId="50067" xr:uid="{00000000-0005-0000-0000-00009A8C0000}"/>
    <cellStyle name="Финансовый 3 5 3 4" xfId="802" xr:uid="{00000000-0005-0000-0000-00009B8C0000}"/>
    <cellStyle name="Финансовый 3 5 3 4 2" xfId="6842" xr:uid="{00000000-0005-0000-0000-00009C8C0000}"/>
    <cellStyle name="Финансовый 3 5 3 4 2 2" xfId="18820" xr:uid="{00000000-0005-0000-0000-00009D8C0000}"/>
    <cellStyle name="Финансовый 3 5 3 4 2 2 2" xfId="42775" xr:uid="{00000000-0005-0000-0000-00009E8C0000}"/>
    <cellStyle name="Финансовый 3 5 3 4 2 3" xfId="30797" xr:uid="{00000000-0005-0000-0000-00009F8C0000}"/>
    <cellStyle name="Финансовый 3 5 3 4 3" xfId="12783" xr:uid="{00000000-0005-0000-0000-0000A08C0000}"/>
    <cellStyle name="Финансовый 3 5 3 4 3 2" xfId="36738" xr:uid="{00000000-0005-0000-0000-0000A18C0000}"/>
    <cellStyle name="Финансовый 3 5 3 4 4" xfId="24761" xr:uid="{00000000-0005-0000-0000-0000A28C0000}"/>
    <cellStyle name="Финансовый 3 5 3 5" xfId="2979" xr:uid="{00000000-0005-0000-0000-0000A38C0000}"/>
    <cellStyle name="Финансовый 3 5 3 5 2" xfId="14958" xr:uid="{00000000-0005-0000-0000-0000A48C0000}"/>
    <cellStyle name="Финансовый 3 5 3 5 2 2" xfId="38913" xr:uid="{00000000-0005-0000-0000-0000A58C0000}"/>
    <cellStyle name="Финансовый 3 5 3 5 3" xfId="26936" xr:uid="{00000000-0005-0000-0000-0000A68C0000}"/>
    <cellStyle name="Финансовый 3 5 3 6" xfId="4623" xr:uid="{00000000-0005-0000-0000-0000A78C0000}"/>
    <cellStyle name="Финансовый 3 5 3 6 2" xfId="16602" xr:uid="{00000000-0005-0000-0000-0000A88C0000}"/>
    <cellStyle name="Финансовый 3 5 3 6 2 2" xfId="40557" xr:uid="{00000000-0005-0000-0000-0000A98C0000}"/>
    <cellStyle name="Финансовый 3 5 3 6 3" xfId="28580" xr:uid="{00000000-0005-0000-0000-0000AA8C0000}"/>
    <cellStyle name="Финансовый 3 5 3 7" xfId="6422" xr:uid="{00000000-0005-0000-0000-0000AB8C0000}"/>
    <cellStyle name="Финансовый 3 5 3 7 2" xfId="18400" xr:uid="{00000000-0005-0000-0000-0000AC8C0000}"/>
    <cellStyle name="Финансовый 3 5 3 7 2 2" xfId="42355" xr:uid="{00000000-0005-0000-0000-0000AD8C0000}"/>
    <cellStyle name="Финансовый 3 5 3 7 3" xfId="30377" xr:uid="{00000000-0005-0000-0000-0000AE8C0000}"/>
    <cellStyle name="Финансовый 3 5 3 8" xfId="9017" xr:uid="{00000000-0005-0000-0000-0000AF8C0000}"/>
    <cellStyle name="Финансовый 3 5 3 8 2" xfId="20995" xr:uid="{00000000-0005-0000-0000-0000B08C0000}"/>
    <cellStyle name="Финансовый 3 5 3 8 2 2" xfId="44950" xr:uid="{00000000-0005-0000-0000-0000B18C0000}"/>
    <cellStyle name="Финансовый 3 5 3 8 3" xfId="32972" xr:uid="{00000000-0005-0000-0000-0000B28C0000}"/>
    <cellStyle name="Финансовый 3 5 3 9" xfId="12363" xr:uid="{00000000-0005-0000-0000-0000B38C0000}"/>
    <cellStyle name="Финансовый 3 5 3 9 2" xfId="36318" xr:uid="{00000000-0005-0000-0000-0000B48C0000}"/>
    <cellStyle name="Финансовый 3 5 4" xfId="1528" xr:uid="{00000000-0005-0000-0000-0000B58C0000}"/>
    <cellStyle name="Финансовый 3 5 4 2" xfId="1905" xr:uid="{00000000-0005-0000-0000-0000B68C0000}"/>
    <cellStyle name="Финансовый 3 5 4 2 2" xfId="3550" xr:uid="{00000000-0005-0000-0000-0000B78C0000}"/>
    <cellStyle name="Финансовый 3 5 4 2 2 2" xfId="11290" xr:uid="{00000000-0005-0000-0000-0000B88C0000}"/>
    <cellStyle name="Финансовый 3 5 4 2 2 2 2" xfId="23268" xr:uid="{00000000-0005-0000-0000-0000B98C0000}"/>
    <cellStyle name="Финансовый 3 5 4 2 2 2 2 2" xfId="47223" xr:uid="{00000000-0005-0000-0000-0000BA8C0000}"/>
    <cellStyle name="Финансовый 3 5 4 2 2 2 3" xfId="35245" xr:uid="{00000000-0005-0000-0000-0000BB8C0000}"/>
    <cellStyle name="Финансовый 3 5 4 2 2 3" xfId="15529" xr:uid="{00000000-0005-0000-0000-0000BC8C0000}"/>
    <cellStyle name="Финансовый 3 5 4 2 2 3 2" xfId="39484" xr:uid="{00000000-0005-0000-0000-0000BD8C0000}"/>
    <cellStyle name="Финансовый 3 5 4 2 2 4" xfId="27507" xr:uid="{00000000-0005-0000-0000-0000BE8C0000}"/>
    <cellStyle name="Финансовый 3 5 4 2 2 5" xfId="50776" xr:uid="{00000000-0005-0000-0000-0000BF8C0000}"/>
    <cellStyle name="Финансовый 3 5 4 2 3" xfId="5333" xr:uid="{00000000-0005-0000-0000-0000C08C0000}"/>
    <cellStyle name="Финансовый 3 5 4 2 3 2" xfId="17311" xr:uid="{00000000-0005-0000-0000-0000C18C0000}"/>
    <cellStyle name="Финансовый 3 5 4 2 3 2 2" xfId="41266" xr:uid="{00000000-0005-0000-0000-0000C28C0000}"/>
    <cellStyle name="Финансовый 3 5 4 2 3 3" xfId="29288" xr:uid="{00000000-0005-0000-0000-0000C38C0000}"/>
    <cellStyle name="Финансовый 3 5 4 2 4" xfId="7943" xr:uid="{00000000-0005-0000-0000-0000C48C0000}"/>
    <cellStyle name="Финансовый 3 5 4 2 4 2" xfId="19921" xr:uid="{00000000-0005-0000-0000-0000C58C0000}"/>
    <cellStyle name="Финансовый 3 5 4 2 4 2 2" xfId="43876" xr:uid="{00000000-0005-0000-0000-0000C68C0000}"/>
    <cellStyle name="Финансовый 3 5 4 2 4 3" xfId="31898" xr:uid="{00000000-0005-0000-0000-0000C78C0000}"/>
    <cellStyle name="Финансовый 3 5 4 2 5" xfId="9726" xr:uid="{00000000-0005-0000-0000-0000C88C0000}"/>
    <cellStyle name="Финансовый 3 5 4 2 5 2" xfId="21704" xr:uid="{00000000-0005-0000-0000-0000C98C0000}"/>
    <cellStyle name="Финансовый 3 5 4 2 5 2 2" xfId="45659" xr:uid="{00000000-0005-0000-0000-0000CA8C0000}"/>
    <cellStyle name="Финансовый 3 5 4 2 5 3" xfId="33681" xr:uid="{00000000-0005-0000-0000-0000CB8C0000}"/>
    <cellStyle name="Финансовый 3 5 4 2 6" xfId="13884" xr:uid="{00000000-0005-0000-0000-0000CC8C0000}"/>
    <cellStyle name="Финансовый 3 5 4 2 6 2" xfId="37839" xr:uid="{00000000-0005-0000-0000-0000CD8C0000}"/>
    <cellStyle name="Финансовый 3 5 4 2 7" xfId="25862" xr:uid="{00000000-0005-0000-0000-0000CE8C0000}"/>
    <cellStyle name="Финансовый 3 5 4 2 8" xfId="48995" xr:uid="{00000000-0005-0000-0000-0000CF8C0000}"/>
    <cellStyle name="Финансовый 3 5 4 3" xfId="4956" xr:uid="{00000000-0005-0000-0000-0000D08C0000}"/>
    <cellStyle name="Финансовый 3 5 4 3 2" xfId="16934" xr:uid="{00000000-0005-0000-0000-0000D18C0000}"/>
    <cellStyle name="Финансовый 3 5 4 3 2 2" xfId="40889" xr:uid="{00000000-0005-0000-0000-0000D28C0000}"/>
    <cellStyle name="Финансовый 3 5 4 3 3" xfId="28911" xr:uid="{00000000-0005-0000-0000-0000D38C0000}"/>
    <cellStyle name="Финансовый 3 5 4 3 4" xfId="50399" xr:uid="{00000000-0005-0000-0000-0000D48C0000}"/>
    <cellStyle name="Финансовый 3 5 4 4" xfId="7566" xr:uid="{00000000-0005-0000-0000-0000D58C0000}"/>
    <cellStyle name="Финансовый 3 5 4 4 2" xfId="19544" xr:uid="{00000000-0005-0000-0000-0000D68C0000}"/>
    <cellStyle name="Финансовый 3 5 4 4 2 2" xfId="43499" xr:uid="{00000000-0005-0000-0000-0000D78C0000}"/>
    <cellStyle name="Финансовый 3 5 4 4 3" xfId="31521" xr:uid="{00000000-0005-0000-0000-0000D88C0000}"/>
    <cellStyle name="Финансовый 3 5 4 5" xfId="9349" xr:uid="{00000000-0005-0000-0000-0000D98C0000}"/>
    <cellStyle name="Финансовый 3 5 4 5 2" xfId="21327" xr:uid="{00000000-0005-0000-0000-0000DA8C0000}"/>
    <cellStyle name="Финансовый 3 5 4 5 2 2" xfId="45282" xr:uid="{00000000-0005-0000-0000-0000DB8C0000}"/>
    <cellStyle name="Финансовый 3 5 4 5 3" xfId="33304" xr:uid="{00000000-0005-0000-0000-0000DC8C0000}"/>
    <cellStyle name="Финансовый 3 5 4 6" xfId="13507" xr:uid="{00000000-0005-0000-0000-0000DD8C0000}"/>
    <cellStyle name="Финансовый 3 5 4 6 2" xfId="37462" xr:uid="{00000000-0005-0000-0000-0000DE8C0000}"/>
    <cellStyle name="Финансовый 3 5 4 7" xfId="25485" xr:uid="{00000000-0005-0000-0000-0000DF8C0000}"/>
    <cellStyle name="Финансовый 3 5 4 8" xfId="48618" xr:uid="{00000000-0005-0000-0000-0000E08C0000}"/>
    <cellStyle name="Финансовый 3 5 5" xfId="1781" xr:uid="{00000000-0005-0000-0000-0000E18C0000}"/>
    <cellStyle name="Финансовый 3 5 5 2" xfId="3426" xr:uid="{00000000-0005-0000-0000-0000E28C0000}"/>
    <cellStyle name="Финансовый 3 5 5 2 2" xfId="11174" xr:uid="{00000000-0005-0000-0000-0000E38C0000}"/>
    <cellStyle name="Финансовый 3 5 5 2 2 2" xfId="23152" xr:uid="{00000000-0005-0000-0000-0000E48C0000}"/>
    <cellStyle name="Финансовый 3 5 5 2 2 2 2" xfId="47107" xr:uid="{00000000-0005-0000-0000-0000E58C0000}"/>
    <cellStyle name="Финансовый 3 5 5 2 2 3" xfId="35129" xr:uid="{00000000-0005-0000-0000-0000E68C0000}"/>
    <cellStyle name="Финансовый 3 5 5 2 3" xfId="15405" xr:uid="{00000000-0005-0000-0000-0000E78C0000}"/>
    <cellStyle name="Финансовый 3 5 5 2 3 2" xfId="39360" xr:uid="{00000000-0005-0000-0000-0000E88C0000}"/>
    <cellStyle name="Финансовый 3 5 5 2 4" xfId="27383" xr:uid="{00000000-0005-0000-0000-0000E98C0000}"/>
    <cellStyle name="Финансовый 3 5 5 2 5" xfId="50652" xr:uid="{00000000-0005-0000-0000-0000EA8C0000}"/>
    <cellStyle name="Финансовый 3 5 5 3" xfId="5209" xr:uid="{00000000-0005-0000-0000-0000EB8C0000}"/>
    <cellStyle name="Финансовый 3 5 5 3 2" xfId="17187" xr:uid="{00000000-0005-0000-0000-0000EC8C0000}"/>
    <cellStyle name="Финансовый 3 5 5 3 2 2" xfId="41142" xr:uid="{00000000-0005-0000-0000-0000ED8C0000}"/>
    <cellStyle name="Финансовый 3 5 5 3 3" xfId="29164" xr:uid="{00000000-0005-0000-0000-0000EE8C0000}"/>
    <cellStyle name="Финансовый 3 5 5 4" xfId="7819" xr:uid="{00000000-0005-0000-0000-0000EF8C0000}"/>
    <cellStyle name="Финансовый 3 5 5 4 2" xfId="19797" xr:uid="{00000000-0005-0000-0000-0000F08C0000}"/>
    <cellStyle name="Финансовый 3 5 5 4 2 2" xfId="43752" xr:uid="{00000000-0005-0000-0000-0000F18C0000}"/>
    <cellStyle name="Финансовый 3 5 5 4 3" xfId="31774" xr:uid="{00000000-0005-0000-0000-0000F28C0000}"/>
    <cellStyle name="Финансовый 3 5 5 5" xfId="9602" xr:uid="{00000000-0005-0000-0000-0000F38C0000}"/>
    <cellStyle name="Финансовый 3 5 5 5 2" xfId="21580" xr:uid="{00000000-0005-0000-0000-0000F48C0000}"/>
    <cellStyle name="Финансовый 3 5 5 5 2 2" xfId="45535" xr:uid="{00000000-0005-0000-0000-0000F58C0000}"/>
    <cellStyle name="Финансовый 3 5 5 5 3" xfId="33557" xr:uid="{00000000-0005-0000-0000-0000F68C0000}"/>
    <cellStyle name="Финансовый 3 5 5 6" xfId="13760" xr:uid="{00000000-0005-0000-0000-0000F78C0000}"/>
    <cellStyle name="Финансовый 3 5 5 6 2" xfId="37715" xr:uid="{00000000-0005-0000-0000-0000F88C0000}"/>
    <cellStyle name="Финансовый 3 5 5 7" xfId="25738" xr:uid="{00000000-0005-0000-0000-0000F98C0000}"/>
    <cellStyle name="Финансовый 3 5 5 8" xfId="48871" xr:uid="{00000000-0005-0000-0000-0000FA8C0000}"/>
    <cellStyle name="Финансовый 3 5 6" xfId="2426" xr:uid="{00000000-0005-0000-0000-0000FB8C0000}"/>
    <cellStyle name="Финансовый 3 5 6 2" xfId="4071" xr:uid="{00000000-0005-0000-0000-0000FC8C0000}"/>
    <cellStyle name="Финансовый 3 5 6 2 2" xfId="11803" xr:uid="{00000000-0005-0000-0000-0000FD8C0000}"/>
    <cellStyle name="Финансовый 3 5 6 2 2 2" xfId="23781" xr:uid="{00000000-0005-0000-0000-0000FE8C0000}"/>
    <cellStyle name="Финансовый 3 5 6 2 2 2 2" xfId="47736" xr:uid="{00000000-0005-0000-0000-0000FF8C0000}"/>
    <cellStyle name="Финансовый 3 5 6 2 2 3" xfId="35758" xr:uid="{00000000-0005-0000-0000-0000008D0000}"/>
    <cellStyle name="Финансовый 3 5 6 2 3" xfId="16050" xr:uid="{00000000-0005-0000-0000-0000018D0000}"/>
    <cellStyle name="Финансовый 3 5 6 2 3 2" xfId="40005" xr:uid="{00000000-0005-0000-0000-0000028D0000}"/>
    <cellStyle name="Финансовый 3 5 6 2 4" xfId="28028" xr:uid="{00000000-0005-0000-0000-0000038D0000}"/>
    <cellStyle name="Финансовый 3 5 6 2 5" xfId="51297" xr:uid="{00000000-0005-0000-0000-0000048D0000}"/>
    <cellStyle name="Финансовый 3 5 6 3" xfId="5854" xr:uid="{00000000-0005-0000-0000-0000058D0000}"/>
    <cellStyle name="Финансовый 3 5 6 3 2" xfId="17832" xr:uid="{00000000-0005-0000-0000-0000068D0000}"/>
    <cellStyle name="Финансовый 3 5 6 3 2 2" xfId="41787" xr:uid="{00000000-0005-0000-0000-0000078D0000}"/>
    <cellStyle name="Финансовый 3 5 6 3 3" xfId="29809" xr:uid="{00000000-0005-0000-0000-0000088D0000}"/>
    <cellStyle name="Финансовый 3 5 6 4" xfId="8464" xr:uid="{00000000-0005-0000-0000-0000098D0000}"/>
    <cellStyle name="Финансовый 3 5 6 4 2" xfId="20442" xr:uid="{00000000-0005-0000-0000-00000A8D0000}"/>
    <cellStyle name="Финансовый 3 5 6 4 2 2" xfId="44397" xr:uid="{00000000-0005-0000-0000-00000B8D0000}"/>
    <cellStyle name="Финансовый 3 5 6 4 3" xfId="32419" xr:uid="{00000000-0005-0000-0000-00000C8D0000}"/>
    <cellStyle name="Финансовый 3 5 6 5" xfId="10247" xr:uid="{00000000-0005-0000-0000-00000D8D0000}"/>
    <cellStyle name="Финансовый 3 5 6 5 2" xfId="22225" xr:uid="{00000000-0005-0000-0000-00000E8D0000}"/>
    <cellStyle name="Финансовый 3 5 6 5 2 2" xfId="46180" xr:uid="{00000000-0005-0000-0000-00000F8D0000}"/>
    <cellStyle name="Финансовый 3 5 6 5 3" xfId="34202" xr:uid="{00000000-0005-0000-0000-0000108D0000}"/>
    <cellStyle name="Финансовый 3 5 6 6" xfId="14405" xr:uid="{00000000-0005-0000-0000-0000118D0000}"/>
    <cellStyle name="Финансовый 3 5 6 6 2" xfId="38360" xr:uid="{00000000-0005-0000-0000-0000128D0000}"/>
    <cellStyle name="Финансовый 3 5 6 7" xfId="26383" xr:uid="{00000000-0005-0000-0000-0000138D0000}"/>
    <cellStyle name="Финансовый 3 5 6 8" xfId="49516" xr:uid="{00000000-0005-0000-0000-0000148D0000}"/>
    <cellStyle name="Финансовый 3 5 7" xfId="1653" xr:uid="{00000000-0005-0000-0000-0000158D0000}"/>
    <cellStyle name="Финансовый 3 5 7 2" xfId="3298" xr:uid="{00000000-0005-0000-0000-0000168D0000}"/>
    <cellStyle name="Финансовый 3 5 7 2 2" xfId="11046" xr:uid="{00000000-0005-0000-0000-0000178D0000}"/>
    <cellStyle name="Финансовый 3 5 7 2 2 2" xfId="23024" xr:uid="{00000000-0005-0000-0000-0000188D0000}"/>
    <cellStyle name="Финансовый 3 5 7 2 2 2 2" xfId="46979" xr:uid="{00000000-0005-0000-0000-0000198D0000}"/>
    <cellStyle name="Финансовый 3 5 7 2 2 3" xfId="35001" xr:uid="{00000000-0005-0000-0000-00001A8D0000}"/>
    <cellStyle name="Финансовый 3 5 7 2 3" xfId="15277" xr:uid="{00000000-0005-0000-0000-00001B8D0000}"/>
    <cellStyle name="Финансовый 3 5 7 2 3 2" xfId="39232" xr:uid="{00000000-0005-0000-0000-00001C8D0000}"/>
    <cellStyle name="Финансовый 3 5 7 2 4" xfId="27255" xr:uid="{00000000-0005-0000-0000-00001D8D0000}"/>
    <cellStyle name="Финансовый 3 5 7 2 5" xfId="50524" xr:uid="{00000000-0005-0000-0000-00001E8D0000}"/>
    <cellStyle name="Финансовый 3 5 7 3" xfId="5081" xr:uid="{00000000-0005-0000-0000-00001F8D0000}"/>
    <cellStyle name="Финансовый 3 5 7 3 2" xfId="17059" xr:uid="{00000000-0005-0000-0000-0000208D0000}"/>
    <cellStyle name="Финансовый 3 5 7 3 2 2" xfId="41014" xr:uid="{00000000-0005-0000-0000-0000218D0000}"/>
    <cellStyle name="Финансовый 3 5 7 3 3" xfId="29036" xr:uid="{00000000-0005-0000-0000-0000228D0000}"/>
    <cellStyle name="Финансовый 3 5 7 4" xfId="7691" xr:uid="{00000000-0005-0000-0000-0000238D0000}"/>
    <cellStyle name="Финансовый 3 5 7 4 2" xfId="19669" xr:uid="{00000000-0005-0000-0000-0000248D0000}"/>
    <cellStyle name="Финансовый 3 5 7 4 2 2" xfId="43624" xr:uid="{00000000-0005-0000-0000-0000258D0000}"/>
    <cellStyle name="Финансовый 3 5 7 4 3" xfId="31646" xr:uid="{00000000-0005-0000-0000-0000268D0000}"/>
    <cellStyle name="Финансовый 3 5 7 5" xfId="9474" xr:uid="{00000000-0005-0000-0000-0000278D0000}"/>
    <cellStyle name="Финансовый 3 5 7 5 2" xfId="21452" xr:uid="{00000000-0005-0000-0000-0000288D0000}"/>
    <cellStyle name="Финансовый 3 5 7 5 2 2" xfId="45407" xr:uid="{00000000-0005-0000-0000-0000298D0000}"/>
    <cellStyle name="Финансовый 3 5 7 5 3" xfId="33429" xr:uid="{00000000-0005-0000-0000-00002A8D0000}"/>
    <cellStyle name="Финансовый 3 5 7 6" xfId="13632" xr:uid="{00000000-0005-0000-0000-00002B8D0000}"/>
    <cellStyle name="Финансовый 3 5 7 6 2" xfId="37587" xr:uid="{00000000-0005-0000-0000-00002C8D0000}"/>
    <cellStyle name="Финансовый 3 5 7 7" xfId="25610" xr:uid="{00000000-0005-0000-0000-00002D8D0000}"/>
    <cellStyle name="Финансовый 3 5 7 8" xfId="48743" xr:uid="{00000000-0005-0000-0000-00002E8D0000}"/>
    <cellStyle name="Финансовый 3 5 8" xfId="930" xr:uid="{00000000-0005-0000-0000-00002F8D0000}"/>
    <cellStyle name="Финансовый 3 5 8 2" xfId="6970" xr:uid="{00000000-0005-0000-0000-0000308D0000}"/>
    <cellStyle name="Финансовый 3 5 8 2 2" xfId="18948" xr:uid="{00000000-0005-0000-0000-0000318D0000}"/>
    <cellStyle name="Финансовый 3 5 8 2 2 2" xfId="42903" xr:uid="{00000000-0005-0000-0000-0000328D0000}"/>
    <cellStyle name="Финансовый 3 5 8 2 3" xfId="30925" xr:uid="{00000000-0005-0000-0000-0000338D0000}"/>
    <cellStyle name="Финансовый 3 5 8 3" xfId="10518" xr:uid="{00000000-0005-0000-0000-0000348D0000}"/>
    <cellStyle name="Финансовый 3 5 8 3 2" xfId="22496" xr:uid="{00000000-0005-0000-0000-0000358D0000}"/>
    <cellStyle name="Финансовый 3 5 8 3 2 2" xfId="46451" xr:uid="{00000000-0005-0000-0000-0000368D0000}"/>
    <cellStyle name="Финансовый 3 5 8 3 3" xfId="34473" xr:uid="{00000000-0005-0000-0000-0000378D0000}"/>
    <cellStyle name="Финансовый 3 5 8 4" xfId="12911" xr:uid="{00000000-0005-0000-0000-0000388D0000}"/>
    <cellStyle name="Финансовый 3 5 8 4 2" xfId="36866" xr:uid="{00000000-0005-0000-0000-0000398D0000}"/>
    <cellStyle name="Финансовый 3 5 8 5" xfId="24889" xr:uid="{00000000-0005-0000-0000-00003A8D0000}"/>
    <cellStyle name="Финансовый 3 5 8 6" xfId="49795" xr:uid="{00000000-0005-0000-0000-00003B8D0000}"/>
    <cellStyle name="Финансовый 3 5 9" xfId="518" xr:uid="{00000000-0005-0000-0000-00003C8D0000}"/>
    <cellStyle name="Финансовый 3 5 9 2" xfId="6558" xr:uid="{00000000-0005-0000-0000-00003D8D0000}"/>
    <cellStyle name="Финансовый 3 5 9 2 2" xfId="18536" xr:uid="{00000000-0005-0000-0000-00003E8D0000}"/>
    <cellStyle name="Финансовый 3 5 9 2 2 2" xfId="42491" xr:uid="{00000000-0005-0000-0000-00003F8D0000}"/>
    <cellStyle name="Финансовый 3 5 9 2 3" xfId="30513" xr:uid="{00000000-0005-0000-0000-0000408D0000}"/>
    <cellStyle name="Финансовый 3 5 9 3" xfId="12499" xr:uid="{00000000-0005-0000-0000-0000418D0000}"/>
    <cellStyle name="Финансовый 3 5 9 3 2" xfId="36454" xr:uid="{00000000-0005-0000-0000-0000428D0000}"/>
    <cellStyle name="Финансовый 3 5 9 4" xfId="24477" xr:uid="{00000000-0005-0000-0000-0000438D0000}"/>
    <cellStyle name="Финансовый 3 6" xfId="109" xr:uid="{00000000-0005-0000-0000-0000448D0000}"/>
    <cellStyle name="Финансовый 3 6 10" xfId="2719" xr:uid="{00000000-0005-0000-0000-0000458D0000}"/>
    <cellStyle name="Финансовый 3 6 10 2" xfId="14698" xr:uid="{00000000-0005-0000-0000-0000468D0000}"/>
    <cellStyle name="Финансовый 3 6 10 2 2" xfId="38653" xr:uid="{00000000-0005-0000-0000-0000478D0000}"/>
    <cellStyle name="Финансовый 3 6 10 3" xfId="26676" xr:uid="{00000000-0005-0000-0000-0000488D0000}"/>
    <cellStyle name="Финансовый 3 6 11" xfId="4363" xr:uid="{00000000-0005-0000-0000-0000498D0000}"/>
    <cellStyle name="Финансовый 3 6 11 2" xfId="16342" xr:uid="{00000000-0005-0000-0000-00004A8D0000}"/>
    <cellStyle name="Финансовый 3 6 11 2 2" xfId="40297" xr:uid="{00000000-0005-0000-0000-00004B8D0000}"/>
    <cellStyle name="Финансовый 3 6 11 3" xfId="28320" xr:uid="{00000000-0005-0000-0000-00004C8D0000}"/>
    <cellStyle name="Финансовый 3 6 12" xfId="6150" xr:uid="{00000000-0005-0000-0000-00004D8D0000}"/>
    <cellStyle name="Финансовый 3 6 12 2" xfId="18128" xr:uid="{00000000-0005-0000-0000-00004E8D0000}"/>
    <cellStyle name="Финансовый 3 6 12 2 2" xfId="42083" xr:uid="{00000000-0005-0000-0000-00004F8D0000}"/>
    <cellStyle name="Финансовый 3 6 12 3" xfId="30105" xr:uid="{00000000-0005-0000-0000-0000508D0000}"/>
    <cellStyle name="Финансовый 3 6 13" xfId="8757" xr:uid="{00000000-0005-0000-0000-0000518D0000}"/>
    <cellStyle name="Финансовый 3 6 13 2" xfId="20735" xr:uid="{00000000-0005-0000-0000-0000528D0000}"/>
    <cellStyle name="Финансовый 3 6 13 2 2" xfId="44690" xr:uid="{00000000-0005-0000-0000-0000538D0000}"/>
    <cellStyle name="Финансовый 3 6 13 3" xfId="32712" xr:uid="{00000000-0005-0000-0000-0000548D0000}"/>
    <cellStyle name="Финансовый 3 6 14" xfId="12091" xr:uid="{00000000-0005-0000-0000-0000558D0000}"/>
    <cellStyle name="Финансовый 3 6 14 2" xfId="36046" xr:uid="{00000000-0005-0000-0000-0000568D0000}"/>
    <cellStyle name="Финансовый 3 6 15" xfId="24069" xr:uid="{00000000-0005-0000-0000-0000578D0000}"/>
    <cellStyle name="Финансовый 3 6 16" xfId="48027" xr:uid="{00000000-0005-0000-0000-0000588D0000}"/>
    <cellStyle name="Финансовый 3 6 2" xfId="245" xr:uid="{00000000-0005-0000-0000-0000598D0000}"/>
    <cellStyle name="Финансовый 3 6 2 10" xfId="8893" xr:uid="{00000000-0005-0000-0000-00005A8D0000}"/>
    <cellStyle name="Финансовый 3 6 2 10 2" xfId="20871" xr:uid="{00000000-0005-0000-0000-00005B8D0000}"/>
    <cellStyle name="Финансовый 3 6 2 10 2 2" xfId="44826" xr:uid="{00000000-0005-0000-0000-00005C8D0000}"/>
    <cellStyle name="Финансовый 3 6 2 10 3" xfId="32848" xr:uid="{00000000-0005-0000-0000-00005D8D0000}"/>
    <cellStyle name="Финансовый 3 6 2 11" xfId="12227" xr:uid="{00000000-0005-0000-0000-00005E8D0000}"/>
    <cellStyle name="Финансовый 3 6 2 11 2" xfId="36182" xr:uid="{00000000-0005-0000-0000-00005F8D0000}"/>
    <cellStyle name="Финансовый 3 6 2 12" xfId="24205" xr:uid="{00000000-0005-0000-0000-0000608D0000}"/>
    <cellStyle name="Финансовый 3 6 2 13" xfId="48163" xr:uid="{00000000-0005-0000-0000-0000618D0000}"/>
    <cellStyle name="Финансовый 3 6 2 2" xfId="1343" xr:uid="{00000000-0005-0000-0000-0000628D0000}"/>
    <cellStyle name="Финансовый 3 6 2 2 2" xfId="2301" xr:uid="{00000000-0005-0000-0000-0000638D0000}"/>
    <cellStyle name="Финансовый 3 6 2 2 2 2" xfId="3946" xr:uid="{00000000-0005-0000-0000-0000648D0000}"/>
    <cellStyle name="Финансовый 3 6 2 2 2 2 2" xfId="11686" xr:uid="{00000000-0005-0000-0000-0000658D0000}"/>
    <cellStyle name="Финансовый 3 6 2 2 2 2 2 2" xfId="23664" xr:uid="{00000000-0005-0000-0000-0000668D0000}"/>
    <cellStyle name="Финансовый 3 6 2 2 2 2 2 2 2" xfId="47619" xr:uid="{00000000-0005-0000-0000-0000678D0000}"/>
    <cellStyle name="Финансовый 3 6 2 2 2 2 2 3" xfId="35641" xr:uid="{00000000-0005-0000-0000-0000688D0000}"/>
    <cellStyle name="Финансовый 3 6 2 2 2 2 3" xfId="15925" xr:uid="{00000000-0005-0000-0000-0000698D0000}"/>
    <cellStyle name="Финансовый 3 6 2 2 2 2 3 2" xfId="39880" xr:uid="{00000000-0005-0000-0000-00006A8D0000}"/>
    <cellStyle name="Финансовый 3 6 2 2 2 2 4" xfId="27903" xr:uid="{00000000-0005-0000-0000-00006B8D0000}"/>
    <cellStyle name="Финансовый 3 6 2 2 2 2 5" xfId="51172" xr:uid="{00000000-0005-0000-0000-00006C8D0000}"/>
    <cellStyle name="Финансовый 3 6 2 2 2 3" xfId="5729" xr:uid="{00000000-0005-0000-0000-00006D8D0000}"/>
    <cellStyle name="Финансовый 3 6 2 2 2 3 2" xfId="17707" xr:uid="{00000000-0005-0000-0000-00006E8D0000}"/>
    <cellStyle name="Финансовый 3 6 2 2 2 3 2 2" xfId="41662" xr:uid="{00000000-0005-0000-0000-00006F8D0000}"/>
    <cellStyle name="Финансовый 3 6 2 2 2 3 3" xfId="29684" xr:uid="{00000000-0005-0000-0000-0000708D0000}"/>
    <cellStyle name="Финансовый 3 6 2 2 2 4" xfId="8339" xr:uid="{00000000-0005-0000-0000-0000718D0000}"/>
    <cellStyle name="Финансовый 3 6 2 2 2 4 2" xfId="20317" xr:uid="{00000000-0005-0000-0000-0000728D0000}"/>
    <cellStyle name="Финансовый 3 6 2 2 2 4 2 2" xfId="44272" xr:uid="{00000000-0005-0000-0000-0000738D0000}"/>
    <cellStyle name="Финансовый 3 6 2 2 2 4 3" xfId="32294" xr:uid="{00000000-0005-0000-0000-0000748D0000}"/>
    <cellStyle name="Финансовый 3 6 2 2 2 5" xfId="10122" xr:uid="{00000000-0005-0000-0000-0000758D0000}"/>
    <cellStyle name="Финансовый 3 6 2 2 2 5 2" xfId="22100" xr:uid="{00000000-0005-0000-0000-0000768D0000}"/>
    <cellStyle name="Финансовый 3 6 2 2 2 5 2 2" xfId="46055" xr:uid="{00000000-0005-0000-0000-0000778D0000}"/>
    <cellStyle name="Финансовый 3 6 2 2 2 5 3" xfId="34077" xr:uid="{00000000-0005-0000-0000-0000788D0000}"/>
    <cellStyle name="Финансовый 3 6 2 2 2 6" xfId="14280" xr:uid="{00000000-0005-0000-0000-0000798D0000}"/>
    <cellStyle name="Финансовый 3 6 2 2 2 6 2" xfId="38235" xr:uid="{00000000-0005-0000-0000-00007A8D0000}"/>
    <cellStyle name="Финансовый 3 6 2 2 2 7" xfId="26258" xr:uid="{00000000-0005-0000-0000-00007B8D0000}"/>
    <cellStyle name="Финансовый 3 6 2 2 2 8" xfId="49391" xr:uid="{00000000-0005-0000-0000-00007C8D0000}"/>
    <cellStyle name="Финансовый 3 6 2 2 3" xfId="3127" xr:uid="{00000000-0005-0000-0000-00007D8D0000}"/>
    <cellStyle name="Финансовый 3 6 2 2 3 2" xfId="10914" xr:uid="{00000000-0005-0000-0000-00007E8D0000}"/>
    <cellStyle name="Финансовый 3 6 2 2 3 2 2" xfId="22892" xr:uid="{00000000-0005-0000-0000-00007F8D0000}"/>
    <cellStyle name="Финансовый 3 6 2 2 3 2 2 2" xfId="46847" xr:uid="{00000000-0005-0000-0000-0000808D0000}"/>
    <cellStyle name="Финансовый 3 6 2 2 3 2 3" xfId="34869" xr:uid="{00000000-0005-0000-0000-0000818D0000}"/>
    <cellStyle name="Финансовый 3 6 2 2 3 3" xfId="15106" xr:uid="{00000000-0005-0000-0000-0000828D0000}"/>
    <cellStyle name="Финансовый 3 6 2 2 3 3 2" xfId="39061" xr:uid="{00000000-0005-0000-0000-0000838D0000}"/>
    <cellStyle name="Финансовый 3 6 2 2 3 4" xfId="27084" xr:uid="{00000000-0005-0000-0000-0000848D0000}"/>
    <cellStyle name="Финансовый 3 6 2 2 3 5" xfId="50215" xr:uid="{00000000-0005-0000-0000-0000858D0000}"/>
    <cellStyle name="Финансовый 3 6 2 2 4" xfId="4771" xr:uid="{00000000-0005-0000-0000-0000868D0000}"/>
    <cellStyle name="Финансовый 3 6 2 2 4 2" xfId="16750" xr:uid="{00000000-0005-0000-0000-0000878D0000}"/>
    <cellStyle name="Финансовый 3 6 2 2 4 2 2" xfId="40705" xr:uid="{00000000-0005-0000-0000-0000888D0000}"/>
    <cellStyle name="Финансовый 3 6 2 2 4 3" xfId="28728" xr:uid="{00000000-0005-0000-0000-0000898D0000}"/>
    <cellStyle name="Финансовый 3 6 2 2 5" xfId="7383" xr:uid="{00000000-0005-0000-0000-00008A8D0000}"/>
    <cellStyle name="Финансовый 3 6 2 2 5 2" xfId="19361" xr:uid="{00000000-0005-0000-0000-00008B8D0000}"/>
    <cellStyle name="Финансовый 3 6 2 2 5 2 2" xfId="43316" xr:uid="{00000000-0005-0000-0000-00008C8D0000}"/>
    <cellStyle name="Финансовый 3 6 2 2 5 3" xfId="31338" xr:uid="{00000000-0005-0000-0000-00008D8D0000}"/>
    <cellStyle name="Финансовый 3 6 2 2 6" xfId="9165" xr:uid="{00000000-0005-0000-0000-00008E8D0000}"/>
    <cellStyle name="Финансовый 3 6 2 2 6 2" xfId="21143" xr:uid="{00000000-0005-0000-0000-00008F8D0000}"/>
    <cellStyle name="Финансовый 3 6 2 2 6 2 2" xfId="45098" xr:uid="{00000000-0005-0000-0000-0000908D0000}"/>
    <cellStyle name="Финансовый 3 6 2 2 6 3" xfId="33120" xr:uid="{00000000-0005-0000-0000-0000918D0000}"/>
    <cellStyle name="Финансовый 3 6 2 2 7" xfId="13324" xr:uid="{00000000-0005-0000-0000-0000928D0000}"/>
    <cellStyle name="Финансовый 3 6 2 2 7 2" xfId="37279" xr:uid="{00000000-0005-0000-0000-0000938D0000}"/>
    <cellStyle name="Финансовый 3 6 2 2 8" xfId="25302" xr:uid="{00000000-0005-0000-0000-0000948D0000}"/>
    <cellStyle name="Финансовый 3 6 2 2 9" xfId="48435" xr:uid="{00000000-0005-0000-0000-0000958D0000}"/>
    <cellStyle name="Финансовый 3 6 2 3" xfId="2045" xr:uid="{00000000-0005-0000-0000-0000968D0000}"/>
    <cellStyle name="Финансовый 3 6 2 3 2" xfId="3690" xr:uid="{00000000-0005-0000-0000-0000978D0000}"/>
    <cellStyle name="Финансовый 3 6 2 3 2 2" xfId="11430" xr:uid="{00000000-0005-0000-0000-0000988D0000}"/>
    <cellStyle name="Финансовый 3 6 2 3 2 2 2" xfId="23408" xr:uid="{00000000-0005-0000-0000-0000998D0000}"/>
    <cellStyle name="Финансовый 3 6 2 3 2 2 2 2" xfId="47363" xr:uid="{00000000-0005-0000-0000-00009A8D0000}"/>
    <cellStyle name="Финансовый 3 6 2 3 2 2 3" xfId="35385" xr:uid="{00000000-0005-0000-0000-00009B8D0000}"/>
    <cellStyle name="Финансовый 3 6 2 3 2 3" xfId="15669" xr:uid="{00000000-0005-0000-0000-00009C8D0000}"/>
    <cellStyle name="Финансовый 3 6 2 3 2 3 2" xfId="39624" xr:uid="{00000000-0005-0000-0000-00009D8D0000}"/>
    <cellStyle name="Финансовый 3 6 2 3 2 4" xfId="27647" xr:uid="{00000000-0005-0000-0000-00009E8D0000}"/>
    <cellStyle name="Финансовый 3 6 2 3 2 5" xfId="50916" xr:uid="{00000000-0005-0000-0000-00009F8D0000}"/>
    <cellStyle name="Финансовый 3 6 2 3 3" xfId="5473" xr:uid="{00000000-0005-0000-0000-0000A08D0000}"/>
    <cellStyle name="Финансовый 3 6 2 3 3 2" xfId="17451" xr:uid="{00000000-0005-0000-0000-0000A18D0000}"/>
    <cellStyle name="Финансовый 3 6 2 3 3 2 2" xfId="41406" xr:uid="{00000000-0005-0000-0000-0000A28D0000}"/>
    <cellStyle name="Финансовый 3 6 2 3 3 3" xfId="29428" xr:uid="{00000000-0005-0000-0000-0000A38D0000}"/>
    <cellStyle name="Финансовый 3 6 2 3 4" xfId="8083" xr:uid="{00000000-0005-0000-0000-0000A48D0000}"/>
    <cellStyle name="Финансовый 3 6 2 3 4 2" xfId="20061" xr:uid="{00000000-0005-0000-0000-0000A58D0000}"/>
    <cellStyle name="Финансовый 3 6 2 3 4 2 2" xfId="44016" xr:uid="{00000000-0005-0000-0000-0000A68D0000}"/>
    <cellStyle name="Финансовый 3 6 2 3 4 3" xfId="32038" xr:uid="{00000000-0005-0000-0000-0000A78D0000}"/>
    <cellStyle name="Финансовый 3 6 2 3 5" xfId="9866" xr:uid="{00000000-0005-0000-0000-0000A88D0000}"/>
    <cellStyle name="Финансовый 3 6 2 3 5 2" xfId="21844" xr:uid="{00000000-0005-0000-0000-0000A98D0000}"/>
    <cellStyle name="Финансовый 3 6 2 3 5 2 2" xfId="45799" xr:uid="{00000000-0005-0000-0000-0000AA8D0000}"/>
    <cellStyle name="Финансовый 3 6 2 3 5 3" xfId="33821" xr:uid="{00000000-0005-0000-0000-0000AB8D0000}"/>
    <cellStyle name="Финансовый 3 6 2 3 6" xfId="14024" xr:uid="{00000000-0005-0000-0000-0000AC8D0000}"/>
    <cellStyle name="Финансовый 3 6 2 3 6 2" xfId="37979" xr:uid="{00000000-0005-0000-0000-0000AD8D0000}"/>
    <cellStyle name="Финансовый 3 6 2 3 7" xfId="26002" xr:uid="{00000000-0005-0000-0000-0000AE8D0000}"/>
    <cellStyle name="Финансовый 3 6 2 3 8" xfId="49135" xr:uid="{00000000-0005-0000-0000-0000AF8D0000}"/>
    <cellStyle name="Финансовый 3 6 2 4" xfId="2574" xr:uid="{00000000-0005-0000-0000-0000B08D0000}"/>
    <cellStyle name="Финансовый 3 6 2 4 2" xfId="4219" xr:uid="{00000000-0005-0000-0000-0000B18D0000}"/>
    <cellStyle name="Финансовый 3 6 2 4 2 2" xfId="11943" xr:uid="{00000000-0005-0000-0000-0000B28D0000}"/>
    <cellStyle name="Финансовый 3 6 2 4 2 2 2" xfId="23921" xr:uid="{00000000-0005-0000-0000-0000B38D0000}"/>
    <cellStyle name="Финансовый 3 6 2 4 2 2 2 2" xfId="47876" xr:uid="{00000000-0005-0000-0000-0000B48D0000}"/>
    <cellStyle name="Финансовый 3 6 2 4 2 2 3" xfId="35898" xr:uid="{00000000-0005-0000-0000-0000B58D0000}"/>
    <cellStyle name="Финансовый 3 6 2 4 2 3" xfId="16198" xr:uid="{00000000-0005-0000-0000-0000B68D0000}"/>
    <cellStyle name="Финансовый 3 6 2 4 2 3 2" xfId="40153" xr:uid="{00000000-0005-0000-0000-0000B78D0000}"/>
    <cellStyle name="Финансовый 3 6 2 4 2 4" xfId="28176" xr:uid="{00000000-0005-0000-0000-0000B88D0000}"/>
    <cellStyle name="Финансовый 3 6 2 4 2 5" xfId="51445" xr:uid="{00000000-0005-0000-0000-0000B98D0000}"/>
    <cellStyle name="Финансовый 3 6 2 4 3" xfId="6002" xr:uid="{00000000-0005-0000-0000-0000BA8D0000}"/>
    <cellStyle name="Финансовый 3 6 2 4 3 2" xfId="17980" xr:uid="{00000000-0005-0000-0000-0000BB8D0000}"/>
    <cellStyle name="Финансовый 3 6 2 4 3 2 2" xfId="41935" xr:uid="{00000000-0005-0000-0000-0000BC8D0000}"/>
    <cellStyle name="Финансовый 3 6 2 4 3 3" xfId="29957" xr:uid="{00000000-0005-0000-0000-0000BD8D0000}"/>
    <cellStyle name="Финансовый 3 6 2 4 4" xfId="8612" xr:uid="{00000000-0005-0000-0000-0000BE8D0000}"/>
    <cellStyle name="Финансовый 3 6 2 4 4 2" xfId="20590" xr:uid="{00000000-0005-0000-0000-0000BF8D0000}"/>
    <cellStyle name="Финансовый 3 6 2 4 4 2 2" xfId="44545" xr:uid="{00000000-0005-0000-0000-0000C08D0000}"/>
    <cellStyle name="Финансовый 3 6 2 4 4 3" xfId="32567" xr:uid="{00000000-0005-0000-0000-0000C18D0000}"/>
    <cellStyle name="Финансовый 3 6 2 4 5" xfId="10395" xr:uid="{00000000-0005-0000-0000-0000C28D0000}"/>
    <cellStyle name="Финансовый 3 6 2 4 5 2" xfId="22373" xr:uid="{00000000-0005-0000-0000-0000C38D0000}"/>
    <cellStyle name="Финансовый 3 6 2 4 5 2 2" xfId="46328" xr:uid="{00000000-0005-0000-0000-0000C48D0000}"/>
    <cellStyle name="Финансовый 3 6 2 4 5 3" xfId="34350" xr:uid="{00000000-0005-0000-0000-0000C58D0000}"/>
    <cellStyle name="Финансовый 3 6 2 4 6" xfId="14553" xr:uid="{00000000-0005-0000-0000-0000C68D0000}"/>
    <cellStyle name="Финансовый 3 6 2 4 6 2" xfId="38508" xr:uid="{00000000-0005-0000-0000-0000C78D0000}"/>
    <cellStyle name="Финансовый 3 6 2 4 7" xfId="26531" xr:uid="{00000000-0005-0000-0000-0000C88D0000}"/>
    <cellStyle name="Финансовый 3 6 2 4 8" xfId="49664" xr:uid="{00000000-0005-0000-0000-0000C98D0000}"/>
    <cellStyle name="Финансовый 3 6 2 5" xfId="1078" xr:uid="{00000000-0005-0000-0000-0000CA8D0000}"/>
    <cellStyle name="Финансовый 3 6 2 5 2" xfId="7118" xr:uid="{00000000-0005-0000-0000-0000CB8D0000}"/>
    <cellStyle name="Финансовый 3 6 2 5 2 2" xfId="19096" xr:uid="{00000000-0005-0000-0000-0000CC8D0000}"/>
    <cellStyle name="Финансовый 3 6 2 5 2 2 2" xfId="43051" xr:uid="{00000000-0005-0000-0000-0000CD8D0000}"/>
    <cellStyle name="Финансовый 3 6 2 5 2 3" xfId="31073" xr:uid="{00000000-0005-0000-0000-0000CE8D0000}"/>
    <cellStyle name="Финансовый 3 6 2 5 3" xfId="10658" xr:uid="{00000000-0005-0000-0000-0000CF8D0000}"/>
    <cellStyle name="Финансовый 3 6 2 5 3 2" xfId="22636" xr:uid="{00000000-0005-0000-0000-0000D08D0000}"/>
    <cellStyle name="Финансовый 3 6 2 5 3 2 2" xfId="46591" xr:uid="{00000000-0005-0000-0000-0000D18D0000}"/>
    <cellStyle name="Финансовый 3 6 2 5 3 3" xfId="34613" xr:uid="{00000000-0005-0000-0000-0000D28D0000}"/>
    <cellStyle name="Финансовый 3 6 2 5 4" xfId="13059" xr:uid="{00000000-0005-0000-0000-0000D38D0000}"/>
    <cellStyle name="Финансовый 3 6 2 5 4 2" xfId="37014" xr:uid="{00000000-0005-0000-0000-0000D48D0000}"/>
    <cellStyle name="Финансовый 3 6 2 5 5" xfId="25037" xr:uid="{00000000-0005-0000-0000-0000D58D0000}"/>
    <cellStyle name="Финансовый 3 6 2 5 6" xfId="49943" xr:uid="{00000000-0005-0000-0000-0000D68D0000}"/>
    <cellStyle name="Финансовый 3 6 2 6" xfId="666" xr:uid="{00000000-0005-0000-0000-0000D78D0000}"/>
    <cellStyle name="Финансовый 3 6 2 6 2" xfId="6706" xr:uid="{00000000-0005-0000-0000-0000D88D0000}"/>
    <cellStyle name="Финансовый 3 6 2 6 2 2" xfId="18684" xr:uid="{00000000-0005-0000-0000-0000D98D0000}"/>
    <cellStyle name="Финансовый 3 6 2 6 2 2 2" xfId="42639" xr:uid="{00000000-0005-0000-0000-0000DA8D0000}"/>
    <cellStyle name="Финансовый 3 6 2 6 2 3" xfId="30661" xr:uid="{00000000-0005-0000-0000-0000DB8D0000}"/>
    <cellStyle name="Финансовый 3 6 2 6 3" xfId="12647" xr:uid="{00000000-0005-0000-0000-0000DC8D0000}"/>
    <cellStyle name="Финансовый 3 6 2 6 3 2" xfId="36602" xr:uid="{00000000-0005-0000-0000-0000DD8D0000}"/>
    <cellStyle name="Финансовый 3 6 2 6 4" xfId="24625" xr:uid="{00000000-0005-0000-0000-0000DE8D0000}"/>
    <cellStyle name="Финансовый 3 6 2 7" xfId="2855" xr:uid="{00000000-0005-0000-0000-0000DF8D0000}"/>
    <cellStyle name="Финансовый 3 6 2 7 2" xfId="14834" xr:uid="{00000000-0005-0000-0000-0000E08D0000}"/>
    <cellStyle name="Финансовый 3 6 2 7 2 2" xfId="38789" xr:uid="{00000000-0005-0000-0000-0000E18D0000}"/>
    <cellStyle name="Финансовый 3 6 2 7 3" xfId="26812" xr:uid="{00000000-0005-0000-0000-0000E28D0000}"/>
    <cellStyle name="Финансовый 3 6 2 8" xfId="4499" xr:uid="{00000000-0005-0000-0000-0000E38D0000}"/>
    <cellStyle name="Финансовый 3 6 2 8 2" xfId="16478" xr:uid="{00000000-0005-0000-0000-0000E48D0000}"/>
    <cellStyle name="Финансовый 3 6 2 8 2 2" xfId="40433" xr:uid="{00000000-0005-0000-0000-0000E58D0000}"/>
    <cellStyle name="Финансовый 3 6 2 8 3" xfId="28456" xr:uid="{00000000-0005-0000-0000-0000E68D0000}"/>
    <cellStyle name="Финансовый 3 6 2 9" xfId="6286" xr:uid="{00000000-0005-0000-0000-0000E78D0000}"/>
    <cellStyle name="Финансовый 3 6 2 9 2" xfId="18264" xr:uid="{00000000-0005-0000-0000-0000E88D0000}"/>
    <cellStyle name="Финансовый 3 6 2 9 2 2" xfId="42219" xr:uid="{00000000-0005-0000-0000-0000E98D0000}"/>
    <cellStyle name="Финансовый 3 6 2 9 3" xfId="30241" xr:uid="{00000000-0005-0000-0000-0000EA8D0000}"/>
    <cellStyle name="Финансовый 3 6 3" xfId="394" xr:uid="{00000000-0005-0000-0000-0000EB8D0000}"/>
    <cellStyle name="Финансовый 3 6 3 10" xfId="24353" xr:uid="{00000000-0005-0000-0000-0000EC8D0000}"/>
    <cellStyle name="Финансовый 3 6 3 11" xfId="48299" xr:uid="{00000000-0005-0000-0000-0000ED8D0000}"/>
    <cellStyle name="Финансовый 3 6 3 2" xfId="2173" xr:uid="{00000000-0005-0000-0000-0000EE8D0000}"/>
    <cellStyle name="Финансовый 3 6 3 2 2" xfId="3818" xr:uid="{00000000-0005-0000-0000-0000EF8D0000}"/>
    <cellStyle name="Финансовый 3 6 3 2 2 2" xfId="11558" xr:uid="{00000000-0005-0000-0000-0000F08D0000}"/>
    <cellStyle name="Финансовый 3 6 3 2 2 2 2" xfId="23536" xr:uid="{00000000-0005-0000-0000-0000F18D0000}"/>
    <cellStyle name="Финансовый 3 6 3 2 2 2 2 2" xfId="47491" xr:uid="{00000000-0005-0000-0000-0000F28D0000}"/>
    <cellStyle name="Финансовый 3 6 3 2 2 2 3" xfId="35513" xr:uid="{00000000-0005-0000-0000-0000F38D0000}"/>
    <cellStyle name="Финансовый 3 6 3 2 2 3" xfId="15797" xr:uid="{00000000-0005-0000-0000-0000F48D0000}"/>
    <cellStyle name="Финансовый 3 6 3 2 2 3 2" xfId="39752" xr:uid="{00000000-0005-0000-0000-0000F58D0000}"/>
    <cellStyle name="Финансовый 3 6 3 2 2 4" xfId="27775" xr:uid="{00000000-0005-0000-0000-0000F68D0000}"/>
    <cellStyle name="Финансовый 3 6 3 2 2 5" xfId="51044" xr:uid="{00000000-0005-0000-0000-0000F78D0000}"/>
    <cellStyle name="Финансовый 3 6 3 2 3" xfId="5601" xr:uid="{00000000-0005-0000-0000-0000F88D0000}"/>
    <cellStyle name="Финансовый 3 6 3 2 3 2" xfId="17579" xr:uid="{00000000-0005-0000-0000-0000F98D0000}"/>
    <cellStyle name="Финансовый 3 6 3 2 3 2 2" xfId="41534" xr:uid="{00000000-0005-0000-0000-0000FA8D0000}"/>
    <cellStyle name="Финансовый 3 6 3 2 3 3" xfId="29556" xr:uid="{00000000-0005-0000-0000-0000FB8D0000}"/>
    <cellStyle name="Финансовый 3 6 3 2 4" xfId="8211" xr:uid="{00000000-0005-0000-0000-0000FC8D0000}"/>
    <cellStyle name="Финансовый 3 6 3 2 4 2" xfId="20189" xr:uid="{00000000-0005-0000-0000-0000FD8D0000}"/>
    <cellStyle name="Финансовый 3 6 3 2 4 2 2" xfId="44144" xr:uid="{00000000-0005-0000-0000-0000FE8D0000}"/>
    <cellStyle name="Финансовый 3 6 3 2 4 3" xfId="32166" xr:uid="{00000000-0005-0000-0000-0000FF8D0000}"/>
    <cellStyle name="Финансовый 3 6 3 2 5" xfId="9994" xr:uid="{00000000-0005-0000-0000-0000008E0000}"/>
    <cellStyle name="Финансовый 3 6 3 2 5 2" xfId="21972" xr:uid="{00000000-0005-0000-0000-0000018E0000}"/>
    <cellStyle name="Финансовый 3 6 3 2 5 2 2" xfId="45927" xr:uid="{00000000-0005-0000-0000-0000028E0000}"/>
    <cellStyle name="Финансовый 3 6 3 2 5 3" xfId="33949" xr:uid="{00000000-0005-0000-0000-0000038E0000}"/>
    <cellStyle name="Финансовый 3 6 3 2 6" xfId="14152" xr:uid="{00000000-0005-0000-0000-0000048E0000}"/>
    <cellStyle name="Финансовый 3 6 3 2 6 2" xfId="38107" xr:uid="{00000000-0005-0000-0000-0000058E0000}"/>
    <cellStyle name="Финансовый 3 6 3 2 7" xfId="26130" xr:uid="{00000000-0005-0000-0000-0000068E0000}"/>
    <cellStyle name="Финансовый 3 6 3 2 8" xfId="49263" xr:uid="{00000000-0005-0000-0000-0000078E0000}"/>
    <cellStyle name="Финансовый 3 6 3 3" xfId="1207" xr:uid="{00000000-0005-0000-0000-0000088E0000}"/>
    <cellStyle name="Финансовый 3 6 3 3 2" xfId="7247" xr:uid="{00000000-0005-0000-0000-0000098E0000}"/>
    <cellStyle name="Финансовый 3 6 3 3 2 2" xfId="19225" xr:uid="{00000000-0005-0000-0000-00000A8E0000}"/>
    <cellStyle name="Финансовый 3 6 3 3 2 2 2" xfId="43180" xr:uid="{00000000-0005-0000-0000-00000B8E0000}"/>
    <cellStyle name="Финансовый 3 6 3 3 2 3" xfId="31202" xr:uid="{00000000-0005-0000-0000-00000C8E0000}"/>
    <cellStyle name="Финансовый 3 6 3 3 3" xfId="10786" xr:uid="{00000000-0005-0000-0000-00000D8E0000}"/>
    <cellStyle name="Финансовый 3 6 3 3 3 2" xfId="22764" xr:uid="{00000000-0005-0000-0000-00000E8E0000}"/>
    <cellStyle name="Финансовый 3 6 3 3 3 2 2" xfId="46719" xr:uid="{00000000-0005-0000-0000-00000F8E0000}"/>
    <cellStyle name="Финансовый 3 6 3 3 3 3" xfId="34741" xr:uid="{00000000-0005-0000-0000-0000108E0000}"/>
    <cellStyle name="Финансовый 3 6 3 3 4" xfId="13188" xr:uid="{00000000-0005-0000-0000-0000118E0000}"/>
    <cellStyle name="Финансовый 3 6 3 3 4 2" xfId="37143" xr:uid="{00000000-0005-0000-0000-0000128E0000}"/>
    <cellStyle name="Финансовый 3 6 3 3 5" xfId="25166" xr:uid="{00000000-0005-0000-0000-0000138E0000}"/>
    <cellStyle name="Финансовый 3 6 3 3 6" xfId="50079" xr:uid="{00000000-0005-0000-0000-0000148E0000}"/>
    <cellStyle name="Финансовый 3 6 3 4" xfId="814" xr:uid="{00000000-0005-0000-0000-0000158E0000}"/>
    <cellStyle name="Финансовый 3 6 3 4 2" xfId="6854" xr:uid="{00000000-0005-0000-0000-0000168E0000}"/>
    <cellStyle name="Финансовый 3 6 3 4 2 2" xfId="18832" xr:uid="{00000000-0005-0000-0000-0000178E0000}"/>
    <cellStyle name="Финансовый 3 6 3 4 2 2 2" xfId="42787" xr:uid="{00000000-0005-0000-0000-0000188E0000}"/>
    <cellStyle name="Финансовый 3 6 3 4 2 3" xfId="30809" xr:uid="{00000000-0005-0000-0000-0000198E0000}"/>
    <cellStyle name="Финансовый 3 6 3 4 3" xfId="12795" xr:uid="{00000000-0005-0000-0000-00001A8E0000}"/>
    <cellStyle name="Финансовый 3 6 3 4 3 2" xfId="36750" xr:uid="{00000000-0005-0000-0000-00001B8E0000}"/>
    <cellStyle name="Финансовый 3 6 3 4 4" xfId="24773" xr:uid="{00000000-0005-0000-0000-00001C8E0000}"/>
    <cellStyle name="Финансовый 3 6 3 5" xfId="2991" xr:uid="{00000000-0005-0000-0000-00001D8E0000}"/>
    <cellStyle name="Финансовый 3 6 3 5 2" xfId="14970" xr:uid="{00000000-0005-0000-0000-00001E8E0000}"/>
    <cellStyle name="Финансовый 3 6 3 5 2 2" xfId="38925" xr:uid="{00000000-0005-0000-0000-00001F8E0000}"/>
    <cellStyle name="Финансовый 3 6 3 5 3" xfId="26948" xr:uid="{00000000-0005-0000-0000-0000208E0000}"/>
    <cellStyle name="Финансовый 3 6 3 6" xfId="4635" xr:uid="{00000000-0005-0000-0000-0000218E0000}"/>
    <cellStyle name="Финансовый 3 6 3 6 2" xfId="16614" xr:uid="{00000000-0005-0000-0000-0000228E0000}"/>
    <cellStyle name="Финансовый 3 6 3 6 2 2" xfId="40569" xr:uid="{00000000-0005-0000-0000-0000238E0000}"/>
    <cellStyle name="Финансовый 3 6 3 6 3" xfId="28592" xr:uid="{00000000-0005-0000-0000-0000248E0000}"/>
    <cellStyle name="Финансовый 3 6 3 7" xfId="6434" xr:uid="{00000000-0005-0000-0000-0000258E0000}"/>
    <cellStyle name="Финансовый 3 6 3 7 2" xfId="18412" xr:uid="{00000000-0005-0000-0000-0000268E0000}"/>
    <cellStyle name="Финансовый 3 6 3 7 2 2" xfId="42367" xr:uid="{00000000-0005-0000-0000-0000278E0000}"/>
    <cellStyle name="Финансовый 3 6 3 7 3" xfId="30389" xr:uid="{00000000-0005-0000-0000-0000288E0000}"/>
    <cellStyle name="Финансовый 3 6 3 8" xfId="9029" xr:uid="{00000000-0005-0000-0000-0000298E0000}"/>
    <cellStyle name="Финансовый 3 6 3 8 2" xfId="21007" xr:uid="{00000000-0005-0000-0000-00002A8E0000}"/>
    <cellStyle name="Финансовый 3 6 3 8 2 2" xfId="44962" xr:uid="{00000000-0005-0000-0000-00002B8E0000}"/>
    <cellStyle name="Финансовый 3 6 3 8 3" xfId="32984" xr:uid="{00000000-0005-0000-0000-00002C8E0000}"/>
    <cellStyle name="Финансовый 3 6 3 9" xfId="12375" xr:uid="{00000000-0005-0000-0000-00002D8E0000}"/>
    <cellStyle name="Финансовый 3 6 3 9 2" xfId="36330" xr:uid="{00000000-0005-0000-0000-00002E8E0000}"/>
    <cellStyle name="Финансовый 3 6 4" xfId="1529" xr:uid="{00000000-0005-0000-0000-00002F8E0000}"/>
    <cellStyle name="Финансовый 3 6 4 2" xfId="1917" xr:uid="{00000000-0005-0000-0000-0000308E0000}"/>
    <cellStyle name="Финансовый 3 6 4 2 2" xfId="3562" xr:uid="{00000000-0005-0000-0000-0000318E0000}"/>
    <cellStyle name="Финансовый 3 6 4 2 2 2" xfId="11302" xr:uid="{00000000-0005-0000-0000-0000328E0000}"/>
    <cellStyle name="Финансовый 3 6 4 2 2 2 2" xfId="23280" xr:uid="{00000000-0005-0000-0000-0000338E0000}"/>
    <cellStyle name="Финансовый 3 6 4 2 2 2 2 2" xfId="47235" xr:uid="{00000000-0005-0000-0000-0000348E0000}"/>
    <cellStyle name="Финансовый 3 6 4 2 2 2 3" xfId="35257" xr:uid="{00000000-0005-0000-0000-0000358E0000}"/>
    <cellStyle name="Финансовый 3 6 4 2 2 3" xfId="15541" xr:uid="{00000000-0005-0000-0000-0000368E0000}"/>
    <cellStyle name="Финансовый 3 6 4 2 2 3 2" xfId="39496" xr:uid="{00000000-0005-0000-0000-0000378E0000}"/>
    <cellStyle name="Финансовый 3 6 4 2 2 4" xfId="27519" xr:uid="{00000000-0005-0000-0000-0000388E0000}"/>
    <cellStyle name="Финансовый 3 6 4 2 2 5" xfId="50788" xr:uid="{00000000-0005-0000-0000-0000398E0000}"/>
    <cellStyle name="Финансовый 3 6 4 2 3" xfId="5345" xr:uid="{00000000-0005-0000-0000-00003A8E0000}"/>
    <cellStyle name="Финансовый 3 6 4 2 3 2" xfId="17323" xr:uid="{00000000-0005-0000-0000-00003B8E0000}"/>
    <cellStyle name="Финансовый 3 6 4 2 3 2 2" xfId="41278" xr:uid="{00000000-0005-0000-0000-00003C8E0000}"/>
    <cellStyle name="Финансовый 3 6 4 2 3 3" xfId="29300" xr:uid="{00000000-0005-0000-0000-00003D8E0000}"/>
    <cellStyle name="Финансовый 3 6 4 2 4" xfId="7955" xr:uid="{00000000-0005-0000-0000-00003E8E0000}"/>
    <cellStyle name="Финансовый 3 6 4 2 4 2" xfId="19933" xr:uid="{00000000-0005-0000-0000-00003F8E0000}"/>
    <cellStyle name="Финансовый 3 6 4 2 4 2 2" xfId="43888" xr:uid="{00000000-0005-0000-0000-0000408E0000}"/>
    <cellStyle name="Финансовый 3 6 4 2 4 3" xfId="31910" xr:uid="{00000000-0005-0000-0000-0000418E0000}"/>
    <cellStyle name="Финансовый 3 6 4 2 5" xfId="9738" xr:uid="{00000000-0005-0000-0000-0000428E0000}"/>
    <cellStyle name="Финансовый 3 6 4 2 5 2" xfId="21716" xr:uid="{00000000-0005-0000-0000-0000438E0000}"/>
    <cellStyle name="Финансовый 3 6 4 2 5 2 2" xfId="45671" xr:uid="{00000000-0005-0000-0000-0000448E0000}"/>
    <cellStyle name="Финансовый 3 6 4 2 5 3" xfId="33693" xr:uid="{00000000-0005-0000-0000-0000458E0000}"/>
    <cellStyle name="Финансовый 3 6 4 2 6" xfId="13896" xr:uid="{00000000-0005-0000-0000-0000468E0000}"/>
    <cellStyle name="Финансовый 3 6 4 2 6 2" xfId="37851" xr:uid="{00000000-0005-0000-0000-0000478E0000}"/>
    <cellStyle name="Финансовый 3 6 4 2 7" xfId="25874" xr:uid="{00000000-0005-0000-0000-0000488E0000}"/>
    <cellStyle name="Финансовый 3 6 4 2 8" xfId="49007" xr:uid="{00000000-0005-0000-0000-0000498E0000}"/>
    <cellStyle name="Финансовый 3 6 4 3" xfId="4957" xr:uid="{00000000-0005-0000-0000-00004A8E0000}"/>
    <cellStyle name="Финансовый 3 6 4 3 2" xfId="16935" xr:uid="{00000000-0005-0000-0000-00004B8E0000}"/>
    <cellStyle name="Финансовый 3 6 4 3 2 2" xfId="40890" xr:uid="{00000000-0005-0000-0000-00004C8E0000}"/>
    <cellStyle name="Финансовый 3 6 4 3 3" xfId="28912" xr:uid="{00000000-0005-0000-0000-00004D8E0000}"/>
    <cellStyle name="Финансовый 3 6 4 3 4" xfId="50400" xr:uid="{00000000-0005-0000-0000-00004E8E0000}"/>
    <cellStyle name="Финансовый 3 6 4 4" xfId="7567" xr:uid="{00000000-0005-0000-0000-00004F8E0000}"/>
    <cellStyle name="Финансовый 3 6 4 4 2" xfId="19545" xr:uid="{00000000-0005-0000-0000-0000508E0000}"/>
    <cellStyle name="Финансовый 3 6 4 4 2 2" xfId="43500" xr:uid="{00000000-0005-0000-0000-0000518E0000}"/>
    <cellStyle name="Финансовый 3 6 4 4 3" xfId="31522" xr:uid="{00000000-0005-0000-0000-0000528E0000}"/>
    <cellStyle name="Финансовый 3 6 4 5" xfId="9350" xr:uid="{00000000-0005-0000-0000-0000538E0000}"/>
    <cellStyle name="Финансовый 3 6 4 5 2" xfId="21328" xr:uid="{00000000-0005-0000-0000-0000548E0000}"/>
    <cellStyle name="Финансовый 3 6 4 5 2 2" xfId="45283" xr:uid="{00000000-0005-0000-0000-0000558E0000}"/>
    <cellStyle name="Финансовый 3 6 4 5 3" xfId="33305" xr:uid="{00000000-0005-0000-0000-0000568E0000}"/>
    <cellStyle name="Финансовый 3 6 4 6" xfId="13508" xr:uid="{00000000-0005-0000-0000-0000578E0000}"/>
    <cellStyle name="Финансовый 3 6 4 6 2" xfId="37463" xr:uid="{00000000-0005-0000-0000-0000588E0000}"/>
    <cellStyle name="Финансовый 3 6 4 7" xfId="25486" xr:uid="{00000000-0005-0000-0000-0000598E0000}"/>
    <cellStyle name="Финансовый 3 6 4 8" xfId="48619" xr:uid="{00000000-0005-0000-0000-00005A8E0000}"/>
    <cellStyle name="Финансовый 3 6 5" xfId="1793" xr:uid="{00000000-0005-0000-0000-00005B8E0000}"/>
    <cellStyle name="Финансовый 3 6 5 2" xfId="3438" xr:uid="{00000000-0005-0000-0000-00005C8E0000}"/>
    <cellStyle name="Финансовый 3 6 5 2 2" xfId="11186" xr:uid="{00000000-0005-0000-0000-00005D8E0000}"/>
    <cellStyle name="Финансовый 3 6 5 2 2 2" xfId="23164" xr:uid="{00000000-0005-0000-0000-00005E8E0000}"/>
    <cellStyle name="Финансовый 3 6 5 2 2 2 2" xfId="47119" xr:uid="{00000000-0005-0000-0000-00005F8E0000}"/>
    <cellStyle name="Финансовый 3 6 5 2 2 3" xfId="35141" xr:uid="{00000000-0005-0000-0000-0000608E0000}"/>
    <cellStyle name="Финансовый 3 6 5 2 3" xfId="15417" xr:uid="{00000000-0005-0000-0000-0000618E0000}"/>
    <cellStyle name="Финансовый 3 6 5 2 3 2" xfId="39372" xr:uid="{00000000-0005-0000-0000-0000628E0000}"/>
    <cellStyle name="Финансовый 3 6 5 2 4" xfId="27395" xr:uid="{00000000-0005-0000-0000-0000638E0000}"/>
    <cellStyle name="Финансовый 3 6 5 2 5" xfId="50664" xr:uid="{00000000-0005-0000-0000-0000648E0000}"/>
    <cellStyle name="Финансовый 3 6 5 3" xfId="5221" xr:uid="{00000000-0005-0000-0000-0000658E0000}"/>
    <cellStyle name="Финансовый 3 6 5 3 2" xfId="17199" xr:uid="{00000000-0005-0000-0000-0000668E0000}"/>
    <cellStyle name="Финансовый 3 6 5 3 2 2" xfId="41154" xr:uid="{00000000-0005-0000-0000-0000678E0000}"/>
    <cellStyle name="Финансовый 3 6 5 3 3" xfId="29176" xr:uid="{00000000-0005-0000-0000-0000688E0000}"/>
    <cellStyle name="Финансовый 3 6 5 4" xfId="7831" xr:uid="{00000000-0005-0000-0000-0000698E0000}"/>
    <cellStyle name="Финансовый 3 6 5 4 2" xfId="19809" xr:uid="{00000000-0005-0000-0000-00006A8E0000}"/>
    <cellStyle name="Финансовый 3 6 5 4 2 2" xfId="43764" xr:uid="{00000000-0005-0000-0000-00006B8E0000}"/>
    <cellStyle name="Финансовый 3 6 5 4 3" xfId="31786" xr:uid="{00000000-0005-0000-0000-00006C8E0000}"/>
    <cellStyle name="Финансовый 3 6 5 5" xfId="9614" xr:uid="{00000000-0005-0000-0000-00006D8E0000}"/>
    <cellStyle name="Финансовый 3 6 5 5 2" xfId="21592" xr:uid="{00000000-0005-0000-0000-00006E8E0000}"/>
    <cellStyle name="Финансовый 3 6 5 5 2 2" xfId="45547" xr:uid="{00000000-0005-0000-0000-00006F8E0000}"/>
    <cellStyle name="Финансовый 3 6 5 5 3" xfId="33569" xr:uid="{00000000-0005-0000-0000-0000708E0000}"/>
    <cellStyle name="Финансовый 3 6 5 6" xfId="13772" xr:uid="{00000000-0005-0000-0000-0000718E0000}"/>
    <cellStyle name="Финансовый 3 6 5 6 2" xfId="37727" xr:uid="{00000000-0005-0000-0000-0000728E0000}"/>
    <cellStyle name="Финансовый 3 6 5 7" xfId="25750" xr:uid="{00000000-0005-0000-0000-0000738E0000}"/>
    <cellStyle name="Финансовый 3 6 5 8" xfId="48883" xr:uid="{00000000-0005-0000-0000-0000748E0000}"/>
    <cellStyle name="Финансовый 3 6 6" xfId="2438" xr:uid="{00000000-0005-0000-0000-0000758E0000}"/>
    <cellStyle name="Финансовый 3 6 6 2" xfId="4083" xr:uid="{00000000-0005-0000-0000-0000768E0000}"/>
    <cellStyle name="Финансовый 3 6 6 2 2" xfId="11815" xr:uid="{00000000-0005-0000-0000-0000778E0000}"/>
    <cellStyle name="Финансовый 3 6 6 2 2 2" xfId="23793" xr:uid="{00000000-0005-0000-0000-0000788E0000}"/>
    <cellStyle name="Финансовый 3 6 6 2 2 2 2" xfId="47748" xr:uid="{00000000-0005-0000-0000-0000798E0000}"/>
    <cellStyle name="Финансовый 3 6 6 2 2 3" xfId="35770" xr:uid="{00000000-0005-0000-0000-00007A8E0000}"/>
    <cellStyle name="Финансовый 3 6 6 2 3" xfId="16062" xr:uid="{00000000-0005-0000-0000-00007B8E0000}"/>
    <cellStyle name="Финансовый 3 6 6 2 3 2" xfId="40017" xr:uid="{00000000-0005-0000-0000-00007C8E0000}"/>
    <cellStyle name="Финансовый 3 6 6 2 4" xfId="28040" xr:uid="{00000000-0005-0000-0000-00007D8E0000}"/>
    <cellStyle name="Финансовый 3 6 6 2 5" xfId="51309" xr:uid="{00000000-0005-0000-0000-00007E8E0000}"/>
    <cellStyle name="Финансовый 3 6 6 3" xfId="5866" xr:uid="{00000000-0005-0000-0000-00007F8E0000}"/>
    <cellStyle name="Финансовый 3 6 6 3 2" xfId="17844" xr:uid="{00000000-0005-0000-0000-0000808E0000}"/>
    <cellStyle name="Финансовый 3 6 6 3 2 2" xfId="41799" xr:uid="{00000000-0005-0000-0000-0000818E0000}"/>
    <cellStyle name="Финансовый 3 6 6 3 3" xfId="29821" xr:uid="{00000000-0005-0000-0000-0000828E0000}"/>
    <cellStyle name="Финансовый 3 6 6 4" xfId="8476" xr:uid="{00000000-0005-0000-0000-0000838E0000}"/>
    <cellStyle name="Финансовый 3 6 6 4 2" xfId="20454" xr:uid="{00000000-0005-0000-0000-0000848E0000}"/>
    <cellStyle name="Финансовый 3 6 6 4 2 2" xfId="44409" xr:uid="{00000000-0005-0000-0000-0000858E0000}"/>
    <cellStyle name="Финансовый 3 6 6 4 3" xfId="32431" xr:uid="{00000000-0005-0000-0000-0000868E0000}"/>
    <cellStyle name="Финансовый 3 6 6 5" xfId="10259" xr:uid="{00000000-0005-0000-0000-0000878E0000}"/>
    <cellStyle name="Финансовый 3 6 6 5 2" xfId="22237" xr:uid="{00000000-0005-0000-0000-0000888E0000}"/>
    <cellStyle name="Финансовый 3 6 6 5 2 2" xfId="46192" xr:uid="{00000000-0005-0000-0000-0000898E0000}"/>
    <cellStyle name="Финансовый 3 6 6 5 3" xfId="34214" xr:uid="{00000000-0005-0000-0000-00008A8E0000}"/>
    <cellStyle name="Финансовый 3 6 6 6" xfId="14417" xr:uid="{00000000-0005-0000-0000-00008B8E0000}"/>
    <cellStyle name="Финансовый 3 6 6 6 2" xfId="38372" xr:uid="{00000000-0005-0000-0000-00008C8E0000}"/>
    <cellStyle name="Финансовый 3 6 6 7" xfId="26395" xr:uid="{00000000-0005-0000-0000-00008D8E0000}"/>
    <cellStyle name="Финансовый 3 6 6 8" xfId="49528" xr:uid="{00000000-0005-0000-0000-00008E8E0000}"/>
    <cellStyle name="Финансовый 3 6 7" xfId="1665" xr:uid="{00000000-0005-0000-0000-00008F8E0000}"/>
    <cellStyle name="Финансовый 3 6 7 2" xfId="3310" xr:uid="{00000000-0005-0000-0000-0000908E0000}"/>
    <cellStyle name="Финансовый 3 6 7 2 2" xfId="11058" xr:uid="{00000000-0005-0000-0000-0000918E0000}"/>
    <cellStyle name="Финансовый 3 6 7 2 2 2" xfId="23036" xr:uid="{00000000-0005-0000-0000-0000928E0000}"/>
    <cellStyle name="Финансовый 3 6 7 2 2 2 2" xfId="46991" xr:uid="{00000000-0005-0000-0000-0000938E0000}"/>
    <cellStyle name="Финансовый 3 6 7 2 2 3" xfId="35013" xr:uid="{00000000-0005-0000-0000-0000948E0000}"/>
    <cellStyle name="Финансовый 3 6 7 2 3" xfId="15289" xr:uid="{00000000-0005-0000-0000-0000958E0000}"/>
    <cellStyle name="Финансовый 3 6 7 2 3 2" xfId="39244" xr:uid="{00000000-0005-0000-0000-0000968E0000}"/>
    <cellStyle name="Финансовый 3 6 7 2 4" xfId="27267" xr:uid="{00000000-0005-0000-0000-0000978E0000}"/>
    <cellStyle name="Финансовый 3 6 7 2 5" xfId="50536" xr:uid="{00000000-0005-0000-0000-0000988E0000}"/>
    <cellStyle name="Финансовый 3 6 7 3" xfId="5093" xr:uid="{00000000-0005-0000-0000-0000998E0000}"/>
    <cellStyle name="Финансовый 3 6 7 3 2" xfId="17071" xr:uid="{00000000-0005-0000-0000-00009A8E0000}"/>
    <cellStyle name="Финансовый 3 6 7 3 2 2" xfId="41026" xr:uid="{00000000-0005-0000-0000-00009B8E0000}"/>
    <cellStyle name="Финансовый 3 6 7 3 3" xfId="29048" xr:uid="{00000000-0005-0000-0000-00009C8E0000}"/>
    <cellStyle name="Финансовый 3 6 7 4" xfId="7703" xr:uid="{00000000-0005-0000-0000-00009D8E0000}"/>
    <cellStyle name="Финансовый 3 6 7 4 2" xfId="19681" xr:uid="{00000000-0005-0000-0000-00009E8E0000}"/>
    <cellStyle name="Финансовый 3 6 7 4 2 2" xfId="43636" xr:uid="{00000000-0005-0000-0000-00009F8E0000}"/>
    <cellStyle name="Финансовый 3 6 7 4 3" xfId="31658" xr:uid="{00000000-0005-0000-0000-0000A08E0000}"/>
    <cellStyle name="Финансовый 3 6 7 5" xfId="9486" xr:uid="{00000000-0005-0000-0000-0000A18E0000}"/>
    <cellStyle name="Финансовый 3 6 7 5 2" xfId="21464" xr:uid="{00000000-0005-0000-0000-0000A28E0000}"/>
    <cellStyle name="Финансовый 3 6 7 5 2 2" xfId="45419" xr:uid="{00000000-0005-0000-0000-0000A38E0000}"/>
    <cellStyle name="Финансовый 3 6 7 5 3" xfId="33441" xr:uid="{00000000-0005-0000-0000-0000A48E0000}"/>
    <cellStyle name="Финансовый 3 6 7 6" xfId="13644" xr:uid="{00000000-0005-0000-0000-0000A58E0000}"/>
    <cellStyle name="Финансовый 3 6 7 6 2" xfId="37599" xr:uid="{00000000-0005-0000-0000-0000A68E0000}"/>
    <cellStyle name="Финансовый 3 6 7 7" xfId="25622" xr:uid="{00000000-0005-0000-0000-0000A78E0000}"/>
    <cellStyle name="Финансовый 3 6 7 8" xfId="48755" xr:uid="{00000000-0005-0000-0000-0000A88E0000}"/>
    <cellStyle name="Финансовый 3 6 8" xfId="942" xr:uid="{00000000-0005-0000-0000-0000A98E0000}"/>
    <cellStyle name="Финансовый 3 6 8 2" xfId="6982" xr:uid="{00000000-0005-0000-0000-0000AA8E0000}"/>
    <cellStyle name="Финансовый 3 6 8 2 2" xfId="18960" xr:uid="{00000000-0005-0000-0000-0000AB8E0000}"/>
    <cellStyle name="Финансовый 3 6 8 2 2 2" xfId="42915" xr:uid="{00000000-0005-0000-0000-0000AC8E0000}"/>
    <cellStyle name="Финансовый 3 6 8 2 3" xfId="30937" xr:uid="{00000000-0005-0000-0000-0000AD8E0000}"/>
    <cellStyle name="Финансовый 3 6 8 3" xfId="10530" xr:uid="{00000000-0005-0000-0000-0000AE8E0000}"/>
    <cellStyle name="Финансовый 3 6 8 3 2" xfId="22508" xr:uid="{00000000-0005-0000-0000-0000AF8E0000}"/>
    <cellStyle name="Финансовый 3 6 8 3 2 2" xfId="46463" xr:uid="{00000000-0005-0000-0000-0000B08E0000}"/>
    <cellStyle name="Финансовый 3 6 8 3 3" xfId="34485" xr:uid="{00000000-0005-0000-0000-0000B18E0000}"/>
    <cellStyle name="Финансовый 3 6 8 4" xfId="12923" xr:uid="{00000000-0005-0000-0000-0000B28E0000}"/>
    <cellStyle name="Финансовый 3 6 8 4 2" xfId="36878" xr:uid="{00000000-0005-0000-0000-0000B38E0000}"/>
    <cellStyle name="Финансовый 3 6 8 5" xfId="24901" xr:uid="{00000000-0005-0000-0000-0000B48E0000}"/>
    <cellStyle name="Финансовый 3 6 8 6" xfId="49807" xr:uid="{00000000-0005-0000-0000-0000B58E0000}"/>
    <cellStyle name="Финансовый 3 6 9" xfId="530" xr:uid="{00000000-0005-0000-0000-0000B68E0000}"/>
    <cellStyle name="Финансовый 3 6 9 2" xfId="6570" xr:uid="{00000000-0005-0000-0000-0000B78E0000}"/>
    <cellStyle name="Финансовый 3 6 9 2 2" xfId="18548" xr:uid="{00000000-0005-0000-0000-0000B88E0000}"/>
    <cellStyle name="Финансовый 3 6 9 2 2 2" xfId="42503" xr:uid="{00000000-0005-0000-0000-0000B98E0000}"/>
    <cellStyle name="Финансовый 3 6 9 2 3" xfId="30525" xr:uid="{00000000-0005-0000-0000-0000BA8E0000}"/>
    <cellStyle name="Финансовый 3 6 9 3" xfId="12511" xr:uid="{00000000-0005-0000-0000-0000BB8E0000}"/>
    <cellStyle name="Финансовый 3 6 9 3 2" xfId="36466" xr:uid="{00000000-0005-0000-0000-0000BC8E0000}"/>
    <cellStyle name="Финансовый 3 6 9 4" xfId="24489" xr:uid="{00000000-0005-0000-0000-0000BD8E0000}"/>
    <cellStyle name="Финансовый 3 7" xfId="74" xr:uid="{00000000-0005-0000-0000-0000BE8E0000}"/>
    <cellStyle name="Финансовый 3 7 10" xfId="2684" xr:uid="{00000000-0005-0000-0000-0000BF8E0000}"/>
    <cellStyle name="Финансовый 3 7 10 2" xfId="14663" xr:uid="{00000000-0005-0000-0000-0000C08E0000}"/>
    <cellStyle name="Финансовый 3 7 10 2 2" xfId="38618" xr:uid="{00000000-0005-0000-0000-0000C18E0000}"/>
    <cellStyle name="Финансовый 3 7 10 3" xfId="26641" xr:uid="{00000000-0005-0000-0000-0000C28E0000}"/>
    <cellStyle name="Финансовый 3 7 11" xfId="4328" xr:uid="{00000000-0005-0000-0000-0000C38E0000}"/>
    <cellStyle name="Финансовый 3 7 11 2" xfId="16307" xr:uid="{00000000-0005-0000-0000-0000C48E0000}"/>
    <cellStyle name="Финансовый 3 7 11 2 2" xfId="40262" xr:uid="{00000000-0005-0000-0000-0000C58E0000}"/>
    <cellStyle name="Финансовый 3 7 11 3" xfId="28285" xr:uid="{00000000-0005-0000-0000-0000C68E0000}"/>
    <cellStyle name="Финансовый 3 7 12" xfId="6115" xr:uid="{00000000-0005-0000-0000-0000C78E0000}"/>
    <cellStyle name="Финансовый 3 7 12 2" xfId="18093" xr:uid="{00000000-0005-0000-0000-0000C88E0000}"/>
    <cellStyle name="Финансовый 3 7 12 2 2" xfId="42048" xr:uid="{00000000-0005-0000-0000-0000C98E0000}"/>
    <cellStyle name="Финансовый 3 7 12 3" xfId="30070" xr:uid="{00000000-0005-0000-0000-0000CA8E0000}"/>
    <cellStyle name="Финансовый 3 7 13" xfId="8722" xr:uid="{00000000-0005-0000-0000-0000CB8E0000}"/>
    <cellStyle name="Финансовый 3 7 13 2" xfId="20700" xr:uid="{00000000-0005-0000-0000-0000CC8E0000}"/>
    <cellStyle name="Финансовый 3 7 13 2 2" xfId="44655" xr:uid="{00000000-0005-0000-0000-0000CD8E0000}"/>
    <cellStyle name="Финансовый 3 7 13 3" xfId="32677" xr:uid="{00000000-0005-0000-0000-0000CE8E0000}"/>
    <cellStyle name="Финансовый 3 7 14" xfId="12056" xr:uid="{00000000-0005-0000-0000-0000CF8E0000}"/>
    <cellStyle name="Финансовый 3 7 14 2" xfId="36011" xr:uid="{00000000-0005-0000-0000-0000D08E0000}"/>
    <cellStyle name="Финансовый 3 7 15" xfId="24034" xr:uid="{00000000-0005-0000-0000-0000D18E0000}"/>
    <cellStyle name="Финансовый 3 7 16" xfId="47992" xr:uid="{00000000-0005-0000-0000-0000D28E0000}"/>
    <cellStyle name="Финансовый 3 7 2" xfId="210" xr:uid="{00000000-0005-0000-0000-0000D38E0000}"/>
    <cellStyle name="Финансовый 3 7 2 10" xfId="8858" xr:uid="{00000000-0005-0000-0000-0000D48E0000}"/>
    <cellStyle name="Финансовый 3 7 2 10 2" xfId="20836" xr:uid="{00000000-0005-0000-0000-0000D58E0000}"/>
    <cellStyle name="Финансовый 3 7 2 10 2 2" xfId="44791" xr:uid="{00000000-0005-0000-0000-0000D68E0000}"/>
    <cellStyle name="Финансовый 3 7 2 10 3" xfId="32813" xr:uid="{00000000-0005-0000-0000-0000D78E0000}"/>
    <cellStyle name="Финансовый 3 7 2 11" xfId="12192" xr:uid="{00000000-0005-0000-0000-0000D88E0000}"/>
    <cellStyle name="Финансовый 3 7 2 11 2" xfId="36147" xr:uid="{00000000-0005-0000-0000-0000D98E0000}"/>
    <cellStyle name="Финансовый 3 7 2 12" xfId="24170" xr:uid="{00000000-0005-0000-0000-0000DA8E0000}"/>
    <cellStyle name="Финансовый 3 7 2 13" xfId="48128" xr:uid="{00000000-0005-0000-0000-0000DB8E0000}"/>
    <cellStyle name="Финансовый 3 7 2 2" xfId="1308" xr:uid="{00000000-0005-0000-0000-0000DC8E0000}"/>
    <cellStyle name="Финансовый 3 7 2 2 2" xfId="2266" xr:uid="{00000000-0005-0000-0000-0000DD8E0000}"/>
    <cellStyle name="Финансовый 3 7 2 2 2 2" xfId="3911" xr:uid="{00000000-0005-0000-0000-0000DE8E0000}"/>
    <cellStyle name="Финансовый 3 7 2 2 2 2 2" xfId="11651" xr:uid="{00000000-0005-0000-0000-0000DF8E0000}"/>
    <cellStyle name="Финансовый 3 7 2 2 2 2 2 2" xfId="23629" xr:uid="{00000000-0005-0000-0000-0000E08E0000}"/>
    <cellStyle name="Финансовый 3 7 2 2 2 2 2 2 2" xfId="47584" xr:uid="{00000000-0005-0000-0000-0000E18E0000}"/>
    <cellStyle name="Финансовый 3 7 2 2 2 2 2 3" xfId="35606" xr:uid="{00000000-0005-0000-0000-0000E28E0000}"/>
    <cellStyle name="Финансовый 3 7 2 2 2 2 3" xfId="15890" xr:uid="{00000000-0005-0000-0000-0000E38E0000}"/>
    <cellStyle name="Финансовый 3 7 2 2 2 2 3 2" xfId="39845" xr:uid="{00000000-0005-0000-0000-0000E48E0000}"/>
    <cellStyle name="Финансовый 3 7 2 2 2 2 4" xfId="27868" xr:uid="{00000000-0005-0000-0000-0000E58E0000}"/>
    <cellStyle name="Финансовый 3 7 2 2 2 2 5" xfId="51137" xr:uid="{00000000-0005-0000-0000-0000E68E0000}"/>
    <cellStyle name="Финансовый 3 7 2 2 2 3" xfId="5694" xr:uid="{00000000-0005-0000-0000-0000E78E0000}"/>
    <cellStyle name="Финансовый 3 7 2 2 2 3 2" xfId="17672" xr:uid="{00000000-0005-0000-0000-0000E88E0000}"/>
    <cellStyle name="Финансовый 3 7 2 2 2 3 2 2" xfId="41627" xr:uid="{00000000-0005-0000-0000-0000E98E0000}"/>
    <cellStyle name="Финансовый 3 7 2 2 2 3 3" xfId="29649" xr:uid="{00000000-0005-0000-0000-0000EA8E0000}"/>
    <cellStyle name="Финансовый 3 7 2 2 2 4" xfId="8304" xr:uid="{00000000-0005-0000-0000-0000EB8E0000}"/>
    <cellStyle name="Финансовый 3 7 2 2 2 4 2" xfId="20282" xr:uid="{00000000-0005-0000-0000-0000EC8E0000}"/>
    <cellStyle name="Финансовый 3 7 2 2 2 4 2 2" xfId="44237" xr:uid="{00000000-0005-0000-0000-0000ED8E0000}"/>
    <cellStyle name="Финансовый 3 7 2 2 2 4 3" xfId="32259" xr:uid="{00000000-0005-0000-0000-0000EE8E0000}"/>
    <cellStyle name="Финансовый 3 7 2 2 2 5" xfId="10087" xr:uid="{00000000-0005-0000-0000-0000EF8E0000}"/>
    <cellStyle name="Финансовый 3 7 2 2 2 5 2" xfId="22065" xr:uid="{00000000-0005-0000-0000-0000F08E0000}"/>
    <cellStyle name="Финансовый 3 7 2 2 2 5 2 2" xfId="46020" xr:uid="{00000000-0005-0000-0000-0000F18E0000}"/>
    <cellStyle name="Финансовый 3 7 2 2 2 5 3" xfId="34042" xr:uid="{00000000-0005-0000-0000-0000F28E0000}"/>
    <cellStyle name="Финансовый 3 7 2 2 2 6" xfId="14245" xr:uid="{00000000-0005-0000-0000-0000F38E0000}"/>
    <cellStyle name="Финансовый 3 7 2 2 2 6 2" xfId="38200" xr:uid="{00000000-0005-0000-0000-0000F48E0000}"/>
    <cellStyle name="Финансовый 3 7 2 2 2 7" xfId="26223" xr:uid="{00000000-0005-0000-0000-0000F58E0000}"/>
    <cellStyle name="Финансовый 3 7 2 2 2 8" xfId="49356" xr:uid="{00000000-0005-0000-0000-0000F68E0000}"/>
    <cellStyle name="Финансовый 3 7 2 2 3" xfId="3092" xr:uid="{00000000-0005-0000-0000-0000F78E0000}"/>
    <cellStyle name="Финансовый 3 7 2 2 3 2" xfId="10879" xr:uid="{00000000-0005-0000-0000-0000F88E0000}"/>
    <cellStyle name="Финансовый 3 7 2 2 3 2 2" xfId="22857" xr:uid="{00000000-0005-0000-0000-0000F98E0000}"/>
    <cellStyle name="Финансовый 3 7 2 2 3 2 2 2" xfId="46812" xr:uid="{00000000-0005-0000-0000-0000FA8E0000}"/>
    <cellStyle name="Финансовый 3 7 2 2 3 2 3" xfId="34834" xr:uid="{00000000-0005-0000-0000-0000FB8E0000}"/>
    <cellStyle name="Финансовый 3 7 2 2 3 3" xfId="15071" xr:uid="{00000000-0005-0000-0000-0000FC8E0000}"/>
    <cellStyle name="Финансовый 3 7 2 2 3 3 2" xfId="39026" xr:uid="{00000000-0005-0000-0000-0000FD8E0000}"/>
    <cellStyle name="Финансовый 3 7 2 2 3 4" xfId="27049" xr:uid="{00000000-0005-0000-0000-0000FE8E0000}"/>
    <cellStyle name="Финансовый 3 7 2 2 3 5" xfId="50180" xr:uid="{00000000-0005-0000-0000-0000FF8E0000}"/>
    <cellStyle name="Финансовый 3 7 2 2 4" xfId="4736" xr:uid="{00000000-0005-0000-0000-0000008F0000}"/>
    <cellStyle name="Финансовый 3 7 2 2 4 2" xfId="16715" xr:uid="{00000000-0005-0000-0000-0000018F0000}"/>
    <cellStyle name="Финансовый 3 7 2 2 4 2 2" xfId="40670" xr:uid="{00000000-0005-0000-0000-0000028F0000}"/>
    <cellStyle name="Финансовый 3 7 2 2 4 3" xfId="28693" xr:uid="{00000000-0005-0000-0000-0000038F0000}"/>
    <cellStyle name="Финансовый 3 7 2 2 5" xfId="7348" xr:uid="{00000000-0005-0000-0000-0000048F0000}"/>
    <cellStyle name="Финансовый 3 7 2 2 5 2" xfId="19326" xr:uid="{00000000-0005-0000-0000-0000058F0000}"/>
    <cellStyle name="Финансовый 3 7 2 2 5 2 2" xfId="43281" xr:uid="{00000000-0005-0000-0000-0000068F0000}"/>
    <cellStyle name="Финансовый 3 7 2 2 5 3" xfId="31303" xr:uid="{00000000-0005-0000-0000-0000078F0000}"/>
    <cellStyle name="Финансовый 3 7 2 2 6" xfId="9130" xr:uid="{00000000-0005-0000-0000-0000088F0000}"/>
    <cellStyle name="Финансовый 3 7 2 2 6 2" xfId="21108" xr:uid="{00000000-0005-0000-0000-0000098F0000}"/>
    <cellStyle name="Финансовый 3 7 2 2 6 2 2" xfId="45063" xr:uid="{00000000-0005-0000-0000-00000A8F0000}"/>
    <cellStyle name="Финансовый 3 7 2 2 6 3" xfId="33085" xr:uid="{00000000-0005-0000-0000-00000B8F0000}"/>
    <cellStyle name="Финансовый 3 7 2 2 7" xfId="13289" xr:uid="{00000000-0005-0000-0000-00000C8F0000}"/>
    <cellStyle name="Финансовый 3 7 2 2 7 2" xfId="37244" xr:uid="{00000000-0005-0000-0000-00000D8F0000}"/>
    <cellStyle name="Финансовый 3 7 2 2 8" xfId="25267" xr:uid="{00000000-0005-0000-0000-00000E8F0000}"/>
    <cellStyle name="Финансовый 3 7 2 2 9" xfId="48400" xr:uid="{00000000-0005-0000-0000-00000F8F0000}"/>
    <cellStyle name="Финансовый 3 7 2 3" xfId="2010" xr:uid="{00000000-0005-0000-0000-0000108F0000}"/>
    <cellStyle name="Финансовый 3 7 2 3 2" xfId="3655" xr:uid="{00000000-0005-0000-0000-0000118F0000}"/>
    <cellStyle name="Финансовый 3 7 2 3 2 2" xfId="11395" xr:uid="{00000000-0005-0000-0000-0000128F0000}"/>
    <cellStyle name="Финансовый 3 7 2 3 2 2 2" xfId="23373" xr:uid="{00000000-0005-0000-0000-0000138F0000}"/>
    <cellStyle name="Финансовый 3 7 2 3 2 2 2 2" xfId="47328" xr:uid="{00000000-0005-0000-0000-0000148F0000}"/>
    <cellStyle name="Финансовый 3 7 2 3 2 2 3" xfId="35350" xr:uid="{00000000-0005-0000-0000-0000158F0000}"/>
    <cellStyle name="Финансовый 3 7 2 3 2 3" xfId="15634" xr:uid="{00000000-0005-0000-0000-0000168F0000}"/>
    <cellStyle name="Финансовый 3 7 2 3 2 3 2" xfId="39589" xr:uid="{00000000-0005-0000-0000-0000178F0000}"/>
    <cellStyle name="Финансовый 3 7 2 3 2 4" xfId="27612" xr:uid="{00000000-0005-0000-0000-0000188F0000}"/>
    <cellStyle name="Финансовый 3 7 2 3 2 5" xfId="50881" xr:uid="{00000000-0005-0000-0000-0000198F0000}"/>
    <cellStyle name="Финансовый 3 7 2 3 3" xfId="5438" xr:uid="{00000000-0005-0000-0000-00001A8F0000}"/>
    <cellStyle name="Финансовый 3 7 2 3 3 2" xfId="17416" xr:uid="{00000000-0005-0000-0000-00001B8F0000}"/>
    <cellStyle name="Финансовый 3 7 2 3 3 2 2" xfId="41371" xr:uid="{00000000-0005-0000-0000-00001C8F0000}"/>
    <cellStyle name="Финансовый 3 7 2 3 3 3" xfId="29393" xr:uid="{00000000-0005-0000-0000-00001D8F0000}"/>
    <cellStyle name="Финансовый 3 7 2 3 4" xfId="8048" xr:uid="{00000000-0005-0000-0000-00001E8F0000}"/>
    <cellStyle name="Финансовый 3 7 2 3 4 2" xfId="20026" xr:uid="{00000000-0005-0000-0000-00001F8F0000}"/>
    <cellStyle name="Финансовый 3 7 2 3 4 2 2" xfId="43981" xr:uid="{00000000-0005-0000-0000-0000208F0000}"/>
    <cellStyle name="Финансовый 3 7 2 3 4 3" xfId="32003" xr:uid="{00000000-0005-0000-0000-0000218F0000}"/>
    <cellStyle name="Финансовый 3 7 2 3 5" xfId="9831" xr:uid="{00000000-0005-0000-0000-0000228F0000}"/>
    <cellStyle name="Финансовый 3 7 2 3 5 2" xfId="21809" xr:uid="{00000000-0005-0000-0000-0000238F0000}"/>
    <cellStyle name="Финансовый 3 7 2 3 5 2 2" xfId="45764" xr:uid="{00000000-0005-0000-0000-0000248F0000}"/>
    <cellStyle name="Финансовый 3 7 2 3 5 3" xfId="33786" xr:uid="{00000000-0005-0000-0000-0000258F0000}"/>
    <cellStyle name="Финансовый 3 7 2 3 6" xfId="13989" xr:uid="{00000000-0005-0000-0000-0000268F0000}"/>
    <cellStyle name="Финансовый 3 7 2 3 6 2" xfId="37944" xr:uid="{00000000-0005-0000-0000-0000278F0000}"/>
    <cellStyle name="Финансовый 3 7 2 3 7" xfId="25967" xr:uid="{00000000-0005-0000-0000-0000288F0000}"/>
    <cellStyle name="Финансовый 3 7 2 3 8" xfId="49100" xr:uid="{00000000-0005-0000-0000-0000298F0000}"/>
    <cellStyle name="Финансовый 3 7 2 4" xfId="2539" xr:uid="{00000000-0005-0000-0000-00002A8F0000}"/>
    <cellStyle name="Финансовый 3 7 2 4 2" xfId="4184" xr:uid="{00000000-0005-0000-0000-00002B8F0000}"/>
    <cellStyle name="Финансовый 3 7 2 4 2 2" xfId="11908" xr:uid="{00000000-0005-0000-0000-00002C8F0000}"/>
    <cellStyle name="Финансовый 3 7 2 4 2 2 2" xfId="23886" xr:uid="{00000000-0005-0000-0000-00002D8F0000}"/>
    <cellStyle name="Финансовый 3 7 2 4 2 2 2 2" xfId="47841" xr:uid="{00000000-0005-0000-0000-00002E8F0000}"/>
    <cellStyle name="Финансовый 3 7 2 4 2 2 3" xfId="35863" xr:uid="{00000000-0005-0000-0000-00002F8F0000}"/>
    <cellStyle name="Финансовый 3 7 2 4 2 3" xfId="16163" xr:uid="{00000000-0005-0000-0000-0000308F0000}"/>
    <cellStyle name="Финансовый 3 7 2 4 2 3 2" xfId="40118" xr:uid="{00000000-0005-0000-0000-0000318F0000}"/>
    <cellStyle name="Финансовый 3 7 2 4 2 4" xfId="28141" xr:uid="{00000000-0005-0000-0000-0000328F0000}"/>
    <cellStyle name="Финансовый 3 7 2 4 2 5" xfId="51410" xr:uid="{00000000-0005-0000-0000-0000338F0000}"/>
    <cellStyle name="Финансовый 3 7 2 4 3" xfId="5967" xr:uid="{00000000-0005-0000-0000-0000348F0000}"/>
    <cellStyle name="Финансовый 3 7 2 4 3 2" xfId="17945" xr:uid="{00000000-0005-0000-0000-0000358F0000}"/>
    <cellStyle name="Финансовый 3 7 2 4 3 2 2" xfId="41900" xr:uid="{00000000-0005-0000-0000-0000368F0000}"/>
    <cellStyle name="Финансовый 3 7 2 4 3 3" xfId="29922" xr:uid="{00000000-0005-0000-0000-0000378F0000}"/>
    <cellStyle name="Финансовый 3 7 2 4 4" xfId="8577" xr:uid="{00000000-0005-0000-0000-0000388F0000}"/>
    <cellStyle name="Финансовый 3 7 2 4 4 2" xfId="20555" xr:uid="{00000000-0005-0000-0000-0000398F0000}"/>
    <cellStyle name="Финансовый 3 7 2 4 4 2 2" xfId="44510" xr:uid="{00000000-0005-0000-0000-00003A8F0000}"/>
    <cellStyle name="Финансовый 3 7 2 4 4 3" xfId="32532" xr:uid="{00000000-0005-0000-0000-00003B8F0000}"/>
    <cellStyle name="Финансовый 3 7 2 4 5" xfId="10360" xr:uid="{00000000-0005-0000-0000-00003C8F0000}"/>
    <cellStyle name="Финансовый 3 7 2 4 5 2" xfId="22338" xr:uid="{00000000-0005-0000-0000-00003D8F0000}"/>
    <cellStyle name="Финансовый 3 7 2 4 5 2 2" xfId="46293" xr:uid="{00000000-0005-0000-0000-00003E8F0000}"/>
    <cellStyle name="Финансовый 3 7 2 4 5 3" xfId="34315" xr:uid="{00000000-0005-0000-0000-00003F8F0000}"/>
    <cellStyle name="Финансовый 3 7 2 4 6" xfId="14518" xr:uid="{00000000-0005-0000-0000-0000408F0000}"/>
    <cellStyle name="Финансовый 3 7 2 4 6 2" xfId="38473" xr:uid="{00000000-0005-0000-0000-0000418F0000}"/>
    <cellStyle name="Финансовый 3 7 2 4 7" xfId="26496" xr:uid="{00000000-0005-0000-0000-0000428F0000}"/>
    <cellStyle name="Финансовый 3 7 2 4 8" xfId="49629" xr:uid="{00000000-0005-0000-0000-0000438F0000}"/>
    <cellStyle name="Финансовый 3 7 2 5" xfId="1043" xr:uid="{00000000-0005-0000-0000-0000448F0000}"/>
    <cellStyle name="Финансовый 3 7 2 5 2" xfId="7083" xr:uid="{00000000-0005-0000-0000-0000458F0000}"/>
    <cellStyle name="Финансовый 3 7 2 5 2 2" xfId="19061" xr:uid="{00000000-0005-0000-0000-0000468F0000}"/>
    <cellStyle name="Финансовый 3 7 2 5 2 2 2" xfId="43016" xr:uid="{00000000-0005-0000-0000-0000478F0000}"/>
    <cellStyle name="Финансовый 3 7 2 5 2 3" xfId="31038" xr:uid="{00000000-0005-0000-0000-0000488F0000}"/>
    <cellStyle name="Финансовый 3 7 2 5 3" xfId="10623" xr:uid="{00000000-0005-0000-0000-0000498F0000}"/>
    <cellStyle name="Финансовый 3 7 2 5 3 2" xfId="22601" xr:uid="{00000000-0005-0000-0000-00004A8F0000}"/>
    <cellStyle name="Финансовый 3 7 2 5 3 2 2" xfId="46556" xr:uid="{00000000-0005-0000-0000-00004B8F0000}"/>
    <cellStyle name="Финансовый 3 7 2 5 3 3" xfId="34578" xr:uid="{00000000-0005-0000-0000-00004C8F0000}"/>
    <cellStyle name="Финансовый 3 7 2 5 4" xfId="13024" xr:uid="{00000000-0005-0000-0000-00004D8F0000}"/>
    <cellStyle name="Финансовый 3 7 2 5 4 2" xfId="36979" xr:uid="{00000000-0005-0000-0000-00004E8F0000}"/>
    <cellStyle name="Финансовый 3 7 2 5 5" xfId="25002" xr:uid="{00000000-0005-0000-0000-00004F8F0000}"/>
    <cellStyle name="Финансовый 3 7 2 5 6" xfId="49908" xr:uid="{00000000-0005-0000-0000-0000508F0000}"/>
    <cellStyle name="Финансовый 3 7 2 6" xfId="631" xr:uid="{00000000-0005-0000-0000-0000518F0000}"/>
    <cellStyle name="Финансовый 3 7 2 6 2" xfId="6671" xr:uid="{00000000-0005-0000-0000-0000528F0000}"/>
    <cellStyle name="Финансовый 3 7 2 6 2 2" xfId="18649" xr:uid="{00000000-0005-0000-0000-0000538F0000}"/>
    <cellStyle name="Финансовый 3 7 2 6 2 2 2" xfId="42604" xr:uid="{00000000-0005-0000-0000-0000548F0000}"/>
    <cellStyle name="Финансовый 3 7 2 6 2 3" xfId="30626" xr:uid="{00000000-0005-0000-0000-0000558F0000}"/>
    <cellStyle name="Финансовый 3 7 2 6 3" xfId="12612" xr:uid="{00000000-0005-0000-0000-0000568F0000}"/>
    <cellStyle name="Финансовый 3 7 2 6 3 2" xfId="36567" xr:uid="{00000000-0005-0000-0000-0000578F0000}"/>
    <cellStyle name="Финансовый 3 7 2 6 4" xfId="24590" xr:uid="{00000000-0005-0000-0000-0000588F0000}"/>
    <cellStyle name="Финансовый 3 7 2 7" xfId="2820" xr:uid="{00000000-0005-0000-0000-0000598F0000}"/>
    <cellStyle name="Финансовый 3 7 2 7 2" xfId="14799" xr:uid="{00000000-0005-0000-0000-00005A8F0000}"/>
    <cellStyle name="Финансовый 3 7 2 7 2 2" xfId="38754" xr:uid="{00000000-0005-0000-0000-00005B8F0000}"/>
    <cellStyle name="Финансовый 3 7 2 7 3" xfId="26777" xr:uid="{00000000-0005-0000-0000-00005C8F0000}"/>
    <cellStyle name="Финансовый 3 7 2 8" xfId="4464" xr:uid="{00000000-0005-0000-0000-00005D8F0000}"/>
    <cellStyle name="Финансовый 3 7 2 8 2" xfId="16443" xr:uid="{00000000-0005-0000-0000-00005E8F0000}"/>
    <cellStyle name="Финансовый 3 7 2 8 2 2" xfId="40398" xr:uid="{00000000-0005-0000-0000-00005F8F0000}"/>
    <cellStyle name="Финансовый 3 7 2 8 3" xfId="28421" xr:uid="{00000000-0005-0000-0000-0000608F0000}"/>
    <cellStyle name="Финансовый 3 7 2 9" xfId="6251" xr:uid="{00000000-0005-0000-0000-0000618F0000}"/>
    <cellStyle name="Финансовый 3 7 2 9 2" xfId="18229" xr:uid="{00000000-0005-0000-0000-0000628F0000}"/>
    <cellStyle name="Финансовый 3 7 2 9 2 2" xfId="42184" xr:uid="{00000000-0005-0000-0000-0000638F0000}"/>
    <cellStyle name="Финансовый 3 7 2 9 3" xfId="30206" xr:uid="{00000000-0005-0000-0000-0000648F0000}"/>
    <cellStyle name="Финансовый 3 7 3" xfId="359" xr:uid="{00000000-0005-0000-0000-0000658F0000}"/>
    <cellStyle name="Финансовый 3 7 3 10" xfId="24318" xr:uid="{00000000-0005-0000-0000-0000668F0000}"/>
    <cellStyle name="Финансовый 3 7 3 11" xfId="48264" xr:uid="{00000000-0005-0000-0000-0000678F0000}"/>
    <cellStyle name="Финансовый 3 7 3 2" xfId="2138" xr:uid="{00000000-0005-0000-0000-0000688F0000}"/>
    <cellStyle name="Финансовый 3 7 3 2 2" xfId="3783" xr:uid="{00000000-0005-0000-0000-0000698F0000}"/>
    <cellStyle name="Финансовый 3 7 3 2 2 2" xfId="11523" xr:uid="{00000000-0005-0000-0000-00006A8F0000}"/>
    <cellStyle name="Финансовый 3 7 3 2 2 2 2" xfId="23501" xr:uid="{00000000-0005-0000-0000-00006B8F0000}"/>
    <cellStyle name="Финансовый 3 7 3 2 2 2 2 2" xfId="47456" xr:uid="{00000000-0005-0000-0000-00006C8F0000}"/>
    <cellStyle name="Финансовый 3 7 3 2 2 2 3" xfId="35478" xr:uid="{00000000-0005-0000-0000-00006D8F0000}"/>
    <cellStyle name="Финансовый 3 7 3 2 2 3" xfId="15762" xr:uid="{00000000-0005-0000-0000-00006E8F0000}"/>
    <cellStyle name="Финансовый 3 7 3 2 2 3 2" xfId="39717" xr:uid="{00000000-0005-0000-0000-00006F8F0000}"/>
    <cellStyle name="Финансовый 3 7 3 2 2 4" xfId="27740" xr:uid="{00000000-0005-0000-0000-0000708F0000}"/>
    <cellStyle name="Финансовый 3 7 3 2 2 5" xfId="51009" xr:uid="{00000000-0005-0000-0000-0000718F0000}"/>
    <cellStyle name="Финансовый 3 7 3 2 3" xfId="5566" xr:uid="{00000000-0005-0000-0000-0000728F0000}"/>
    <cellStyle name="Финансовый 3 7 3 2 3 2" xfId="17544" xr:uid="{00000000-0005-0000-0000-0000738F0000}"/>
    <cellStyle name="Финансовый 3 7 3 2 3 2 2" xfId="41499" xr:uid="{00000000-0005-0000-0000-0000748F0000}"/>
    <cellStyle name="Финансовый 3 7 3 2 3 3" xfId="29521" xr:uid="{00000000-0005-0000-0000-0000758F0000}"/>
    <cellStyle name="Финансовый 3 7 3 2 4" xfId="8176" xr:uid="{00000000-0005-0000-0000-0000768F0000}"/>
    <cellStyle name="Финансовый 3 7 3 2 4 2" xfId="20154" xr:uid="{00000000-0005-0000-0000-0000778F0000}"/>
    <cellStyle name="Финансовый 3 7 3 2 4 2 2" xfId="44109" xr:uid="{00000000-0005-0000-0000-0000788F0000}"/>
    <cellStyle name="Финансовый 3 7 3 2 4 3" xfId="32131" xr:uid="{00000000-0005-0000-0000-0000798F0000}"/>
    <cellStyle name="Финансовый 3 7 3 2 5" xfId="9959" xr:uid="{00000000-0005-0000-0000-00007A8F0000}"/>
    <cellStyle name="Финансовый 3 7 3 2 5 2" xfId="21937" xr:uid="{00000000-0005-0000-0000-00007B8F0000}"/>
    <cellStyle name="Финансовый 3 7 3 2 5 2 2" xfId="45892" xr:uid="{00000000-0005-0000-0000-00007C8F0000}"/>
    <cellStyle name="Финансовый 3 7 3 2 5 3" xfId="33914" xr:uid="{00000000-0005-0000-0000-00007D8F0000}"/>
    <cellStyle name="Финансовый 3 7 3 2 6" xfId="14117" xr:uid="{00000000-0005-0000-0000-00007E8F0000}"/>
    <cellStyle name="Финансовый 3 7 3 2 6 2" xfId="38072" xr:uid="{00000000-0005-0000-0000-00007F8F0000}"/>
    <cellStyle name="Финансовый 3 7 3 2 7" xfId="26095" xr:uid="{00000000-0005-0000-0000-0000808F0000}"/>
    <cellStyle name="Финансовый 3 7 3 2 8" xfId="49228" xr:uid="{00000000-0005-0000-0000-0000818F0000}"/>
    <cellStyle name="Финансовый 3 7 3 3" xfId="1172" xr:uid="{00000000-0005-0000-0000-0000828F0000}"/>
    <cellStyle name="Финансовый 3 7 3 3 2" xfId="7212" xr:uid="{00000000-0005-0000-0000-0000838F0000}"/>
    <cellStyle name="Финансовый 3 7 3 3 2 2" xfId="19190" xr:uid="{00000000-0005-0000-0000-0000848F0000}"/>
    <cellStyle name="Финансовый 3 7 3 3 2 2 2" xfId="43145" xr:uid="{00000000-0005-0000-0000-0000858F0000}"/>
    <cellStyle name="Финансовый 3 7 3 3 2 3" xfId="31167" xr:uid="{00000000-0005-0000-0000-0000868F0000}"/>
    <cellStyle name="Финансовый 3 7 3 3 3" xfId="10751" xr:uid="{00000000-0005-0000-0000-0000878F0000}"/>
    <cellStyle name="Финансовый 3 7 3 3 3 2" xfId="22729" xr:uid="{00000000-0005-0000-0000-0000888F0000}"/>
    <cellStyle name="Финансовый 3 7 3 3 3 2 2" xfId="46684" xr:uid="{00000000-0005-0000-0000-0000898F0000}"/>
    <cellStyle name="Финансовый 3 7 3 3 3 3" xfId="34706" xr:uid="{00000000-0005-0000-0000-00008A8F0000}"/>
    <cellStyle name="Финансовый 3 7 3 3 4" xfId="13153" xr:uid="{00000000-0005-0000-0000-00008B8F0000}"/>
    <cellStyle name="Финансовый 3 7 3 3 4 2" xfId="37108" xr:uid="{00000000-0005-0000-0000-00008C8F0000}"/>
    <cellStyle name="Финансовый 3 7 3 3 5" xfId="25131" xr:uid="{00000000-0005-0000-0000-00008D8F0000}"/>
    <cellStyle name="Финансовый 3 7 3 3 6" xfId="50044" xr:uid="{00000000-0005-0000-0000-00008E8F0000}"/>
    <cellStyle name="Финансовый 3 7 3 4" xfId="779" xr:uid="{00000000-0005-0000-0000-00008F8F0000}"/>
    <cellStyle name="Финансовый 3 7 3 4 2" xfId="6819" xr:uid="{00000000-0005-0000-0000-0000908F0000}"/>
    <cellStyle name="Финансовый 3 7 3 4 2 2" xfId="18797" xr:uid="{00000000-0005-0000-0000-0000918F0000}"/>
    <cellStyle name="Финансовый 3 7 3 4 2 2 2" xfId="42752" xr:uid="{00000000-0005-0000-0000-0000928F0000}"/>
    <cellStyle name="Финансовый 3 7 3 4 2 3" xfId="30774" xr:uid="{00000000-0005-0000-0000-0000938F0000}"/>
    <cellStyle name="Финансовый 3 7 3 4 3" xfId="12760" xr:uid="{00000000-0005-0000-0000-0000948F0000}"/>
    <cellStyle name="Финансовый 3 7 3 4 3 2" xfId="36715" xr:uid="{00000000-0005-0000-0000-0000958F0000}"/>
    <cellStyle name="Финансовый 3 7 3 4 4" xfId="24738" xr:uid="{00000000-0005-0000-0000-0000968F0000}"/>
    <cellStyle name="Финансовый 3 7 3 5" xfId="2956" xr:uid="{00000000-0005-0000-0000-0000978F0000}"/>
    <cellStyle name="Финансовый 3 7 3 5 2" xfId="14935" xr:uid="{00000000-0005-0000-0000-0000988F0000}"/>
    <cellStyle name="Финансовый 3 7 3 5 2 2" xfId="38890" xr:uid="{00000000-0005-0000-0000-0000998F0000}"/>
    <cellStyle name="Финансовый 3 7 3 5 3" xfId="26913" xr:uid="{00000000-0005-0000-0000-00009A8F0000}"/>
    <cellStyle name="Финансовый 3 7 3 6" xfId="4600" xr:uid="{00000000-0005-0000-0000-00009B8F0000}"/>
    <cellStyle name="Финансовый 3 7 3 6 2" xfId="16579" xr:uid="{00000000-0005-0000-0000-00009C8F0000}"/>
    <cellStyle name="Финансовый 3 7 3 6 2 2" xfId="40534" xr:uid="{00000000-0005-0000-0000-00009D8F0000}"/>
    <cellStyle name="Финансовый 3 7 3 6 3" xfId="28557" xr:uid="{00000000-0005-0000-0000-00009E8F0000}"/>
    <cellStyle name="Финансовый 3 7 3 7" xfId="6399" xr:uid="{00000000-0005-0000-0000-00009F8F0000}"/>
    <cellStyle name="Финансовый 3 7 3 7 2" xfId="18377" xr:uid="{00000000-0005-0000-0000-0000A08F0000}"/>
    <cellStyle name="Финансовый 3 7 3 7 2 2" xfId="42332" xr:uid="{00000000-0005-0000-0000-0000A18F0000}"/>
    <cellStyle name="Финансовый 3 7 3 7 3" xfId="30354" xr:uid="{00000000-0005-0000-0000-0000A28F0000}"/>
    <cellStyle name="Финансовый 3 7 3 8" xfId="8994" xr:uid="{00000000-0005-0000-0000-0000A38F0000}"/>
    <cellStyle name="Финансовый 3 7 3 8 2" xfId="20972" xr:uid="{00000000-0005-0000-0000-0000A48F0000}"/>
    <cellStyle name="Финансовый 3 7 3 8 2 2" xfId="44927" xr:uid="{00000000-0005-0000-0000-0000A58F0000}"/>
    <cellStyle name="Финансовый 3 7 3 8 3" xfId="32949" xr:uid="{00000000-0005-0000-0000-0000A68F0000}"/>
    <cellStyle name="Финансовый 3 7 3 9" xfId="12340" xr:uid="{00000000-0005-0000-0000-0000A78F0000}"/>
    <cellStyle name="Финансовый 3 7 3 9 2" xfId="36295" xr:uid="{00000000-0005-0000-0000-0000A88F0000}"/>
    <cellStyle name="Финансовый 3 7 4" xfId="1530" xr:uid="{00000000-0005-0000-0000-0000A98F0000}"/>
    <cellStyle name="Финансовый 3 7 4 2" xfId="1882" xr:uid="{00000000-0005-0000-0000-0000AA8F0000}"/>
    <cellStyle name="Финансовый 3 7 4 2 2" xfId="3527" xr:uid="{00000000-0005-0000-0000-0000AB8F0000}"/>
    <cellStyle name="Финансовый 3 7 4 2 2 2" xfId="11267" xr:uid="{00000000-0005-0000-0000-0000AC8F0000}"/>
    <cellStyle name="Финансовый 3 7 4 2 2 2 2" xfId="23245" xr:uid="{00000000-0005-0000-0000-0000AD8F0000}"/>
    <cellStyle name="Финансовый 3 7 4 2 2 2 2 2" xfId="47200" xr:uid="{00000000-0005-0000-0000-0000AE8F0000}"/>
    <cellStyle name="Финансовый 3 7 4 2 2 2 3" xfId="35222" xr:uid="{00000000-0005-0000-0000-0000AF8F0000}"/>
    <cellStyle name="Финансовый 3 7 4 2 2 3" xfId="15506" xr:uid="{00000000-0005-0000-0000-0000B08F0000}"/>
    <cellStyle name="Финансовый 3 7 4 2 2 3 2" xfId="39461" xr:uid="{00000000-0005-0000-0000-0000B18F0000}"/>
    <cellStyle name="Финансовый 3 7 4 2 2 4" xfId="27484" xr:uid="{00000000-0005-0000-0000-0000B28F0000}"/>
    <cellStyle name="Финансовый 3 7 4 2 2 5" xfId="50753" xr:uid="{00000000-0005-0000-0000-0000B38F0000}"/>
    <cellStyle name="Финансовый 3 7 4 2 3" xfId="5310" xr:uid="{00000000-0005-0000-0000-0000B48F0000}"/>
    <cellStyle name="Финансовый 3 7 4 2 3 2" xfId="17288" xr:uid="{00000000-0005-0000-0000-0000B58F0000}"/>
    <cellStyle name="Финансовый 3 7 4 2 3 2 2" xfId="41243" xr:uid="{00000000-0005-0000-0000-0000B68F0000}"/>
    <cellStyle name="Финансовый 3 7 4 2 3 3" xfId="29265" xr:uid="{00000000-0005-0000-0000-0000B78F0000}"/>
    <cellStyle name="Финансовый 3 7 4 2 4" xfId="7920" xr:uid="{00000000-0005-0000-0000-0000B88F0000}"/>
    <cellStyle name="Финансовый 3 7 4 2 4 2" xfId="19898" xr:uid="{00000000-0005-0000-0000-0000B98F0000}"/>
    <cellStyle name="Финансовый 3 7 4 2 4 2 2" xfId="43853" xr:uid="{00000000-0005-0000-0000-0000BA8F0000}"/>
    <cellStyle name="Финансовый 3 7 4 2 4 3" xfId="31875" xr:uid="{00000000-0005-0000-0000-0000BB8F0000}"/>
    <cellStyle name="Финансовый 3 7 4 2 5" xfId="9703" xr:uid="{00000000-0005-0000-0000-0000BC8F0000}"/>
    <cellStyle name="Финансовый 3 7 4 2 5 2" xfId="21681" xr:uid="{00000000-0005-0000-0000-0000BD8F0000}"/>
    <cellStyle name="Финансовый 3 7 4 2 5 2 2" xfId="45636" xr:uid="{00000000-0005-0000-0000-0000BE8F0000}"/>
    <cellStyle name="Финансовый 3 7 4 2 5 3" xfId="33658" xr:uid="{00000000-0005-0000-0000-0000BF8F0000}"/>
    <cellStyle name="Финансовый 3 7 4 2 6" xfId="13861" xr:uid="{00000000-0005-0000-0000-0000C08F0000}"/>
    <cellStyle name="Финансовый 3 7 4 2 6 2" xfId="37816" xr:uid="{00000000-0005-0000-0000-0000C18F0000}"/>
    <cellStyle name="Финансовый 3 7 4 2 7" xfId="25839" xr:uid="{00000000-0005-0000-0000-0000C28F0000}"/>
    <cellStyle name="Финансовый 3 7 4 2 8" xfId="48972" xr:uid="{00000000-0005-0000-0000-0000C38F0000}"/>
    <cellStyle name="Финансовый 3 7 4 3" xfId="4958" xr:uid="{00000000-0005-0000-0000-0000C48F0000}"/>
    <cellStyle name="Финансовый 3 7 4 3 2" xfId="16936" xr:uid="{00000000-0005-0000-0000-0000C58F0000}"/>
    <cellStyle name="Финансовый 3 7 4 3 2 2" xfId="40891" xr:uid="{00000000-0005-0000-0000-0000C68F0000}"/>
    <cellStyle name="Финансовый 3 7 4 3 3" xfId="28913" xr:uid="{00000000-0005-0000-0000-0000C78F0000}"/>
    <cellStyle name="Финансовый 3 7 4 3 4" xfId="50401" xr:uid="{00000000-0005-0000-0000-0000C88F0000}"/>
    <cellStyle name="Финансовый 3 7 4 4" xfId="7568" xr:uid="{00000000-0005-0000-0000-0000C98F0000}"/>
    <cellStyle name="Финансовый 3 7 4 4 2" xfId="19546" xr:uid="{00000000-0005-0000-0000-0000CA8F0000}"/>
    <cellStyle name="Финансовый 3 7 4 4 2 2" xfId="43501" xr:uid="{00000000-0005-0000-0000-0000CB8F0000}"/>
    <cellStyle name="Финансовый 3 7 4 4 3" xfId="31523" xr:uid="{00000000-0005-0000-0000-0000CC8F0000}"/>
    <cellStyle name="Финансовый 3 7 4 5" xfId="9351" xr:uid="{00000000-0005-0000-0000-0000CD8F0000}"/>
    <cellStyle name="Финансовый 3 7 4 5 2" xfId="21329" xr:uid="{00000000-0005-0000-0000-0000CE8F0000}"/>
    <cellStyle name="Финансовый 3 7 4 5 2 2" xfId="45284" xr:uid="{00000000-0005-0000-0000-0000CF8F0000}"/>
    <cellStyle name="Финансовый 3 7 4 5 3" xfId="33306" xr:uid="{00000000-0005-0000-0000-0000D08F0000}"/>
    <cellStyle name="Финансовый 3 7 4 6" xfId="13509" xr:uid="{00000000-0005-0000-0000-0000D18F0000}"/>
    <cellStyle name="Финансовый 3 7 4 6 2" xfId="37464" xr:uid="{00000000-0005-0000-0000-0000D28F0000}"/>
    <cellStyle name="Финансовый 3 7 4 7" xfId="25487" xr:uid="{00000000-0005-0000-0000-0000D38F0000}"/>
    <cellStyle name="Финансовый 3 7 4 8" xfId="48620" xr:uid="{00000000-0005-0000-0000-0000D48F0000}"/>
    <cellStyle name="Финансовый 3 7 5" xfId="1758" xr:uid="{00000000-0005-0000-0000-0000D58F0000}"/>
    <cellStyle name="Финансовый 3 7 5 2" xfId="3403" xr:uid="{00000000-0005-0000-0000-0000D68F0000}"/>
    <cellStyle name="Финансовый 3 7 5 2 2" xfId="11151" xr:uid="{00000000-0005-0000-0000-0000D78F0000}"/>
    <cellStyle name="Финансовый 3 7 5 2 2 2" xfId="23129" xr:uid="{00000000-0005-0000-0000-0000D88F0000}"/>
    <cellStyle name="Финансовый 3 7 5 2 2 2 2" xfId="47084" xr:uid="{00000000-0005-0000-0000-0000D98F0000}"/>
    <cellStyle name="Финансовый 3 7 5 2 2 3" xfId="35106" xr:uid="{00000000-0005-0000-0000-0000DA8F0000}"/>
    <cellStyle name="Финансовый 3 7 5 2 3" xfId="15382" xr:uid="{00000000-0005-0000-0000-0000DB8F0000}"/>
    <cellStyle name="Финансовый 3 7 5 2 3 2" xfId="39337" xr:uid="{00000000-0005-0000-0000-0000DC8F0000}"/>
    <cellStyle name="Финансовый 3 7 5 2 4" xfId="27360" xr:uid="{00000000-0005-0000-0000-0000DD8F0000}"/>
    <cellStyle name="Финансовый 3 7 5 2 5" xfId="50629" xr:uid="{00000000-0005-0000-0000-0000DE8F0000}"/>
    <cellStyle name="Финансовый 3 7 5 3" xfId="5186" xr:uid="{00000000-0005-0000-0000-0000DF8F0000}"/>
    <cellStyle name="Финансовый 3 7 5 3 2" xfId="17164" xr:uid="{00000000-0005-0000-0000-0000E08F0000}"/>
    <cellStyle name="Финансовый 3 7 5 3 2 2" xfId="41119" xr:uid="{00000000-0005-0000-0000-0000E18F0000}"/>
    <cellStyle name="Финансовый 3 7 5 3 3" xfId="29141" xr:uid="{00000000-0005-0000-0000-0000E28F0000}"/>
    <cellStyle name="Финансовый 3 7 5 4" xfId="7796" xr:uid="{00000000-0005-0000-0000-0000E38F0000}"/>
    <cellStyle name="Финансовый 3 7 5 4 2" xfId="19774" xr:uid="{00000000-0005-0000-0000-0000E48F0000}"/>
    <cellStyle name="Финансовый 3 7 5 4 2 2" xfId="43729" xr:uid="{00000000-0005-0000-0000-0000E58F0000}"/>
    <cellStyle name="Финансовый 3 7 5 4 3" xfId="31751" xr:uid="{00000000-0005-0000-0000-0000E68F0000}"/>
    <cellStyle name="Финансовый 3 7 5 5" xfId="9579" xr:uid="{00000000-0005-0000-0000-0000E78F0000}"/>
    <cellStyle name="Финансовый 3 7 5 5 2" xfId="21557" xr:uid="{00000000-0005-0000-0000-0000E88F0000}"/>
    <cellStyle name="Финансовый 3 7 5 5 2 2" xfId="45512" xr:uid="{00000000-0005-0000-0000-0000E98F0000}"/>
    <cellStyle name="Финансовый 3 7 5 5 3" xfId="33534" xr:uid="{00000000-0005-0000-0000-0000EA8F0000}"/>
    <cellStyle name="Финансовый 3 7 5 6" xfId="13737" xr:uid="{00000000-0005-0000-0000-0000EB8F0000}"/>
    <cellStyle name="Финансовый 3 7 5 6 2" xfId="37692" xr:uid="{00000000-0005-0000-0000-0000EC8F0000}"/>
    <cellStyle name="Финансовый 3 7 5 7" xfId="25715" xr:uid="{00000000-0005-0000-0000-0000ED8F0000}"/>
    <cellStyle name="Финансовый 3 7 5 8" xfId="48848" xr:uid="{00000000-0005-0000-0000-0000EE8F0000}"/>
    <cellStyle name="Финансовый 3 7 6" xfId="2403" xr:uid="{00000000-0005-0000-0000-0000EF8F0000}"/>
    <cellStyle name="Финансовый 3 7 6 2" xfId="4048" xr:uid="{00000000-0005-0000-0000-0000F08F0000}"/>
    <cellStyle name="Финансовый 3 7 6 2 2" xfId="11780" xr:uid="{00000000-0005-0000-0000-0000F18F0000}"/>
    <cellStyle name="Финансовый 3 7 6 2 2 2" xfId="23758" xr:uid="{00000000-0005-0000-0000-0000F28F0000}"/>
    <cellStyle name="Финансовый 3 7 6 2 2 2 2" xfId="47713" xr:uid="{00000000-0005-0000-0000-0000F38F0000}"/>
    <cellStyle name="Финансовый 3 7 6 2 2 3" xfId="35735" xr:uid="{00000000-0005-0000-0000-0000F48F0000}"/>
    <cellStyle name="Финансовый 3 7 6 2 3" xfId="16027" xr:uid="{00000000-0005-0000-0000-0000F58F0000}"/>
    <cellStyle name="Финансовый 3 7 6 2 3 2" xfId="39982" xr:uid="{00000000-0005-0000-0000-0000F68F0000}"/>
    <cellStyle name="Финансовый 3 7 6 2 4" xfId="28005" xr:uid="{00000000-0005-0000-0000-0000F78F0000}"/>
    <cellStyle name="Финансовый 3 7 6 2 5" xfId="51274" xr:uid="{00000000-0005-0000-0000-0000F88F0000}"/>
    <cellStyle name="Финансовый 3 7 6 3" xfId="5831" xr:uid="{00000000-0005-0000-0000-0000F98F0000}"/>
    <cellStyle name="Финансовый 3 7 6 3 2" xfId="17809" xr:uid="{00000000-0005-0000-0000-0000FA8F0000}"/>
    <cellStyle name="Финансовый 3 7 6 3 2 2" xfId="41764" xr:uid="{00000000-0005-0000-0000-0000FB8F0000}"/>
    <cellStyle name="Финансовый 3 7 6 3 3" xfId="29786" xr:uid="{00000000-0005-0000-0000-0000FC8F0000}"/>
    <cellStyle name="Финансовый 3 7 6 4" xfId="8441" xr:uid="{00000000-0005-0000-0000-0000FD8F0000}"/>
    <cellStyle name="Финансовый 3 7 6 4 2" xfId="20419" xr:uid="{00000000-0005-0000-0000-0000FE8F0000}"/>
    <cellStyle name="Финансовый 3 7 6 4 2 2" xfId="44374" xr:uid="{00000000-0005-0000-0000-0000FF8F0000}"/>
    <cellStyle name="Финансовый 3 7 6 4 3" xfId="32396" xr:uid="{00000000-0005-0000-0000-000000900000}"/>
    <cellStyle name="Финансовый 3 7 6 5" xfId="10224" xr:uid="{00000000-0005-0000-0000-000001900000}"/>
    <cellStyle name="Финансовый 3 7 6 5 2" xfId="22202" xr:uid="{00000000-0005-0000-0000-000002900000}"/>
    <cellStyle name="Финансовый 3 7 6 5 2 2" xfId="46157" xr:uid="{00000000-0005-0000-0000-000003900000}"/>
    <cellStyle name="Финансовый 3 7 6 5 3" xfId="34179" xr:uid="{00000000-0005-0000-0000-000004900000}"/>
    <cellStyle name="Финансовый 3 7 6 6" xfId="14382" xr:uid="{00000000-0005-0000-0000-000005900000}"/>
    <cellStyle name="Финансовый 3 7 6 6 2" xfId="38337" xr:uid="{00000000-0005-0000-0000-000006900000}"/>
    <cellStyle name="Финансовый 3 7 6 7" xfId="26360" xr:uid="{00000000-0005-0000-0000-000007900000}"/>
    <cellStyle name="Финансовый 3 7 6 8" xfId="49493" xr:uid="{00000000-0005-0000-0000-000008900000}"/>
    <cellStyle name="Финансовый 3 7 7" xfId="1630" xr:uid="{00000000-0005-0000-0000-000009900000}"/>
    <cellStyle name="Финансовый 3 7 7 2" xfId="3275" xr:uid="{00000000-0005-0000-0000-00000A900000}"/>
    <cellStyle name="Финансовый 3 7 7 2 2" xfId="11023" xr:uid="{00000000-0005-0000-0000-00000B900000}"/>
    <cellStyle name="Финансовый 3 7 7 2 2 2" xfId="23001" xr:uid="{00000000-0005-0000-0000-00000C900000}"/>
    <cellStyle name="Финансовый 3 7 7 2 2 2 2" xfId="46956" xr:uid="{00000000-0005-0000-0000-00000D900000}"/>
    <cellStyle name="Финансовый 3 7 7 2 2 3" xfId="34978" xr:uid="{00000000-0005-0000-0000-00000E900000}"/>
    <cellStyle name="Финансовый 3 7 7 2 3" xfId="15254" xr:uid="{00000000-0005-0000-0000-00000F900000}"/>
    <cellStyle name="Финансовый 3 7 7 2 3 2" xfId="39209" xr:uid="{00000000-0005-0000-0000-000010900000}"/>
    <cellStyle name="Финансовый 3 7 7 2 4" xfId="27232" xr:uid="{00000000-0005-0000-0000-000011900000}"/>
    <cellStyle name="Финансовый 3 7 7 2 5" xfId="50501" xr:uid="{00000000-0005-0000-0000-000012900000}"/>
    <cellStyle name="Финансовый 3 7 7 3" xfId="5058" xr:uid="{00000000-0005-0000-0000-000013900000}"/>
    <cellStyle name="Финансовый 3 7 7 3 2" xfId="17036" xr:uid="{00000000-0005-0000-0000-000014900000}"/>
    <cellStyle name="Финансовый 3 7 7 3 2 2" xfId="40991" xr:uid="{00000000-0005-0000-0000-000015900000}"/>
    <cellStyle name="Финансовый 3 7 7 3 3" xfId="29013" xr:uid="{00000000-0005-0000-0000-000016900000}"/>
    <cellStyle name="Финансовый 3 7 7 4" xfId="7668" xr:uid="{00000000-0005-0000-0000-000017900000}"/>
    <cellStyle name="Финансовый 3 7 7 4 2" xfId="19646" xr:uid="{00000000-0005-0000-0000-000018900000}"/>
    <cellStyle name="Финансовый 3 7 7 4 2 2" xfId="43601" xr:uid="{00000000-0005-0000-0000-000019900000}"/>
    <cellStyle name="Финансовый 3 7 7 4 3" xfId="31623" xr:uid="{00000000-0005-0000-0000-00001A900000}"/>
    <cellStyle name="Финансовый 3 7 7 5" xfId="9451" xr:uid="{00000000-0005-0000-0000-00001B900000}"/>
    <cellStyle name="Финансовый 3 7 7 5 2" xfId="21429" xr:uid="{00000000-0005-0000-0000-00001C900000}"/>
    <cellStyle name="Финансовый 3 7 7 5 2 2" xfId="45384" xr:uid="{00000000-0005-0000-0000-00001D900000}"/>
    <cellStyle name="Финансовый 3 7 7 5 3" xfId="33406" xr:uid="{00000000-0005-0000-0000-00001E900000}"/>
    <cellStyle name="Финансовый 3 7 7 6" xfId="13609" xr:uid="{00000000-0005-0000-0000-00001F900000}"/>
    <cellStyle name="Финансовый 3 7 7 6 2" xfId="37564" xr:uid="{00000000-0005-0000-0000-000020900000}"/>
    <cellStyle name="Финансовый 3 7 7 7" xfId="25587" xr:uid="{00000000-0005-0000-0000-000021900000}"/>
    <cellStyle name="Финансовый 3 7 7 8" xfId="48720" xr:uid="{00000000-0005-0000-0000-000022900000}"/>
    <cellStyle name="Финансовый 3 7 8" xfId="907" xr:uid="{00000000-0005-0000-0000-000023900000}"/>
    <cellStyle name="Финансовый 3 7 8 2" xfId="6947" xr:uid="{00000000-0005-0000-0000-000024900000}"/>
    <cellStyle name="Финансовый 3 7 8 2 2" xfId="18925" xr:uid="{00000000-0005-0000-0000-000025900000}"/>
    <cellStyle name="Финансовый 3 7 8 2 2 2" xfId="42880" xr:uid="{00000000-0005-0000-0000-000026900000}"/>
    <cellStyle name="Финансовый 3 7 8 2 3" xfId="30902" xr:uid="{00000000-0005-0000-0000-000027900000}"/>
    <cellStyle name="Финансовый 3 7 8 3" xfId="10495" xr:uid="{00000000-0005-0000-0000-000028900000}"/>
    <cellStyle name="Финансовый 3 7 8 3 2" xfId="22473" xr:uid="{00000000-0005-0000-0000-000029900000}"/>
    <cellStyle name="Финансовый 3 7 8 3 2 2" xfId="46428" xr:uid="{00000000-0005-0000-0000-00002A900000}"/>
    <cellStyle name="Финансовый 3 7 8 3 3" xfId="34450" xr:uid="{00000000-0005-0000-0000-00002B900000}"/>
    <cellStyle name="Финансовый 3 7 8 4" xfId="12888" xr:uid="{00000000-0005-0000-0000-00002C900000}"/>
    <cellStyle name="Финансовый 3 7 8 4 2" xfId="36843" xr:uid="{00000000-0005-0000-0000-00002D900000}"/>
    <cellStyle name="Финансовый 3 7 8 5" xfId="24866" xr:uid="{00000000-0005-0000-0000-00002E900000}"/>
    <cellStyle name="Финансовый 3 7 8 6" xfId="49772" xr:uid="{00000000-0005-0000-0000-00002F900000}"/>
    <cellStyle name="Финансовый 3 7 9" xfId="495" xr:uid="{00000000-0005-0000-0000-000030900000}"/>
    <cellStyle name="Финансовый 3 7 9 2" xfId="6535" xr:uid="{00000000-0005-0000-0000-000031900000}"/>
    <cellStyle name="Финансовый 3 7 9 2 2" xfId="18513" xr:uid="{00000000-0005-0000-0000-000032900000}"/>
    <cellStyle name="Финансовый 3 7 9 2 2 2" xfId="42468" xr:uid="{00000000-0005-0000-0000-000033900000}"/>
    <cellStyle name="Финансовый 3 7 9 2 3" xfId="30490" xr:uid="{00000000-0005-0000-0000-000034900000}"/>
    <cellStyle name="Финансовый 3 7 9 3" xfId="12476" xr:uid="{00000000-0005-0000-0000-000035900000}"/>
    <cellStyle name="Финансовый 3 7 9 3 2" xfId="36431" xr:uid="{00000000-0005-0000-0000-000036900000}"/>
    <cellStyle name="Финансовый 3 7 9 4" xfId="24454" xr:uid="{00000000-0005-0000-0000-000037900000}"/>
    <cellStyle name="Финансовый 3 8" xfId="51" xr:uid="{00000000-0005-0000-0000-000038900000}"/>
    <cellStyle name="Финансовый 3 8 10" xfId="2663" xr:uid="{00000000-0005-0000-0000-000039900000}"/>
    <cellStyle name="Финансовый 3 8 10 2" xfId="14642" xr:uid="{00000000-0005-0000-0000-00003A900000}"/>
    <cellStyle name="Финансовый 3 8 10 2 2" xfId="38597" xr:uid="{00000000-0005-0000-0000-00003B900000}"/>
    <cellStyle name="Финансовый 3 8 10 3" xfId="26620" xr:uid="{00000000-0005-0000-0000-00003C900000}"/>
    <cellStyle name="Финансовый 3 8 11" xfId="4306" xr:uid="{00000000-0005-0000-0000-00003D900000}"/>
    <cellStyle name="Финансовый 3 8 11 2" xfId="16285" xr:uid="{00000000-0005-0000-0000-00003E900000}"/>
    <cellStyle name="Финансовый 3 8 11 2 2" xfId="40240" xr:uid="{00000000-0005-0000-0000-00003F900000}"/>
    <cellStyle name="Финансовый 3 8 11 3" xfId="28263" xr:uid="{00000000-0005-0000-0000-000040900000}"/>
    <cellStyle name="Финансовый 3 8 12" xfId="6094" xr:uid="{00000000-0005-0000-0000-000041900000}"/>
    <cellStyle name="Финансовый 3 8 12 2" xfId="18072" xr:uid="{00000000-0005-0000-0000-000042900000}"/>
    <cellStyle name="Финансовый 3 8 12 2 2" xfId="42027" xr:uid="{00000000-0005-0000-0000-000043900000}"/>
    <cellStyle name="Финансовый 3 8 12 3" xfId="30049" xr:uid="{00000000-0005-0000-0000-000044900000}"/>
    <cellStyle name="Финансовый 3 8 13" xfId="8701" xr:uid="{00000000-0005-0000-0000-000045900000}"/>
    <cellStyle name="Финансовый 3 8 13 2" xfId="20679" xr:uid="{00000000-0005-0000-0000-000046900000}"/>
    <cellStyle name="Финансовый 3 8 13 2 2" xfId="44634" xr:uid="{00000000-0005-0000-0000-000047900000}"/>
    <cellStyle name="Финансовый 3 8 13 3" xfId="32656" xr:uid="{00000000-0005-0000-0000-000048900000}"/>
    <cellStyle name="Финансовый 3 8 14" xfId="12035" xr:uid="{00000000-0005-0000-0000-000049900000}"/>
    <cellStyle name="Финансовый 3 8 14 2" xfId="35990" xr:uid="{00000000-0005-0000-0000-00004A900000}"/>
    <cellStyle name="Финансовый 3 8 15" xfId="24013" xr:uid="{00000000-0005-0000-0000-00004B900000}"/>
    <cellStyle name="Финансовый 3 8 16" xfId="47971" xr:uid="{00000000-0005-0000-0000-00004C900000}"/>
    <cellStyle name="Финансовый 3 8 2" xfId="189" xr:uid="{00000000-0005-0000-0000-00004D900000}"/>
    <cellStyle name="Финансовый 3 8 2 10" xfId="8837" xr:uid="{00000000-0005-0000-0000-00004E900000}"/>
    <cellStyle name="Финансовый 3 8 2 10 2" xfId="20815" xr:uid="{00000000-0005-0000-0000-00004F900000}"/>
    <cellStyle name="Финансовый 3 8 2 10 2 2" xfId="44770" xr:uid="{00000000-0005-0000-0000-000050900000}"/>
    <cellStyle name="Финансовый 3 8 2 10 3" xfId="32792" xr:uid="{00000000-0005-0000-0000-000051900000}"/>
    <cellStyle name="Финансовый 3 8 2 11" xfId="12171" xr:uid="{00000000-0005-0000-0000-000052900000}"/>
    <cellStyle name="Финансовый 3 8 2 11 2" xfId="36126" xr:uid="{00000000-0005-0000-0000-000053900000}"/>
    <cellStyle name="Финансовый 3 8 2 12" xfId="24149" xr:uid="{00000000-0005-0000-0000-000054900000}"/>
    <cellStyle name="Финансовый 3 8 2 13" xfId="48107" xr:uid="{00000000-0005-0000-0000-000055900000}"/>
    <cellStyle name="Финансовый 3 8 2 2" xfId="1287" xr:uid="{00000000-0005-0000-0000-000056900000}"/>
    <cellStyle name="Финансовый 3 8 2 2 2" xfId="2253" xr:uid="{00000000-0005-0000-0000-000057900000}"/>
    <cellStyle name="Финансовый 3 8 2 2 2 2" xfId="3898" xr:uid="{00000000-0005-0000-0000-000058900000}"/>
    <cellStyle name="Финансовый 3 8 2 2 2 2 2" xfId="11638" xr:uid="{00000000-0005-0000-0000-000059900000}"/>
    <cellStyle name="Финансовый 3 8 2 2 2 2 2 2" xfId="23616" xr:uid="{00000000-0005-0000-0000-00005A900000}"/>
    <cellStyle name="Финансовый 3 8 2 2 2 2 2 2 2" xfId="47571" xr:uid="{00000000-0005-0000-0000-00005B900000}"/>
    <cellStyle name="Финансовый 3 8 2 2 2 2 2 3" xfId="35593" xr:uid="{00000000-0005-0000-0000-00005C900000}"/>
    <cellStyle name="Финансовый 3 8 2 2 2 2 3" xfId="15877" xr:uid="{00000000-0005-0000-0000-00005D900000}"/>
    <cellStyle name="Финансовый 3 8 2 2 2 2 3 2" xfId="39832" xr:uid="{00000000-0005-0000-0000-00005E900000}"/>
    <cellStyle name="Финансовый 3 8 2 2 2 2 4" xfId="27855" xr:uid="{00000000-0005-0000-0000-00005F900000}"/>
    <cellStyle name="Финансовый 3 8 2 2 2 2 5" xfId="51124" xr:uid="{00000000-0005-0000-0000-000060900000}"/>
    <cellStyle name="Финансовый 3 8 2 2 2 3" xfId="5681" xr:uid="{00000000-0005-0000-0000-000061900000}"/>
    <cellStyle name="Финансовый 3 8 2 2 2 3 2" xfId="17659" xr:uid="{00000000-0005-0000-0000-000062900000}"/>
    <cellStyle name="Финансовый 3 8 2 2 2 3 2 2" xfId="41614" xr:uid="{00000000-0005-0000-0000-000063900000}"/>
    <cellStyle name="Финансовый 3 8 2 2 2 3 3" xfId="29636" xr:uid="{00000000-0005-0000-0000-000064900000}"/>
    <cellStyle name="Финансовый 3 8 2 2 2 4" xfId="8291" xr:uid="{00000000-0005-0000-0000-000065900000}"/>
    <cellStyle name="Финансовый 3 8 2 2 2 4 2" xfId="20269" xr:uid="{00000000-0005-0000-0000-000066900000}"/>
    <cellStyle name="Финансовый 3 8 2 2 2 4 2 2" xfId="44224" xr:uid="{00000000-0005-0000-0000-000067900000}"/>
    <cellStyle name="Финансовый 3 8 2 2 2 4 3" xfId="32246" xr:uid="{00000000-0005-0000-0000-000068900000}"/>
    <cellStyle name="Финансовый 3 8 2 2 2 5" xfId="10074" xr:uid="{00000000-0005-0000-0000-000069900000}"/>
    <cellStyle name="Финансовый 3 8 2 2 2 5 2" xfId="22052" xr:uid="{00000000-0005-0000-0000-00006A900000}"/>
    <cellStyle name="Финансовый 3 8 2 2 2 5 2 2" xfId="46007" xr:uid="{00000000-0005-0000-0000-00006B900000}"/>
    <cellStyle name="Финансовый 3 8 2 2 2 5 3" xfId="34029" xr:uid="{00000000-0005-0000-0000-00006C900000}"/>
    <cellStyle name="Финансовый 3 8 2 2 2 6" xfId="14232" xr:uid="{00000000-0005-0000-0000-00006D900000}"/>
    <cellStyle name="Финансовый 3 8 2 2 2 6 2" xfId="38187" xr:uid="{00000000-0005-0000-0000-00006E900000}"/>
    <cellStyle name="Финансовый 3 8 2 2 2 7" xfId="26210" xr:uid="{00000000-0005-0000-0000-00006F900000}"/>
    <cellStyle name="Финансовый 3 8 2 2 2 8" xfId="49343" xr:uid="{00000000-0005-0000-0000-000070900000}"/>
    <cellStyle name="Финансовый 3 8 2 2 3" xfId="3071" xr:uid="{00000000-0005-0000-0000-000071900000}"/>
    <cellStyle name="Финансовый 3 8 2 2 3 2" xfId="10866" xr:uid="{00000000-0005-0000-0000-000072900000}"/>
    <cellStyle name="Финансовый 3 8 2 2 3 2 2" xfId="22844" xr:uid="{00000000-0005-0000-0000-000073900000}"/>
    <cellStyle name="Финансовый 3 8 2 2 3 2 2 2" xfId="46799" xr:uid="{00000000-0005-0000-0000-000074900000}"/>
    <cellStyle name="Финансовый 3 8 2 2 3 2 3" xfId="34821" xr:uid="{00000000-0005-0000-0000-000075900000}"/>
    <cellStyle name="Финансовый 3 8 2 2 3 3" xfId="15050" xr:uid="{00000000-0005-0000-0000-000076900000}"/>
    <cellStyle name="Финансовый 3 8 2 2 3 3 2" xfId="39005" xr:uid="{00000000-0005-0000-0000-000077900000}"/>
    <cellStyle name="Финансовый 3 8 2 2 3 4" xfId="27028" xr:uid="{00000000-0005-0000-0000-000078900000}"/>
    <cellStyle name="Финансовый 3 8 2 2 3 5" xfId="50159" xr:uid="{00000000-0005-0000-0000-000079900000}"/>
    <cellStyle name="Финансовый 3 8 2 2 4" xfId="4715" xr:uid="{00000000-0005-0000-0000-00007A900000}"/>
    <cellStyle name="Финансовый 3 8 2 2 4 2" xfId="16694" xr:uid="{00000000-0005-0000-0000-00007B900000}"/>
    <cellStyle name="Финансовый 3 8 2 2 4 2 2" xfId="40649" xr:uid="{00000000-0005-0000-0000-00007C900000}"/>
    <cellStyle name="Финансовый 3 8 2 2 4 3" xfId="28672" xr:uid="{00000000-0005-0000-0000-00007D900000}"/>
    <cellStyle name="Финансовый 3 8 2 2 5" xfId="7327" xr:uid="{00000000-0005-0000-0000-00007E900000}"/>
    <cellStyle name="Финансовый 3 8 2 2 5 2" xfId="19305" xr:uid="{00000000-0005-0000-0000-00007F900000}"/>
    <cellStyle name="Финансовый 3 8 2 2 5 2 2" xfId="43260" xr:uid="{00000000-0005-0000-0000-000080900000}"/>
    <cellStyle name="Финансовый 3 8 2 2 5 3" xfId="31282" xr:uid="{00000000-0005-0000-0000-000081900000}"/>
    <cellStyle name="Финансовый 3 8 2 2 6" xfId="9109" xr:uid="{00000000-0005-0000-0000-000082900000}"/>
    <cellStyle name="Финансовый 3 8 2 2 6 2" xfId="21087" xr:uid="{00000000-0005-0000-0000-000083900000}"/>
    <cellStyle name="Финансовый 3 8 2 2 6 2 2" xfId="45042" xr:uid="{00000000-0005-0000-0000-000084900000}"/>
    <cellStyle name="Финансовый 3 8 2 2 6 3" xfId="33064" xr:uid="{00000000-0005-0000-0000-000085900000}"/>
    <cellStyle name="Финансовый 3 8 2 2 7" xfId="13268" xr:uid="{00000000-0005-0000-0000-000086900000}"/>
    <cellStyle name="Финансовый 3 8 2 2 7 2" xfId="37223" xr:uid="{00000000-0005-0000-0000-000087900000}"/>
    <cellStyle name="Финансовый 3 8 2 2 8" xfId="25246" xr:uid="{00000000-0005-0000-0000-000088900000}"/>
    <cellStyle name="Финансовый 3 8 2 2 9" xfId="48379" xr:uid="{00000000-0005-0000-0000-000089900000}"/>
    <cellStyle name="Финансовый 3 8 2 3" xfId="1997" xr:uid="{00000000-0005-0000-0000-00008A900000}"/>
    <cellStyle name="Финансовый 3 8 2 3 2" xfId="3642" xr:uid="{00000000-0005-0000-0000-00008B900000}"/>
    <cellStyle name="Финансовый 3 8 2 3 2 2" xfId="11382" xr:uid="{00000000-0005-0000-0000-00008C900000}"/>
    <cellStyle name="Финансовый 3 8 2 3 2 2 2" xfId="23360" xr:uid="{00000000-0005-0000-0000-00008D900000}"/>
    <cellStyle name="Финансовый 3 8 2 3 2 2 2 2" xfId="47315" xr:uid="{00000000-0005-0000-0000-00008E900000}"/>
    <cellStyle name="Финансовый 3 8 2 3 2 2 3" xfId="35337" xr:uid="{00000000-0005-0000-0000-00008F900000}"/>
    <cellStyle name="Финансовый 3 8 2 3 2 3" xfId="15621" xr:uid="{00000000-0005-0000-0000-000090900000}"/>
    <cellStyle name="Финансовый 3 8 2 3 2 3 2" xfId="39576" xr:uid="{00000000-0005-0000-0000-000091900000}"/>
    <cellStyle name="Финансовый 3 8 2 3 2 4" xfId="27599" xr:uid="{00000000-0005-0000-0000-000092900000}"/>
    <cellStyle name="Финансовый 3 8 2 3 2 5" xfId="50868" xr:uid="{00000000-0005-0000-0000-000093900000}"/>
    <cellStyle name="Финансовый 3 8 2 3 3" xfId="5425" xr:uid="{00000000-0005-0000-0000-000094900000}"/>
    <cellStyle name="Финансовый 3 8 2 3 3 2" xfId="17403" xr:uid="{00000000-0005-0000-0000-000095900000}"/>
    <cellStyle name="Финансовый 3 8 2 3 3 2 2" xfId="41358" xr:uid="{00000000-0005-0000-0000-000096900000}"/>
    <cellStyle name="Финансовый 3 8 2 3 3 3" xfId="29380" xr:uid="{00000000-0005-0000-0000-000097900000}"/>
    <cellStyle name="Финансовый 3 8 2 3 4" xfId="8035" xr:uid="{00000000-0005-0000-0000-000098900000}"/>
    <cellStyle name="Финансовый 3 8 2 3 4 2" xfId="20013" xr:uid="{00000000-0005-0000-0000-000099900000}"/>
    <cellStyle name="Финансовый 3 8 2 3 4 2 2" xfId="43968" xr:uid="{00000000-0005-0000-0000-00009A900000}"/>
    <cellStyle name="Финансовый 3 8 2 3 4 3" xfId="31990" xr:uid="{00000000-0005-0000-0000-00009B900000}"/>
    <cellStyle name="Финансовый 3 8 2 3 5" xfId="9818" xr:uid="{00000000-0005-0000-0000-00009C900000}"/>
    <cellStyle name="Финансовый 3 8 2 3 5 2" xfId="21796" xr:uid="{00000000-0005-0000-0000-00009D900000}"/>
    <cellStyle name="Финансовый 3 8 2 3 5 2 2" xfId="45751" xr:uid="{00000000-0005-0000-0000-00009E900000}"/>
    <cellStyle name="Финансовый 3 8 2 3 5 3" xfId="33773" xr:uid="{00000000-0005-0000-0000-00009F900000}"/>
    <cellStyle name="Финансовый 3 8 2 3 6" xfId="13976" xr:uid="{00000000-0005-0000-0000-0000A0900000}"/>
    <cellStyle name="Финансовый 3 8 2 3 6 2" xfId="37931" xr:uid="{00000000-0005-0000-0000-0000A1900000}"/>
    <cellStyle name="Финансовый 3 8 2 3 7" xfId="25954" xr:uid="{00000000-0005-0000-0000-0000A2900000}"/>
    <cellStyle name="Финансовый 3 8 2 3 8" xfId="49087" xr:uid="{00000000-0005-0000-0000-0000A3900000}"/>
    <cellStyle name="Финансовый 3 8 2 4" xfId="2518" xr:uid="{00000000-0005-0000-0000-0000A4900000}"/>
    <cellStyle name="Финансовый 3 8 2 4 2" xfId="4163" xr:uid="{00000000-0005-0000-0000-0000A5900000}"/>
    <cellStyle name="Финансовый 3 8 2 4 2 2" xfId="11895" xr:uid="{00000000-0005-0000-0000-0000A6900000}"/>
    <cellStyle name="Финансовый 3 8 2 4 2 2 2" xfId="23873" xr:uid="{00000000-0005-0000-0000-0000A7900000}"/>
    <cellStyle name="Финансовый 3 8 2 4 2 2 2 2" xfId="47828" xr:uid="{00000000-0005-0000-0000-0000A8900000}"/>
    <cellStyle name="Финансовый 3 8 2 4 2 2 3" xfId="35850" xr:uid="{00000000-0005-0000-0000-0000A9900000}"/>
    <cellStyle name="Финансовый 3 8 2 4 2 3" xfId="16142" xr:uid="{00000000-0005-0000-0000-0000AA900000}"/>
    <cellStyle name="Финансовый 3 8 2 4 2 3 2" xfId="40097" xr:uid="{00000000-0005-0000-0000-0000AB900000}"/>
    <cellStyle name="Финансовый 3 8 2 4 2 4" xfId="28120" xr:uid="{00000000-0005-0000-0000-0000AC900000}"/>
    <cellStyle name="Финансовый 3 8 2 4 2 5" xfId="51389" xr:uid="{00000000-0005-0000-0000-0000AD900000}"/>
    <cellStyle name="Финансовый 3 8 2 4 3" xfId="5946" xr:uid="{00000000-0005-0000-0000-0000AE900000}"/>
    <cellStyle name="Финансовый 3 8 2 4 3 2" xfId="17924" xr:uid="{00000000-0005-0000-0000-0000AF900000}"/>
    <cellStyle name="Финансовый 3 8 2 4 3 2 2" xfId="41879" xr:uid="{00000000-0005-0000-0000-0000B0900000}"/>
    <cellStyle name="Финансовый 3 8 2 4 3 3" xfId="29901" xr:uid="{00000000-0005-0000-0000-0000B1900000}"/>
    <cellStyle name="Финансовый 3 8 2 4 4" xfId="8556" xr:uid="{00000000-0005-0000-0000-0000B2900000}"/>
    <cellStyle name="Финансовый 3 8 2 4 4 2" xfId="20534" xr:uid="{00000000-0005-0000-0000-0000B3900000}"/>
    <cellStyle name="Финансовый 3 8 2 4 4 2 2" xfId="44489" xr:uid="{00000000-0005-0000-0000-0000B4900000}"/>
    <cellStyle name="Финансовый 3 8 2 4 4 3" xfId="32511" xr:uid="{00000000-0005-0000-0000-0000B5900000}"/>
    <cellStyle name="Финансовый 3 8 2 4 5" xfId="10339" xr:uid="{00000000-0005-0000-0000-0000B6900000}"/>
    <cellStyle name="Финансовый 3 8 2 4 5 2" xfId="22317" xr:uid="{00000000-0005-0000-0000-0000B7900000}"/>
    <cellStyle name="Финансовый 3 8 2 4 5 2 2" xfId="46272" xr:uid="{00000000-0005-0000-0000-0000B8900000}"/>
    <cellStyle name="Финансовый 3 8 2 4 5 3" xfId="34294" xr:uid="{00000000-0005-0000-0000-0000B9900000}"/>
    <cellStyle name="Финансовый 3 8 2 4 6" xfId="14497" xr:uid="{00000000-0005-0000-0000-0000BA900000}"/>
    <cellStyle name="Финансовый 3 8 2 4 6 2" xfId="38452" xr:uid="{00000000-0005-0000-0000-0000BB900000}"/>
    <cellStyle name="Финансовый 3 8 2 4 7" xfId="26475" xr:uid="{00000000-0005-0000-0000-0000BC900000}"/>
    <cellStyle name="Финансовый 3 8 2 4 8" xfId="49608" xr:uid="{00000000-0005-0000-0000-0000BD900000}"/>
    <cellStyle name="Финансовый 3 8 2 5" xfId="1022" xr:uid="{00000000-0005-0000-0000-0000BE900000}"/>
    <cellStyle name="Финансовый 3 8 2 5 2" xfId="7062" xr:uid="{00000000-0005-0000-0000-0000BF900000}"/>
    <cellStyle name="Финансовый 3 8 2 5 2 2" xfId="19040" xr:uid="{00000000-0005-0000-0000-0000C0900000}"/>
    <cellStyle name="Финансовый 3 8 2 5 2 2 2" xfId="42995" xr:uid="{00000000-0005-0000-0000-0000C1900000}"/>
    <cellStyle name="Финансовый 3 8 2 5 2 3" xfId="31017" xr:uid="{00000000-0005-0000-0000-0000C2900000}"/>
    <cellStyle name="Финансовый 3 8 2 5 3" xfId="10610" xr:uid="{00000000-0005-0000-0000-0000C3900000}"/>
    <cellStyle name="Финансовый 3 8 2 5 3 2" xfId="22588" xr:uid="{00000000-0005-0000-0000-0000C4900000}"/>
    <cellStyle name="Финансовый 3 8 2 5 3 2 2" xfId="46543" xr:uid="{00000000-0005-0000-0000-0000C5900000}"/>
    <cellStyle name="Финансовый 3 8 2 5 3 3" xfId="34565" xr:uid="{00000000-0005-0000-0000-0000C6900000}"/>
    <cellStyle name="Финансовый 3 8 2 5 4" xfId="13003" xr:uid="{00000000-0005-0000-0000-0000C7900000}"/>
    <cellStyle name="Финансовый 3 8 2 5 4 2" xfId="36958" xr:uid="{00000000-0005-0000-0000-0000C8900000}"/>
    <cellStyle name="Финансовый 3 8 2 5 5" xfId="24981" xr:uid="{00000000-0005-0000-0000-0000C9900000}"/>
    <cellStyle name="Финансовый 3 8 2 5 6" xfId="49887" xr:uid="{00000000-0005-0000-0000-0000CA900000}"/>
    <cellStyle name="Финансовый 3 8 2 6" xfId="610" xr:uid="{00000000-0005-0000-0000-0000CB900000}"/>
    <cellStyle name="Финансовый 3 8 2 6 2" xfId="6650" xr:uid="{00000000-0005-0000-0000-0000CC900000}"/>
    <cellStyle name="Финансовый 3 8 2 6 2 2" xfId="18628" xr:uid="{00000000-0005-0000-0000-0000CD900000}"/>
    <cellStyle name="Финансовый 3 8 2 6 2 2 2" xfId="42583" xr:uid="{00000000-0005-0000-0000-0000CE900000}"/>
    <cellStyle name="Финансовый 3 8 2 6 2 3" xfId="30605" xr:uid="{00000000-0005-0000-0000-0000CF900000}"/>
    <cellStyle name="Финансовый 3 8 2 6 3" xfId="12591" xr:uid="{00000000-0005-0000-0000-0000D0900000}"/>
    <cellStyle name="Финансовый 3 8 2 6 3 2" xfId="36546" xr:uid="{00000000-0005-0000-0000-0000D1900000}"/>
    <cellStyle name="Финансовый 3 8 2 6 4" xfId="24569" xr:uid="{00000000-0005-0000-0000-0000D2900000}"/>
    <cellStyle name="Финансовый 3 8 2 7" xfId="2799" xr:uid="{00000000-0005-0000-0000-0000D3900000}"/>
    <cellStyle name="Финансовый 3 8 2 7 2" xfId="14778" xr:uid="{00000000-0005-0000-0000-0000D4900000}"/>
    <cellStyle name="Финансовый 3 8 2 7 2 2" xfId="38733" xr:uid="{00000000-0005-0000-0000-0000D5900000}"/>
    <cellStyle name="Финансовый 3 8 2 7 3" xfId="26756" xr:uid="{00000000-0005-0000-0000-0000D6900000}"/>
    <cellStyle name="Финансовый 3 8 2 8" xfId="4443" xr:uid="{00000000-0005-0000-0000-0000D7900000}"/>
    <cellStyle name="Финансовый 3 8 2 8 2" xfId="16422" xr:uid="{00000000-0005-0000-0000-0000D8900000}"/>
    <cellStyle name="Финансовый 3 8 2 8 2 2" xfId="40377" xr:uid="{00000000-0005-0000-0000-0000D9900000}"/>
    <cellStyle name="Финансовый 3 8 2 8 3" xfId="28400" xr:uid="{00000000-0005-0000-0000-0000DA900000}"/>
    <cellStyle name="Финансовый 3 8 2 9" xfId="6230" xr:uid="{00000000-0005-0000-0000-0000DB900000}"/>
    <cellStyle name="Финансовый 3 8 2 9 2" xfId="18208" xr:uid="{00000000-0005-0000-0000-0000DC900000}"/>
    <cellStyle name="Финансовый 3 8 2 9 2 2" xfId="42163" xr:uid="{00000000-0005-0000-0000-0000DD900000}"/>
    <cellStyle name="Финансовый 3 8 2 9 3" xfId="30185" xr:uid="{00000000-0005-0000-0000-0000DE900000}"/>
    <cellStyle name="Финансовый 3 8 3" xfId="338" xr:uid="{00000000-0005-0000-0000-0000DF900000}"/>
    <cellStyle name="Финансовый 3 8 3 10" xfId="24297" xr:uid="{00000000-0005-0000-0000-0000E0900000}"/>
    <cellStyle name="Финансовый 3 8 3 11" xfId="48243" xr:uid="{00000000-0005-0000-0000-0000E1900000}"/>
    <cellStyle name="Финансовый 3 8 3 2" xfId="2125" xr:uid="{00000000-0005-0000-0000-0000E2900000}"/>
    <cellStyle name="Финансовый 3 8 3 2 2" xfId="3770" xr:uid="{00000000-0005-0000-0000-0000E3900000}"/>
    <cellStyle name="Финансовый 3 8 3 2 2 2" xfId="11510" xr:uid="{00000000-0005-0000-0000-0000E4900000}"/>
    <cellStyle name="Финансовый 3 8 3 2 2 2 2" xfId="23488" xr:uid="{00000000-0005-0000-0000-0000E5900000}"/>
    <cellStyle name="Финансовый 3 8 3 2 2 2 2 2" xfId="47443" xr:uid="{00000000-0005-0000-0000-0000E6900000}"/>
    <cellStyle name="Финансовый 3 8 3 2 2 2 3" xfId="35465" xr:uid="{00000000-0005-0000-0000-0000E7900000}"/>
    <cellStyle name="Финансовый 3 8 3 2 2 3" xfId="15749" xr:uid="{00000000-0005-0000-0000-0000E8900000}"/>
    <cellStyle name="Финансовый 3 8 3 2 2 3 2" xfId="39704" xr:uid="{00000000-0005-0000-0000-0000E9900000}"/>
    <cellStyle name="Финансовый 3 8 3 2 2 4" xfId="27727" xr:uid="{00000000-0005-0000-0000-0000EA900000}"/>
    <cellStyle name="Финансовый 3 8 3 2 2 5" xfId="50996" xr:uid="{00000000-0005-0000-0000-0000EB900000}"/>
    <cellStyle name="Финансовый 3 8 3 2 3" xfId="5553" xr:uid="{00000000-0005-0000-0000-0000EC900000}"/>
    <cellStyle name="Финансовый 3 8 3 2 3 2" xfId="17531" xr:uid="{00000000-0005-0000-0000-0000ED900000}"/>
    <cellStyle name="Финансовый 3 8 3 2 3 2 2" xfId="41486" xr:uid="{00000000-0005-0000-0000-0000EE900000}"/>
    <cellStyle name="Финансовый 3 8 3 2 3 3" xfId="29508" xr:uid="{00000000-0005-0000-0000-0000EF900000}"/>
    <cellStyle name="Финансовый 3 8 3 2 4" xfId="8163" xr:uid="{00000000-0005-0000-0000-0000F0900000}"/>
    <cellStyle name="Финансовый 3 8 3 2 4 2" xfId="20141" xr:uid="{00000000-0005-0000-0000-0000F1900000}"/>
    <cellStyle name="Финансовый 3 8 3 2 4 2 2" xfId="44096" xr:uid="{00000000-0005-0000-0000-0000F2900000}"/>
    <cellStyle name="Финансовый 3 8 3 2 4 3" xfId="32118" xr:uid="{00000000-0005-0000-0000-0000F3900000}"/>
    <cellStyle name="Финансовый 3 8 3 2 5" xfId="9946" xr:uid="{00000000-0005-0000-0000-0000F4900000}"/>
    <cellStyle name="Финансовый 3 8 3 2 5 2" xfId="21924" xr:uid="{00000000-0005-0000-0000-0000F5900000}"/>
    <cellStyle name="Финансовый 3 8 3 2 5 2 2" xfId="45879" xr:uid="{00000000-0005-0000-0000-0000F6900000}"/>
    <cellStyle name="Финансовый 3 8 3 2 5 3" xfId="33901" xr:uid="{00000000-0005-0000-0000-0000F7900000}"/>
    <cellStyle name="Финансовый 3 8 3 2 6" xfId="14104" xr:uid="{00000000-0005-0000-0000-0000F8900000}"/>
    <cellStyle name="Финансовый 3 8 3 2 6 2" xfId="38059" xr:uid="{00000000-0005-0000-0000-0000F9900000}"/>
    <cellStyle name="Финансовый 3 8 3 2 7" xfId="26082" xr:uid="{00000000-0005-0000-0000-0000FA900000}"/>
    <cellStyle name="Финансовый 3 8 3 2 8" xfId="49215" xr:uid="{00000000-0005-0000-0000-0000FB900000}"/>
    <cellStyle name="Финансовый 3 8 3 3" xfId="1158" xr:uid="{00000000-0005-0000-0000-0000FC900000}"/>
    <cellStyle name="Финансовый 3 8 3 3 2" xfId="7198" xr:uid="{00000000-0005-0000-0000-0000FD900000}"/>
    <cellStyle name="Финансовый 3 8 3 3 2 2" xfId="19176" xr:uid="{00000000-0005-0000-0000-0000FE900000}"/>
    <cellStyle name="Финансовый 3 8 3 3 2 2 2" xfId="43131" xr:uid="{00000000-0005-0000-0000-0000FF900000}"/>
    <cellStyle name="Финансовый 3 8 3 3 2 3" xfId="31153" xr:uid="{00000000-0005-0000-0000-000000910000}"/>
    <cellStyle name="Финансовый 3 8 3 3 3" xfId="10738" xr:uid="{00000000-0005-0000-0000-000001910000}"/>
    <cellStyle name="Финансовый 3 8 3 3 3 2" xfId="22716" xr:uid="{00000000-0005-0000-0000-000002910000}"/>
    <cellStyle name="Финансовый 3 8 3 3 3 2 2" xfId="46671" xr:uid="{00000000-0005-0000-0000-000003910000}"/>
    <cellStyle name="Финансовый 3 8 3 3 3 3" xfId="34693" xr:uid="{00000000-0005-0000-0000-000004910000}"/>
    <cellStyle name="Финансовый 3 8 3 3 4" xfId="13139" xr:uid="{00000000-0005-0000-0000-000005910000}"/>
    <cellStyle name="Финансовый 3 8 3 3 4 2" xfId="37094" xr:uid="{00000000-0005-0000-0000-000006910000}"/>
    <cellStyle name="Финансовый 3 8 3 3 5" xfId="25117" xr:uid="{00000000-0005-0000-0000-000007910000}"/>
    <cellStyle name="Финансовый 3 8 3 3 6" xfId="50023" xr:uid="{00000000-0005-0000-0000-000008910000}"/>
    <cellStyle name="Финансовый 3 8 3 4" xfId="758" xr:uid="{00000000-0005-0000-0000-000009910000}"/>
    <cellStyle name="Финансовый 3 8 3 4 2" xfId="6798" xr:uid="{00000000-0005-0000-0000-00000A910000}"/>
    <cellStyle name="Финансовый 3 8 3 4 2 2" xfId="18776" xr:uid="{00000000-0005-0000-0000-00000B910000}"/>
    <cellStyle name="Финансовый 3 8 3 4 2 2 2" xfId="42731" xr:uid="{00000000-0005-0000-0000-00000C910000}"/>
    <cellStyle name="Финансовый 3 8 3 4 2 3" xfId="30753" xr:uid="{00000000-0005-0000-0000-00000D910000}"/>
    <cellStyle name="Финансовый 3 8 3 4 3" xfId="12739" xr:uid="{00000000-0005-0000-0000-00000E910000}"/>
    <cellStyle name="Финансовый 3 8 3 4 3 2" xfId="36694" xr:uid="{00000000-0005-0000-0000-00000F910000}"/>
    <cellStyle name="Финансовый 3 8 3 4 4" xfId="24717" xr:uid="{00000000-0005-0000-0000-000010910000}"/>
    <cellStyle name="Финансовый 3 8 3 5" xfId="2935" xr:uid="{00000000-0005-0000-0000-000011910000}"/>
    <cellStyle name="Финансовый 3 8 3 5 2" xfId="14914" xr:uid="{00000000-0005-0000-0000-000012910000}"/>
    <cellStyle name="Финансовый 3 8 3 5 2 2" xfId="38869" xr:uid="{00000000-0005-0000-0000-000013910000}"/>
    <cellStyle name="Финансовый 3 8 3 5 3" xfId="26892" xr:uid="{00000000-0005-0000-0000-000014910000}"/>
    <cellStyle name="Финансовый 3 8 3 6" xfId="4579" xr:uid="{00000000-0005-0000-0000-000015910000}"/>
    <cellStyle name="Финансовый 3 8 3 6 2" xfId="16558" xr:uid="{00000000-0005-0000-0000-000016910000}"/>
    <cellStyle name="Финансовый 3 8 3 6 2 2" xfId="40513" xr:uid="{00000000-0005-0000-0000-000017910000}"/>
    <cellStyle name="Финансовый 3 8 3 6 3" xfId="28536" xr:uid="{00000000-0005-0000-0000-000018910000}"/>
    <cellStyle name="Финансовый 3 8 3 7" xfId="6378" xr:uid="{00000000-0005-0000-0000-000019910000}"/>
    <cellStyle name="Финансовый 3 8 3 7 2" xfId="18356" xr:uid="{00000000-0005-0000-0000-00001A910000}"/>
    <cellStyle name="Финансовый 3 8 3 7 2 2" xfId="42311" xr:uid="{00000000-0005-0000-0000-00001B910000}"/>
    <cellStyle name="Финансовый 3 8 3 7 3" xfId="30333" xr:uid="{00000000-0005-0000-0000-00001C910000}"/>
    <cellStyle name="Финансовый 3 8 3 8" xfId="8973" xr:uid="{00000000-0005-0000-0000-00001D910000}"/>
    <cellStyle name="Финансовый 3 8 3 8 2" xfId="20951" xr:uid="{00000000-0005-0000-0000-00001E910000}"/>
    <cellStyle name="Финансовый 3 8 3 8 2 2" xfId="44906" xr:uid="{00000000-0005-0000-0000-00001F910000}"/>
    <cellStyle name="Финансовый 3 8 3 8 3" xfId="32928" xr:uid="{00000000-0005-0000-0000-000020910000}"/>
    <cellStyle name="Финансовый 3 8 3 9" xfId="12319" xr:uid="{00000000-0005-0000-0000-000021910000}"/>
    <cellStyle name="Финансовый 3 8 3 9 2" xfId="36274" xr:uid="{00000000-0005-0000-0000-000022910000}"/>
    <cellStyle name="Финансовый 3 8 4" xfId="1420" xr:uid="{00000000-0005-0000-0000-000023910000}"/>
    <cellStyle name="Финансовый 3 8 4 2" xfId="1861" xr:uid="{00000000-0005-0000-0000-000024910000}"/>
    <cellStyle name="Финансовый 3 8 4 2 2" xfId="3506" xr:uid="{00000000-0005-0000-0000-000025910000}"/>
    <cellStyle name="Финансовый 3 8 4 2 2 2" xfId="11254" xr:uid="{00000000-0005-0000-0000-000026910000}"/>
    <cellStyle name="Финансовый 3 8 4 2 2 2 2" xfId="23232" xr:uid="{00000000-0005-0000-0000-000027910000}"/>
    <cellStyle name="Финансовый 3 8 4 2 2 2 2 2" xfId="47187" xr:uid="{00000000-0005-0000-0000-000028910000}"/>
    <cellStyle name="Финансовый 3 8 4 2 2 2 3" xfId="35209" xr:uid="{00000000-0005-0000-0000-000029910000}"/>
    <cellStyle name="Финансовый 3 8 4 2 2 3" xfId="15485" xr:uid="{00000000-0005-0000-0000-00002A910000}"/>
    <cellStyle name="Финансовый 3 8 4 2 2 3 2" xfId="39440" xr:uid="{00000000-0005-0000-0000-00002B910000}"/>
    <cellStyle name="Финансовый 3 8 4 2 2 4" xfId="27463" xr:uid="{00000000-0005-0000-0000-00002C910000}"/>
    <cellStyle name="Финансовый 3 8 4 2 2 5" xfId="50732" xr:uid="{00000000-0005-0000-0000-00002D910000}"/>
    <cellStyle name="Финансовый 3 8 4 2 3" xfId="5289" xr:uid="{00000000-0005-0000-0000-00002E910000}"/>
    <cellStyle name="Финансовый 3 8 4 2 3 2" xfId="17267" xr:uid="{00000000-0005-0000-0000-00002F910000}"/>
    <cellStyle name="Финансовый 3 8 4 2 3 2 2" xfId="41222" xr:uid="{00000000-0005-0000-0000-000030910000}"/>
    <cellStyle name="Финансовый 3 8 4 2 3 3" xfId="29244" xr:uid="{00000000-0005-0000-0000-000031910000}"/>
    <cellStyle name="Финансовый 3 8 4 2 4" xfId="7899" xr:uid="{00000000-0005-0000-0000-000032910000}"/>
    <cellStyle name="Финансовый 3 8 4 2 4 2" xfId="19877" xr:uid="{00000000-0005-0000-0000-000033910000}"/>
    <cellStyle name="Финансовый 3 8 4 2 4 2 2" xfId="43832" xr:uid="{00000000-0005-0000-0000-000034910000}"/>
    <cellStyle name="Финансовый 3 8 4 2 4 3" xfId="31854" xr:uid="{00000000-0005-0000-0000-000035910000}"/>
    <cellStyle name="Финансовый 3 8 4 2 5" xfId="9682" xr:uid="{00000000-0005-0000-0000-000036910000}"/>
    <cellStyle name="Финансовый 3 8 4 2 5 2" xfId="21660" xr:uid="{00000000-0005-0000-0000-000037910000}"/>
    <cellStyle name="Финансовый 3 8 4 2 5 2 2" xfId="45615" xr:uid="{00000000-0005-0000-0000-000038910000}"/>
    <cellStyle name="Финансовый 3 8 4 2 5 3" xfId="33637" xr:uid="{00000000-0005-0000-0000-000039910000}"/>
    <cellStyle name="Финансовый 3 8 4 2 6" xfId="13840" xr:uid="{00000000-0005-0000-0000-00003A910000}"/>
    <cellStyle name="Финансовый 3 8 4 2 6 2" xfId="37795" xr:uid="{00000000-0005-0000-0000-00003B910000}"/>
    <cellStyle name="Финансовый 3 8 4 2 7" xfId="25818" xr:uid="{00000000-0005-0000-0000-00003C910000}"/>
    <cellStyle name="Финансовый 3 8 4 2 8" xfId="48951" xr:uid="{00000000-0005-0000-0000-00003D910000}"/>
    <cellStyle name="Финансовый 3 8 4 3" xfId="4848" xr:uid="{00000000-0005-0000-0000-00003E910000}"/>
    <cellStyle name="Финансовый 3 8 4 3 2" xfId="16827" xr:uid="{00000000-0005-0000-0000-00003F910000}"/>
    <cellStyle name="Финансовый 3 8 4 3 2 2" xfId="40782" xr:uid="{00000000-0005-0000-0000-000040910000}"/>
    <cellStyle name="Финансовый 3 8 4 3 3" xfId="28805" xr:uid="{00000000-0005-0000-0000-000041910000}"/>
    <cellStyle name="Финансовый 3 8 4 3 4" xfId="50292" xr:uid="{00000000-0005-0000-0000-000042910000}"/>
    <cellStyle name="Финансовый 3 8 4 4" xfId="7460" xr:uid="{00000000-0005-0000-0000-000043910000}"/>
    <cellStyle name="Финансовый 3 8 4 4 2" xfId="19438" xr:uid="{00000000-0005-0000-0000-000044910000}"/>
    <cellStyle name="Финансовый 3 8 4 4 2 2" xfId="43393" xr:uid="{00000000-0005-0000-0000-000045910000}"/>
    <cellStyle name="Финансовый 3 8 4 4 3" xfId="31415" xr:uid="{00000000-0005-0000-0000-000046910000}"/>
    <cellStyle name="Финансовый 3 8 4 5" xfId="9242" xr:uid="{00000000-0005-0000-0000-000047910000}"/>
    <cellStyle name="Финансовый 3 8 4 5 2" xfId="21220" xr:uid="{00000000-0005-0000-0000-000048910000}"/>
    <cellStyle name="Финансовый 3 8 4 5 2 2" xfId="45175" xr:uid="{00000000-0005-0000-0000-000049910000}"/>
    <cellStyle name="Финансовый 3 8 4 5 3" xfId="33197" xr:uid="{00000000-0005-0000-0000-00004A910000}"/>
    <cellStyle name="Финансовый 3 8 4 6" xfId="13401" xr:uid="{00000000-0005-0000-0000-00004B910000}"/>
    <cellStyle name="Финансовый 3 8 4 6 2" xfId="37356" xr:uid="{00000000-0005-0000-0000-00004C910000}"/>
    <cellStyle name="Финансовый 3 8 4 7" xfId="25379" xr:uid="{00000000-0005-0000-0000-00004D910000}"/>
    <cellStyle name="Финансовый 3 8 4 8" xfId="48512" xr:uid="{00000000-0005-0000-0000-00004E910000}"/>
    <cellStyle name="Финансовый 3 8 5" xfId="1745" xr:uid="{00000000-0005-0000-0000-00004F910000}"/>
    <cellStyle name="Финансовый 3 8 5 2" xfId="3390" xr:uid="{00000000-0005-0000-0000-000050910000}"/>
    <cellStyle name="Финансовый 3 8 5 2 2" xfId="11138" xr:uid="{00000000-0005-0000-0000-000051910000}"/>
    <cellStyle name="Финансовый 3 8 5 2 2 2" xfId="23116" xr:uid="{00000000-0005-0000-0000-000052910000}"/>
    <cellStyle name="Финансовый 3 8 5 2 2 2 2" xfId="47071" xr:uid="{00000000-0005-0000-0000-000053910000}"/>
    <cellStyle name="Финансовый 3 8 5 2 2 3" xfId="35093" xr:uid="{00000000-0005-0000-0000-000054910000}"/>
    <cellStyle name="Финансовый 3 8 5 2 3" xfId="15369" xr:uid="{00000000-0005-0000-0000-000055910000}"/>
    <cellStyle name="Финансовый 3 8 5 2 3 2" xfId="39324" xr:uid="{00000000-0005-0000-0000-000056910000}"/>
    <cellStyle name="Финансовый 3 8 5 2 4" xfId="27347" xr:uid="{00000000-0005-0000-0000-000057910000}"/>
    <cellStyle name="Финансовый 3 8 5 2 5" xfId="50616" xr:uid="{00000000-0005-0000-0000-000058910000}"/>
    <cellStyle name="Финансовый 3 8 5 3" xfId="5173" xr:uid="{00000000-0005-0000-0000-000059910000}"/>
    <cellStyle name="Финансовый 3 8 5 3 2" xfId="17151" xr:uid="{00000000-0005-0000-0000-00005A910000}"/>
    <cellStyle name="Финансовый 3 8 5 3 2 2" xfId="41106" xr:uid="{00000000-0005-0000-0000-00005B910000}"/>
    <cellStyle name="Финансовый 3 8 5 3 3" xfId="29128" xr:uid="{00000000-0005-0000-0000-00005C910000}"/>
    <cellStyle name="Финансовый 3 8 5 4" xfId="7783" xr:uid="{00000000-0005-0000-0000-00005D910000}"/>
    <cellStyle name="Финансовый 3 8 5 4 2" xfId="19761" xr:uid="{00000000-0005-0000-0000-00005E910000}"/>
    <cellStyle name="Финансовый 3 8 5 4 2 2" xfId="43716" xr:uid="{00000000-0005-0000-0000-00005F910000}"/>
    <cellStyle name="Финансовый 3 8 5 4 3" xfId="31738" xr:uid="{00000000-0005-0000-0000-000060910000}"/>
    <cellStyle name="Финансовый 3 8 5 5" xfId="9566" xr:uid="{00000000-0005-0000-0000-000061910000}"/>
    <cellStyle name="Финансовый 3 8 5 5 2" xfId="21544" xr:uid="{00000000-0005-0000-0000-000062910000}"/>
    <cellStyle name="Финансовый 3 8 5 5 2 2" xfId="45499" xr:uid="{00000000-0005-0000-0000-000063910000}"/>
    <cellStyle name="Финансовый 3 8 5 5 3" xfId="33521" xr:uid="{00000000-0005-0000-0000-000064910000}"/>
    <cellStyle name="Финансовый 3 8 5 6" xfId="13724" xr:uid="{00000000-0005-0000-0000-000065910000}"/>
    <cellStyle name="Финансовый 3 8 5 6 2" xfId="37679" xr:uid="{00000000-0005-0000-0000-000066910000}"/>
    <cellStyle name="Финансовый 3 8 5 7" xfId="25702" xr:uid="{00000000-0005-0000-0000-000067910000}"/>
    <cellStyle name="Финансовый 3 8 5 8" xfId="48835" xr:uid="{00000000-0005-0000-0000-000068910000}"/>
    <cellStyle name="Финансовый 3 8 6" xfId="2381" xr:uid="{00000000-0005-0000-0000-000069910000}"/>
    <cellStyle name="Финансовый 3 8 6 2" xfId="4026" xr:uid="{00000000-0005-0000-0000-00006A910000}"/>
    <cellStyle name="Финансовый 3 8 6 2 2" xfId="11766" xr:uid="{00000000-0005-0000-0000-00006B910000}"/>
    <cellStyle name="Финансовый 3 8 6 2 2 2" xfId="23744" xr:uid="{00000000-0005-0000-0000-00006C910000}"/>
    <cellStyle name="Финансовый 3 8 6 2 2 2 2" xfId="47699" xr:uid="{00000000-0005-0000-0000-00006D910000}"/>
    <cellStyle name="Финансовый 3 8 6 2 2 3" xfId="35721" xr:uid="{00000000-0005-0000-0000-00006E910000}"/>
    <cellStyle name="Финансовый 3 8 6 2 3" xfId="16005" xr:uid="{00000000-0005-0000-0000-00006F910000}"/>
    <cellStyle name="Финансовый 3 8 6 2 3 2" xfId="39960" xr:uid="{00000000-0005-0000-0000-000070910000}"/>
    <cellStyle name="Финансовый 3 8 6 2 4" xfId="27983" xr:uid="{00000000-0005-0000-0000-000071910000}"/>
    <cellStyle name="Финансовый 3 8 6 2 5" xfId="51252" xr:uid="{00000000-0005-0000-0000-000072910000}"/>
    <cellStyle name="Финансовый 3 8 6 3" xfId="5809" xr:uid="{00000000-0005-0000-0000-000073910000}"/>
    <cellStyle name="Финансовый 3 8 6 3 2" xfId="17787" xr:uid="{00000000-0005-0000-0000-000074910000}"/>
    <cellStyle name="Финансовый 3 8 6 3 2 2" xfId="41742" xr:uid="{00000000-0005-0000-0000-000075910000}"/>
    <cellStyle name="Финансовый 3 8 6 3 3" xfId="29764" xr:uid="{00000000-0005-0000-0000-000076910000}"/>
    <cellStyle name="Финансовый 3 8 6 4" xfId="8419" xr:uid="{00000000-0005-0000-0000-000077910000}"/>
    <cellStyle name="Финансовый 3 8 6 4 2" xfId="20397" xr:uid="{00000000-0005-0000-0000-000078910000}"/>
    <cellStyle name="Финансовый 3 8 6 4 2 2" xfId="44352" xr:uid="{00000000-0005-0000-0000-000079910000}"/>
    <cellStyle name="Финансовый 3 8 6 4 3" xfId="32374" xr:uid="{00000000-0005-0000-0000-00007A910000}"/>
    <cellStyle name="Финансовый 3 8 6 5" xfId="10202" xr:uid="{00000000-0005-0000-0000-00007B910000}"/>
    <cellStyle name="Финансовый 3 8 6 5 2" xfId="22180" xr:uid="{00000000-0005-0000-0000-00007C910000}"/>
    <cellStyle name="Финансовый 3 8 6 5 2 2" xfId="46135" xr:uid="{00000000-0005-0000-0000-00007D910000}"/>
    <cellStyle name="Финансовый 3 8 6 5 3" xfId="34157" xr:uid="{00000000-0005-0000-0000-00007E910000}"/>
    <cellStyle name="Финансовый 3 8 6 6" xfId="14360" xr:uid="{00000000-0005-0000-0000-00007F910000}"/>
    <cellStyle name="Финансовый 3 8 6 6 2" xfId="38315" xr:uid="{00000000-0005-0000-0000-000080910000}"/>
    <cellStyle name="Финансовый 3 8 6 7" xfId="26338" xr:uid="{00000000-0005-0000-0000-000081910000}"/>
    <cellStyle name="Финансовый 3 8 6 8" xfId="49471" xr:uid="{00000000-0005-0000-0000-000082910000}"/>
    <cellStyle name="Финансовый 3 8 7" xfId="1608" xr:uid="{00000000-0005-0000-0000-000083910000}"/>
    <cellStyle name="Финансовый 3 8 7 2" xfId="3253" xr:uid="{00000000-0005-0000-0000-000084910000}"/>
    <cellStyle name="Финансовый 3 8 7 2 2" xfId="11009" xr:uid="{00000000-0005-0000-0000-000085910000}"/>
    <cellStyle name="Финансовый 3 8 7 2 2 2" xfId="22987" xr:uid="{00000000-0005-0000-0000-000086910000}"/>
    <cellStyle name="Финансовый 3 8 7 2 2 2 2" xfId="46942" xr:uid="{00000000-0005-0000-0000-000087910000}"/>
    <cellStyle name="Финансовый 3 8 7 2 2 3" xfId="34964" xr:uid="{00000000-0005-0000-0000-000088910000}"/>
    <cellStyle name="Финансовый 3 8 7 2 3" xfId="15232" xr:uid="{00000000-0005-0000-0000-000089910000}"/>
    <cellStyle name="Финансовый 3 8 7 2 3 2" xfId="39187" xr:uid="{00000000-0005-0000-0000-00008A910000}"/>
    <cellStyle name="Финансовый 3 8 7 2 4" xfId="27210" xr:uid="{00000000-0005-0000-0000-00008B910000}"/>
    <cellStyle name="Финансовый 3 8 7 2 5" xfId="50479" xr:uid="{00000000-0005-0000-0000-00008C910000}"/>
    <cellStyle name="Финансовый 3 8 7 3" xfId="5036" xr:uid="{00000000-0005-0000-0000-00008D910000}"/>
    <cellStyle name="Финансовый 3 8 7 3 2" xfId="17014" xr:uid="{00000000-0005-0000-0000-00008E910000}"/>
    <cellStyle name="Финансовый 3 8 7 3 2 2" xfId="40969" xr:uid="{00000000-0005-0000-0000-00008F910000}"/>
    <cellStyle name="Финансовый 3 8 7 3 3" xfId="28991" xr:uid="{00000000-0005-0000-0000-000090910000}"/>
    <cellStyle name="Финансовый 3 8 7 4" xfId="7646" xr:uid="{00000000-0005-0000-0000-000091910000}"/>
    <cellStyle name="Финансовый 3 8 7 4 2" xfId="19624" xr:uid="{00000000-0005-0000-0000-000092910000}"/>
    <cellStyle name="Финансовый 3 8 7 4 2 2" xfId="43579" xr:uid="{00000000-0005-0000-0000-000093910000}"/>
    <cellStyle name="Финансовый 3 8 7 4 3" xfId="31601" xr:uid="{00000000-0005-0000-0000-000094910000}"/>
    <cellStyle name="Финансовый 3 8 7 5" xfId="9429" xr:uid="{00000000-0005-0000-0000-000095910000}"/>
    <cellStyle name="Финансовый 3 8 7 5 2" xfId="21407" xr:uid="{00000000-0005-0000-0000-000096910000}"/>
    <cellStyle name="Финансовый 3 8 7 5 2 2" xfId="45362" xr:uid="{00000000-0005-0000-0000-000097910000}"/>
    <cellStyle name="Финансовый 3 8 7 5 3" xfId="33384" xr:uid="{00000000-0005-0000-0000-000098910000}"/>
    <cellStyle name="Финансовый 3 8 7 6" xfId="13587" xr:uid="{00000000-0005-0000-0000-000099910000}"/>
    <cellStyle name="Финансовый 3 8 7 6 2" xfId="37542" xr:uid="{00000000-0005-0000-0000-00009A910000}"/>
    <cellStyle name="Финансовый 3 8 7 7" xfId="25565" xr:uid="{00000000-0005-0000-0000-00009B910000}"/>
    <cellStyle name="Финансовый 3 8 7 8" xfId="48698" xr:uid="{00000000-0005-0000-0000-00009C910000}"/>
    <cellStyle name="Финансовый 3 8 8" xfId="894" xr:uid="{00000000-0005-0000-0000-00009D910000}"/>
    <cellStyle name="Финансовый 3 8 8 2" xfId="6934" xr:uid="{00000000-0005-0000-0000-00009E910000}"/>
    <cellStyle name="Финансовый 3 8 8 2 2" xfId="18912" xr:uid="{00000000-0005-0000-0000-00009F910000}"/>
    <cellStyle name="Финансовый 3 8 8 2 2 2" xfId="42867" xr:uid="{00000000-0005-0000-0000-0000A0910000}"/>
    <cellStyle name="Финансовый 3 8 8 2 3" xfId="30889" xr:uid="{00000000-0005-0000-0000-0000A1910000}"/>
    <cellStyle name="Финансовый 3 8 8 3" xfId="10482" xr:uid="{00000000-0005-0000-0000-0000A2910000}"/>
    <cellStyle name="Финансовый 3 8 8 3 2" xfId="22460" xr:uid="{00000000-0005-0000-0000-0000A3910000}"/>
    <cellStyle name="Финансовый 3 8 8 3 2 2" xfId="46415" xr:uid="{00000000-0005-0000-0000-0000A4910000}"/>
    <cellStyle name="Финансовый 3 8 8 3 3" xfId="34437" xr:uid="{00000000-0005-0000-0000-0000A5910000}"/>
    <cellStyle name="Финансовый 3 8 8 4" xfId="12875" xr:uid="{00000000-0005-0000-0000-0000A6910000}"/>
    <cellStyle name="Финансовый 3 8 8 4 2" xfId="36830" xr:uid="{00000000-0005-0000-0000-0000A7910000}"/>
    <cellStyle name="Финансовый 3 8 8 5" xfId="24853" xr:uid="{00000000-0005-0000-0000-0000A8910000}"/>
    <cellStyle name="Финансовый 3 8 8 6" xfId="49751" xr:uid="{00000000-0005-0000-0000-0000A9910000}"/>
    <cellStyle name="Финансовый 3 8 9" xfId="474" xr:uid="{00000000-0005-0000-0000-0000AA910000}"/>
    <cellStyle name="Финансовый 3 8 9 2" xfId="6514" xr:uid="{00000000-0005-0000-0000-0000AB910000}"/>
    <cellStyle name="Финансовый 3 8 9 2 2" xfId="18492" xr:uid="{00000000-0005-0000-0000-0000AC910000}"/>
    <cellStyle name="Финансовый 3 8 9 2 2 2" xfId="42447" xr:uid="{00000000-0005-0000-0000-0000AD910000}"/>
    <cellStyle name="Финансовый 3 8 9 2 3" xfId="30469" xr:uid="{00000000-0005-0000-0000-0000AE910000}"/>
    <cellStyle name="Финансовый 3 8 9 3" xfId="12455" xr:uid="{00000000-0005-0000-0000-0000AF910000}"/>
    <cellStyle name="Финансовый 3 8 9 3 2" xfId="36410" xr:uid="{00000000-0005-0000-0000-0000B0910000}"/>
    <cellStyle name="Финансовый 3 8 9 4" xfId="24433" xr:uid="{00000000-0005-0000-0000-0000B1910000}"/>
    <cellStyle name="Финансовый 3 9" xfId="129" xr:uid="{00000000-0005-0000-0000-0000B2910000}"/>
    <cellStyle name="Финансовый 3 9 10" xfId="2739" xr:uid="{00000000-0005-0000-0000-0000B3910000}"/>
    <cellStyle name="Финансовый 3 9 10 2" xfId="14718" xr:uid="{00000000-0005-0000-0000-0000B4910000}"/>
    <cellStyle name="Финансовый 3 9 10 2 2" xfId="38673" xr:uid="{00000000-0005-0000-0000-0000B5910000}"/>
    <cellStyle name="Финансовый 3 9 10 3" xfId="26696" xr:uid="{00000000-0005-0000-0000-0000B6910000}"/>
    <cellStyle name="Финансовый 3 9 11" xfId="4383" xr:uid="{00000000-0005-0000-0000-0000B7910000}"/>
    <cellStyle name="Финансовый 3 9 11 2" xfId="16362" xr:uid="{00000000-0005-0000-0000-0000B8910000}"/>
    <cellStyle name="Финансовый 3 9 11 2 2" xfId="40317" xr:uid="{00000000-0005-0000-0000-0000B9910000}"/>
    <cellStyle name="Финансовый 3 9 11 3" xfId="28340" xr:uid="{00000000-0005-0000-0000-0000BA910000}"/>
    <cellStyle name="Финансовый 3 9 12" xfId="6170" xr:uid="{00000000-0005-0000-0000-0000BB910000}"/>
    <cellStyle name="Финансовый 3 9 12 2" xfId="18148" xr:uid="{00000000-0005-0000-0000-0000BC910000}"/>
    <cellStyle name="Финансовый 3 9 12 2 2" xfId="42103" xr:uid="{00000000-0005-0000-0000-0000BD910000}"/>
    <cellStyle name="Финансовый 3 9 12 3" xfId="30125" xr:uid="{00000000-0005-0000-0000-0000BE910000}"/>
    <cellStyle name="Финансовый 3 9 13" xfId="8777" xr:uid="{00000000-0005-0000-0000-0000BF910000}"/>
    <cellStyle name="Финансовый 3 9 13 2" xfId="20755" xr:uid="{00000000-0005-0000-0000-0000C0910000}"/>
    <cellStyle name="Финансовый 3 9 13 2 2" xfId="44710" xr:uid="{00000000-0005-0000-0000-0000C1910000}"/>
    <cellStyle name="Финансовый 3 9 13 3" xfId="32732" xr:uid="{00000000-0005-0000-0000-0000C2910000}"/>
    <cellStyle name="Финансовый 3 9 14" xfId="12111" xr:uid="{00000000-0005-0000-0000-0000C3910000}"/>
    <cellStyle name="Финансовый 3 9 14 2" xfId="36066" xr:uid="{00000000-0005-0000-0000-0000C4910000}"/>
    <cellStyle name="Финансовый 3 9 15" xfId="24089" xr:uid="{00000000-0005-0000-0000-0000C5910000}"/>
    <cellStyle name="Финансовый 3 9 16" xfId="48047" xr:uid="{00000000-0005-0000-0000-0000C6910000}"/>
    <cellStyle name="Финансовый 3 9 2" xfId="265" xr:uid="{00000000-0005-0000-0000-0000C7910000}"/>
    <cellStyle name="Финансовый 3 9 2 10" xfId="8913" xr:uid="{00000000-0005-0000-0000-0000C8910000}"/>
    <cellStyle name="Финансовый 3 9 2 10 2" xfId="20891" xr:uid="{00000000-0005-0000-0000-0000C9910000}"/>
    <cellStyle name="Финансовый 3 9 2 10 2 2" xfId="44846" xr:uid="{00000000-0005-0000-0000-0000CA910000}"/>
    <cellStyle name="Финансовый 3 9 2 10 3" xfId="32868" xr:uid="{00000000-0005-0000-0000-0000CB910000}"/>
    <cellStyle name="Финансовый 3 9 2 11" xfId="12247" xr:uid="{00000000-0005-0000-0000-0000CC910000}"/>
    <cellStyle name="Финансовый 3 9 2 11 2" xfId="36202" xr:uid="{00000000-0005-0000-0000-0000CD910000}"/>
    <cellStyle name="Финансовый 3 9 2 12" xfId="24225" xr:uid="{00000000-0005-0000-0000-0000CE910000}"/>
    <cellStyle name="Финансовый 3 9 2 13" xfId="48183" xr:uid="{00000000-0005-0000-0000-0000CF910000}"/>
    <cellStyle name="Финансовый 3 9 2 2" xfId="1363" xr:uid="{00000000-0005-0000-0000-0000D0910000}"/>
    <cellStyle name="Финансовый 3 9 2 2 2" xfId="2321" xr:uid="{00000000-0005-0000-0000-0000D1910000}"/>
    <cellStyle name="Финансовый 3 9 2 2 2 2" xfId="3966" xr:uid="{00000000-0005-0000-0000-0000D2910000}"/>
    <cellStyle name="Финансовый 3 9 2 2 2 2 2" xfId="11706" xr:uid="{00000000-0005-0000-0000-0000D3910000}"/>
    <cellStyle name="Финансовый 3 9 2 2 2 2 2 2" xfId="23684" xr:uid="{00000000-0005-0000-0000-0000D4910000}"/>
    <cellStyle name="Финансовый 3 9 2 2 2 2 2 2 2" xfId="47639" xr:uid="{00000000-0005-0000-0000-0000D5910000}"/>
    <cellStyle name="Финансовый 3 9 2 2 2 2 2 3" xfId="35661" xr:uid="{00000000-0005-0000-0000-0000D6910000}"/>
    <cellStyle name="Финансовый 3 9 2 2 2 2 3" xfId="15945" xr:uid="{00000000-0005-0000-0000-0000D7910000}"/>
    <cellStyle name="Финансовый 3 9 2 2 2 2 3 2" xfId="39900" xr:uid="{00000000-0005-0000-0000-0000D8910000}"/>
    <cellStyle name="Финансовый 3 9 2 2 2 2 4" xfId="27923" xr:uid="{00000000-0005-0000-0000-0000D9910000}"/>
    <cellStyle name="Финансовый 3 9 2 2 2 2 5" xfId="51192" xr:uid="{00000000-0005-0000-0000-0000DA910000}"/>
    <cellStyle name="Финансовый 3 9 2 2 2 3" xfId="5749" xr:uid="{00000000-0005-0000-0000-0000DB910000}"/>
    <cellStyle name="Финансовый 3 9 2 2 2 3 2" xfId="17727" xr:uid="{00000000-0005-0000-0000-0000DC910000}"/>
    <cellStyle name="Финансовый 3 9 2 2 2 3 2 2" xfId="41682" xr:uid="{00000000-0005-0000-0000-0000DD910000}"/>
    <cellStyle name="Финансовый 3 9 2 2 2 3 3" xfId="29704" xr:uid="{00000000-0005-0000-0000-0000DE910000}"/>
    <cellStyle name="Финансовый 3 9 2 2 2 4" xfId="8359" xr:uid="{00000000-0005-0000-0000-0000DF910000}"/>
    <cellStyle name="Финансовый 3 9 2 2 2 4 2" xfId="20337" xr:uid="{00000000-0005-0000-0000-0000E0910000}"/>
    <cellStyle name="Финансовый 3 9 2 2 2 4 2 2" xfId="44292" xr:uid="{00000000-0005-0000-0000-0000E1910000}"/>
    <cellStyle name="Финансовый 3 9 2 2 2 4 3" xfId="32314" xr:uid="{00000000-0005-0000-0000-0000E2910000}"/>
    <cellStyle name="Финансовый 3 9 2 2 2 5" xfId="10142" xr:uid="{00000000-0005-0000-0000-0000E3910000}"/>
    <cellStyle name="Финансовый 3 9 2 2 2 5 2" xfId="22120" xr:uid="{00000000-0005-0000-0000-0000E4910000}"/>
    <cellStyle name="Финансовый 3 9 2 2 2 5 2 2" xfId="46075" xr:uid="{00000000-0005-0000-0000-0000E5910000}"/>
    <cellStyle name="Финансовый 3 9 2 2 2 5 3" xfId="34097" xr:uid="{00000000-0005-0000-0000-0000E6910000}"/>
    <cellStyle name="Финансовый 3 9 2 2 2 6" xfId="14300" xr:uid="{00000000-0005-0000-0000-0000E7910000}"/>
    <cellStyle name="Финансовый 3 9 2 2 2 6 2" xfId="38255" xr:uid="{00000000-0005-0000-0000-0000E8910000}"/>
    <cellStyle name="Финансовый 3 9 2 2 2 7" xfId="26278" xr:uid="{00000000-0005-0000-0000-0000E9910000}"/>
    <cellStyle name="Финансовый 3 9 2 2 2 8" xfId="49411" xr:uid="{00000000-0005-0000-0000-0000EA910000}"/>
    <cellStyle name="Финансовый 3 9 2 2 3" xfId="3147" xr:uid="{00000000-0005-0000-0000-0000EB910000}"/>
    <cellStyle name="Финансовый 3 9 2 2 3 2" xfId="10934" xr:uid="{00000000-0005-0000-0000-0000EC910000}"/>
    <cellStyle name="Финансовый 3 9 2 2 3 2 2" xfId="22912" xr:uid="{00000000-0005-0000-0000-0000ED910000}"/>
    <cellStyle name="Финансовый 3 9 2 2 3 2 2 2" xfId="46867" xr:uid="{00000000-0005-0000-0000-0000EE910000}"/>
    <cellStyle name="Финансовый 3 9 2 2 3 2 3" xfId="34889" xr:uid="{00000000-0005-0000-0000-0000EF910000}"/>
    <cellStyle name="Финансовый 3 9 2 2 3 3" xfId="15126" xr:uid="{00000000-0005-0000-0000-0000F0910000}"/>
    <cellStyle name="Финансовый 3 9 2 2 3 3 2" xfId="39081" xr:uid="{00000000-0005-0000-0000-0000F1910000}"/>
    <cellStyle name="Финансовый 3 9 2 2 3 4" xfId="27104" xr:uid="{00000000-0005-0000-0000-0000F2910000}"/>
    <cellStyle name="Финансовый 3 9 2 2 3 5" xfId="50235" xr:uid="{00000000-0005-0000-0000-0000F3910000}"/>
    <cellStyle name="Финансовый 3 9 2 2 4" xfId="4791" xr:uid="{00000000-0005-0000-0000-0000F4910000}"/>
    <cellStyle name="Финансовый 3 9 2 2 4 2" xfId="16770" xr:uid="{00000000-0005-0000-0000-0000F5910000}"/>
    <cellStyle name="Финансовый 3 9 2 2 4 2 2" xfId="40725" xr:uid="{00000000-0005-0000-0000-0000F6910000}"/>
    <cellStyle name="Финансовый 3 9 2 2 4 3" xfId="28748" xr:uid="{00000000-0005-0000-0000-0000F7910000}"/>
    <cellStyle name="Финансовый 3 9 2 2 5" xfId="7403" xr:uid="{00000000-0005-0000-0000-0000F8910000}"/>
    <cellStyle name="Финансовый 3 9 2 2 5 2" xfId="19381" xr:uid="{00000000-0005-0000-0000-0000F9910000}"/>
    <cellStyle name="Финансовый 3 9 2 2 5 2 2" xfId="43336" xr:uid="{00000000-0005-0000-0000-0000FA910000}"/>
    <cellStyle name="Финансовый 3 9 2 2 5 3" xfId="31358" xr:uid="{00000000-0005-0000-0000-0000FB910000}"/>
    <cellStyle name="Финансовый 3 9 2 2 6" xfId="9185" xr:uid="{00000000-0005-0000-0000-0000FC910000}"/>
    <cellStyle name="Финансовый 3 9 2 2 6 2" xfId="21163" xr:uid="{00000000-0005-0000-0000-0000FD910000}"/>
    <cellStyle name="Финансовый 3 9 2 2 6 2 2" xfId="45118" xr:uid="{00000000-0005-0000-0000-0000FE910000}"/>
    <cellStyle name="Финансовый 3 9 2 2 6 3" xfId="33140" xr:uid="{00000000-0005-0000-0000-0000FF910000}"/>
    <cellStyle name="Финансовый 3 9 2 2 7" xfId="13344" xr:uid="{00000000-0005-0000-0000-000000920000}"/>
    <cellStyle name="Финансовый 3 9 2 2 7 2" xfId="37299" xr:uid="{00000000-0005-0000-0000-000001920000}"/>
    <cellStyle name="Финансовый 3 9 2 2 8" xfId="25322" xr:uid="{00000000-0005-0000-0000-000002920000}"/>
    <cellStyle name="Финансовый 3 9 2 2 9" xfId="48455" xr:uid="{00000000-0005-0000-0000-000003920000}"/>
    <cellStyle name="Финансовый 3 9 2 3" xfId="2065" xr:uid="{00000000-0005-0000-0000-000004920000}"/>
    <cellStyle name="Финансовый 3 9 2 3 2" xfId="3710" xr:uid="{00000000-0005-0000-0000-000005920000}"/>
    <cellStyle name="Финансовый 3 9 2 3 2 2" xfId="11450" xr:uid="{00000000-0005-0000-0000-000006920000}"/>
    <cellStyle name="Финансовый 3 9 2 3 2 2 2" xfId="23428" xr:uid="{00000000-0005-0000-0000-000007920000}"/>
    <cellStyle name="Финансовый 3 9 2 3 2 2 2 2" xfId="47383" xr:uid="{00000000-0005-0000-0000-000008920000}"/>
    <cellStyle name="Финансовый 3 9 2 3 2 2 3" xfId="35405" xr:uid="{00000000-0005-0000-0000-000009920000}"/>
    <cellStyle name="Финансовый 3 9 2 3 2 3" xfId="15689" xr:uid="{00000000-0005-0000-0000-00000A920000}"/>
    <cellStyle name="Финансовый 3 9 2 3 2 3 2" xfId="39644" xr:uid="{00000000-0005-0000-0000-00000B920000}"/>
    <cellStyle name="Финансовый 3 9 2 3 2 4" xfId="27667" xr:uid="{00000000-0005-0000-0000-00000C920000}"/>
    <cellStyle name="Финансовый 3 9 2 3 2 5" xfId="50936" xr:uid="{00000000-0005-0000-0000-00000D920000}"/>
    <cellStyle name="Финансовый 3 9 2 3 3" xfId="5493" xr:uid="{00000000-0005-0000-0000-00000E920000}"/>
    <cellStyle name="Финансовый 3 9 2 3 3 2" xfId="17471" xr:uid="{00000000-0005-0000-0000-00000F920000}"/>
    <cellStyle name="Финансовый 3 9 2 3 3 2 2" xfId="41426" xr:uid="{00000000-0005-0000-0000-000010920000}"/>
    <cellStyle name="Финансовый 3 9 2 3 3 3" xfId="29448" xr:uid="{00000000-0005-0000-0000-000011920000}"/>
    <cellStyle name="Финансовый 3 9 2 3 4" xfId="8103" xr:uid="{00000000-0005-0000-0000-000012920000}"/>
    <cellStyle name="Финансовый 3 9 2 3 4 2" xfId="20081" xr:uid="{00000000-0005-0000-0000-000013920000}"/>
    <cellStyle name="Финансовый 3 9 2 3 4 2 2" xfId="44036" xr:uid="{00000000-0005-0000-0000-000014920000}"/>
    <cellStyle name="Финансовый 3 9 2 3 4 3" xfId="32058" xr:uid="{00000000-0005-0000-0000-000015920000}"/>
    <cellStyle name="Финансовый 3 9 2 3 5" xfId="9886" xr:uid="{00000000-0005-0000-0000-000016920000}"/>
    <cellStyle name="Финансовый 3 9 2 3 5 2" xfId="21864" xr:uid="{00000000-0005-0000-0000-000017920000}"/>
    <cellStyle name="Финансовый 3 9 2 3 5 2 2" xfId="45819" xr:uid="{00000000-0005-0000-0000-000018920000}"/>
    <cellStyle name="Финансовый 3 9 2 3 5 3" xfId="33841" xr:uid="{00000000-0005-0000-0000-000019920000}"/>
    <cellStyle name="Финансовый 3 9 2 3 6" xfId="14044" xr:uid="{00000000-0005-0000-0000-00001A920000}"/>
    <cellStyle name="Финансовый 3 9 2 3 6 2" xfId="37999" xr:uid="{00000000-0005-0000-0000-00001B920000}"/>
    <cellStyle name="Финансовый 3 9 2 3 7" xfId="26022" xr:uid="{00000000-0005-0000-0000-00001C920000}"/>
    <cellStyle name="Финансовый 3 9 2 3 8" xfId="49155" xr:uid="{00000000-0005-0000-0000-00001D920000}"/>
    <cellStyle name="Финансовый 3 9 2 4" xfId="2594" xr:uid="{00000000-0005-0000-0000-00001E920000}"/>
    <cellStyle name="Финансовый 3 9 2 4 2" xfId="4239" xr:uid="{00000000-0005-0000-0000-00001F920000}"/>
    <cellStyle name="Финансовый 3 9 2 4 2 2" xfId="11963" xr:uid="{00000000-0005-0000-0000-000020920000}"/>
    <cellStyle name="Финансовый 3 9 2 4 2 2 2" xfId="23941" xr:uid="{00000000-0005-0000-0000-000021920000}"/>
    <cellStyle name="Финансовый 3 9 2 4 2 2 2 2" xfId="47896" xr:uid="{00000000-0005-0000-0000-000022920000}"/>
    <cellStyle name="Финансовый 3 9 2 4 2 2 3" xfId="35918" xr:uid="{00000000-0005-0000-0000-000023920000}"/>
    <cellStyle name="Финансовый 3 9 2 4 2 3" xfId="16218" xr:uid="{00000000-0005-0000-0000-000024920000}"/>
    <cellStyle name="Финансовый 3 9 2 4 2 3 2" xfId="40173" xr:uid="{00000000-0005-0000-0000-000025920000}"/>
    <cellStyle name="Финансовый 3 9 2 4 2 4" xfId="28196" xr:uid="{00000000-0005-0000-0000-000026920000}"/>
    <cellStyle name="Финансовый 3 9 2 4 2 5" xfId="51465" xr:uid="{00000000-0005-0000-0000-000027920000}"/>
    <cellStyle name="Финансовый 3 9 2 4 3" xfId="6022" xr:uid="{00000000-0005-0000-0000-000028920000}"/>
    <cellStyle name="Финансовый 3 9 2 4 3 2" xfId="18000" xr:uid="{00000000-0005-0000-0000-000029920000}"/>
    <cellStyle name="Финансовый 3 9 2 4 3 2 2" xfId="41955" xr:uid="{00000000-0005-0000-0000-00002A920000}"/>
    <cellStyle name="Финансовый 3 9 2 4 3 3" xfId="29977" xr:uid="{00000000-0005-0000-0000-00002B920000}"/>
    <cellStyle name="Финансовый 3 9 2 4 4" xfId="8632" xr:uid="{00000000-0005-0000-0000-00002C920000}"/>
    <cellStyle name="Финансовый 3 9 2 4 4 2" xfId="20610" xr:uid="{00000000-0005-0000-0000-00002D920000}"/>
    <cellStyle name="Финансовый 3 9 2 4 4 2 2" xfId="44565" xr:uid="{00000000-0005-0000-0000-00002E920000}"/>
    <cellStyle name="Финансовый 3 9 2 4 4 3" xfId="32587" xr:uid="{00000000-0005-0000-0000-00002F920000}"/>
    <cellStyle name="Финансовый 3 9 2 4 5" xfId="10415" xr:uid="{00000000-0005-0000-0000-000030920000}"/>
    <cellStyle name="Финансовый 3 9 2 4 5 2" xfId="22393" xr:uid="{00000000-0005-0000-0000-000031920000}"/>
    <cellStyle name="Финансовый 3 9 2 4 5 2 2" xfId="46348" xr:uid="{00000000-0005-0000-0000-000032920000}"/>
    <cellStyle name="Финансовый 3 9 2 4 5 3" xfId="34370" xr:uid="{00000000-0005-0000-0000-000033920000}"/>
    <cellStyle name="Финансовый 3 9 2 4 6" xfId="14573" xr:uid="{00000000-0005-0000-0000-000034920000}"/>
    <cellStyle name="Финансовый 3 9 2 4 6 2" xfId="38528" xr:uid="{00000000-0005-0000-0000-000035920000}"/>
    <cellStyle name="Финансовый 3 9 2 4 7" xfId="26551" xr:uid="{00000000-0005-0000-0000-000036920000}"/>
    <cellStyle name="Финансовый 3 9 2 4 8" xfId="49684" xr:uid="{00000000-0005-0000-0000-000037920000}"/>
    <cellStyle name="Финансовый 3 9 2 5" xfId="1098" xr:uid="{00000000-0005-0000-0000-000038920000}"/>
    <cellStyle name="Финансовый 3 9 2 5 2" xfId="7138" xr:uid="{00000000-0005-0000-0000-000039920000}"/>
    <cellStyle name="Финансовый 3 9 2 5 2 2" xfId="19116" xr:uid="{00000000-0005-0000-0000-00003A920000}"/>
    <cellStyle name="Финансовый 3 9 2 5 2 2 2" xfId="43071" xr:uid="{00000000-0005-0000-0000-00003B920000}"/>
    <cellStyle name="Финансовый 3 9 2 5 2 3" xfId="31093" xr:uid="{00000000-0005-0000-0000-00003C920000}"/>
    <cellStyle name="Финансовый 3 9 2 5 3" xfId="10678" xr:uid="{00000000-0005-0000-0000-00003D920000}"/>
    <cellStyle name="Финансовый 3 9 2 5 3 2" xfId="22656" xr:uid="{00000000-0005-0000-0000-00003E920000}"/>
    <cellStyle name="Финансовый 3 9 2 5 3 2 2" xfId="46611" xr:uid="{00000000-0005-0000-0000-00003F920000}"/>
    <cellStyle name="Финансовый 3 9 2 5 3 3" xfId="34633" xr:uid="{00000000-0005-0000-0000-000040920000}"/>
    <cellStyle name="Финансовый 3 9 2 5 4" xfId="13079" xr:uid="{00000000-0005-0000-0000-000041920000}"/>
    <cellStyle name="Финансовый 3 9 2 5 4 2" xfId="37034" xr:uid="{00000000-0005-0000-0000-000042920000}"/>
    <cellStyle name="Финансовый 3 9 2 5 5" xfId="25057" xr:uid="{00000000-0005-0000-0000-000043920000}"/>
    <cellStyle name="Финансовый 3 9 2 5 6" xfId="49963" xr:uid="{00000000-0005-0000-0000-000044920000}"/>
    <cellStyle name="Финансовый 3 9 2 6" xfId="686" xr:uid="{00000000-0005-0000-0000-000045920000}"/>
    <cellStyle name="Финансовый 3 9 2 6 2" xfId="6726" xr:uid="{00000000-0005-0000-0000-000046920000}"/>
    <cellStyle name="Финансовый 3 9 2 6 2 2" xfId="18704" xr:uid="{00000000-0005-0000-0000-000047920000}"/>
    <cellStyle name="Финансовый 3 9 2 6 2 2 2" xfId="42659" xr:uid="{00000000-0005-0000-0000-000048920000}"/>
    <cellStyle name="Финансовый 3 9 2 6 2 3" xfId="30681" xr:uid="{00000000-0005-0000-0000-000049920000}"/>
    <cellStyle name="Финансовый 3 9 2 6 3" xfId="12667" xr:uid="{00000000-0005-0000-0000-00004A920000}"/>
    <cellStyle name="Финансовый 3 9 2 6 3 2" xfId="36622" xr:uid="{00000000-0005-0000-0000-00004B920000}"/>
    <cellStyle name="Финансовый 3 9 2 6 4" xfId="24645" xr:uid="{00000000-0005-0000-0000-00004C920000}"/>
    <cellStyle name="Финансовый 3 9 2 7" xfId="2875" xr:uid="{00000000-0005-0000-0000-00004D920000}"/>
    <cellStyle name="Финансовый 3 9 2 7 2" xfId="14854" xr:uid="{00000000-0005-0000-0000-00004E920000}"/>
    <cellStyle name="Финансовый 3 9 2 7 2 2" xfId="38809" xr:uid="{00000000-0005-0000-0000-00004F920000}"/>
    <cellStyle name="Финансовый 3 9 2 7 3" xfId="26832" xr:uid="{00000000-0005-0000-0000-000050920000}"/>
    <cellStyle name="Финансовый 3 9 2 8" xfId="4519" xr:uid="{00000000-0005-0000-0000-000051920000}"/>
    <cellStyle name="Финансовый 3 9 2 8 2" xfId="16498" xr:uid="{00000000-0005-0000-0000-000052920000}"/>
    <cellStyle name="Финансовый 3 9 2 8 2 2" xfId="40453" xr:uid="{00000000-0005-0000-0000-000053920000}"/>
    <cellStyle name="Финансовый 3 9 2 8 3" xfId="28476" xr:uid="{00000000-0005-0000-0000-000054920000}"/>
    <cellStyle name="Финансовый 3 9 2 9" xfId="6306" xr:uid="{00000000-0005-0000-0000-000055920000}"/>
    <cellStyle name="Финансовый 3 9 2 9 2" xfId="18284" xr:uid="{00000000-0005-0000-0000-000056920000}"/>
    <cellStyle name="Финансовый 3 9 2 9 2 2" xfId="42239" xr:uid="{00000000-0005-0000-0000-000057920000}"/>
    <cellStyle name="Финансовый 3 9 2 9 3" xfId="30261" xr:uid="{00000000-0005-0000-0000-000058920000}"/>
    <cellStyle name="Финансовый 3 9 3" xfId="414" xr:uid="{00000000-0005-0000-0000-000059920000}"/>
    <cellStyle name="Финансовый 3 9 3 10" xfId="24373" xr:uid="{00000000-0005-0000-0000-00005A920000}"/>
    <cellStyle name="Финансовый 3 9 3 11" xfId="48319" xr:uid="{00000000-0005-0000-0000-00005B920000}"/>
    <cellStyle name="Финансовый 3 9 3 2" xfId="2193" xr:uid="{00000000-0005-0000-0000-00005C920000}"/>
    <cellStyle name="Финансовый 3 9 3 2 2" xfId="3838" xr:uid="{00000000-0005-0000-0000-00005D920000}"/>
    <cellStyle name="Финансовый 3 9 3 2 2 2" xfId="11578" xr:uid="{00000000-0005-0000-0000-00005E920000}"/>
    <cellStyle name="Финансовый 3 9 3 2 2 2 2" xfId="23556" xr:uid="{00000000-0005-0000-0000-00005F920000}"/>
    <cellStyle name="Финансовый 3 9 3 2 2 2 2 2" xfId="47511" xr:uid="{00000000-0005-0000-0000-000060920000}"/>
    <cellStyle name="Финансовый 3 9 3 2 2 2 3" xfId="35533" xr:uid="{00000000-0005-0000-0000-000061920000}"/>
    <cellStyle name="Финансовый 3 9 3 2 2 3" xfId="15817" xr:uid="{00000000-0005-0000-0000-000062920000}"/>
    <cellStyle name="Финансовый 3 9 3 2 2 3 2" xfId="39772" xr:uid="{00000000-0005-0000-0000-000063920000}"/>
    <cellStyle name="Финансовый 3 9 3 2 2 4" xfId="27795" xr:uid="{00000000-0005-0000-0000-000064920000}"/>
    <cellStyle name="Финансовый 3 9 3 2 2 5" xfId="51064" xr:uid="{00000000-0005-0000-0000-000065920000}"/>
    <cellStyle name="Финансовый 3 9 3 2 3" xfId="5621" xr:uid="{00000000-0005-0000-0000-000066920000}"/>
    <cellStyle name="Финансовый 3 9 3 2 3 2" xfId="17599" xr:uid="{00000000-0005-0000-0000-000067920000}"/>
    <cellStyle name="Финансовый 3 9 3 2 3 2 2" xfId="41554" xr:uid="{00000000-0005-0000-0000-000068920000}"/>
    <cellStyle name="Финансовый 3 9 3 2 3 3" xfId="29576" xr:uid="{00000000-0005-0000-0000-000069920000}"/>
    <cellStyle name="Финансовый 3 9 3 2 4" xfId="8231" xr:uid="{00000000-0005-0000-0000-00006A920000}"/>
    <cellStyle name="Финансовый 3 9 3 2 4 2" xfId="20209" xr:uid="{00000000-0005-0000-0000-00006B920000}"/>
    <cellStyle name="Финансовый 3 9 3 2 4 2 2" xfId="44164" xr:uid="{00000000-0005-0000-0000-00006C920000}"/>
    <cellStyle name="Финансовый 3 9 3 2 4 3" xfId="32186" xr:uid="{00000000-0005-0000-0000-00006D920000}"/>
    <cellStyle name="Финансовый 3 9 3 2 5" xfId="10014" xr:uid="{00000000-0005-0000-0000-00006E920000}"/>
    <cellStyle name="Финансовый 3 9 3 2 5 2" xfId="21992" xr:uid="{00000000-0005-0000-0000-00006F920000}"/>
    <cellStyle name="Финансовый 3 9 3 2 5 2 2" xfId="45947" xr:uid="{00000000-0005-0000-0000-000070920000}"/>
    <cellStyle name="Финансовый 3 9 3 2 5 3" xfId="33969" xr:uid="{00000000-0005-0000-0000-000071920000}"/>
    <cellStyle name="Финансовый 3 9 3 2 6" xfId="14172" xr:uid="{00000000-0005-0000-0000-000072920000}"/>
    <cellStyle name="Финансовый 3 9 3 2 6 2" xfId="38127" xr:uid="{00000000-0005-0000-0000-000073920000}"/>
    <cellStyle name="Финансовый 3 9 3 2 7" xfId="26150" xr:uid="{00000000-0005-0000-0000-000074920000}"/>
    <cellStyle name="Финансовый 3 9 3 2 8" xfId="49283" xr:uid="{00000000-0005-0000-0000-000075920000}"/>
    <cellStyle name="Финансовый 3 9 3 3" xfId="1227" xr:uid="{00000000-0005-0000-0000-000076920000}"/>
    <cellStyle name="Финансовый 3 9 3 3 2" xfId="7267" xr:uid="{00000000-0005-0000-0000-000077920000}"/>
    <cellStyle name="Финансовый 3 9 3 3 2 2" xfId="19245" xr:uid="{00000000-0005-0000-0000-000078920000}"/>
    <cellStyle name="Финансовый 3 9 3 3 2 2 2" xfId="43200" xr:uid="{00000000-0005-0000-0000-000079920000}"/>
    <cellStyle name="Финансовый 3 9 3 3 2 3" xfId="31222" xr:uid="{00000000-0005-0000-0000-00007A920000}"/>
    <cellStyle name="Финансовый 3 9 3 3 3" xfId="10806" xr:uid="{00000000-0005-0000-0000-00007B920000}"/>
    <cellStyle name="Финансовый 3 9 3 3 3 2" xfId="22784" xr:uid="{00000000-0005-0000-0000-00007C920000}"/>
    <cellStyle name="Финансовый 3 9 3 3 3 2 2" xfId="46739" xr:uid="{00000000-0005-0000-0000-00007D920000}"/>
    <cellStyle name="Финансовый 3 9 3 3 3 3" xfId="34761" xr:uid="{00000000-0005-0000-0000-00007E920000}"/>
    <cellStyle name="Финансовый 3 9 3 3 4" xfId="13208" xr:uid="{00000000-0005-0000-0000-00007F920000}"/>
    <cellStyle name="Финансовый 3 9 3 3 4 2" xfId="37163" xr:uid="{00000000-0005-0000-0000-000080920000}"/>
    <cellStyle name="Финансовый 3 9 3 3 5" xfId="25186" xr:uid="{00000000-0005-0000-0000-000081920000}"/>
    <cellStyle name="Финансовый 3 9 3 3 6" xfId="50099" xr:uid="{00000000-0005-0000-0000-000082920000}"/>
    <cellStyle name="Финансовый 3 9 3 4" xfId="834" xr:uid="{00000000-0005-0000-0000-000083920000}"/>
    <cellStyle name="Финансовый 3 9 3 4 2" xfId="6874" xr:uid="{00000000-0005-0000-0000-000084920000}"/>
    <cellStyle name="Финансовый 3 9 3 4 2 2" xfId="18852" xr:uid="{00000000-0005-0000-0000-000085920000}"/>
    <cellStyle name="Финансовый 3 9 3 4 2 2 2" xfId="42807" xr:uid="{00000000-0005-0000-0000-000086920000}"/>
    <cellStyle name="Финансовый 3 9 3 4 2 3" xfId="30829" xr:uid="{00000000-0005-0000-0000-000087920000}"/>
    <cellStyle name="Финансовый 3 9 3 4 3" xfId="12815" xr:uid="{00000000-0005-0000-0000-000088920000}"/>
    <cellStyle name="Финансовый 3 9 3 4 3 2" xfId="36770" xr:uid="{00000000-0005-0000-0000-000089920000}"/>
    <cellStyle name="Финансовый 3 9 3 4 4" xfId="24793" xr:uid="{00000000-0005-0000-0000-00008A920000}"/>
    <cellStyle name="Финансовый 3 9 3 5" xfId="3011" xr:uid="{00000000-0005-0000-0000-00008B920000}"/>
    <cellStyle name="Финансовый 3 9 3 5 2" xfId="14990" xr:uid="{00000000-0005-0000-0000-00008C920000}"/>
    <cellStyle name="Финансовый 3 9 3 5 2 2" xfId="38945" xr:uid="{00000000-0005-0000-0000-00008D920000}"/>
    <cellStyle name="Финансовый 3 9 3 5 3" xfId="26968" xr:uid="{00000000-0005-0000-0000-00008E920000}"/>
    <cellStyle name="Финансовый 3 9 3 6" xfId="4655" xr:uid="{00000000-0005-0000-0000-00008F920000}"/>
    <cellStyle name="Финансовый 3 9 3 6 2" xfId="16634" xr:uid="{00000000-0005-0000-0000-000090920000}"/>
    <cellStyle name="Финансовый 3 9 3 6 2 2" xfId="40589" xr:uid="{00000000-0005-0000-0000-000091920000}"/>
    <cellStyle name="Финансовый 3 9 3 6 3" xfId="28612" xr:uid="{00000000-0005-0000-0000-000092920000}"/>
    <cellStyle name="Финансовый 3 9 3 7" xfId="6454" xr:uid="{00000000-0005-0000-0000-000093920000}"/>
    <cellStyle name="Финансовый 3 9 3 7 2" xfId="18432" xr:uid="{00000000-0005-0000-0000-000094920000}"/>
    <cellStyle name="Финансовый 3 9 3 7 2 2" xfId="42387" xr:uid="{00000000-0005-0000-0000-000095920000}"/>
    <cellStyle name="Финансовый 3 9 3 7 3" xfId="30409" xr:uid="{00000000-0005-0000-0000-000096920000}"/>
    <cellStyle name="Финансовый 3 9 3 8" xfId="9049" xr:uid="{00000000-0005-0000-0000-000097920000}"/>
    <cellStyle name="Финансовый 3 9 3 8 2" xfId="21027" xr:uid="{00000000-0005-0000-0000-000098920000}"/>
    <cellStyle name="Финансовый 3 9 3 8 2 2" xfId="44982" xr:uid="{00000000-0005-0000-0000-000099920000}"/>
    <cellStyle name="Финансовый 3 9 3 8 3" xfId="33004" xr:uid="{00000000-0005-0000-0000-00009A920000}"/>
    <cellStyle name="Финансовый 3 9 3 9" xfId="12395" xr:uid="{00000000-0005-0000-0000-00009B920000}"/>
    <cellStyle name="Финансовый 3 9 3 9 2" xfId="36350" xr:uid="{00000000-0005-0000-0000-00009C920000}"/>
    <cellStyle name="Финансовый 3 9 4" xfId="1423" xr:uid="{00000000-0005-0000-0000-00009D920000}"/>
    <cellStyle name="Финансовый 3 9 4 2" xfId="1937" xr:uid="{00000000-0005-0000-0000-00009E920000}"/>
    <cellStyle name="Финансовый 3 9 4 2 2" xfId="3582" xr:uid="{00000000-0005-0000-0000-00009F920000}"/>
    <cellStyle name="Финансовый 3 9 4 2 2 2" xfId="11322" xr:uid="{00000000-0005-0000-0000-0000A0920000}"/>
    <cellStyle name="Финансовый 3 9 4 2 2 2 2" xfId="23300" xr:uid="{00000000-0005-0000-0000-0000A1920000}"/>
    <cellStyle name="Финансовый 3 9 4 2 2 2 2 2" xfId="47255" xr:uid="{00000000-0005-0000-0000-0000A2920000}"/>
    <cellStyle name="Финансовый 3 9 4 2 2 2 3" xfId="35277" xr:uid="{00000000-0005-0000-0000-0000A3920000}"/>
    <cellStyle name="Финансовый 3 9 4 2 2 3" xfId="15561" xr:uid="{00000000-0005-0000-0000-0000A4920000}"/>
    <cellStyle name="Финансовый 3 9 4 2 2 3 2" xfId="39516" xr:uid="{00000000-0005-0000-0000-0000A5920000}"/>
    <cellStyle name="Финансовый 3 9 4 2 2 4" xfId="27539" xr:uid="{00000000-0005-0000-0000-0000A6920000}"/>
    <cellStyle name="Финансовый 3 9 4 2 2 5" xfId="50808" xr:uid="{00000000-0005-0000-0000-0000A7920000}"/>
    <cellStyle name="Финансовый 3 9 4 2 3" xfId="5365" xr:uid="{00000000-0005-0000-0000-0000A8920000}"/>
    <cellStyle name="Финансовый 3 9 4 2 3 2" xfId="17343" xr:uid="{00000000-0005-0000-0000-0000A9920000}"/>
    <cellStyle name="Финансовый 3 9 4 2 3 2 2" xfId="41298" xr:uid="{00000000-0005-0000-0000-0000AA920000}"/>
    <cellStyle name="Финансовый 3 9 4 2 3 3" xfId="29320" xr:uid="{00000000-0005-0000-0000-0000AB920000}"/>
    <cellStyle name="Финансовый 3 9 4 2 4" xfId="7975" xr:uid="{00000000-0005-0000-0000-0000AC920000}"/>
    <cellStyle name="Финансовый 3 9 4 2 4 2" xfId="19953" xr:uid="{00000000-0005-0000-0000-0000AD920000}"/>
    <cellStyle name="Финансовый 3 9 4 2 4 2 2" xfId="43908" xr:uid="{00000000-0005-0000-0000-0000AE920000}"/>
    <cellStyle name="Финансовый 3 9 4 2 4 3" xfId="31930" xr:uid="{00000000-0005-0000-0000-0000AF920000}"/>
    <cellStyle name="Финансовый 3 9 4 2 5" xfId="9758" xr:uid="{00000000-0005-0000-0000-0000B0920000}"/>
    <cellStyle name="Финансовый 3 9 4 2 5 2" xfId="21736" xr:uid="{00000000-0005-0000-0000-0000B1920000}"/>
    <cellStyle name="Финансовый 3 9 4 2 5 2 2" xfId="45691" xr:uid="{00000000-0005-0000-0000-0000B2920000}"/>
    <cellStyle name="Финансовый 3 9 4 2 5 3" xfId="33713" xr:uid="{00000000-0005-0000-0000-0000B3920000}"/>
    <cellStyle name="Финансовый 3 9 4 2 6" xfId="13916" xr:uid="{00000000-0005-0000-0000-0000B4920000}"/>
    <cellStyle name="Финансовый 3 9 4 2 6 2" xfId="37871" xr:uid="{00000000-0005-0000-0000-0000B5920000}"/>
    <cellStyle name="Финансовый 3 9 4 2 7" xfId="25894" xr:uid="{00000000-0005-0000-0000-0000B6920000}"/>
    <cellStyle name="Финансовый 3 9 4 2 8" xfId="49027" xr:uid="{00000000-0005-0000-0000-0000B7920000}"/>
    <cellStyle name="Финансовый 3 9 4 3" xfId="4851" xr:uid="{00000000-0005-0000-0000-0000B8920000}"/>
    <cellStyle name="Финансовый 3 9 4 3 2" xfId="16830" xr:uid="{00000000-0005-0000-0000-0000B9920000}"/>
    <cellStyle name="Финансовый 3 9 4 3 2 2" xfId="40785" xr:uid="{00000000-0005-0000-0000-0000BA920000}"/>
    <cellStyle name="Финансовый 3 9 4 3 3" xfId="28808" xr:uid="{00000000-0005-0000-0000-0000BB920000}"/>
    <cellStyle name="Финансовый 3 9 4 3 4" xfId="50295" xr:uid="{00000000-0005-0000-0000-0000BC920000}"/>
    <cellStyle name="Финансовый 3 9 4 4" xfId="7463" xr:uid="{00000000-0005-0000-0000-0000BD920000}"/>
    <cellStyle name="Финансовый 3 9 4 4 2" xfId="19441" xr:uid="{00000000-0005-0000-0000-0000BE920000}"/>
    <cellStyle name="Финансовый 3 9 4 4 2 2" xfId="43396" xr:uid="{00000000-0005-0000-0000-0000BF920000}"/>
    <cellStyle name="Финансовый 3 9 4 4 3" xfId="31418" xr:uid="{00000000-0005-0000-0000-0000C0920000}"/>
    <cellStyle name="Финансовый 3 9 4 5" xfId="9245" xr:uid="{00000000-0005-0000-0000-0000C1920000}"/>
    <cellStyle name="Финансовый 3 9 4 5 2" xfId="21223" xr:uid="{00000000-0005-0000-0000-0000C2920000}"/>
    <cellStyle name="Финансовый 3 9 4 5 2 2" xfId="45178" xr:uid="{00000000-0005-0000-0000-0000C3920000}"/>
    <cellStyle name="Финансовый 3 9 4 5 3" xfId="33200" xr:uid="{00000000-0005-0000-0000-0000C4920000}"/>
    <cellStyle name="Финансовый 3 9 4 6" xfId="13404" xr:uid="{00000000-0005-0000-0000-0000C5920000}"/>
    <cellStyle name="Финансовый 3 9 4 6 2" xfId="37359" xr:uid="{00000000-0005-0000-0000-0000C6920000}"/>
    <cellStyle name="Финансовый 3 9 4 7" xfId="25382" xr:uid="{00000000-0005-0000-0000-0000C7920000}"/>
    <cellStyle name="Финансовый 3 9 4 8" xfId="48515" xr:uid="{00000000-0005-0000-0000-0000C8920000}"/>
    <cellStyle name="Финансовый 3 9 5" xfId="1813" xr:uid="{00000000-0005-0000-0000-0000C9920000}"/>
    <cellStyle name="Финансовый 3 9 5 2" xfId="3458" xr:uid="{00000000-0005-0000-0000-0000CA920000}"/>
    <cellStyle name="Финансовый 3 9 5 2 2" xfId="11206" xr:uid="{00000000-0005-0000-0000-0000CB920000}"/>
    <cellStyle name="Финансовый 3 9 5 2 2 2" xfId="23184" xr:uid="{00000000-0005-0000-0000-0000CC920000}"/>
    <cellStyle name="Финансовый 3 9 5 2 2 2 2" xfId="47139" xr:uid="{00000000-0005-0000-0000-0000CD920000}"/>
    <cellStyle name="Финансовый 3 9 5 2 2 3" xfId="35161" xr:uid="{00000000-0005-0000-0000-0000CE920000}"/>
    <cellStyle name="Финансовый 3 9 5 2 3" xfId="15437" xr:uid="{00000000-0005-0000-0000-0000CF920000}"/>
    <cellStyle name="Финансовый 3 9 5 2 3 2" xfId="39392" xr:uid="{00000000-0005-0000-0000-0000D0920000}"/>
    <cellStyle name="Финансовый 3 9 5 2 4" xfId="27415" xr:uid="{00000000-0005-0000-0000-0000D1920000}"/>
    <cellStyle name="Финансовый 3 9 5 2 5" xfId="50684" xr:uid="{00000000-0005-0000-0000-0000D2920000}"/>
    <cellStyle name="Финансовый 3 9 5 3" xfId="5241" xr:uid="{00000000-0005-0000-0000-0000D3920000}"/>
    <cellStyle name="Финансовый 3 9 5 3 2" xfId="17219" xr:uid="{00000000-0005-0000-0000-0000D4920000}"/>
    <cellStyle name="Финансовый 3 9 5 3 2 2" xfId="41174" xr:uid="{00000000-0005-0000-0000-0000D5920000}"/>
    <cellStyle name="Финансовый 3 9 5 3 3" xfId="29196" xr:uid="{00000000-0005-0000-0000-0000D6920000}"/>
    <cellStyle name="Финансовый 3 9 5 4" xfId="7851" xr:uid="{00000000-0005-0000-0000-0000D7920000}"/>
    <cellStyle name="Финансовый 3 9 5 4 2" xfId="19829" xr:uid="{00000000-0005-0000-0000-0000D8920000}"/>
    <cellStyle name="Финансовый 3 9 5 4 2 2" xfId="43784" xr:uid="{00000000-0005-0000-0000-0000D9920000}"/>
    <cellStyle name="Финансовый 3 9 5 4 3" xfId="31806" xr:uid="{00000000-0005-0000-0000-0000DA920000}"/>
    <cellStyle name="Финансовый 3 9 5 5" xfId="9634" xr:uid="{00000000-0005-0000-0000-0000DB920000}"/>
    <cellStyle name="Финансовый 3 9 5 5 2" xfId="21612" xr:uid="{00000000-0005-0000-0000-0000DC920000}"/>
    <cellStyle name="Финансовый 3 9 5 5 2 2" xfId="45567" xr:uid="{00000000-0005-0000-0000-0000DD920000}"/>
    <cellStyle name="Финансовый 3 9 5 5 3" xfId="33589" xr:uid="{00000000-0005-0000-0000-0000DE920000}"/>
    <cellStyle name="Финансовый 3 9 5 6" xfId="13792" xr:uid="{00000000-0005-0000-0000-0000DF920000}"/>
    <cellStyle name="Финансовый 3 9 5 6 2" xfId="37747" xr:uid="{00000000-0005-0000-0000-0000E0920000}"/>
    <cellStyle name="Финансовый 3 9 5 7" xfId="25770" xr:uid="{00000000-0005-0000-0000-0000E1920000}"/>
    <cellStyle name="Финансовый 3 9 5 8" xfId="48903" xr:uid="{00000000-0005-0000-0000-0000E2920000}"/>
    <cellStyle name="Финансовый 3 9 6" xfId="2458" xr:uid="{00000000-0005-0000-0000-0000E3920000}"/>
    <cellStyle name="Финансовый 3 9 6 2" xfId="4103" xr:uid="{00000000-0005-0000-0000-0000E4920000}"/>
    <cellStyle name="Финансовый 3 9 6 2 2" xfId="11835" xr:uid="{00000000-0005-0000-0000-0000E5920000}"/>
    <cellStyle name="Финансовый 3 9 6 2 2 2" xfId="23813" xr:uid="{00000000-0005-0000-0000-0000E6920000}"/>
    <cellStyle name="Финансовый 3 9 6 2 2 2 2" xfId="47768" xr:uid="{00000000-0005-0000-0000-0000E7920000}"/>
    <cellStyle name="Финансовый 3 9 6 2 2 3" xfId="35790" xr:uid="{00000000-0005-0000-0000-0000E8920000}"/>
    <cellStyle name="Финансовый 3 9 6 2 3" xfId="16082" xr:uid="{00000000-0005-0000-0000-0000E9920000}"/>
    <cellStyle name="Финансовый 3 9 6 2 3 2" xfId="40037" xr:uid="{00000000-0005-0000-0000-0000EA920000}"/>
    <cellStyle name="Финансовый 3 9 6 2 4" xfId="28060" xr:uid="{00000000-0005-0000-0000-0000EB920000}"/>
    <cellStyle name="Финансовый 3 9 6 2 5" xfId="51329" xr:uid="{00000000-0005-0000-0000-0000EC920000}"/>
    <cellStyle name="Финансовый 3 9 6 3" xfId="5886" xr:uid="{00000000-0005-0000-0000-0000ED920000}"/>
    <cellStyle name="Финансовый 3 9 6 3 2" xfId="17864" xr:uid="{00000000-0005-0000-0000-0000EE920000}"/>
    <cellStyle name="Финансовый 3 9 6 3 2 2" xfId="41819" xr:uid="{00000000-0005-0000-0000-0000EF920000}"/>
    <cellStyle name="Финансовый 3 9 6 3 3" xfId="29841" xr:uid="{00000000-0005-0000-0000-0000F0920000}"/>
    <cellStyle name="Финансовый 3 9 6 4" xfId="8496" xr:uid="{00000000-0005-0000-0000-0000F1920000}"/>
    <cellStyle name="Финансовый 3 9 6 4 2" xfId="20474" xr:uid="{00000000-0005-0000-0000-0000F2920000}"/>
    <cellStyle name="Финансовый 3 9 6 4 2 2" xfId="44429" xr:uid="{00000000-0005-0000-0000-0000F3920000}"/>
    <cellStyle name="Финансовый 3 9 6 4 3" xfId="32451" xr:uid="{00000000-0005-0000-0000-0000F4920000}"/>
    <cellStyle name="Финансовый 3 9 6 5" xfId="10279" xr:uid="{00000000-0005-0000-0000-0000F5920000}"/>
    <cellStyle name="Финансовый 3 9 6 5 2" xfId="22257" xr:uid="{00000000-0005-0000-0000-0000F6920000}"/>
    <cellStyle name="Финансовый 3 9 6 5 2 2" xfId="46212" xr:uid="{00000000-0005-0000-0000-0000F7920000}"/>
    <cellStyle name="Финансовый 3 9 6 5 3" xfId="34234" xr:uid="{00000000-0005-0000-0000-0000F8920000}"/>
    <cellStyle name="Финансовый 3 9 6 6" xfId="14437" xr:uid="{00000000-0005-0000-0000-0000F9920000}"/>
    <cellStyle name="Финансовый 3 9 6 6 2" xfId="38392" xr:uid="{00000000-0005-0000-0000-0000FA920000}"/>
    <cellStyle name="Финансовый 3 9 6 7" xfId="26415" xr:uid="{00000000-0005-0000-0000-0000FB920000}"/>
    <cellStyle name="Финансовый 3 9 6 8" xfId="49548" xr:uid="{00000000-0005-0000-0000-0000FC920000}"/>
    <cellStyle name="Финансовый 3 9 7" xfId="1685" xr:uid="{00000000-0005-0000-0000-0000FD920000}"/>
    <cellStyle name="Финансовый 3 9 7 2" xfId="3330" xr:uid="{00000000-0005-0000-0000-0000FE920000}"/>
    <cellStyle name="Финансовый 3 9 7 2 2" xfId="11078" xr:uid="{00000000-0005-0000-0000-0000FF920000}"/>
    <cellStyle name="Финансовый 3 9 7 2 2 2" xfId="23056" xr:uid="{00000000-0005-0000-0000-000000930000}"/>
    <cellStyle name="Финансовый 3 9 7 2 2 2 2" xfId="47011" xr:uid="{00000000-0005-0000-0000-000001930000}"/>
    <cellStyle name="Финансовый 3 9 7 2 2 3" xfId="35033" xr:uid="{00000000-0005-0000-0000-000002930000}"/>
    <cellStyle name="Финансовый 3 9 7 2 3" xfId="15309" xr:uid="{00000000-0005-0000-0000-000003930000}"/>
    <cellStyle name="Финансовый 3 9 7 2 3 2" xfId="39264" xr:uid="{00000000-0005-0000-0000-000004930000}"/>
    <cellStyle name="Финансовый 3 9 7 2 4" xfId="27287" xr:uid="{00000000-0005-0000-0000-000005930000}"/>
    <cellStyle name="Финансовый 3 9 7 2 5" xfId="50556" xr:uid="{00000000-0005-0000-0000-000006930000}"/>
    <cellStyle name="Финансовый 3 9 7 3" xfId="5113" xr:uid="{00000000-0005-0000-0000-000007930000}"/>
    <cellStyle name="Финансовый 3 9 7 3 2" xfId="17091" xr:uid="{00000000-0005-0000-0000-000008930000}"/>
    <cellStyle name="Финансовый 3 9 7 3 2 2" xfId="41046" xr:uid="{00000000-0005-0000-0000-000009930000}"/>
    <cellStyle name="Финансовый 3 9 7 3 3" xfId="29068" xr:uid="{00000000-0005-0000-0000-00000A930000}"/>
    <cellStyle name="Финансовый 3 9 7 4" xfId="7723" xr:uid="{00000000-0005-0000-0000-00000B930000}"/>
    <cellStyle name="Финансовый 3 9 7 4 2" xfId="19701" xr:uid="{00000000-0005-0000-0000-00000C930000}"/>
    <cellStyle name="Финансовый 3 9 7 4 2 2" xfId="43656" xr:uid="{00000000-0005-0000-0000-00000D930000}"/>
    <cellStyle name="Финансовый 3 9 7 4 3" xfId="31678" xr:uid="{00000000-0005-0000-0000-00000E930000}"/>
    <cellStyle name="Финансовый 3 9 7 5" xfId="9506" xr:uid="{00000000-0005-0000-0000-00000F930000}"/>
    <cellStyle name="Финансовый 3 9 7 5 2" xfId="21484" xr:uid="{00000000-0005-0000-0000-000010930000}"/>
    <cellStyle name="Финансовый 3 9 7 5 2 2" xfId="45439" xr:uid="{00000000-0005-0000-0000-000011930000}"/>
    <cellStyle name="Финансовый 3 9 7 5 3" xfId="33461" xr:uid="{00000000-0005-0000-0000-000012930000}"/>
    <cellStyle name="Финансовый 3 9 7 6" xfId="13664" xr:uid="{00000000-0005-0000-0000-000013930000}"/>
    <cellStyle name="Финансовый 3 9 7 6 2" xfId="37619" xr:uid="{00000000-0005-0000-0000-000014930000}"/>
    <cellStyle name="Финансовый 3 9 7 7" xfId="25642" xr:uid="{00000000-0005-0000-0000-000015930000}"/>
    <cellStyle name="Финансовый 3 9 7 8" xfId="48775" xr:uid="{00000000-0005-0000-0000-000016930000}"/>
    <cellStyle name="Финансовый 3 9 8" xfId="962" xr:uid="{00000000-0005-0000-0000-000017930000}"/>
    <cellStyle name="Финансовый 3 9 8 2" xfId="7002" xr:uid="{00000000-0005-0000-0000-000018930000}"/>
    <cellStyle name="Финансовый 3 9 8 2 2" xfId="18980" xr:uid="{00000000-0005-0000-0000-000019930000}"/>
    <cellStyle name="Финансовый 3 9 8 2 2 2" xfId="42935" xr:uid="{00000000-0005-0000-0000-00001A930000}"/>
    <cellStyle name="Финансовый 3 9 8 2 3" xfId="30957" xr:uid="{00000000-0005-0000-0000-00001B930000}"/>
    <cellStyle name="Финансовый 3 9 8 3" xfId="10550" xr:uid="{00000000-0005-0000-0000-00001C930000}"/>
    <cellStyle name="Финансовый 3 9 8 3 2" xfId="22528" xr:uid="{00000000-0005-0000-0000-00001D930000}"/>
    <cellStyle name="Финансовый 3 9 8 3 2 2" xfId="46483" xr:uid="{00000000-0005-0000-0000-00001E930000}"/>
    <cellStyle name="Финансовый 3 9 8 3 3" xfId="34505" xr:uid="{00000000-0005-0000-0000-00001F930000}"/>
    <cellStyle name="Финансовый 3 9 8 4" xfId="12943" xr:uid="{00000000-0005-0000-0000-000020930000}"/>
    <cellStyle name="Финансовый 3 9 8 4 2" xfId="36898" xr:uid="{00000000-0005-0000-0000-000021930000}"/>
    <cellStyle name="Финансовый 3 9 8 5" xfId="24921" xr:uid="{00000000-0005-0000-0000-000022930000}"/>
    <cellStyle name="Финансовый 3 9 8 6" xfId="49827" xr:uid="{00000000-0005-0000-0000-000023930000}"/>
    <cellStyle name="Финансовый 3 9 9" xfId="550" xr:uid="{00000000-0005-0000-0000-000024930000}"/>
    <cellStyle name="Финансовый 3 9 9 2" xfId="6590" xr:uid="{00000000-0005-0000-0000-000025930000}"/>
    <cellStyle name="Финансовый 3 9 9 2 2" xfId="18568" xr:uid="{00000000-0005-0000-0000-000026930000}"/>
    <cellStyle name="Финансовый 3 9 9 2 2 2" xfId="42523" xr:uid="{00000000-0005-0000-0000-000027930000}"/>
    <cellStyle name="Финансовый 3 9 9 2 3" xfId="30545" xr:uid="{00000000-0005-0000-0000-000028930000}"/>
    <cellStyle name="Финансовый 3 9 9 3" xfId="12531" xr:uid="{00000000-0005-0000-0000-000029930000}"/>
    <cellStyle name="Финансовый 3 9 9 3 2" xfId="36486" xr:uid="{00000000-0005-0000-0000-00002A930000}"/>
    <cellStyle name="Финансовый 3 9 9 4" xfId="24509" xr:uid="{00000000-0005-0000-0000-00002B930000}"/>
    <cellStyle name="Финансовый 30" xfId="1620" xr:uid="{00000000-0005-0000-0000-00002C930000}"/>
    <cellStyle name="Финансовый 30 2" xfId="3265" xr:uid="{00000000-0005-0000-0000-00002D930000}"/>
    <cellStyle name="Финансовый 30 2 2" xfId="11021" xr:uid="{00000000-0005-0000-0000-00002E930000}"/>
    <cellStyle name="Финансовый 30 2 2 2" xfId="22999" xr:uid="{00000000-0005-0000-0000-00002F930000}"/>
    <cellStyle name="Финансовый 30 2 2 2 2" xfId="46954" xr:uid="{00000000-0005-0000-0000-000030930000}"/>
    <cellStyle name="Финансовый 30 2 2 3" xfId="34976" xr:uid="{00000000-0005-0000-0000-000031930000}"/>
    <cellStyle name="Финансовый 30 2 3" xfId="15244" xr:uid="{00000000-0005-0000-0000-000032930000}"/>
    <cellStyle name="Финансовый 30 2 3 2" xfId="39199" xr:uid="{00000000-0005-0000-0000-000033930000}"/>
    <cellStyle name="Финансовый 30 2 4" xfId="27222" xr:uid="{00000000-0005-0000-0000-000034930000}"/>
    <cellStyle name="Финансовый 30 2 5" xfId="50491" xr:uid="{00000000-0005-0000-0000-000035930000}"/>
    <cellStyle name="Финансовый 30 3" xfId="5048" xr:uid="{00000000-0005-0000-0000-000036930000}"/>
    <cellStyle name="Финансовый 30 3 2" xfId="17026" xr:uid="{00000000-0005-0000-0000-000037930000}"/>
    <cellStyle name="Финансовый 30 3 2 2" xfId="40981" xr:uid="{00000000-0005-0000-0000-000038930000}"/>
    <cellStyle name="Финансовый 30 3 3" xfId="29003" xr:uid="{00000000-0005-0000-0000-000039930000}"/>
    <cellStyle name="Финансовый 30 4" xfId="7658" xr:uid="{00000000-0005-0000-0000-00003A930000}"/>
    <cellStyle name="Финансовый 30 4 2" xfId="19636" xr:uid="{00000000-0005-0000-0000-00003B930000}"/>
    <cellStyle name="Финансовый 30 4 2 2" xfId="43591" xr:uid="{00000000-0005-0000-0000-00003C930000}"/>
    <cellStyle name="Финансовый 30 4 3" xfId="31613" xr:uid="{00000000-0005-0000-0000-00003D930000}"/>
    <cellStyle name="Финансовый 30 5" xfId="9441" xr:uid="{00000000-0005-0000-0000-00003E930000}"/>
    <cellStyle name="Финансовый 30 5 2" xfId="21419" xr:uid="{00000000-0005-0000-0000-00003F930000}"/>
    <cellStyle name="Финансовый 30 5 2 2" xfId="45374" xr:uid="{00000000-0005-0000-0000-000040930000}"/>
    <cellStyle name="Финансовый 30 5 3" xfId="33396" xr:uid="{00000000-0005-0000-0000-000041930000}"/>
    <cellStyle name="Финансовый 30 6" xfId="13599" xr:uid="{00000000-0005-0000-0000-000042930000}"/>
    <cellStyle name="Финансовый 30 6 2" xfId="37554" xr:uid="{00000000-0005-0000-0000-000043930000}"/>
    <cellStyle name="Финансовый 30 7" xfId="25577" xr:uid="{00000000-0005-0000-0000-000044930000}"/>
    <cellStyle name="Финансовый 30 8" xfId="48710" xr:uid="{00000000-0005-0000-0000-000045930000}"/>
    <cellStyle name="Финансовый 31" xfId="844" xr:uid="{00000000-0005-0000-0000-000046930000}"/>
    <cellStyle name="Финансовый 31 2" xfId="6884" xr:uid="{00000000-0005-0000-0000-000047930000}"/>
    <cellStyle name="Финансовый 31 2 2" xfId="18862" xr:uid="{00000000-0005-0000-0000-000048930000}"/>
    <cellStyle name="Финансовый 31 2 2 2" xfId="42817" xr:uid="{00000000-0005-0000-0000-000049930000}"/>
    <cellStyle name="Финансовый 31 2 3" xfId="30839" xr:uid="{00000000-0005-0000-0000-00004A930000}"/>
    <cellStyle name="Финансовый 31 3" xfId="10432" xr:uid="{00000000-0005-0000-0000-00004B930000}"/>
    <cellStyle name="Финансовый 31 3 2" xfId="22410" xr:uid="{00000000-0005-0000-0000-00004C930000}"/>
    <cellStyle name="Финансовый 31 3 2 2" xfId="46365" xr:uid="{00000000-0005-0000-0000-00004D930000}"/>
    <cellStyle name="Финансовый 31 3 3" xfId="34387" xr:uid="{00000000-0005-0000-0000-00004E930000}"/>
    <cellStyle name="Финансовый 31 4" xfId="12825" xr:uid="{00000000-0005-0000-0000-00004F930000}"/>
    <cellStyle name="Финансовый 31 4 2" xfId="36780" xr:uid="{00000000-0005-0000-0000-000050930000}"/>
    <cellStyle name="Финансовый 31 5" xfId="24803" xr:uid="{00000000-0005-0000-0000-000051930000}"/>
    <cellStyle name="Финансовый 31 6" xfId="49701" xr:uid="{00000000-0005-0000-0000-000052930000}"/>
    <cellStyle name="Финансовый 32" xfId="1171" xr:uid="{00000000-0005-0000-0000-000053930000}"/>
    <cellStyle name="Финансовый 32 2" xfId="7211" xr:uid="{00000000-0005-0000-0000-000054930000}"/>
    <cellStyle name="Финансовый 32 2 2" xfId="19189" xr:uid="{00000000-0005-0000-0000-000055930000}"/>
    <cellStyle name="Финансовый 32 2 2 2" xfId="43144" xr:uid="{00000000-0005-0000-0000-000056930000}"/>
    <cellStyle name="Финансовый 32 2 3" xfId="31166" xr:uid="{00000000-0005-0000-0000-000057930000}"/>
    <cellStyle name="Финансовый 32 3" xfId="10958" xr:uid="{00000000-0005-0000-0000-000058930000}"/>
    <cellStyle name="Финансовый 32 3 2" xfId="22936" xr:uid="{00000000-0005-0000-0000-000059930000}"/>
    <cellStyle name="Финансовый 32 3 2 2" xfId="46891" xr:uid="{00000000-0005-0000-0000-00005A930000}"/>
    <cellStyle name="Финансовый 32 3 3" xfId="34913" xr:uid="{00000000-0005-0000-0000-00005B930000}"/>
    <cellStyle name="Финансовый 32 4" xfId="13152" xr:uid="{00000000-0005-0000-0000-00005C930000}"/>
    <cellStyle name="Финансовый 32 4 2" xfId="37107" xr:uid="{00000000-0005-0000-0000-00005D930000}"/>
    <cellStyle name="Финансовый 32 5" xfId="25130" xr:uid="{00000000-0005-0000-0000-00005E930000}"/>
    <cellStyle name="Финансовый 32 6" xfId="51482" xr:uid="{00000000-0005-0000-0000-00005F930000}"/>
    <cellStyle name="Финансовый 33" xfId="2612" xr:uid="{00000000-0005-0000-0000-000060930000}"/>
    <cellStyle name="Финансовый 33 2" xfId="8650" xr:uid="{00000000-0005-0000-0000-000061930000}"/>
    <cellStyle name="Финансовый 33 2 2" xfId="20628" xr:uid="{00000000-0005-0000-0000-000062930000}"/>
    <cellStyle name="Финансовый 33 2 2 2" xfId="44583" xr:uid="{00000000-0005-0000-0000-000063930000}"/>
    <cellStyle name="Финансовый 33 2 3" xfId="32605" xr:uid="{00000000-0005-0000-0000-000064930000}"/>
    <cellStyle name="Финансовый 33 3" xfId="11981" xr:uid="{00000000-0005-0000-0000-000065930000}"/>
    <cellStyle name="Финансовый 33 3 2" xfId="23959" xr:uid="{00000000-0005-0000-0000-000066930000}"/>
    <cellStyle name="Финансовый 33 3 2 2" xfId="47914" xr:uid="{00000000-0005-0000-0000-000067930000}"/>
    <cellStyle name="Финансовый 33 3 3" xfId="35936" xr:uid="{00000000-0005-0000-0000-000068930000}"/>
    <cellStyle name="Финансовый 33 4" xfId="14591" xr:uid="{00000000-0005-0000-0000-000069930000}"/>
    <cellStyle name="Финансовый 33 4 2" xfId="38546" xr:uid="{00000000-0005-0000-0000-00006A930000}"/>
    <cellStyle name="Финансовый 33 5" xfId="26569" xr:uid="{00000000-0005-0000-0000-00006B930000}"/>
    <cellStyle name="Финансовый 33 6" xfId="51490" xr:uid="{00000000-0005-0000-0000-00006C930000}"/>
    <cellStyle name="Финансовый 34" xfId="2611" xr:uid="{00000000-0005-0000-0000-00006D930000}"/>
    <cellStyle name="Финансовый 34 2" xfId="8649" xr:uid="{00000000-0005-0000-0000-00006E930000}"/>
    <cellStyle name="Финансовый 34 2 2" xfId="20627" xr:uid="{00000000-0005-0000-0000-00006F930000}"/>
    <cellStyle name="Финансовый 34 2 2 2" xfId="44582" xr:uid="{00000000-0005-0000-0000-000070930000}"/>
    <cellStyle name="Финансовый 34 2 3" xfId="32604" xr:uid="{00000000-0005-0000-0000-000071930000}"/>
    <cellStyle name="Финансовый 34 3" xfId="11980" xr:uid="{00000000-0005-0000-0000-000072930000}"/>
    <cellStyle name="Финансовый 34 3 2" xfId="23958" xr:uid="{00000000-0005-0000-0000-000073930000}"/>
    <cellStyle name="Финансовый 34 3 2 2" xfId="47913" xr:uid="{00000000-0005-0000-0000-000074930000}"/>
    <cellStyle name="Финансовый 34 3 3" xfId="35935" xr:uid="{00000000-0005-0000-0000-000075930000}"/>
    <cellStyle name="Финансовый 34 4" xfId="14590" xr:uid="{00000000-0005-0000-0000-000076930000}"/>
    <cellStyle name="Финансовый 34 4 2" xfId="38545" xr:uid="{00000000-0005-0000-0000-000077930000}"/>
    <cellStyle name="Финансовый 34 5" xfId="26568" xr:uid="{00000000-0005-0000-0000-000078930000}"/>
    <cellStyle name="Финансовый 34 6" xfId="51492" xr:uid="{00000000-0005-0000-0000-000079930000}"/>
    <cellStyle name="Финансовый 35" xfId="424" xr:uid="{00000000-0005-0000-0000-00007A930000}"/>
    <cellStyle name="Финансовый 35 2" xfId="6464" xr:uid="{00000000-0005-0000-0000-00007B930000}"/>
    <cellStyle name="Финансовый 35 2 2" xfId="18442" xr:uid="{00000000-0005-0000-0000-00007C930000}"/>
    <cellStyle name="Финансовый 35 2 2 2" xfId="42397" xr:uid="{00000000-0005-0000-0000-00007D930000}"/>
    <cellStyle name="Финансовый 35 2 3" xfId="30419" xr:uid="{00000000-0005-0000-0000-00007E930000}"/>
    <cellStyle name="Финансовый 35 3" xfId="10957" xr:uid="{00000000-0005-0000-0000-00007F930000}"/>
    <cellStyle name="Финансовый 35 3 2" xfId="22935" xr:uid="{00000000-0005-0000-0000-000080930000}"/>
    <cellStyle name="Финансовый 35 3 2 2" xfId="46890" xr:uid="{00000000-0005-0000-0000-000081930000}"/>
    <cellStyle name="Финансовый 35 3 3" xfId="34912" xr:uid="{00000000-0005-0000-0000-000082930000}"/>
    <cellStyle name="Финансовый 35 4" xfId="12405" xr:uid="{00000000-0005-0000-0000-000083930000}"/>
    <cellStyle name="Финансовый 35 4 2" xfId="36360" xr:uid="{00000000-0005-0000-0000-000084930000}"/>
    <cellStyle name="Финансовый 35 5" xfId="24383" xr:uid="{00000000-0005-0000-0000-000085930000}"/>
    <cellStyle name="Финансовый 35 6" xfId="51491" xr:uid="{00000000-0005-0000-0000-000086930000}"/>
    <cellStyle name="Финансовый 36" xfId="2613" xr:uid="{00000000-0005-0000-0000-000087930000}"/>
    <cellStyle name="Финансовый 36 2" xfId="14592" xr:uid="{00000000-0005-0000-0000-000088930000}"/>
    <cellStyle name="Финансовый 36 2 2" xfId="38547" xr:uid="{00000000-0005-0000-0000-000089930000}"/>
    <cellStyle name="Финансовый 36 3" xfId="26570" xr:uid="{00000000-0005-0000-0000-00008A930000}"/>
    <cellStyle name="Финансовый 37" xfId="3202" xr:uid="{00000000-0005-0000-0000-00008B930000}"/>
    <cellStyle name="Финансовый 37 2" xfId="15181" xr:uid="{00000000-0005-0000-0000-00008C930000}"/>
    <cellStyle name="Финансовый 37 2 2" xfId="39136" xr:uid="{00000000-0005-0000-0000-00008D930000}"/>
    <cellStyle name="Финансовый 37 3" xfId="27159" xr:uid="{00000000-0005-0000-0000-00008E930000}"/>
    <cellStyle name="Финансовый 38" xfId="4256" xr:uid="{00000000-0005-0000-0000-00008F930000}"/>
    <cellStyle name="Финансовый 38 2" xfId="16235" xr:uid="{00000000-0005-0000-0000-000090930000}"/>
    <cellStyle name="Финансовый 38 2 2" xfId="40190" xr:uid="{00000000-0005-0000-0000-000091930000}"/>
    <cellStyle name="Финансовый 38 3" xfId="28213" xr:uid="{00000000-0005-0000-0000-000092930000}"/>
    <cellStyle name="Финансовый 39" xfId="4318" xr:uid="{00000000-0005-0000-0000-000093930000}"/>
    <cellStyle name="Финансовый 39 2" xfId="16297" xr:uid="{00000000-0005-0000-0000-000094930000}"/>
    <cellStyle name="Финансовый 39 2 2" xfId="40252" xr:uid="{00000000-0005-0000-0000-000095930000}"/>
    <cellStyle name="Финансовый 39 3" xfId="28275" xr:uid="{00000000-0005-0000-0000-000096930000}"/>
    <cellStyle name="Финансовый 4" xfId="5" xr:uid="{00000000-0005-0000-0000-000097930000}"/>
    <cellStyle name="Финансовый 4 10" xfId="29" xr:uid="{00000000-0005-0000-0000-000098930000}"/>
    <cellStyle name="Финансовый 4 10 10" xfId="2641" xr:uid="{00000000-0005-0000-0000-000099930000}"/>
    <cellStyle name="Финансовый 4 10 10 2" xfId="14620" xr:uid="{00000000-0005-0000-0000-00009A930000}"/>
    <cellStyle name="Финансовый 4 10 10 2 2" xfId="38575" xr:uid="{00000000-0005-0000-0000-00009B930000}"/>
    <cellStyle name="Финансовый 4 10 10 3" xfId="26598" xr:uid="{00000000-0005-0000-0000-00009C930000}"/>
    <cellStyle name="Финансовый 4 10 11" xfId="4284" xr:uid="{00000000-0005-0000-0000-00009D930000}"/>
    <cellStyle name="Финансовый 4 10 11 2" xfId="16263" xr:uid="{00000000-0005-0000-0000-00009E930000}"/>
    <cellStyle name="Финансовый 4 10 11 2 2" xfId="40218" xr:uid="{00000000-0005-0000-0000-00009F930000}"/>
    <cellStyle name="Финансовый 4 10 11 3" xfId="28241" xr:uid="{00000000-0005-0000-0000-0000A0930000}"/>
    <cellStyle name="Финансовый 4 10 12" xfId="6072" xr:uid="{00000000-0005-0000-0000-0000A1930000}"/>
    <cellStyle name="Финансовый 4 10 12 2" xfId="18050" xr:uid="{00000000-0005-0000-0000-0000A2930000}"/>
    <cellStyle name="Финансовый 4 10 12 2 2" xfId="42005" xr:uid="{00000000-0005-0000-0000-0000A3930000}"/>
    <cellStyle name="Финансовый 4 10 12 3" xfId="30027" xr:uid="{00000000-0005-0000-0000-0000A4930000}"/>
    <cellStyle name="Финансовый 4 10 13" xfId="8679" xr:uid="{00000000-0005-0000-0000-0000A5930000}"/>
    <cellStyle name="Финансовый 4 10 13 2" xfId="20657" xr:uid="{00000000-0005-0000-0000-0000A6930000}"/>
    <cellStyle name="Финансовый 4 10 13 2 2" xfId="44612" xr:uid="{00000000-0005-0000-0000-0000A7930000}"/>
    <cellStyle name="Финансовый 4 10 13 3" xfId="32634" xr:uid="{00000000-0005-0000-0000-0000A8930000}"/>
    <cellStyle name="Финансовый 4 10 14" xfId="12013" xr:uid="{00000000-0005-0000-0000-0000A9930000}"/>
    <cellStyle name="Финансовый 4 10 14 2" xfId="35968" xr:uid="{00000000-0005-0000-0000-0000AA930000}"/>
    <cellStyle name="Финансовый 4 10 15" xfId="23991" xr:uid="{00000000-0005-0000-0000-0000AB930000}"/>
    <cellStyle name="Финансовый 4 10 16" xfId="47949" xr:uid="{00000000-0005-0000-0000-0000AC930000}"/>
    <cellStyle name="Финансовый 4 10 2" xfId="167" xr:uid="{00000000-0005-0000-0000-0000AD930000}"/>
    <cellStyle name="Финансовый 4 10 2 10" xfId="8815" xr:uid="{00000000-0005-0000-0000-0000AE930000}"/>
    <cellStyle name="Финансовый 4 10 2 10 2" xfId="20793" xr:uid="{00000000-0005-0000-0000-0000AF930000}"/>
    <cellStyle name="Финансовый 4 10 2 10 2 2" xfId="44748" xr:uid="{00000000-0005-0000-0000-0000B0930000}"/>
    <cellStyle name="Финансовый 4 10 2 10 3" xfId="32770" xr:uid="{00000000-0005-0000-0000-0000B1930000}"/>
    <cellStyle name="Финансовый 4 10 2 11" xfId="12149" xr:uid="{00000000-0005-0000-0000-0000B2930000}"/>
    <cellStyle name="Финансовый 4 10 2 11 2" xfId="36104" xr:uid="{00000000-0005-0000-0000-0000B3930000}"/>
    <cellStyle name="Финансовый 4 10 2 12" xfId="24127" xr:uid="{00000000-0005-0000-0000-0000B4930000}"/>
    <cellStyle name="Финансовый 4 10 2 13" xfId="48085" xr:uid="{00000000-0005-0000-0000-0000B5930000}"/>
    <cellStyle name="Финансовый 4 10 2 2" xfId="1265" xr:uid="{00000000-0005-0000-0000-0000B6930000}"/>
    <cellStyle name="Финансовый 4 10 2 2 2" xfId="2231" xr:uid="{00000000-0005-0000-0000-0000B7930000}"/>
    <cellStyle name="Финансовый 4 10 2 2 2 2" xfId="3876" xr:uid="{00000000-0005-0000-0000-0000B8930000}"/>
    <cellStyle name="Финансовый 4 10 2 2 2 2 2" xfId="11616" xr:uid="{00000000-0005-0000-0000-0000B9930000}"/>
    <cellStyle name="Финансовый 4 10 2 2 2 2 2 2" xfId="23594" xr:uid="{00000000-0005-0000-0000-0000BA930000}"/>
    <cellStyle name="Финансовый 4 10 2 2 2 2 2 2 2" xfId="47549" xr:uid="{00000000-0005-0000-0000-0000BB930000}"/>
    <cellStyle name="Финансовый 4 10 2 2 2 2 2 3" xfId="35571" xr:uid="{00000000-0005-0000-0000-0000BC930000}"/>
    <cellStyle name="Финансовый 4 10 2 2 2 2 3" xfId="15855" xr:uid="{00000000-0005-0000-0000-0000BD930000}"/>
    <cellStyle name="Финансовый 4 10 2 2 2 2 3 2" xfId="39810" xr:uid="{00000000-0005-0000-0000-0000BE930000}"/>
    <cellStyle name="Финансовый 4 10 2 2 2 2 4" xfId="27833" xr:uid="{00000000-0005-0000-0000-0000BF930000}"/>
    <cellStyle name="Финансовый 4 10 2 2 2 2 5" xfId="51102" xr:uid="{00000000-0005-0000-0000-0000C0930000}"/>
    <cellStyle name="Финансовый 4 10 2 2 2 3" xfId="5659" xr:uid="{00000000-0005-0000-0000-0000C1930000}"/>
    <cellStyle name="Финансовый 4 10 2 2 2 3 2" xfId="17637" xr:uid="{00000000-0005-0000-0000-0000C2930000}"/>
    <cellStyle name="Финансовый 4 10 2 2 2 3 2 2" xfId="41592" xr:uid="{00000000-0005-0000-0000-0000C3930000}"/>
    <cellStyle name="Финансовый 4 10 2 2 2 3 3" xfId="29614" xr:uid="{00000000-0005-0000-0000-0000C4930000}"/>
    <cellStyle name="Финансовый 4 10 2 2 2 4" xfId="8269" xr:uid="{00000000-0005-0000-0000-0000C5930000}"/>
    <cellStyle name="Финансовый 4 10 2 2 2 4 2" xfId="20247" xr:uid="{00000000-0005-0000-0000-0000C6930000}"/>
    <cellStyle name="Финансовый 4 10 2 2 2 4 2 2" xfId="44202" xr:uid="{00000000-0005-0000-0000-0000C7930000}"/>
    <cellStyle name="Финансовый 4 10 2 2 2 4 3" xfId="32224" xr:uid="{00000000-0005-0000-0000-0000C8930000}"/>
    <cellStyle name="Финансовый 4 10 2 2 2 5" xfId="10052" xr:uid="{00000000-0005-0000-0000-0000C9930000}"/>
    <cellStyle name="Финансовый 4 10 2 2 2 5 2" xfId="22030" xr:uid="{00000000-0005-0000-0000-0000CA930000}"/>
    <cellStyle name="Финансовый 4 10 2 2 2 5 2 2" xfId="45985" xr:uid="{00000000-0005-0000-0000-0000CB930000}"/>
    <cellStyle name="Финансовый 4 10 2 2 2 5 3" xfId="34007" xr:uid="{00000000-0005-0000-0000-0000CC930000}"/>
    <cellStyle name="Финансовый 4 10 2 2 2 6" xfId="14210" xr:uid="{00000000-0005-0000-0000-0000CD930000}"/>
    <cellStyle name="Финансовый 4 10 2 2 2 6 2" xfId="38165" xr:uid="{00000000-0005-0000-0000-0000CE930000}"/>
    <cellStyle name="Финансовый 4 10 2 2 2 7" xfId="26188" xr:uid="{00000000-0005-0000-0000-0000CF930000}"/>
    <cellStyle name="Финансовый 4 10 2 2 2 8" xfId="49321" xr:uid="{00000000-0005-0000-0000-0000D0930000}"/>
    <cellStyle name="Финансовый 4 10 2 2 3" xfId="3049" xr:uid="{00000000-0005-0000-0000-0000D1930000}"/>
    <cellStyle name="Финансовый 4 10 2 2 3 2" xfId="10844" xr:uid="{00000000-0005-0000-0000-0000D2930000}"/>
    <cellStyle name="Финансовый 4 10 2 2 3 2 2" xfId="22822" xr:uid="{00000000-0005-0000-0000-0000D3930000}"/>
    <cellStyle name="Финансовый 4 10 2 2 3 2 2 2" xfId="46777" xr:uid="{00000000-0005-0000-0000-0000D4930000}"/>
    <cellStyle name="Финансовый 4 10 2 2 3 2 3" xfId="34799" xr:uid="{00000000-0005-0000-0000-0000D5930000}"/>
    <cellStyle name="Финансовый 4 10 2 2 3 3" xfId="15028" xr:uid="{00000000-0005-0000-0000-0000D6930000}"/>
    <cellStyle name="Финансовый 4 10 2 2 3 3 2" xfId="38983" xr:uid="{00000000-0005-0000-0000-0000D7930000}"/>
    <cellStyle name="Финансовый 4 10 2 2 3 4" xfId="27006" xr:uid="{00000000-0005-0000-0000-0000D8930000}"/>
    <cellStyle name="Финансовый 4 10 2 2 3 5" xfId="50137" xr:uid="{00000000-0005-0000-0000-0000D9930000}"/>
    <cellStyle name="Финансовый 4 10 2 2 4" xfId="4693" xr:uid="{00000000-0005-0000-0000-0000DA930000}"/>
    <cellStyle name="Финансовый 4 10 2 2 4 2" xfId="16672" xr:uid="{00000000-0005-0000-0000-0000DB930000}"/>
    <cellStyle name="Финансовый 4 10 2 2 4 2 2" xfId="40627" xr:uid="{00000000-0005-0000-0000-0000DC930000}"/>
    <cellStyle name="Финансовый 4 10 2 2 4 3" xfId="28650" xr:uid="{00000000-0005-0000-0000-0000DD930000}"/>
    <cellStyle name="Финансовый 4 10 2 2 5" xfId="7305" xr:uid="{00000000-0005-0000-0000-0000DE930000}"/>
    <cellStyle name="Финансовый 4 10 2 2 5 2" xfId="19283" xr:uid="{00000000-0005-0000-0000-0000DF930000}"/>
    <cellStyle name="Финансовый 4 10 2 2 5 2 2" xfId="43238" xr:uid="{00000000-0005-0000-0000-0000E0930000}"/>
    <cellStyle name="Финансовый 4 10 2 2 5 3" xfId="31260" xr:uid="{00000000-0005-0000-0000-0000E1930000}"/>
    <cellStyle name="Финансовый 4 10 2 2 6" xfId="9087" xr:uid="{00000000-0005-0000-0000-0000E2930000}"/>
    <cellStyle name="Финансовый 4 10 2 2 6 2" xfId="21065" xr:uid="{00000000-0005-0000-0000-0000E3930000}"/>
    <cellStyle name="Финансовый 4 10 2 2 6 2 2" xfId="45020" xr:uid="{00000000-0005-0000-0000-0000E4930000}"/>
    <cellStyle name="Финансовый 4 10 2 2 6 3" xfId="33042" xr:uid="{00000000-0005-0000-0000-0000E5930000}"/>
    <cellStyle name="Финансовый 4 10 2 2 7" xfId="13246" xr:uid="{00000000-0005-0000-0000-0000E6930000}"/>
    <cellStyle name="Финансовый 4 10 2 2 7 2" xfId="37201" xr:uid="{00000000-0005-0000-0000-0000E7930000}"/>
    <cellStyle name="Финансовый 4 10 2 2 8" xfId="25224" xr:uid="{00000000-0005-0000-0000-0000E8930000}"/>
    <cellStyle name="Финансовый 4 10 2 2 9" xfId="48357" xr:uid="{00000000-0005-0000-0000-0000E9930000}"/>
    <cellStyle name="Финансовый 4 10 2 3" xfId="1975" xr:uid="{00000000-0005-0000-0000-0000EA930000}"/>
    <cellStyle name="Финансовый 4 10 2 3 2" xfId="3620" xr:uid="{00000000-0005-0000-0000-0000EB930000}"/>
    <cellStyle name="Финансовый 4 10 2 3 2 2" xfId="11360" xr:uid="{00000000-0005-0000-0000-0000EC930000}"/>
    <cellStyle name="Финансовый 4 10 2 3 2 2 2" xfId="23338" xr:uid="{00000000-0005-0000-0000-0000ED930000}"/>
    <cellStyle name="Финансовый 4 10 2 3 2 2 2 2" xfId="47293" xr:uid="{00000000-0005-0000-0000-0000EE930000}"/>
    <cellStyle name="Финансовый 4 10 2 3 2 2 3" xfId="35315" xr:uid="{00000000-0005-0000-0000-0000EF930000}"/>
    <cellStyle name="Финансовый 4 10 2 3 2 3" xfId="15599" xr:uid="{00000000-0005-0000-0000-0000F0930000}"/>
    <cellStyle name="Финансовый 4 10 2 3 2 3 2" xfId="39554" xr:uid="{00000000-0005-0000-0000-0000F1930000}"/>
    <cellStyle name="Финансовый 4 10 2 3 2 4" xfId="27577" xr:uid="{00000000-0005-0000-0000-0000F2930000}"/>
    <cellStyle name="Финансовый 4 10 2 3 2 5" xfId="50846" xr:uid="{00000000-0005-0000-0000-0000F3930000}"/>
    <cellStyle name="Финансовый 4 10 2 3 3" xfId="5403" xr:uid="{00000000-0005-0000-0000-0000F4930000}"/>
    <cellStyle name="Финансовый 4 10 2 3 3 2" xfId="17381" xr:uid="{00000000-0005-0000-0000-0000F5930000}"/>
    <cellStyle name="Финансовый 4 10 2 3 3 2 2" xfId="41336" xr:uid="{00000000-0005-0000-0000-0000F6930000}"/>
    <cellStyle name="Финансовый 4 10 2 3 3 3" xfId="29358" xr:uid="{00000000-0005-0000-0000-0000F7930000}"/>
    <cellStyle name="Финансовый 4 10 2 3 4" xfId="8013" xr:uid="{00000000-0005-0000-0000-0000F8930000}"/>
    <cellStyle name="Финансовый 4 10 2 3 4 2" xfId="19991" xr:uid="{00000000-0005-0000-0000-0000F9930000}"/>
    <cellStyle name="Финансовый 4 10 2 3 4 2 2" xfId="43946" xr:uid="{00000000-0005-0000-0000-0000FA930000}"/>
    <cellStyle name="Финансовый 4 10 2 3 4 3" xfId="31968" xr:uid="{00000000-0005-0000-0000-0000FB930000}"/>
    <cellStyle name="Финансовый 4 10 2 3 5" xfId="9796" xr:uid="{00000000-0005-0000-0000-0000FC930000}"/>
    <cellStyle name="Финансовый 4 10 2 3 5 2" xfId="21774" xr:uid="{00000000-0005-0000-0000-0000FD930000}"/>
    <cellStyle name="Финансовый 4 10 2 3 5 2 2" xfId="45729" xr:uid="{00000000-0005-0000-0000-0000FE930000}"/>
    <cellStyle name="Финансовый 4 10 2 3 5 3" xfId="33751" xr:uid="{00000000-0005-0000-0000-0000FF930000}"/>
    <cellStyle name="Финансовый 4 10 2 3 6" xfId="13954" xr:uid="{00000000-0005-0000-0000-000000940000}"/>
    <cellStyle name="Финансовый 4 10 2 3 6 2" xfId="37909" xr:uid="{00000000-0005-0000-0000-000001940000}"/>
    <cellStyle name="Финансовый 4 10 2 3 7" xfId="25932" xr:uid="{00000000-0005-0000-0000-000002940000}"/>
    <cellStyle name="Финансовый 4 10 2 3 8" xfId="49065" xr:uid="{00000000-0005-0000-0000-000003940000}"/>
    <cellStyle name="Финансовый 4 10 2 4" xfId="2496" xr:uid="{00000000-0005-0000-0000-000004940000}"/>
    <cellStyle name="Финансовый 4 10 2 4 2" xfId="4141" xr:uid="{00000000-0005-0000-0000-000005940000}"/>
    <cellStyle name="Финансовый 4 10 2 4 2 2" xfId="11873" xr:uid="{00000000-0005-0000-0000-000006940000}"/>
    <cellStyle name="Финансовый 4 10 2 4 2 2 2" xfId="23851" xr:uid="{00000000-0005-0000-0000-000007940000}"/>
    <cellStyle name="Финансовый 4 10 2 4 2 2 2 2" xfId="47806" xr:uid="{00000000-0005-0000-0000-000008940000}"/>
    <cellStyle name="Финансовый 4 10 2 4 2 2 3" xfId="35828" xr:uid="{00000000-0005-0000-0000-000009940000}"/>
    <cellStyle name="Финансовый 4 10 2 4 2 3" xfId="16120" xr:uid="{00000000-0005-0000-0000-00000A940000}"/>
    <cellStyle name="Финансовый 4 10 2 4 2 3 2" xfId="40075" xr:uid="{00000000-0005-0000-0000-00000B940000}"/>
    <cellStyle name="Финансовый 4 10 2 4 2 4" xfId="28098" xr:uid="{00000000-0005-0000-0000-00000C940000}"/>
    <cellStyle name="Финансовый 4 10 2 4 2 5" xfId="51367" xr:uid="{00000000-0005-0000-0000-00000D940000}"/>
    <cellStyle name="Финансовый 4 10 2 4 3" xfId="5924" xr:uid="{00000000-0005-0000-0000-00000E940000}"/>
    <cellStyle name="Финансовый 4 10 2 4 3 2" xfId="17902" xr:uid="{00000000-0005-0000-0000-00000F940000}"/>
    <cellStyle name="Финансовый 4 10 2 4 3 2 2" xfId="41857" xr:uid="{00000000-0005-0000-0000-000010940000}"/>
    <cellStyle name="Финансовый 4 10 2 4 3 3" xfId="29879" xr:uid="{00000000-0005-0000-0000-000011940000}"/>
    <cellStyle name="Финансовый 4 10 2 4 4" xfId="8534" xr:uid="{00000000-0005-0000-0000-000012940000}"/>
    <cellStyle name="Финансовый 4 10 2 4 4 2" xfId="20512" xr:uid="{00000000-0005-0000-0000-000013940000}"/>
    <cellStyle name="Финансовый 4 10 2 4 4 2 2" xfId="44467" xr:uid="{00000000-0005-0000-0000-000014940000}"/>
    <cellStyle name="Финансовый 4 10 2 4 4 3" xfId="32489" xr:uid="{00000000-0005-0000-0000-000015940000}"/>
    <cellStyle name="Финансовый 4 10 2 4 5" xfId="10317" xr:uid="{00000000-0005-0000-0000-000016940000}"/>
    <cellStyle name="Финансовый 4 10 2 4 5 2" xfId="22295" xr:uid="{00000000-0005-0000-0000-000017940000}"/>
    <cellStyle name="Финансовый 4 10 2 4 5 2 2" xfId="46250" xr:uid="{00000000-0005-0000-0000-000018940000}"/>
    <cellStyle name="Финансовый 4 10 2 4 5 3" xfId="34272" xr:uid="{00000000-0005-0000-0000-000019940000}"/>
    <cellStyle name="Финансовый 4 10 2 4 6" xfId="14475" xr:uid="{00000000-0005-0000-0000-00001A940000}"/>
    <cellStyle name="Финансовый 4 10 2 4 6 2" xfId="38430" xr:uid="{00000000-0005-0000-0000-00001B940000}"/>
    <cellStyle name="Финансовый 4 10 2 4 7" xfId="26453" xr:uid="{00000000-0005-0000-0000-00001C940000}"/>
    <cellStyle name="Финансовый 4 10 2 4 8" xfId="49586" xr:uid="{00000000-0005-0000-0000-00001D940000}"/>
    <cellStyle name="Финансовый 4 10 2 5" xfId="1000" xr:uid="{00000000-0005-0000-0000-00001E940000}"/>
    <cellStyle name="Финансовый 4 10 2 5 2" xfId="7040" xr:uid="{00000000-0005-0000-0000-00001F940000}"/>
    <cellStyle name="Финансовый 4 10 2 5 2 2" xfId="19018" xr:uid="{00000000-0005-0000-0000-000020940000}"/>
    <cellStyle name="Финансовый 4 10 2 5 2 2 2" xfId="42973" xr:uid="{00000000-0005-0000-0000-000021940000}"/>
    <cellStyle name="Финансовый 4 10 2 5 2 3" xfId="30995" xr:uid="{00000000-0005-0000-0000-000022940000}"/>
    <cellStyle name="Финансовый 4 10 2 5 3" xfId="10588" xr:uid="{00000000-0005-0000-0000-000023940000}"/>
    <cellStyle name="Финансовый 4 10 2 5 3 2" xfId="22566" xr:uid="{00000000-0005-0000-0000-000024940000}"/>
    <cellStyle name="Финансовый 4 10 2 5 3 2 2" xfId="46521" xr:uid="{00000000-0005-0000-0000-000025940000}"/>
    <cellStyle name="Финансовый 4 10 2 5 3 3" xfId="34543" xr:uid="{00000000-0005-0000-0000-000026940000}"/>
    <cellStyle name="Финансовый 4 10 2 5 4" xfId="12981" xr:uid="{00000000-0005-0000-0000-000027940000}"/>
    <cellStyle name="Финансовый 4 10 2 5 4 2" xfId="36936" xr:uid="{00000000-0005-0000-0000-000028940000}"/>
    <cellStyle name="Финансовый 4 10 2 5 5" xfId="24959" xr:uid="{00000000-0005-0000-0000-000029940000}"/>
    <cellStyle name="Финансовый 4 10 2 5 6" xfId="49865" xr:uid="{00000000-0005-0000-0000-00002A940000}"/>
    <cellStyle name="Финансовый 4 10 2 6" xfId="588" xr:uid="{00000000-0005-0000-0000-00002B940000}"/>
    <cellStyle name="Финансовый 4 10 2 6 2" xfId="6628" xr:uid="{00000000-0005-0000-0000-00002C940000}"/>
    <cellStyle name="Финансовый 4 10 2 6 2 2" xfId="18606" xr:uid="{00000000-0005-0000-0000-00002D940000}"/>
    <cellStyle name="Финансовый 4 10 2 6 2 2 2" xfId="42561" xr:uid="{00000000-0005-0000-0000-00002E940000}"/>
    <cellStyle name="Финансовый 4 10 2 6 2 3" xfId="30583" xr:uid="{00000000-0005-0000-0000-00002F940000}"/>
    <cellStyle name="Финансовый 4 10 2 6 3" xfId="12569" xr:uid="{00000000-0005-0000-0000-000030940000}"/>
    <cellStyle name="Финансовый 4 10 2 6 3 2" xfId="36524" xr:uid="{00000000-0005-0000-0000-000031940000}"/>
    <cellStyle name="Финансовый 4 10 2 6 4" xfId="24547" xr:uid="{00000000-0005-0000-0000-000032940000}"/>
    <cellStyle name="Финансовый 4 10 2 7" xfId="2777" xr:uid="{00000000-0005-0000-0000-000033940000}"/>
    <cellStyle name="Финансовый 4 10 2 7 2" xfId="14756" xr:uid="{00000000-0005-0000-0000-000034940000}"/>
    <cellStyle name="Финансовый 4 10 2 7 2 2" xfId="38711" xr:uid="{00000000-0005-0000-0000-000035940000}"/>
    <cellStyle name="Финансовый 4 10 2 7 3" xfId="26734" xr:uid="{00000000-0005-0000-0000-000036940000}"/>
    <cellStyle name="Финансовый 4 10 2 8" xfId="4421" xr:uid="{00000000-0005-0000-0000-000037940000}"/>
    <cellStyle name="Финансовый 4 10 2 8 2" xfId="16400" xr:uid="{00000000-0005-0000-0000-000038940000}"/>
    <cellStyle name="Финансовый 4 10 2 8 2 2" xfId="40355" xr:uid="{00000000-0005-0000-0000-000039940000}"/>
    <cellStyle name="Финансовый 4 10 2 8 3" xfId="28378" xr:uid="{00000000-0005-0000-0000-00003A940000}"/>
    <cellStyle name="Финансовый 4 10 2 9" xfId="6208" xr:uid="{00000000-0005-0000-0000-00003B940000}"/>
    <cellStyle name="Финансовый 4 10 2 9 2" xfId="18186" xr:uid="{00000000-0005-0000-0000-00003C940000}"/>
    <cellStyle name="Финансовый 4 10 2 9 2 2" xfId="42141" xr:uid="{00000000-0005-0000-0000-00003D940000}"/>
    <cellStyle name="Финансовый 4 10 2 9 3" xfId="30163" xr:uid="{00000000-0005-0000-0000-00003E940000}"/>
    <cellStyle name="Финансовый 4 10 3" xfId="316" xr:uid="{00000000-0005-0000-0000-00003F940000}"/>
    <cellStyle name="Финансовый 4 10 3 10" xfId="24275" xr:uid="{00000000-0005-0000-0000-000040940000}"/>
    <cellStyle name="Финансовый 4 10 3 11" xfId="48221" xr:uid="{00000000-0005-0000-0000-000041940000}"/>
    <cellStyle name="Финансовый 4 10 3 2" xfId="2103" xr:uid="{00000000-0005-0000-0000-000042940000}"/>
    <cellStyle name="Финансовый 4 10 3 2 2" xfId="3748" xr:uid="{00000000-0005-0000-0000-000043940000}"/>
    <cellStyle name="Финансовый 4 10 3 2 2 2" xfId="11488" xr:uid="{00000000-0005-0000-0000-000044940000}"/>
    <cellStyle name="Финансовый 4 10 3 2 2 2 2" xfId="23466" xr:uid="{00000000-0005-0000-0000-000045940000}"/>
    <cellStyle name="Финансовый 4 10 3 2 2 2 2 2" xfId="47421" xr:uid="{00000000-0005-0000-0000-000046940000}"/>
    <cellStyle name="Финансовый 4 10 3 2 2 2 3" xfId="35443" xr:uid="{00000000-0005-0000-0000-000047940000}"/>
    <cellStyle name="Финансовый 4 10 3 2 2 3" xfId="15727" xr:uid="{00000000-0005-0000-0000-000048940000}"/>
    <cellStyle name="Финансовый 4 10 3 2 2 3 2" xfId="39682" xr:uid="{00000000-0005-0000-0000-000049940000}"/>
    <cellStyle name="Финансовый 4 10 3 2 2 4" xfId="27705" xr:uid="{00000000-0005-0000-0000-00004A940000}"/>
    <cellStyle name="Финансовый 4 10 3 2 2 5" xfId="50974" xr:uid="{00000000-0005-0000-0000-00004B940000}"/>
    <cellStyle name="Финансовый 4 10 3 2 3" xfId="5531" xr:uid="{00000000-0005-0000-0000-00004C940000}"/>
    <cellStyle name="Финансовый 4 10 3 2 3 2" xfId="17509" xr:uid="{00000000-0005-0000-0000-00004D940000}"/>
    <cellStyle name="Финансовый 4 10 3 2 3 2 2" xfId="41464" xr:uid="{00000000-0005-0000-0000-00004E940000}"/>
    <cellStyle name="Финансовый 4 10 3 2 3 3" xfId="29486" xr:uid="{00000000-0005-0000-0000-00004F940000}"/>
    <cellStyle name="Финансовый 4 10 3 2 4" xfId="8141" xr:uid="{00000000-0005-0000-0000-000050940000}"/>
    <cellStyle name="Финансовый 4 10 3 2 4 2" xfId="20119" xr:uid="{00000000-0005-0000-0000-000051940000}"/>
    <cellStyle name="Финансовый 4 10 3 2 4 2 2" xfId="44074" xr:uid="{00000000-0005-0000-0000-000052940000}"/>
    <cellStyle name="Финансовый 4 10 3 2 4 3" xfId="32096" xr:uid="{00000000-0005-0000-0000-000053940000}"/>
    <cellStyle name="Финансовый 4 10 3 2 5" xfId="9924" xr:uid="{00000000-0005-0000-0000-000054940000}"/>
    <cellStyle name="Финансовый 4 10 3 2 5 2" xfId="21902" xr:uid="{00000000-0005-0000-0000-000055940000}"/>
    <cellStyle name="Финансовый 4 10 3 2 5 2 2" xfId="45857" xr:uid="{00000000-0005-0000-0000-000056940000}"/>
    <cellStyle name="Финансовый 4 10 3 2 5 3" xfId="33879" xr:uid="{00000000-0005-0000-0000-000057940000}"/>
    <cellStyle name="Финансовый 4 10 3 2 6" xfId="14082" xr:uid="{00000000-0005-0000-0000-000058940000}"/>
    <cellStyle name="Финансовый 4 10 3 2 6 2" xfId="38037" xr:uid="{00000000-0005-0000-0000-000059940000}"/>
    <cellStyle name="Финансовый 4 10 3 2 7" xfId="26060" xr:uid="{00000000-0005-0000-0000-00005A940000}"/>
    <cellStyle name="Финансовый 4 10 3 2 8" xfId="49193" xr:uid="{00000000-0005-0000-0000-00005B940000}"/>
    <cellStyle name="Финансовый 4 10 3 3" xfId="1136" xr:uid="{00000000-0005-0000-0000-00005C940000}"/>
    <cellStyle name="Финансовый 4 10 3 3 2" xfId="7176" xr:uid="{00000000-0005-0000-0000-00005D940000}"/>
    <cellStyle name="Финансовый 4 10 3 3 2 2" xfId="19154" xr:uid="{00000000-0005-0000-0000-00005E940000}"/>
    <cellStyle name="Финансовый 4 10 3 3 2 2 2" xfId="43109" xr:uid="{00000000-0005-0000-0000-00005F940000}"/>
    <cellStyle name="Финансовый 4 10 3 3 2 3" xfId="31131" xr:uid="{00000000-0005-0000-0000-000060940000}"/>
    <cellStyle name="Финансовый 4 10 3 3 3" xfId="10716" xr:uid="{00000000-0005-0000-0000-000061940000}"/>
    <cellStyle name="Финансовый 4 10 3 3 3 2" xfId="22694" xr:uid="{00000000-0005-0000-0000-000062940000}"/>
    <cellStyle name="Финансовый 4 10 3 3 3 2 2" xfId="46649" xr:uid="{00000000-0005-0000-0000-000063940000}"/>
    <cellStyle name="Финансовый 4 10 3 3 3 3" xfId="34671" xr:uid="{00000000-0005-0000-0000-000064940000}"/>
    <cellStyle name="Финансовый 4 10 3 3 4" xfId="13117" xr:uid="{00000000-0005-0000-0000-000065940000}"/>
    <cellStyle name="Финансовый 4 10 3 3 4 2" xfId="37072" xr:uid="{00000000-0005-0000-0000-000066940000}"/>
    <cellStyle name="Финансовый 4 10 3 3 5" xfId="25095" xr:uid="{00000000-0005-0000-0000-000067940000}"/>
    <cellStyle name="Финансовый 4 10 3 3 6" xfId="50001" xr:uid="{00000000-0005-0000-0000-000068940000}"/>
    <cellStyle name="Финансовый 4 10 3 4" xfId="736" xr:uid="{00000000-0005-0000-0000-000069940000}"/>
    <cellStyle name="Финансовый 4 10 3 4 2" xfId="6776" xr:uid="{00000000-0005-0000-0000-00006A940000}"/>
    <cellStyle name="Финансовый 4 10 3 4 2 2" xfId="18754" xr:uid="{00000000-0005-0000-0000-00006B940000}"/>
    <cellStyle name="Финансовый 4 10 3 4 2 2 2" xfId="42709" xr:uid="{00000000-0005-0000-0000-00006C940000}"/>
    <cellStyle name="Финансовый 4 10 3 4 2 3" xfId="30731" xr:uid="{00000000-0005-0000-0000-00006D940000}"/>
    <cellStyle name="Финансовый 4 10 3 4 3" xfId="12717" xr:uid="{00000000-0005-0000-0000-00006E940000}"/>
    <cellStyle name="Финансовый 4 10 3 4 3 2" xfId="36672" xr:uid="{00000000-0005-0000-0000-00006F940000}"/>
    <cellStyle name="Финансовый 4 10 3 4 4" xfId="24695" xr:uid="{00000000-0005-0000-0000-000070940000}"/>
    <cellStyle name="Финансовый 4 10 3 5" xfId="2913" xr:uid="{00000000-0005-0000-0000-000071940000}"/>
    <cellStyle name="Финансовый 4 10 3 5 2" xfId="14892" xr:uid="{00000000-0005-0000-0000-000072940000}"/>
    <cellStyle name="Финансовый 4 10 3 5 2 2" xfId="38847" xr:uid="{00000000-0005-0000-0000-000073940000}"/>
    <cellStyle name="Финансовый 4 10 3 5 3" xfId="26870" xr:uid="{00000000-0005-0000-0000-000074940000}"/>
    <cellStyle name="Финансовый 4 10 3 6" xfId="4557" xr:uid="{00000000-0005-0000-0000-000075940000}"/>
    <cellStyle name="Финансовый 4 10 3 6 2" xfId="16536" xr:uid="{00000000-0005-0000-0000-000076940000}"/>
    <cellStyle name="Финансовый 4 10 3 6 2 2" xfId="40491" xr:uid="{00000000-0005-0000-0000-000077940000}"/>
    <cellStyle name="Финансовый 4 10 3 6 3" xfId="28514" xr:uid="{00000000-0005-0000-0000-000078940000}"/>
    <cellStyle name="Финансовый 4 10 3 7" xfId="6356" xr:uid="{00000000-0005-0000-0000-000079940000}"/>
    <cellStyle name="Финансовый 4 10 3 7 2" xfId="18334" xr:uid="{00000000-0005-0000-0000-00007A940000}"/>
    <cellStyle name="Финансовый 4 10 3 7 2 2" xfId="42289" xr:uid="{00000000-0005-0000-0000-00007B940000}"/>
    <cellStyle name="Финансовый 4 10 3 7 3" xfId="30311" xr:uid="{00000000-0005-0000-0000-00007C940000}"/>
    <cellStyle name="Финансовый 4 10 3 8" xfId="8951" xr:uid="{00000000-0005-0000-0000-00007D940000}"/>
    <cellStyle name="Финансовый 4 10 3 8 2" xfId="20929" xr:uid="{00000000-0005-0000-0000-00007E940000}"/>
    <cellStyle name="Финансовый 4 10 3 8 2 2" xfId="44884" xr:uid="{00000000-0005-0000-0000-00007F940000}"/>
    <cellStyle name="Финансовый 4 10 3 8 3" xfId="32906" xr:uid="{00000000-0005-0000-0000-000080940000}"/>
    <cellStyle name="Финансовый 4 10 3 9" xfId="12297" xr:uid="{00000000-0005-0000-0000-000081940000}"/>
    <cellStyle name="Финансовый 4 10 3 9 2" xfId="36252" xr:uid="{00000000-0005-0000-0000-000082940000}"/>
    <cellStyle name="Финансовый 4 10 4" xfId="1532" xr:uid="{00000000-0005-0000-0000-000083940000}"/>
    <cellStyle name="Финансовый 4 10 4 2" xfId="1839" xr:uid="{00000000-0005-0000-0000-000084940000}"/>
    <cellStyle name="Финансовый 4 10 4 2 2" xfId="3484" xr:uid="{00000000-0005-0000-0000-000085940000}"/>
    <cellStyle name="Финансовый 4 10 4 2 2 2" xfId="11232" xr:uid="{00000000-0005-0000-0000-000086940000}"/>
    <cellStyle name="Финансовый 4 10 4 2 2 2 2" xfId="23210" xr:uid="{00000000-0005-0000-0000-000087940000}"/>
    <cellStyle name="Финансовый 4 10 4 2 2 2 2 2" xfId="47165" xr:uid="{00000000-0005-0000-0000-000088940000}"/>
    <cellStyle name="Финансовый 4 10 4 2 2 2 3" xfId="35187" xr:uid="{00000000-0005-0000-0000-000089940000}"/>
    <cellStyle name="Финансовый 4 10 4 2 2 3" xfId="15463" xr:uid="{00000000-0005-0000-0000-00008A940000}"/>
    <cellStyle name="Финансовый 4 10 4 2 2 3 2" xfId="39418" xr:uid="{00000000-0005-0000-0000-00008B940000}"/>
    <cellStyle name="Финансовый 4 10 4 2 2 4" xfId="27441" xr:uid="{00000000-0005-0000-0000-00008C940000}"/>
    <cellStyle name="Финансовый 4 10 4 2 2 5" xfId="50710" xr:uid="{00000000-0005-0000-0000-00008D940000}"/>
    <cellStyle name="Финансовый 4 10 4 2 3" xfId="5267" xr:uid="{00000000-0005-0000-0000-00008E940000}"/>
    <cellStyle name="Финансовый 4 10 4 2 3 2" xfId="17245" xr:uid="{00000000-0005-0000-0000-00008F940000}"/>
    <cellStyle name="Финансовый 4 10 4 2 3 2 2" xfId="41200" xr:uid="{00000000-0005-0000-0000-000090940000}"/>
    <cellStyle name="Финансовый 4 10 4 2 3 3" xfId="29222" xr:uid="{00000000-0005-0000-0000-000091940000}"/>
    <cellStyle name="Финансовый 4 10 4 2 4" xfId="7877" xr:uid="{00000000-0005-0000-0000-000092940000}"/>
    <cellStyle name="Финансовый 4 10 4 2 4 2" xfId="19855" xr:uid="{00000000-0005-0000-0000-000093940000}"/>
    <cellStyle name="Финансовый 4 10 4 2 4 2 2" xfId="43810" xr:uid="{00000000-0005-0000-0000-000094940000}"/>
    <cellStyle name="Финансовый 4 10 4 2 4 3" xfId="31832" xr:uid="{00000000-0005-0000-0000-000095940000}"/>
    <cellStyle name="Финансовый 4 10 4 2 5" xfId="9660" xr:uid="{00000000-0005-0000-0000-000096940000}"/>
    <cellStyle name="Финансовый 4 10 4 2 5 2" xfId="21638" xr:uid="{00000000-0005-0000-0000-000097940000}"/>
    <cellStyle name="Финансовый 4 10 4 2 5 2 2" xfId="45593" xr:uid="{00000000-0005-0000-0000-000098940000}"/>
    <cellStyle name="Финансовый 4 10 4 2 5 3" xfId="33615" xr:uid="{00000000-0005-0000-0000-000099940000}"/>
    <cellStyle name="Финансовый 4 10 4 2 6" xfId="13818" xr:uid="{00000000-0005-0000-0000-00009A940000}"/>
    <cellStyle name="Финансовый 4 10 4 2 6 2" xfId="37773" xr:uid="{00000000-0005-0000-0000-00009B940000}"/>
    <cellStyle name="Финансовый 4 10 4 2 7" xfId="25796" xr:uid="{00000000-0005-0000-0000-00009C940000}"/>
    <cellStyle name="Финансовый 4 10 4 2 8" xfId="48929" xr:uid="{00000000-0005-0000-0000-00009D940000}"/>
    <cellStyle name="Финансовый 4 10 4 3" xfId="4960" xr:uid="{00000000-0005-0000-0000-00009E940000}"/>
    <cellStyle name="Финансовый 4 10 4 3 2" xfId="16938" xr:uid="{00000000-0005-0000-0000-00009F940000}"/>
    <cellStyle name="Финансовый 4 10 4 3 2 2" xfId="40893" xr:uid="{00000000-0005-0000-0000-0000A0940000}"/>
    <cellStyle name="Финансовый 4 10 4 3 3" xfId="28915" xr:uid="{00000000-0005-0000-0000-0000A1940000}"/>
    <cellStyle name="Финансовый 4 10 4 3 4" xfId="50403" xr:uid="{00000000-0005-0000-0000-0000A2940000}"/>
    <cellStyle name="Финансовый 4 10 4 4" xfId="7570" xr:uid="{00000000-0005-0000-0000-0000A3940000}"/>
    <cellStyle name="Финансовый 4 10 4 4 2" xfId="19548" xr:uid="{00000000-0005-0000-0000-0000A4940000}"/>
    <cellStyle name="Финансовый 4 10 4 4 2 2" xfId="43503" xr:uid="{00000000-0005-0000-0000-0000A5940000}"/>
    <cellStyle name="Финансовый 4 10 4 4 3" xfId="31525" xr:uid="{00000000-0005-0000-0000-0000A6940000}"/>
    <cellStyle name="Финансовый 4 10 4 5" xfId="9353" xr:uid="{00000000-0005-0000-0000-0000A7940000}"/>
    <cellStyle name="Финансовый 4 10 4 5 2" xfId="21331" xr:uid="{00000000-0005-0000-0000-0000A8940000}"/>
    <cellStyle name="Финансовый 4 10 4 5 2 2" xfId="45286" xr:uid="{00000000-0005-0000-0000-0000A9940000}"/>
    <cellStyle name="Финансовый 4 10 4 5 3" xfId="33308" xr:uid="{00000000-0005-0000-0000-0000AA940000}"/>
    <cellStyle name="Финансовый 4 10 4 6" xfId="13511" xr:uid="{00000000-0005-0000-0000-0000AB940000}"/>
    <cellStyle name="Финансовый 4 10 4 6 2" xfId="37466" xr:uid="{00000000-0005-0000-0000-0000AC940000}"/>
    <cellStyle name="Финансовый 4 10 4 7" xfId="25489" xr:uid="{00000000-0005-0000-0000-0000AD940000}"/>
    <cellStyle name="Финансовый 4 10 4 8" xfId="48622" xr:uid="{00000000-0005-0000-0000-0000AE940000}"/>
    <cellStyle name="Финансовый 4 10 5" xfId="1723" xr:uid="{00000000-0005-0000-0000-0000AF940000}"/>
    <cellStyle name="Финансовый 4 10 5 2" xfId="3368" xr:uid="{00000000-0005-0000-0000-0000B0940000}"/>
    <cellStyle name="Финансовый 4 10 5 2 2" xfId="11116" xr:uid="{00000000-0005-0000-0000-0000B1940000}"/>
    <cellStyle name="Финансовый 4 10 5 2 2 2" xfId="23094" xr:uid="{00000000-0005-0000-0000-0000B2940000}"/>
    <cellStyle name="Финансовый 4 10 5 2 2 2 2" xfId="47049" xr:uid="{00000000-0005-0000-0000-0000B3940000}"/>
    <cellStyle name="Финансовый 4 10 5 2 2 3" xfId="35071" xr:uid="{00000000-0005-0000-0000-0000B4940000}"/>
    <cellStyle name="Финансовый 4 10 5 2 3" xfId="15347" xr:uid="{00000000-0005-0000-0000-0000B5940000}"/>
    <cellStyle name="Финансовый 4 10 5 2 3 2" xfId="39302" xr:uid="{00000000-0005-0000-0000-0000B6940000}"/>
    <cellStyle name="Финансовый 4 10 5 2 4" xfId="27325" xr:uid="{00000000-0005-0000-0000-0000B7940000}"/>
    <cellStyle name="Финансовый 4 10 5 2 5" xfId="50594" xr:uid="{00000000-0005-0000-0000-0000B8940000}"/>
    <cellStyle name="Финансовый 4 10 5 3" xfId="5151" xr:uid="{00000000-0005-0000-0000-0000B9940000}"/>
    <cellStyle name="Финансовый 4 10 5 3 2" xfId="17129" xr:uid="{00000000-0005-0000-0000-0000BA940000}"/>
    <cellStyle name="Финансовый 4 10 5 3 2 2" xfId="41084" xr:uid="{00000000-0005-0000-0000-0000BB940000}"/>
    <cellStyle name="Финансовый 4 10 5 3 3" xfId="29106" xr:uid="{00000000-0005-0000-0000-0000BC940000}"/>
    <cellStyle name="Финансовый 4 10 5 4" xfId="7761" xr:uid="{00000000-0005-0000-0000-0000BD940000}"/>
    <cellStyle name="Финансовый 4 10 5 4 2" xfId="19739" xr:uid="{00000000-0005-0000-0000-0000BE940000}"/>
    <cellStyle name="Финансовый 4 10 5 4 2 2" xfId="43694" xr:uid="{00000000-0005-0000-0000-0000BF940000}"/>
    <cellStyle name="Финансовый 4 10 5 4 3" xfId="31716" xr:uid="{00000000-0005-0000-0000-0000C0940000}"/>
    <cellStyle name="Финансовый 4 10 5 5" xfId="9544" xr:uid="{00000000-0005-0000-0000-0000C1940000}"/>
    <cellStyle name="Финансовый 4 10 5 5 2" xfId="21522" xr:uid="{00000000-0005-0000-0000-0000C2940000}"/>
    <cellStyle name="Финансовый 4 10 5 5 2 2" xfId="45477" xr:uid="{00000000-0005-0000-0000-0000C3940000}"/>
    <cellStyle name="Финансовый 4 10 5 5 3" xfId="33499" xr:uid="{00000000-0005-0000-0000-0000C4940000}"/>
    <cellStyle name="Финансовый 4 10 5 6" xfId="13702" xr:uid="{00000000-0005-0000-0000-0000C5940000}"/>
    <cellStyle name="Финансовый 4 10 5 6 2" xfId="37657" xr:uid="{00000000-0005-0000-0000-0000C6940000}"/>
    <cellStyle name="Финансовый 4 10 5 7" xfId="25680" xr:uid="{00000000-0005-0000-0000-0000C7940000}"/>
    <cellStyle name="Финансовый 4 10 5 8" xfId="48813" xr:uid="{00000000-0005-0000-0000-0000C8940000}"/>
    <cellStyle name="Финансовый 4 10 6" xfId="2359" xr:uid="{00000000-0005-0000-0000-0000C9940000}"/>
    <cellStyle name="Финансовый 4 10 6 2" xfId="4004" xr:uid="{00000000-0005-0000-0000-0000CA940000}"/>
    <cellStyle name="Финансовый 4 10 6 2 2" xfId="11744" xr:uid="{00000000-0005-0000-0000-0000CB940000}"/>
    <cellStyle name="Финансовый 4 10 6 2 2 2" xfId="23722" xr:uid="{00000000-0005-0000-0000-0000CC940000}"/>
    <cellStyle name="Финансовый 4 10 6 2 2 2 2" xfId="47677" xr:uid="{00000000-0005-0000-0000-0000CD940000}"/>
    <cellStyle name="Финансовый 4 10 6 2 2 3" xfId="35699" xr:uid="{00000000-0005-0000-0000-0000CE940000}"/>
    <cellStyle name="Финансовый 4 10 6 2 3" xfId="15983" xr:uid="{00000000-0005-0000-0000-0000CF940000}"/>
    <cellStyle name="Финансовый 4 10 6 2 3 2" xfId="39938" xr:uid="{00000000-0005-0000-0000-0000D0940000}"/>
    <cellStyle name="Финансовый 4 10 6 2 4" xfId="27961" xr:uid="{00000000-0005-0000-0000-0000D1940000}"/>
    <cellStyle name="Финансовый 4 10 6 2 5" xfId="51230" xr:uid="{00000000-0005-0000-0000-0000D2940000}"/>
    <cellStyle name="Финансовый 4 10 6 3" xfId="5787" xr:uid="{00000000-0005-0000-0000-0000D3940000}"/>
    <cellStyle name="Финансовый 4 10 6 3 2" xfId="17765" xr:uid="{00000000-0005-0000-0000-0000D4940000}"/>
    <cellStyle name="Финансовый 4 10 6 3 2 2" xfId="41720" xr:uid="{00000000-0005-0000-0000-0000D5940000}"/>
    <cellStyle name="Финансовый 4 10 6 3 3" xfId="29742" xr:uid="{00000000-0005-0000-0000-0000D6940000}"/>
    <cellStyle name="Финансовый 4 10 6 4" xfId="8397" xr:uid="{00000000-0005-0000-0000-0000D7940000}"/>
    <cellStyle name="Финансовый 4 10 6 4 2" xfId="20375" xr:uid="{00000000-0005-0000-0000-0000D8940000}"/>
    <cellStyle name="Финансовый 4 10 6 4 2 2" xfId="44330" xr:uid="{00000000-0005-0000-0000-0000D9940000}"/>
    <cellStyle name="Финансовый 4 10 6 4 3" xfId="32352" xr:uid="{00000000-0005-0000-0000-0000DA940000}"/>
    <cellStyle name="Финансовый 4 10 6 5" xfId="10180" xr:uid="{00000000-0005-0000-0000-0000DB940000}"/>
    <cellStyle name="Финансовый 4 10 6 5 2" xfId="22158" xr:uid="{00000000-0005-0000-0000-0000DC940000}"/>
    <cellStyle name="Финансовый 4 10 6 5 2 2" xfId="46113" xr:uid="{00000000-0005-0000-0000-0000DD940000}"/>
    <cellStyle name="Финансовый 4 10 6 5 3" xfId="34135" xr:uid="{00000000-0005-0000-0000-0000DE940000}"/>
    <cellStyle name="Финансовый 4 10 6 6" xfId="14338" xr:uid="{00000000-0005-0000-0000-0000DF940000}"/>
    <cellStyle name="Финансовый 4 10 6 6 2" xfId="38293" xr:uid="{00000000-0005-0000-0000-0000E0940000}"/>
    <cellStyle name="Финансовый 4 10 6 7" xfId="26316" xr:uid="{00000000-0005-0000-0000-0000E1940000}"/>
    <cellStyle name="Финансовый 4 10 6 8" xfId="49449" xr:uid="{00000000-0005-0000-0000-0000E2940000}"/>
    <cellStyle name="Финансовый 4 10 7" xfId="1586" xr:uid="{00000000-0005-0000-0000-0000E3940000}"/>
    <cellStyle name="Финансовый 4 10 7 2" xfId="3231" xr:uid="{00000000-0005-0000-0000-0000E4940000}"/>
    <cellStyle name="Финансовый 4 10 7 2 2" xfId="10987" xr:uid="{00000000-0005-0000-0000-0000E5940000}"/>
    <cellStyle name="Финансовый 4 10 7 2 2 2" xfId="22965" xr:uid="{00000000-0005-0000-0000-0000E6940000}"/>
    <cellStyle name="Финансовый 4 10 7 2 2 2 2" xfId="46920" xr:uid="{00000000-0005-0000-0000-0000E7940000}"/>
    <cellStyle name="Финансовый 4 10 7 2 2 3" xfId="34942" xr:uid="{00000000-0005-0000-0000-0000E8940000}"/>
    <cellStyle name="Финансовый 4 10 7 2 3" xfId="15210" xr:uid="{00000000-0005-0000-0000-0000E9940000}"/>
    <cellStyle name="Финансовый 4 10 7 2 3 2" xfId="39165" xr:uid="{00000000-0005-0000-0000-0000EA940000}"/>
    <cellStyle name="Финансовый 4 10 7 2 4" xfId="27188" xr:uid="{00000000-0005-0000-0000-0000EB940000}"/>
    <cellStyle name="Финансовый 4 10 7 2 5" xfId="50457" xr:uid="{00000000-0005-0000-0000-0000EC940000}"/>
    <cellStyle name="Финансовый 4 10 7 3" xfId="5014" xr:uid="{00000000-0005-0000-0000-0000ED940000}"/>
    <cellStyle name="Финансовый 4 10 7 3 2" xfId="16992" xr:uid="{00000000-0005-0000-0000-0000EE940000}"/>
    <cellStyle name="Финансовый 4 10 7 3 2 2" xfId="40947" xr:uid="{00000000-0005-0000-0000-0000EF940000}"/>
    <cellStyle name="Финансовый 4 10 7 3 3" xfId="28969" xr:uid="{00000000-0005-0000-0000-0000F0940000}"/>
    <cellStyle name="Финансовый 4 10 7 4" xfId="7624" xr:uid="{00000000-0005-0000-0000-0000F1940000}"/>
    <cellStyle name="Финансовый 4 10 7 4 2" xfId="19602" xr:uid="{00000000-0005-0000-0000-0000F2940000}"/>
    <cellStyle name="Финансовый 4 10 7 4 2 2" xfId="43557" xr:uid="{00000000-0005-0000-0000-0000F3940000}"/>
    <cellStyle name="Финансовый 4 10 7 4 3" xfId="31579" xr:uid="{00000000-0005-0000-0000-0000F4940000}"/>
    <cellStyle name="Финансовый 4 10 7 5" xfId="9407" xr:uid="{00000000-0005-0000-0000-0000F5940000}"/>
    <cellStyle name="Финансовый 4 10 7 5 2" xfId="21385" xr:uid="{00000000-0005-0000-0000-0000F6940000}"/>
    <cellStyle name="Финансовый 4 10 7 5 2 2" xfId="45340" xr:uid="{00000000-0005-0000-0000-0000F7940000}"/>
    <cellStyle name="Финансовый 4 10 7 5 3" xfId="33362" xr:uid="{00000000-0005-0000-0000-0000F8940000}"/>
    <cellStyle name="Финансовый 4 10 7 6" xfId="13565" xr:uid="{00000000-0005-0000-0000-0000F9940000}"/>
    <cellStyle name="Финансовый 4 10 7 6 2" xfId="37520" xr:uid="{00000000-0005-0000-0000-0000FA940000}"/>
    <cellStyle name="Финансовый 4 10 7 7" xfId="25543" xr:uid="{00000000-0005-0000-0000-0000FB940000}"/>
    <cellStyle name="Финансовый 4 10 7 8" xfId="48676" xr:uid="{00000000-0005-0000-0000-0000FC940000}"/>
    <cellStyle name="Финансовый 4 10 8" xfId="872" xr:uid="{00000000-0005-0000-0000-0000FD940000}"/>
    <cellStyle name="Финансовый 4 10 8 2" xfId="6912" xr:uid="{00000000-0005-0000-0000-0000FE940000}"/>
    <cellStyle name="Финансовый 4 10 8 2 2" xfId="18890" xr:uid="{00000000-0005-0000-0000-0000FF940000}"/>
    <cellStyle name="Финансовый 4 10 8 2 2 2" xfId="42845" xr:uid="{00000000-0005-0000-0000-000000950000}"/>
    <cellStyle name="Финансовый 4 10 8 2 3" xfId="30867" xr:uid="{00000000-0005-0000-0000-000001950000}"/>
    <cellStyle name="Финансовый 4 10 8 3" xfId="10460" xr:uid="{00000000-0005-0000-0000-000002950000}"/>
    <cellStyle name="Финансовый 4 10 8 3 2" xfId="22438" xr:uid="{00000000-0005-0000-0000-000003950000}"/>
    <cellStyle name="Финансовый 4 10 8 3 2 2" xfId="46393" xr:uid="{00000000-0005-0000-0000-000004950000}"/>
    <cellStyle name="Финансовый 4 10 8 3 3" xfId="34415" xr:uid="{00000000-0005-0000-0000-000005950000}"/>
    <cellStyle name="Финансовый 4 10 8 4" xfId="12853" xr:uid="{00000000-0005-0000-0000-000006950000}"/>
    <cellStyle name="Финансовый 4 10 8 4 2" xfId="36808" xr:uid="{00000000-0005-0000-0000-000007950000}"/>
    <cellStyle name="Финансовый 4 10 8 5" xfId="24831" xr:uid="{00000000-0005-0000-0000-000008950000}"/>
    <cellStyle name="Финансовый 4 10 8 6" xfId="49729" xr:uid="{00000000-0005-0000-0000-000009950000}"/>
    <cellStyle name="Финансовый 4 10 9" xfId="452" xr:uid="{00000000-0005-0000-0000-00000A950000}"/>
    <cellStyle name="Финансовый 4 10 9 2" xfId="6492" xr:uid="{00000000-0005-0000-0000-00000B950000}"/>
    <cellStyle name="Финансовый 4 10 9 2 2" xfId="18470" xr:uid="{00000000-0005-0000-0000-00000C950000}"/>
    <cellStyle name="Финансовый 4 10 9 2 2 2" xfId="42425" xr:uid="{00000000-0005-0000-0000-00000D950000}"/>
    <cellStyle name="Финансовый 4 10 9 2 3" xfId="30447" xr:uid="{00000000-0005-0000-0000-00000E950000}"/>
    <cellStyle name="Финансовый 4 10 9 3" xfId="12433" xr:uid="{00000000-0005-0000-0000-00000F950000}"/>
    <cellStyle name="Финансовый 4 10 9 3 2" xfId="36388" xr:uid="{00000000-0005-0000-0000-000010950000}"/>
    <cellStyle name="Финансовый 4 10 9 4" xfId="24411" xr:uid="{00000000-0005-0000-0000-000011950000}"/>
    <cellStyle name="Финансовый 4 11" xfId="17" xr:uid="{00000000-0005-0000-0000-000012950000}"/>
    <cellStyle name="Финансовый 4 11 10" xfId="2629" xr:uid="{00000000-0005-0000-0000-000013950000}"/>
    <cellStyle name="Финансовый 4 11 10 2" xfId="14608" xr:uid="{00000000-0005-0000-0000-000014950000}"/>
    <cellStyle name="Финансовый 4 11 10 2 2" xfId="38563" xr:uid="{00000000-0005-0000-0000-000015950000}"/>
    <cellStyle name="Финансовый 4 11 10 3" xfId="26586" xr:uid="{00000000-0005-0000-0000-000016950000}"/>
    <cellStyle name="Финансовый 4 11 11" xfId="4272" xr:uid="{00000000-0005-0000-0000-000017950000}"/>
    <cellStyle name="Финансовый 4 11 11 2" xfId="16251" xr:uid="{00000000-0005-0000-0000-000018950000}"/>
    <cellStyle name="Финансовый 4 11 11 2 2" xfId="40206" xr:uid="{00000000-0005-0000-0000-000019950000}"/>
    <cellStyle name="Финансовый 4 11 11 3" xfId="28229" xr:uid="{00000000-0005-0000-0000-00001A950000}"/>
    <cellStyle name="Финансовый 4 11 12" xfId="6060" xr:uid="{00000000-0005-0000-0000-00001B950000}"/>
    <cellStyle name="Финансовый 4 11 12 2" xfId="18038" xr:uid="{00000000-0005-0000-0000-00001C950000}"/>
    <cellStyle name="Финансовый 4 11 12 2 2" xfId="41993" xr:uid="{00000000-0005-0000-0000-00001D950000}"/>
    <cellStyle name="Финансовый 4 11 12 3" xfId="30015" xr:uid="{00000000-0005-0000-0000-00001E950000}"/>
    <cellStyle name="Финансовый 4 11 13" xfId="8667" xr:uid="{00000000-0005-0000-0000-00001F950000}"/>
    <cellStyle name="Финансовый 4 11 13 2" xfId="20645" xr:uid="{00000000-0005-0000-0000-000020950000}"/>
    <cellStyle name="Финансовый 4 11 13 2 2" xfId="44600" xr:uid="{00000000-0005-0000-0000-000021950000}"/>
    <cellStyle name="Финансовый 4 11 13 3" xfId="32622" xr:uid="{00000000-0005-0000-0000-000022950000}"/>
    <cellStyle name="Финансовый 4 11 14" xfId="12001" xr:uid="{00000000-0005-0000-0000-000023950000}"/>
    <cellStyle name="Финансовый 4 11 14 2" xfId="35956" xr:uid="{00000000-0005-0000-0000-000024950000}"/>
    <cellStyle name="Финансовый 4 11 15" xfId="23979" xr:uid="{00000000-0005-0000-0000-000025950000}"/>
    <cellStyle name="Финансовый 4 11 16" xfId="47937" xr:uid="{00000000-0005-0000-0000-000026950000}"/>
    <cellStyle name="Финансовый 4 11 2" xfId="155" xr:uid="{00000000-0005-0000-0000-000027950000}"/>
    <cellStyle name="Финансовый 4 11 2 10" xfId="8803" xr:uid="{00000000-0005-0000-0000-000028950000}"/>
    <cellStyle name="Финансовый 4 11 2 10 2" xfId="20781" xr:uid="{00000000-0005-0000-0000-000029950000}"/>
    <cellStyle name="Финансовый 4 11 2 10 2 2" xfId="44736" xr:uid="{00000000-0005-0000-0000-00002A950000}"/>
    <cellStyle name="Финансовый 4 11 2 10 3" xfId="32758" xr:uid="{00000000-0005-0000-0000-00002B950000}"/>
    <cellStyle name="Финансовый 4 11 2 11" xfId="12137" xr:uid="{00000000-0005-0000-0000-00002C950000}"/>
    <cellStyle name="Финансовый 4 11 2 11 2" xfId="36092" xr:uid="{00000000-0005-0000-0000-00002D950000}"/>
    <cellStyle name="Финансовый 4 11 2 12" xfId="24115" xr:uid="{00000000-0005-0000-0000-00002E950000}"/>
    <cellStyle name="Финансовый 4 11 2 13" xfId="48073" xr:uid="{00000000-0005-0000-0000-00002F950000}"/>
    <cellStyle name="Финансовый 4 11 2 2" xfId="1253" xr:uid="{00000000-0005-0000-0000-000030950000}"/>
    <cellStyle name="Финансовый 4 11 2 2 2" xfId="2219" xr:uid="{00000000-0005-0000-0000-000031950000}"/>
    <cellStyle name="Финансовый 4 11 2 2 2 2" xfId="3864" xr:uid="{00000000-0005-0000-0000-000032950000}"/>
    <cellStyle name="Финансовый 4 11 2 2 2 2 2" xfId="11604" xr:uid="{00000000-0005-0000-0000-000033950000}"/>
    <cellStyle name="Финансовый 4 11 2 2 2 2 2 2" xfId="23582" xr:uid="{00000000-0005-0000-0000-000034950000}"/>
    <cellStyle name="Финансовый 4 11 2 2 2 2 2 2 2" xfId="47537" xr:uid="{00000000-0005-0000-0000-000035950000}"/>
    <cellStyle name="Финансовый 4 11 2 2 2 2 2 3" xfId="35559" xr:uid="{00000000-0005-0000-0000-000036950000}"/>
    <cellStyle name="Финансовый 4 11 2 2 2 2 3" xfId="15843" xr:uid="{00000000-0005-0000-0000-000037950000}"/>
    <cellStyle name="Финансовый 4 11 2 2 2 2 3 2" xfId="39798" xr:uid="{00000000-0005-0000-0000-000038950000}"/>
    <cellStyle name="Финансовый 4 11 2 2 2 2 4" xfId="27821" xr:uid="{00000000-0005-0000-0000-000039950000}"/>
    <cellStyle name="Финансовый 4 11 2 2 2 2 5" xfId="51090" xr:uid="{00000000-0005-0000-0000-00003A950000}"/>
    <cellStyle name="Финансовый 4 11 2 2 2 3" xfId="5647" xr:uid="{00000000-0005-0000-0000-00003B950000}"/>
    <cellStyle name="Финансовый 4 11 2 2 2 3 2" xfId="17625" xr:uid="{00000000-0005-0000-0000-00003C950000}"/>
    <cellStyle name="Финансовый 4 11 2 2 2 3 2 2" xfId="41580" xr:uid="{00000000-0005-0000-0000-00003D950000}"/>
    <cellStyle name="Финансовый 4 11 2 2 2 3 3" xfId="29602" xr:uid="{00000000-0005-0000-0000-00003E950000}"/>
    <cellStyle name="Финансовый 4 11 2 2 2 4" xfId="8257" xr:uid="{00000000-0005-0000-0000-00003F950000}"/>
    <cellStyle name="Финансовый 4 11 2 2 2 4 2" xfId="20235" xr:uid="{00000000-0005-0000-0000-000040950000}"/>
    <cellStyle name="Финансовый 4 11 2 2 2 4 2 2" xfId="44190" xr:uid="{00000000-0005-0000-0000-000041950000}"/>
    <cellStyle name="Финансовый 4 11 2 2 2 4 3" xfId="32212" xr:uid="{00000000-0005-0000-0000-000042950000}"/>
    <cellStyle name="Финансовый 4 11 2 2 2 5" xfId="10040" xr:uid="{00000000-0005-0000-0000-000043950000}"/>
    <cellStyle name="Финансовый 4 11 2 2 2 5 2" xfId="22018" xr:uid="{00000000-0005-0000-0000-000044950000}"/>
    <cellStyle name="Финансовый 4 11 2 2 2 5 2 2" xfId="45973" xr:uid="{00000000-0005-0000-0000-000045950000}"/>
    <cellStyle name="Финансовый 4 11 2 2 2 5 3" xfId="33995" xr:uid="{00000000-0005-0000-0000-000046950000}"/>
    <cellStyle name="Финансовый 4 11 2 2 2 6" xfId="14198" xr:uid="{00000000-0005-0000-0000-000047950000}"/>
    <cellStyle name="Финансовый 4 11 2 2 2 6 2" xfId="38153" xr:uid="{00000000-0005-0000-0000-000048950000}"/>
    <cellStyle name="Финансовый 4 11 2 2 2 7" xfId="26176" xr:uid="{00000000-0005-0000-0000-000049950000}"/>
    <cellStyle name="Финансовый 4 11 2 2 2 8" xfId="49309" xr:uid="{00000000-0005-0000-0000-00004A950000}"/>
    <cellStyle name="Финансовый 4 11 2 2 3" xfId="3037" xr:uid="{00000000-0005-0000-0000-00004B950000}"/>
    <cellStyle name="Финансовый 4 11 2 2 3 2" xfId="10832" xr:uid="{00000000-0005-0000-0000-00004C950000}"/>
    <cellStyle name="Финансовый 4 11 2 2 3 2 2" xfId="22810" xr:uid="{00000000-0005-0000-0000-00004D950000}"/>
    <cellStyle name="Финансовый 4 11 2 2 3 2 2 2" xfId="46765" xr:uid="{00000000-0005-0000-0000-00004E950000}"/>
    <cellStyle name="Финансовый 4 11 2 2 3 2 3" xfId="34787" xr:uid="{00000000-0005-0000-0000-00004F950000}"/>
    <cellStyle name="Финансовый 4 11 2 2 3 3" xfId="15016" xr:uid="{00000000-0005-0000-0000-000050950000}"/>
    <cellStyle name="Финансовый 4 11 2 2 3 3 2" xfId="38971" xr:uid="{00000000-0005-0000-0000-000051950000}"/>
    <cellStyle name="Финансовый 4 11 2 2 3 4" xfId="26994" xr:uid="{00000000-0005-0000-0000-000052950000}"/>
    <cellStyle name="Финансовый 4 11 2 2 3 5" xfId="50125" xr:uid="{00000000-0005-0000-0000-000053950000}"/>
    <cellStyle name="Финансовый 4 11 2 2 4" xfId="4681" xr:uid="{00000000-0005-0000-0000-000054950000}"/>
    <cellStyle name="Финансовый 4 11 2 2 4 2" xfId="16660" xr:uid="{00000000-0005-0000-0000-000055950000}"/>
    <cellStyle name="Финансовый 4 11 2 2 4 2 2" xfId="40615" xr:uid="{00000000-0005-0000-0000-000056950000}"/>
    <cellStyle name="Финансовый 4 11 2 2 4 3" xfId="28638" xr:uid="{00000000-0005-0000-0000-000057950000}"/>
    <cellStyle name="Финансовый 4 11 2 2 5" xfId="7293" xr:uid="{00000000-0005-0000-0000-000058950000}"/>
    <cellStyle name="Финансовый 4 11 2 2 5 2" xfId="19271" xr:uid="{00000000-0005-0000-0000-000059950000}"/>
    <cellStyle name="Финансовый 4 11 2 2 5 2 2" xfId="43226" xr:uid="{00000000-0005-0000-0000-00005A950000}"/>
    <cellStyle name="Финансовый 4 11 2 2 5 3" xfId="31248" xr:uid="{00000000-0005-0000-0000-00005B950000}"/>
    <cellStyle name="Финансовый 4 11 2 2 6" xfId="9075" xr:uid="{00000000-0005-0000-0000-00005C950000}"/>
    <cellStyle name="Финансовый 4 11 2 2 6 2" xfId="21053" xr:uid="{00000000-0005-0000-0000-00005D950000}"/>
    <cellStyle name="Финансовый 4 11 2 2 6 2 2" xfId="45008" xr:uid="{00000000-0005-0000-0000-00005E950000}"/>
    <cellStyle name="Финансовый 4 11 2 2 6 3" xfId="33030" xr:uid="{00000000-0005-0000-0000-00005F950000}"/>
    <cellStyle name="Финансовый 4 11 2 2 7" xfId="13234" xr:uid="{00000000-0005-0000-0000-000060950000}"/>
    <cellStyle name="Финансовый 4 11 2 2 7 2" xfId="37189" xr:uid="{00000000-0005-0000-0000-000061950000}"/>
    <cellStyle name="Финансовый 4 11 2 2 8" xfId="25212" xr:uid="{00000000-0005-0000-0000-000062950000}"/>
    <cellStyle name="Финансовый 4 11 2 2 9" xfId="48345" xr:uid="{00000000-0005-0000-0000-000063950000}"/>
    <cellStyle name="Финансовый 4 11 2 3" xfId="1963" xr:uid="{00000000-0005-0000-0000-000064950000}"/>
    <cellStyle name="Финансовый 4 11 2 3 2" xfId="3608" xr:uid="{00000000-0005-0000-0000-000065950000}"/>
    <cellStyle name="Финансовый 4 11 2 3 2 2" xfId="11348" xr:uid="{00000000-0005-0000-0000-000066950000}"/>
    <cellStyle name="Финансовый 4 11 2 3 2 2 2" xfId="23326" xr:uid="{00000000-0005-0000-0000-000067950000}"/>
    <cellStyle name="Финансовый 4 11 2 3 2 2 2 2" xfId="47281" xr:uid="{00000000-0005-0000-0000-000068950000}"/>
    <cellStyle name="Финансовый 4 11 2 3 2 2 3" xfId="35303" xr:uid="{00000000-0005-0000-0000-000069950000}"/>
    <cellStyle name="Финансовый 4 11 2 3 2 3" xfId="15587" xr:uid="{00000000-0005-0000-0000-00006A950000}"/>
    <cellStyle name="Финансовый 4 11 2 3 2 3 2" xfId="39542" xr:uid="{00000000-0005-0000-0000-00006B950000}"/>
    <cellStyle name="Финансовый 4 11 2 3 2 4" xfId="27565" xr:uid="{00000000-0005-0000-0000-00006C950000}"/>
    <cellStyle name="Финансовый 4 11 2 3 2 5" xfId="50834" xr:uid="{00000000-0005-0000-0000-00006D950000}"/>
    <cellStyle name="Финансовый 4 11 2 3 3" xfId="5391" xr:uid="{00000000-0005-0000-0000-00006E950000}"/>
    <cellStyle name="Финансовый 4 11 2 3 3 2" xfId="17369" xr:uid="{00000000-0005-0000-0000-00006F950000}"/>
    <cellStyle name="Финансовый 4 11 2 3 3 2 2" xfId="41324" xr:uid="{00000000-0005-0000-0000-000070950000}"/>
    <cellStyle name="Финансовый 4 11 2 3 3 3" xfId="29346" xr:uid="{00000000-0005-0000-0000-000071950000}"/>
    <cellStyle name="Финансовый 4 11 2 3 4" xfId="8001" xr:uid="{00000000-0005-0000-0000-000072950000}"/>
    <cellStyle name="Финансовый 4 11 2 3 4 2" xfId="19979" xr:uid="{00000000-0005-0000-0000-000073950000}"/>
    <cellStyle name="Финансовый 4 11 2 3 4 2 2" xfId="43934" xr:uid="{00000000-0005-0000-0000-000074950000}"/>
    <cellStyle name="Финансовый 4 11 2 3 4 3" xfId="31956" xr:uid="{00000000-0005-0000-0000-000075950000}"/>
    <cellStyle name="Финансовый 4 11 2 3 5" xfId="9784" xr:uid="{00000000-0005-0000-0000-000076950000}"/>
    <cellStyle name="Финансовый 4 11 2 3 5 2" xfId="21762" xr:uid="{00000000-0005-0000-0000-000077950000}"/>
    <cellStyle name="Финансовый 4 11 2 3 5 2 2" xfId="45717" xr:uid="{00000000-0005-0000-0000-000078950000}"/>
    <cellStyle name="Финансовый 4 11 2 3 5 3" xfId="33739" xr:uid="{00000000-0005-0000-0000-000079950000}"/>
    <cellStyle name="Финансовый 4 11 2 3 6" xfId="13942" xr:uid="{00000000-0005-0000-0000-00007A950000}"/>
    <cellStyle name="Финансовый 4 11 2 3 6 2" xfId="37897" xr:uid="{00000000-0005-0000-0000-00007B950000}"/>
    <cellStyle name="Финансовый 4 11 2 3 7" xfId="25920" xr:uid="{00000000-0005-0000-0000-00007C950000}"/>
    <cellStyle name="Финансовый 4 11 2 3 8" xfId="49053" xr:uid="{00000000-0005-0000-0000-00007D950000}"/>
    <cellStyle name="Финансовый 4 11 2 4" xfId="2484" xr:uid="{00000000-0005-0000-0000-00007E950000}"/>
    <cellStyle name="Финансовый 4 11 2 4 2" xfId="4129" xr:uid="{00000000-0005-0000-0000-00007F950000}"/>
    <cellStyle name="Финансовый 4 11 2 4 2 2" xfId="11861" xr:uid="{00000000-0005-0000-0000-000080950000}"/>
    <cellStyle name="Финансовый 4 11 2 4 2 2 2" xfId="23839" xr:uid="{00000000-0005-0000-0000-000081950000}"/>
    <cellStyle name="Финансовый 4 11 2 4 2 2 2 2" xfId="47794" xr:uid="{00000000-0005-0000-0000-000082950000}"/>
    <cellStyle name="Финансовый 4 11 2 4 2 2 3" xfId="35816" xr:uid="{00000000-0005-0000-0000-000083950000}"/>
    <cellStyle name="Финансовый 4 11 2 4 2 3" xfId="16108" xr:uid="{00000000-0005-0000-0000-000084950000}"/>
    <cellStyle name="Финансовый 4 11 2 4 2 3 2" xfId="40063" xr:uid="{00000000-0005-0000-0000-000085950000}"/>
    <cellStyle name="Финансовый 4 11 2 4 2 4" xfId="28086" xr:uid="{00000000-0005-0000-0000-000086950000}"/>
    <cellStyle name="Финансовый 4 11 2 4 2 5" xfId="51355" xr:uid="{00000000-0005-0000-0000-000087950000}"/>
    <cellStyle name="Финансовый 4 11 2 4 3" xfId="5912" xr:uid="{00000000-0005-0000-0000-000088950000}"/>
    <cellStyle name="Финансовый 4 11 2 4 3 2" xfId="17890" xr:uid="{00000000-0005-0000-0000-000089950000}"/>
    <cellStyle name="Финансовый 4 11 2 4 3 2 2" xfId="41845" xr:uid="{00000000-0005-0000-0000-00008A950000}"/>
    <cellStyle name="Финансовый 4 11 2 4 3 3" xfId="29867" xr:uid="{00000000-0005-0000-0000-00008B950000}"/>
    <cellStyle name="Финансовый 4 11 2 4 4" xfId="8522" xr:uid="{00000000-0005-0000-0000-00008C950000}"/>
    <cellStyle name="Финансовый 4 11 2 4 4 2" xfId="20500" xr:uid="{00000000-0005-0000-0000-00008D950000}"/>
    <cellStyle name="Финансовый 4 11 2 4 4 2 2" xfId="44455" xr:uid="{00000000-0005-0000-0000-00008E950000}"/>
    <cellStyle name="Финансовый 4 11 2 4 4 3" xfId="32477" xr:uid="{00000000-0005-0000-0000-00008F950000}"/>
    <cellStyle name="Финансовый 4 11 2 4 5" xfId="10305" xr:uid="{00000000-0005-0000-0000-000090950000}"/>
    <cellStyle name="Финансовый 4 11 2 4 5 2" xfId="22283" xr:uid="{00000000-0005-0000-0000-000091950000}"/>
    <cellStyle name="Финансовый 4 11 2 4 5 2 2" xfId="46238" xr:uid="{00000000-0005-0000-0000-000092950000}"/>
    <cellStyle name="Финансовый 4 11 2 4 5 3" xfId="34260" xr:uid="{00000000-0005-0000-0000-000093950000}"/>
    <cellStyle name="Финансовый 4 11 2 4 6" xfId="14463" xr:uid="{00000000-0005-0000-0000-000094950000}"/>
    <cellStyle name="Финансовый 4 11 2 4 6 2" xfId="38418" xr:uid="{00000000-0005-0000-0000-000095950000}"/>
    <cellStyle name="Финансовый 4 11 2 4 7" xfId="26441" xr:uid="{00000000-0005-0000-0000-000096950000}"/>
    <cellStyle name="Финансовый 4 11 2 4 8" xfId="49574" xr:uid="{00000000-0005-0000-0000-000097950000}"/>
    <cellStyle name="Финансовый 4 11 2 5" xfId="988" xr:uid="{00000000-0005-0000-0000-000098950000}"/>
    <cellStyle name="Финансовый 4 11 2 5 2" xfId="7028" xr:uid="{00000000-0005-0000-0000-000099950000}"/>
    <cellStyle name="Финансовый 4 11 2 5 2 2" xfId="19006" xr:uid="{00000000-0005-0000-0000-00009A950000}"/>
    <cellStyle name="Финансовый 4 11 2 5 2 2 2" xfId="42961" xr:uid="{00000000-0005-0000-0000-00009B950000}"/>
    <cellStyle name="Финансовый 4 11 2 5 2 3" xfId="30983" xr:uid="{00000000-0005-0000-0000-00009C950000}"/>
    <cellStyle name="Финансовый 4 11 2 5 3" xfId="10576" xr:uid="{00000000-0005-0000-0000-00009D950000}"/>
    <cellStyle name="Финансовый 4 11 2 5 3 2" xfId="22554" xr:uid="{00000000-0005-0000-0000-00009E950000}"/>
    <cellStyle name="Финансовый 4 11 2 5 3 2 2" xfId="46509" xr:uid="{00000000-0005-0000-0000-00009F950000}"/>
    <cellStyle name="Финансовый 4 11 2 5 3 3" xfId="34531" xr:uid="{00000000-0005-0000-0000-0000A0950000}"/>
    <cellStyle name="Финансовый 4 11 2 5 4" xfId="12969" xr:uid="{00000000-0005-0000-0000-0000A1950000}"/>
    <cellStyle name="Финансовый 4 11 2 5 4 2" xfId="36924" xr:uid="{00000000-0005-0000-0000-0000A2950000}"/>
    <cellStyle name="Финансовый 4 11 2 5 5" xfId="24947" xr:uid="{00000000-0005-0000-0000-0000A3950000}"/>
    <cellStyle name="Финансовый 4 11 2 5 6" xfId="49853" xr:uid="{00000000-0005-0000-0000-0000A4950000}"/>
    <cellStyle name="Финансовый 4 11 2 6" xfId="576" xr:uid="{00000000-0005-0000-0000-0000A5950000}"/>
    <cellStyle name="Финансовый 4 11 2 6 2" xfId="6616" xr:uid="{00000000-0005-0000-0000-0000A6950000}"/>
    <cellStyle name="Финансовый 4 11 2 6 2 2" xfId="18594" xr:uid="{00000000-0005-0000-0000-0000A7950000}"/>
    <cellStyle name="Финансовый 4 11 2 6 2 2 2" xfId="42549" xr:uid="{00000000-0005-0000-0000-0000A8950000}"/>
    <cellStyle name="Финансовый 4 11 2 6 2 3" xfId="30571" xr:uid="{00000000-0005-0000-0000-0000A9950000}"/>
    <cellStyle name="Финансовый 4 11 2 6 3" xfId="12557" xr:uid="{00000000-0005-0000-0000-0000AA950000}"/>
    <cellStyle name="Финансовый 4 11 2 6 3 2" xfId="36512" xr:uid="{00000000-0005-0000-0000-0000AB950000}"/>
    <cellStyle name="Финансовый 4 11 2 6 4" xfId="24535" xr:uid="{00000000-0005-0000-0000-0000AC950000}"/>
    <cellStyle name="Финансовый 4 11 2 7" xfId="2765" xr:uid="{00000000-0005-0000-0000-0000AD950000}"/>
    <cellStyle name="Финансовый 4 11 2 7 2" xfId="14744" xr:uid="{00000000-0005-0000-0000-0000AE950000}"/>
    <cellStyle name="Финансовый 4 11 2 7 2 2" xfId="38699" xr:uid="{00000000-0005-0000-0000-0000AF950000}"/>
    <cellStyle name="Финансовый 4 11 2 7 3" xfId="26722" xr:uid="{00000000-0005-0000-0000-0000B0950000}"/>
    <cellStyle name="Финансовый 4 11 2 8" xfId="4409" xr:uid="{00000000-0005-0000-0000-0000B1950000}"/>
    <cellStyle name="Финансовый 4 11 2 8 2" xfId="16388" xr:uid="{00000000-0005-0000-0000-0000B2950000}"/>
    <cellStyle name="Финансовый 4 11 2 8 2 2" xfId="40343" xr:uid="{00000000-0005-0000-0000-0000B3950000}"/>
    <cellStyle name="Финансовый 4 11 2 8 3" xfId="28366" xr:uid="{00000000-0005-0000-0000-0000B4950000}"/>
    <cellStyle name="Финансовый 4 11 2 9" xfId="6196" xr:uid="{00000000-0005-0000-0000-0000B5950000}"/>
    <cellStyle name="Финансовый 4 11 2 9 2" xfId="18174" xr:uid="{00000000-0005-0000-0000-0000B6950000}"/>
    <cellStyle name="Финансовый 4 11 2 9 2 2" xfId="42129" xr:uid="{00000000-0005-0000-0000-0000B7950000}"/>
    <cellStyle name="Финансовый 4 11 2 9 3" xfId="30151" xr:uid="{00000000-0005-0000-0000-0000B8950000}"/>
    <cellStyle name="Финансовый 4 11 3" xfId="304" xr:uid="{00000000-0005-0000-0000-0000B9950000}"/>
    <cellStyle name="Финансовый 4 11 3 10" xfId="24263" xr:uid="{00000000-0005-0000-0000-0000BA950000}"/>
    <cellStyle name="Финансовый 4 11 3 11" xfId="48209" xr:uid="{00000000-0005-0000-0000-0000BB950000}"/>
    <cellStyle name="Финансовый 4 11 3 2" xfId="2091" xr:uid="{00000000-0005-0000-0000-0000BC950000}"/>
    <cellStyle name="Финансовый 4 11 3 2 2" xfId="3736" xr:uid="{00000000-0005-0000-0000-0000BD950000}"/>
    <cellStyle name="Финансовый 4 11 3 2 2 2" xfId="11476" xr:uid="{00000000-0005-0000-0000-0000BE950000}"/>
    <cellStyle name="Финансовый 4 11 3 2 2 2 2" xfId="23454" xr:uid="{00000000-0005-0000-0000-0000BF950000}"/>
    <cellStyle name="Финансовый 4 11 3 2 2 2 2 2" xfId="47409" xr:uid="{00000000-0005-0000-0000-0000C0950000}"/>
    <cellStyle name="Финансовый 4 11 3 2 2 2 3" xfId="35431" xr:uid="{00000000-0005-0000-0000-0000C1950000}"/>
    <cellStyle name="Финансовый 4 11 3 2 2 3" xfId="15715" xr:uid="{00000000-0005-0000-0000-0000C2950000}"/>
    <cellStyle name="Финансовый 4 11 3 2 2 3 2" xfId="39670" xr:uid="{00000000-0005-0000-0000-0000C3950000}"/>
    <cellStyle name="Финансовый 4 11 3 2 2 4" xfId="27693" xr:uid="{00000000-0005-0000-0000-0000C4950000}"/>
    <cellStyle name="Финансовый 4 11 3 2 2 5" xfId="50962" xr:uid="{00000000-0005-0000-0000-0000C5950000}"/>
    <cellStyle name="Финансовый 4 11 3 2 3" xfId="5519" xr:uid="{00000000-0005-0000-0000-0000C6950000}"/>
    <cellStyle name="Финансовый 4 11 3 2 3 2" xfId="17497" xr:uid="{00000000-0005-0000-0000-0000C7950000}"/>
    <cellStyle name="Финансовый 4 11 3 2 3 2 2" xfId="41452" xr:uid="{00000000-0005-0000-0000-0000C8950000}"/>
    <cellStyle name="Финансовый 4 11 3 2 3 3" xfId="29474" xr:uid="{00000000-0005-0000-0000-0000C9950000}"/>
    <cellStyle name="Финансовый 4 11 3 2 4" xfId="8129" xr:uid="{00000000-0005-0000-0000-0000CA950000}"/>
    <cellStyle name="Финансовый 4 11 3 2 4 2" xfId="20107" xr:uid="{00000000-0005-0000-0000-0000CB950000}"/>
    <cellStyle name="Финансовый 4 11 3 2 4 2 2" xfId="44062" xr:uid="{00000000-0005-0000-0000-0000CC950000}"/>
    <cellStyle name="Финансовый 4 11 3 2 4 3" xfId="32084" xr:uid="{00000000-0005-0000-0000-0000CD950000}"/>
    <cellStyle name="Финансовый 4 11 3 2 5" xfId="9912" xr:uid="{00000000-0005-0000-0000-0000CE950000}"/>
    <cellStyle name="Финансовый 4 11 3 2 5 2" xfId="21890" xr:uid="{00000000-0005-0000-0000-0000CF950000}"/>
    <cellStyle name="Финансовый 4 11 3 2 5 2 2" xfId="45845" xr:uid="{00000000-0005-0000-0000-0000D0950000}"/>
    <cellStyle name="Финансовый 4 11 3 2 5 3" xfId="33867" xr:uid="{00000000-0005-0000-0000-0000D1950000}"/>
    <cellStyle name="Финансовый 4 11 3 2 6" xfId="14070" xr:uid="{00000000-0005-0000-0000-0000D2950000}"/>
    <cellStyle name="Финансовый 4 11 3 2 6 2" xfId="38025" xr:uid="{00000000-0005-0000-0000-0000D3950000}"/>
    <cellStyle name="Финансовый 4 11 3 2 7" xfId="26048" xr:uid="{00000000-0005-0000-0000-0000D4950000}"/>
    <cellStyle name="Финансовый 4 11 3 2 8" xfId="49181" xr:uid="{00000000-0005-0000-0000-0000D5950000}"/>
    <cellStyle name="Финансовый 4 11 3 3" xfId="1124" xr:uid="{00000000-0005-0000-0000-0000D6950000}"/>
    <cellStyle name="Финансовый 4 11 3 3 2" xfId="7164" xr:uid="{00000000-0005-0000-0000-0000D7950000}"/>
    <cellStyle name="Финансовый 4 11 3 3 2 2" xfId="19142" xr:uid="{00000000-0005-0000-0000-0000D8950000}"/>
    <cellStyle name="Финансовый 4 11 3 3 2 2 2" xfId="43097" xr:uid="{00000000-0005-0000-0000-0000D9950000}"/>
    <cellStyle name="Финансовый 4 11 3 3 2 3" xfId="31119" xr:uid="{00000000-0005-0000-0000-0000DA950000}"/>
    <cellStyle name="Финансовый 4 11 3 3 3" xfId="10704" xr:uid="{00000000-0005-0000-0000-0000DB950000}"/>
    <cellStyle name="Финансовый 4 11 3 3 3 2" xfId="22682" xr:uid="{00000000-0005-0000-0000-0000DC950000}"/>
    <cellStyle name="Финансовый 4 11 3 3 3 2 2" xfId="46637" xr:uid="{00000000-0005-0000-0000-0000DD950000}"/>
    <cellStyle name="Финансовый 4 11 3 3 3 3" xfId="34659" xr:uid="{00000000-0005-0000-0000-0000DE950000}"/>
    <cellStyle name="Финансовый 4 11 3 3 4" xfId="13105" xr:uid="{00000000-0005-0000-0000-0000DF950000}"/>
    <cellStyle name="Финансовый 4 11 3 3 4 2" xfId="37060" xr:uid="{00000000-0005-0000-0000-0000E0950000}"/>
    <cellStyle name="Финансовый 4 11 3 3 5" xfId="25083" xr:uid="{00000000-0005-0000-0000-0000E1950000}"/>
    <cellStyle name="Финансовый 4 11 3 3 6" xfId="49989" xr:uid="{00000000-0005-0000-0000-0000E2950000}"/>
    <cellStyle name="Финансовый 4 11 3 4" xfId="724" xr:uid="{00000000-0005-0000-0000-0000E3950000}"/>
    <cellStyle name="Финансовый 4 11 3 4 2" xfId="6764" xr:uid="{00000000-0005-0000-0000-0000E4950000}"/>
    <cellStyle name="Финансовый 4 11 3 4 2 2" xfId="18742" xr:uid="{00000000-0005-0000-0000-0000E5950000}"/>
    <cellStyle name="Финансовый 4 11 3 4 2 2 2" xfId="42697" xr:uid="{00000000-0005-0000-0000-0000E6950000}"/>
    <cellStyle name="Финансовый 4 11 3 4 2 3" xfId="30719" xr:uid="{00000000-0005-0000-0000-0000E7950000}"/>
    <cellStyle name="Финансовый 4 11 3 4 3" xfId="12705" xr:uid="{00000000-0005-0000-0000-0000E8950000}"/>
    <cellStyle name="Финансовый 4 11 3 4 3 2" xfId="36660" xr:uid="{00000000-0005-0000-0000-0000E9950000}"/>
    <cellStyle name="Финансовый 4 11 3 4 4" xfId="24683" xr:uid="{00000000-0005-0000-0000-0000EA950000}"/>
    <cellStyle name="Финансовый 4 11 3 5" xfId="2901" xr:uid="{00000000-0005-0000-0000-0000EB950000}"/>
    <cellStyle name="Финансовый 4 11 3 5 2" xfId="14880" xr:uid="{00000000-0005-0000-0000-0000EC950000}"/>
    <cellStyle name="Финансовый 4 11 3 5 2 2" xfId="38835" xr:uid="{00000000-0005-0000-0000-0000ED950000}"/>
    <cellStyle name="Финансовый 4 11 3 5 3" xfId="26858" xr:uid="{00000000-0005-0000-0000-0000EE950000}"/>
    <cellStyle name="Финансовый 4 11 3 6" xfId="4545" xr:uid="{00000000-0005-0000-0000-0000EF950000}"/>
    <cellStyle name="Финансовый 4 11 3 6 2" xfId="16524" xr:uid="{00000000-0005-0000-0000-0000F0950000}"/>
    <cellStyle name="Финансовый 4 11 3 6 2 2" xfId="40479" xr:uid="{00000000-0005-0000-0000-0000F1950000}"/>
    <cellStyle name="Финансовый 4 11 3 6 3" xfId="28502" xr:uid="{00000000-0005-0000-0000-0000F2950000}"/>
    <cellStyle name="Финансовый 4 11 3 7" xfId="6344" xr:uid="{00000000-0005-0000-0000-0000F3950000}"/>
    <cellStyle name="Финансовый 4 11 3 7 2" xfId="18322" xr:uid="{00000000-0005-0000-0000-0000F4950000}"/>
    <cellStyle name="Финансовый 4 11 3 7 2 2" xfId="42277" xr:uid="{00000000-0005-0000-0000-0000F5950000}"/>
    <cellStyle name="Финансовый 4 11 3 7 3" xfId="30299" xr:uid="{00000000-0005-0000-0000-0000F6950000}"/>
    <cellStyle name="Финансовый 4 11 3 8" xfId="8939" xr:uid="{00000000-0005-0000-0000-0000F7950000}"/>
    <cellStyle name="Финансовый 4 11 3 8 2" xfId="20917" xr:uid="{00000000-0005-0000-0000-0000F8950000}"/>
    <cellStyle name="Финансовый 4 11 3 8 2 2" xfId="44872" xr:uid="{00000000-0005-0000-0000-0000F9950000}"/>
    <cellStyle name="Финансовый 4 11 3 8 3" xfId="32894" xr:uid="{00000000-0005-0000-0000-0000FA950000}"/>
    <cellStyle name="Финансовый 4 11 3 9" xfId="12285" xr:uid="{00000000-0005-0000-0000-0000FB950000}"/>
    <cellStyle name="Финансовый 4 11 3 9 2" xfId="36240" xr:uid="{00000000-0005-0000-0000-0000FC950000}"/>
    <cellStyle name="Финансовый 4 11 4" xfId="1533" xr:uid="{00000000-0005-0000-0000-0000FD950000}"/>
    <cellStyle name="Финансовый 4 11 4 2" xfId="1827" xr:uid="{00000000-0005-0000-0000-0000FE950000}"/>
    <cellStyle name="Финансовый 4 11 4 2 2" xfId="3472" xr:uid="{00000000-0005-0000-0000-0000FF950000}"/>
    <cellStyle name="Финансовый 4 11 4 2 2 2" xfId="11220" xr:uid="{00000000-0005-0000-0000-000000960000}"/>
    <cellStyle name="Финансовый 4 11 4 2 2 2 2" xfId="23198" xr:uid="{00000000-0005-0000-0000-000001960000}"/>
    <cellStyle name="Финансовый 4 11 4 2 2 2 2 2" xfId="47153" xr:uid="{00000000-0005-0000-0000-000002960000}"/>
    <cellStyle name="Финансовый 4 11 4 2 2 2 3" xfId="35175" xr:uid="{00000000-0005-0000-0000-000003960000}"/>
    <cellStyle name="Финансовый 4 11 4 2 2 3" xfId="15451" xr:uid="{00000000-0005-0000-0000-000004960000}"/>
    <cellStyle name="Финансовый 4 11 4 2 2 3 2" xfId="39406" xr:uid="{00000000-0005-0000-0000-000005960000}"/>
    <cellStyle name="Финансовый 4 11 4 2 2 4" xfId="27429" xr:uid="{00000000-0005-0000-0000-000006960000}"/>
    <cellStyle name="Финансовый 4 11 4 2 2 5" xfId="50698" xr:uid="{00000000-0005-0000-0000-000007960000}"/>
    <cellStyle name="Финансовый 4 11 4 2 3" xfId="5255" xr:uid="{00000000-0005-0000-0000-000008960000}"/>
    <cellStyle name="Финансовый 4 11 4 2 3 2" xfId="17233" xr:uid="{00000000-0005-0000-0000-000009960000}"/>
    <cellStyle name="Финансовый 4 11 4 2 3 2 2" xfId="41188" xr:uid="{00000000-0005-0000-0000-00000A960000}"/>
    <cellStyle name="Финансовый 4 11 4 2 3 3" xfId="29210" xr:uid="{00000000-0005-0000-0000-00000B960000}"/>
    <cellStyle name="Финансовый 4 11 4 2 4" xfId="7865" xr:uid="{00000000-0005-0000-0000-00000C960000}"/>
    <cellStyle name="Финансовый 4 11 4 2 4 2" xfId="19843" xr:uid="{00000000-0005-0000-0000-00000D960000}"/>
    <cellStyle name="Финансовый 4 11 4 2 4 2 2" xfId="43798" xr:uid="{00000000-0005-0000-0000-00000E960000}"/>
    <cellStyle name="Финансовый 4 11 4 2 4 3" xfId="31820" xr:uid="{00000000-0005-0000-0000-00000F960000}"/>
    <cellStyle name="Финансовый 4 11 4 2 5" xfId="9648" xr:uid="{00000000-0005-0000-0000-000010960000}"/>
    <cellStyle name="Финансовый 4 11 4 2 5 2" xfId="21626" xr:uid="{00000000-0005-0000-0000-000011960000}"/>
    <cellStyle name="Финансовый 4 11 4 2 5 2 2" xfId="45581" xr:uid="{00000000-0005-0000-0000-000012960000}"/>
    <cellStyle name="Финансовый 4 11 4 2 5 3" xfId="33603" xr:uid="{00000000-0005-0000-0000-000013960000}"/>
    <cellStyle name="Финансовый 4 11 4 2 6" xfId="13806" xr:uid="{00000000-0005-0000-0000-000014960000}"/>
    <cellStyle name="Финансовый 4 11 4 2 6 2" xfId="37761" xr:uid="{00000000-0005-0000-0000-000015960000}"/>
    <cellStyle name="Финансовый 4 11 4 2 7" xfId="25784" xr:uid="{00000000-0005-0000-0000-000016960000}"/>
    <cellStyle name="Финансовый 4 11 4 2 8" xfId="48917" xr:uid="{00000000-0005-0000-0000-000017960000}"/>
    <cellStyle name="Финансовый 4 11 4 3" xfId="4961" xr:uid="{00000000-0005-0000-0000-000018960000}"/>
    <cellStyle name="Финансовый 4 11 4 3 2" xfId="16939" xr:uid="{00000000-0005-0000-0000-000019960000}"/>
    <cellStyle name="Финансовый 4 11 4 3 2 2" xfId="40894" xr:uid="{00000000-0005-0000-0000-00001A960000}"/>
    <cellStyle name="Финансовый 4 11 4 3 3" xfId="28916" xr:uid="{00000000-0005-0000-0000-00001B960000}"/>
    <cellStyle name="Финансовый 4 11 4 3 4" xfId="50404" xr:uid="{00000000-0005-0000-0000-00001C960000}"/>
    <cellStyle name="Финансовый 4 11 4 4" xfId="7571" xr:uid="{00000000-0005-0000-0000-00001D960000}"/>
    <cellStyle name="Финансовый 4 11 4 4 2" xfId="19549" xr:uid="{00000000-0005-0000-0000-00001E960000}"/>
    <cellStyle name="Финансовый 4 11 4 4 2 2" xfId="43504" xr:uid="{00000000-0005-0000-0000-00001F960000}"/>
    <cellStyle name="Финансовый 4 11 4 4 3" xfId="31526" xr:uid="{00000000-0005-0000-0000-000020960000}"/>
    <cellStyle name="Финансовый 4 11 4 5" xfId="9354" xr:uid="{00000000-0005-0000-0000-000021960000}"/>
    <cellStyle name="Финансовый 4 11 4 5 2" xfId="21332" xr:uid="{00000000-0005-0000-0000-000022960000}"/>
    <cellStyle name="Финансовый 4 11 4 5 2 2" xfId="45287" xr:uid="{00000000-0005-0000-0000-000023960000}"/>
    <cellStyle name="Финансовый 4 11 4 5 3" xfId="33309" xr:uid="{00000000-0005-0000-0000-000024960000}"/>
    <cellStyle name="Финансовый 4 11 4 6" xfId="13512" xr:uid="{00000000-0005-0000-0000-000025960000}"/>
    <cellStyle name="Финансовый 4 11 4 6 2" xfId="37467" xr:uid="{00000000-0005-0000-0000-000026960000}"/>
    <cellStyle name="Финансовый 4 11 4 7" xfId="25490" xr:uid="{00000000-0005-0000-0000-000027960000}"/>
    <cellStyle name="Финансовый 4 11 4 8" xfId="48623" xr:uid="{00000000-0005-0000-0000-000028960000}"/>
    <cellStyle name="Финансовый 4 11 5" xfId="1711" xr:uid="{00000000-0005-0000-0000-000029960000}"/>
    <cellStyle name="Финансовый 4 11 5 2" xfId="3356" xr:uid="{00000000-0005-0000-0000-00002A960000}"/>
    <cellStyle name="Финансовый 4 11 5 2 2" xfId="11104" xr:uid="{00000000-0005-0000-0000-00002B960000}"/>
    <cellStyle name="Финансовый 4 11 5 2 2 2" xfId="23082" xr:uid="{00000000-0005-0000-0000-00002C960000}"/>
    <cellStyle name="Финансовый 4 11 5 2 2 2 2" xfId="47037" xr:uid="{00000000-0005-0000-0000-00002D960000}"/>
    <cellStyle name="Финансовый 4 11 5 2 2 3" xfId="35059" xr:uid="{00000000-0005-0000-0000-00002E960000}"/>
    <cellStyle name="Финансовый 4 11 5 2 3" xfId="15335" xr:uid="{00000000-0005-0000-0000-00002F960000}"/>
    <cellStyle name="Финансовый 4 11 5 2 3 2" xfId="39290" xr:uid="{00000000-0005-0000-0000-000030960000}"/>
    <cellStyle name="Финансовый 4 11 5 2 4" xfId="27313" xr:uid="{00000000-0005-0000-0000-000031960000}"/>
    <cellStyle name="Финансовый 4 11 5 2 5" xfId="50582" xr:uid="{00000000-0005-0000-0000-000032960000}"/>
    <cellStyle name="Финансовый 4 11 5 3" xfId="5139" xr:uid="{00000000-0005-0000-0000-000033960000}"/>
    <cellStyle name="Финансовый 4 11 5 3 2" xfId="17117" xr:uid="{00000000-0005-0000-0000-000034960000}"/>
    <cellStyle name="Финансовый 4 11 5 3 2 2" xfId="41072" xr:uid="{00000000-0005-0000-0000-000035960000}"/>
    <cellStyle name="Финансовый 4 11 5 3 3" xfId="29094" xr:uid="{00000000-0005-0000-0000-000036960000}"/>
    <cellStyle name="Финансовый 4 11 5 4" xfId="7749" xr:uid="{00000000-0005-0000-0000-000037960000}"/>
    <cellStyle name="Финансовый 4 11 5 4 2" xfId="19727" xr:uid="{00000000-0005-0000-0000-000038960000}"/>
    <cellStyle name="Финансовый 4 11 5 4 2 2" xfId="43682" xr:uid="{00000000-0005-0000-0000-000039960000}"/>
    <cellStyle name="Финансовый 4 11 5 4 3" xfId="31704" xr:uid="{00000000-0005-0000-0000-00003A960000}"/>
    <cellStyle name="Финансовый 4 11 5 5" xfId="9532" xr:uid="{00000000-0005-0000-0000-00003B960000}"/>
    <cellStyle name="Финансовый 4 11 5 5 2" xfId="21510" xr:uid="{00000000-0005-0000-0000-00003C960000}"/>
    <cellStyle name="Финансовый 4 11 5 5 2 2" xfId="45465" xr:uid="{00000000-0005-0000-0000-00003D960000}"/>
    <cellStyle name="Финансовый 4 11 5 5 3" xfId="33487" xr:uid="{00000000-0005-0000-0000-00003E960000}"/>
    <cellStyle name="Финансовый 4 11 5 6" xfId="13690" xr:uid="{00000000-0005-0000-0000-00003F960000}"/>
    <cellStyle name="Финансовый 4 11 5 6 2" xfId="37645" xr:uid="{00000000-0005-0000-0000-000040960000}"/>
    <cellStyle name="Финансовый 4 11 5 7" xfId="25668" xr:uid="{00000000-0005-0000-0000-000041960000}"/>
    <cellStyle name="Финансовый 4 11 5 8" xfId="48801" xr:uid="{00000000-0005-0000-0000-000042960000}"/>
    <cellStyle name="Финансовый 4 11 6" xfId="2347" xr:uid="{00000000-0005-0000-0000-000043960000}"/>
    <cellStyle name="Финансовый 4 11 6 2" xfId="3992" xr:uid="{00000000-0005-0000-0000-000044960000}"/>
    <cellStyle name="Финансовый 4 11 6 2 2" xfId="11732" xr:uid="{00000000-0005-0000-0000-000045960000}"/>
    <cellStyle name="Финансовый 4 11 6 2 2 2" xfId="23710" xr:uid="{00000000-0005-0000-0000-000046960000}"/>
    <cellStyle name="Финансовый 4 11 6 2 2 2 2" xfId="47665" xr:uid="{00000000-0005-0000-0000-000047960000}"/>
    <cellStyle name="Финансовый 4 11 6 2 2 3" xfId="35687" xr:uid="{00000000-0005-0000-0000-000048960000}"/>
    <cellStyle name="Финансовый 4 11 6 2 3" xfId="15971" xr:uid="{00000000-0005-0000-0000-000049960000}"/>
    <cellStyle name="Финансовый 4 11 6 2 3 2" xfId="39926" xr:uid="{00000000-0005-0000-0000-00004A960000}"/>
    <cellStyle name="Финансовый 4 11 6 2 4" xfId="27949" xr:uid="{00000000-0005-0000-0000-00004B960000}"/>
    <cellStyle name="Финансовый 4 11 6 2 5" xfId="51218" xr:uid="{00000000-0005-0000-0000-00004C960000}"/>
    <cellStyle name="Финансовый 4 11 6 3" xfId="5775" xr:uid="{00000000-0005-0000-0000-00004D960000}"/>
    <cellStyle name="Финансовый 4 11 6 3 2" xfId="17753" xr:uid="{00000000-0005-0000-0000-00004E960000}"/>
    <cellStyle name="Финансовый 4 11 6 3 2 2" xfId="41708" xr:uid="{00000000-0005-0000-0000-00004F960000}"/>
    <cellStyle name="Финансовый 4 11 6 3 3" xfId="29730" xr:uid="{00000000-0005-0000-0000-000050960000}"/>
    <cellStyle name="Финансовый 4 11 6 4" xfId="8385" xr:uid="{00000000-0005-0000-0000-000051960000}"/>
    <cellStyle name="Финансовый 4 11 6 4 2" xfId="20363" xr:uid="{00000000-0005-0000-0000-000052960000}"/>
    <cellStyle name="Финансовый 4 11 6 4 2 2" xfId="44318" xr:uid="{00000000-0005-0000-0000-000053960000}"/>
    <cellStyle name="Финансовый 4 11 6 4 3" xfId="32340" xr:uid="{00000000-0005-0000-0000-000054960000}"/>
    <cellStyle name="Финансовый 4 11 6 5" xfId="10168" xr:uid="{00000000-0005-0000-0000-000055960000}"/>
    <cellStyle name="Финансовый 4 11 6 5 2" xfId="22146" xr:uid="{00000000-0005-0000-0000-000056960000}"/>
    <cellStyle name="Финансовый 4 11 6 5 2 2" xfId="46101" xr:uid="{00000000-0005-0000-0000-000057960000}"/>
    <cellStyle name="Финансовый 4 11 6 5 3" xfId="34123" xr:uid="{00000000-0005-0000-0000-000058960000}"/>
    <cellStyle name="Финансовый 4 11 6 6" xfId="14326" xr:uid="{00000000-0005-0000-0000-000059960000}"/>
    <cellStyle name="Финансовый 4 11 6 6 2" xfId="38281" xr:uid="{00000000-0005-0000-0000-00005A960000}"/>
    <cellStyle name="Финансовый 4 11 6 7" xfId="26304" xr:uid="{00000000-0005-0000-0000-00005B960000}"/>
    <cellStyle name="Финансовый 4 11 6 8" xfId="49437" xr:uid="{00000000-0005-0000-0000-00005C960000}"/>
    <cellStyle name="Финансовый 4 11 7" xfId="1574" xr:uid="{00000000-0005-0000-0000-00005D960000}"/>
    <cellStyle name="Финансовый 4 11 7 2" xfId="3219" xr:uid="{00000000-0005-0000-0000-00005E960000}"/>
    <cellStyle name="Финансовый 4 11 7 2 2" xfId="10975" xr:uid="{00000000-0005-0000-0000-00005F960000}"/>
    <cellStyle name="Финансовый 4 11 7 2 2 2" xfId="22953" xr:uid="{00000000-0005-0000-0000-000060960000}"/>
    <cellStyle name="Финансовый 4 11 7 2 2 2 2" xfId="46908" xr:uid="{00000000-0005-0000-0000-000061960000}"/>
    <cellStyle name="Финансовый 4 11 7 2 2 3" xfId="34930" xr:uid="{00000000-0005-0000-0000-000062960000}"/>
    <cellStyle name="Финансовый 4 11 7 2 3" xfId="15198" xr:uid="{00000000-0005-0000-0000-000063960000}"/>
    <cellStyle name="Финансовый 4 11 7 2 3 2" xfId="39153" xr:uid="{00000000-0005-0000-0000-000064960000}"/>
    <cellStyle name="Финансовый 4 11 7 2 4" xfId="27176" xr:uid="{00000000-0005-0000-0000-000065960000}"/>
    <cellStyle name="Финансовый 4 11 7 2 5" xfId="50445" xr:uid="{00000000-0005-0000-0000-000066960000}"/>
    <cellStyle name="Финансовый 4 11 7 3" xfId="5002" xr:uid="{00000000-0005-0000-0000-000067960000}"/>
    <cellStyle name="Финансовый 4 11 7 3 2" xfId="16980" xr:uid="{00000000-0005-0000-0000-000068960000}"/>
    <cellStyle name="Финансовый 4 11 7 3 2 2" xfId="40935" xr:uid="{00000000-0005-0000-0000-000069960000}"/>
    <cellStyle name="Финансовый 4 11 7 3 3" xfId="28957" xr:uid="{00000000-0005-0000-0000-00006A960000}"/>
    <cellStyle name="Финансовый 4 11 7 4" xfId="7612" xr:uid="{00000000-0005-0000-0000-00006B960000}"/>
    <cellStyle name="Финансовый 4 11 7 4 2" xfId="19590" xr:uid="{00000000-0005-0000-0000-00006C960000}"/>
    <cellStyle name="Финансовый 4 11 7 4 2 2" xfId="43545" xr:uid="{00000000-0005-0000-0000-00006D960000}"/>
    <cellStyle name="Финансовый 4 11 7 4 3" xfId="31567" xr:uid="{00000000-0005-0000-0000-00006E960000}"/>
    <cellStyle name="Финансовый 4 11 7 5" xfId="9395" xr:uid="{00000000-0005-0000-0000-00006F960000}"/>
    <cellStyle name="Финансовый 4 11 7 5 2" xfId="21373" xr:uid="{00000000-0005-0000-0000-000070960000}"/>
    <cellStyle name="Финансовый 4 11 7 5 2 2" xfId="45328" xr:uid="{00000000-0005-0000-0000-000071960000}"/>
    <cellStyle name="Финансовый 4 11 7 5 3" xfId="33350" xr:uid="{00000000-0005-0000-0000-000072960000}"/>
    <cellStyle name="Финансовый 4 11 7 6" xfId="13553" xr:uid="{00000000-0005-0000-0000-000073960000}"/>
    <cellStyle name="Финансовый 4 11 7 6 2" xfId="37508" xr:uid="{00000000-0005-0000-0000-000074960000}"/>
    <cellStyle name="Финансовый 4 11 7 7" xfId="25531" xr:uid="{00000000-0005-0000-0000-000075960000}"/>
    <cellStyle name="Финансовый 4 11 7 8" xfId="48664" xr:uid="{00000000-0005-0000-0000-000076960000}"/>
    <cellStyle name="Финансовый 4 11 8" xfId="860" xr:uid="{00000000-0005-0000-0000-000077960000}"/>
    <cellStyle name="Финансовый 4 11 8 2" xfId="6900" xr:uid="{00000000-0005-0000-0000-000078960000}"/>
    <cellStyle name="Финансовый 4 11 8 2 2" xfId="18878" xr:uid="{00000000-0005-0000-0000-000079960000}"/>
    <cellStyle name="Финансовый 4 11 8 2 2 2" xfId="42833" xr:uid="{00000000-0005-0000-0000-00007A960000}"/>
    <cellStyle name="Финансовый 4 11 8 2 3" xfId="30855" xr:uid="{00000000-0005-0000-0000-00007B960000}"/>
    <cellStyle name="Финансовый 4 11 8 3" xfId="10448" xr:uid="{00000000-0005-0000-0000-00007C960000}"/>
    <cellStyle name="Финансовый 4 11 8 3 2" xfId="22426" xr:uid="{00000000-0005-0000-0000-00007D960000}"/>
    <cellStyle name="Финансовый 4 11 8 3 2 2" xfId="46381" xr:uid="{00000000-0005-0000-0000-00007E960000}"/>
    <cellStyle name="Финансовый 4 11 8 3 3" xfId="34403" xr:uid="{00000000-0005-0000-0000-00007F960000}"/>
    <cellStyle name="Финансовый 4 11 8 4" xfId="12841" xr:uid="{00000000-0005-0000-0000-000080960000}"/>
    <cellStyle name="Финансовый 4 11 8 4 2" xfId="36796" xr:uid="{00000000-0005-0000-0000-000081960000}"/>
    <cellStyle name="Финансовый 4 11 8 5" xfId="24819" xr:uid="{00000000-0005-0000-0000-000082960000}"/>
    <cellStyle name="Финансовый 4 11 8 6" xfId="49717" xr:uid="{00000000-0005-0000-0000-000083960000}"/>
    <cellStyle name="Финансовый 4 11 9" xfId="440" xr:uid="{00000000-0005-0000-0000-000084960000}"/>
    <cellStyle name="Финансовый 4 11 9 2" xfId="6480" xr:uid="{00000000-0005-0000-0000-000085960000}"/>
    <cellStyle name="Финансовый 4 11 9 2 2" xfId="18458" xr:uid="{00000000-0005-0000-0000-000086960000}"/>
    <cellStyle name="Финансовый 4 11 9 2 2 2" xfId="42413" xr:uid="{00000000-0005-0000-0000-000087960000}"/>
    <cellStyle name="Финансовый 4 11 9 2 3" xfId="30435" xr:uid="{00000000-0005-0000-0000-000088960000}"/>
    <cellStyle name="Финансовый 4 11 9 3" xfId="12421" xr:uid="{00000000-0005-0000-0000-000089960000}"/>
    <cellStyle name="Финансовый 4 11 9 3 2" xfId="36376" xr:uid="{00000000-0005-0000-0000-00008A960000}"/>
    <cellStyle name="Финансовый 4 11 9 4" xfId="24399" xr:uid="{00000000-0005-0000-0000-00008B960000}"/>
    <cellStyle name="Финансовый 4 12" xfId="143" xr:uid="{00000000-0005-0000-0000-00008C960000}"/>
    <cellStyle name="Финансовый 4 12 10" xfId="8791" xr:uid="{00000000-0005-0000-0000-00008D960000}"/>
    <cellStyle name="Финансовый 4 12 10 2" xfId="20769" xr:uid="{00000000-0005-0000-0000-00008E960000}"/>
    <cellStyle name="Финансовый 4 12 10 2 2" xfId="44724" xr:uid="{00000000-0005-0000-0000-00008F960000}"/>
    <cellStyle name="Финансовый 4 12 10 3" xfId="32746" xr:uid="{00000000-0005-0000-0000-000090960000}"/>
    <cellStyle name="Финансовый 4 12 11" xfId="12125" xr:uid="{00000000-0005-0000-0000-000091960000}"/>
    <cellStyle name="Финансовый 4 12 11 2" xfId="36080" xr:uid="{00000000-0005-0000-0000-000092960000}"/>
    <cellStyle name="Финансовый 4 12 12" xfId="24103" xr:uid="{00000000-0005-0000-0000-000093960000}"/>
    <cellStyle name="Финансовый 4 12 13" xfId="48061" xr:uid="{00000000-0005-0000-0000-000094960000}"/>
    <cellStyle name="Финансовый 4 12 2" xfId="1241" xr:uid="{00000000-0005-0000-0000-000095960000}"/>
    <cellStyle name="Финансовый 4 12 2 2" xfId="2207" xr:uid="{00000000-0005-0000-0000-000096960000}"/>
    <cellStyle name="Финансовый 4 12 2 2 2" xfId="3852" xr:uid="{00000000-0005-0000-0000-000097960000}"/>
    <cellStyle name="Финансовый 4 12 2 2 2 2" xfId="11592" xr:uid="{00000000-0005-0000-0000-000098960000}"/>
    <cellStyle name="Финансовый 4 12 2 2 2 2 2" xfId="23570" xr:uid="{00000000-0005-0000-0000-000099960000}"/>
    <cellStyle name="Финансовый 4 12 2 2 2 2 2 2" xfId="47525" xr:uid="{00000000-0005-0000-0000-00009A960000}"/>
    <cellStyle name="Финансовый 4 12 2 2 2 2 3" xfId="35547" xr:uid="{00000000-0005-0000-0000-00009B960000}"/>
    <cellStyle name="Финансовый 4 12 2 2 2 3" xfId="15831" xr:uid="{00000000-0005-0000-0000-00009C960000}"/>
    <cellStyle name="Финансовый 4 12 2 2 2 3 2" xfId="39786" xr:uid="{00000000-0005-0000-0000-00009D960000}"/>
    <cellStyle name="Финансовый 4 12 2 2 2 4" xfId="27809" xr:uid="{00000000-0005-0000-0000-00009E960000}"/>
    <cellStyle name="Финансовый 4 12 2 2 2 5" xfId="51078" xr:uid="{00000000-0005-0000-0000-00009F960000}"/>
    <cellStyle name="Финансовый 4 12 2 2 3" xfId="5635" xr:uid="{00000000-0005-0000-0000-0000A0960000}"/>
    <cellStyle name="Финансовый 4 12 2 2 3 2" xfId="17613" xr:uid="{00000000-0005-0000-0000-0000A1960000}"/>
    <cellStyle name="Финансовый 4 12 2 2 3 2 2" xfId="41568" xr:uid="{00000000-0005-0000-0000-0000A2960000}"/>
    <cellStyle name="Финансовый 4 12 2 2 3 3" xfId="29590" xr:uid="{00000000-0005-0000-0000-0000A3960000}"/>
    <cellStyle name="Финансовый 4 12 2 2 4" xfId="8245" xr:uid="{00000000-0005-0000-0000-0000A4960000}"/>
    <cellStyle name="Финансовый 4 12 2 2 4 2" xfId="20223" xr:uid="{00000000-0005-0000-0000-0000A5960000}"/>
    <cellStyle name="Финансовый 4 12 2 2 4 2 2" xfId="44178" xr:uid="{00000000-0005-0000-0000-0000A6960000}"/>
    <cellStyle name="Финансовый 4 12 2 2 4 3" xfId="32200" xr:uid="{00000000-0005-0000-0000-0000A7960000}"/>
    <cellStyle name="Финансовый 4 12 2 2 5" xfId="10028" xr:uid="{00000000-0005-0000-0000-0000A8960000}"/>
    <cellStyle name="Финансовый 4 12 2 2 5 2" xfId="22006" xr:uid="{00000000-0005-0000-0000-0000A9960000}"/>
    <cellStyle name="Финансовый 4 12 2 2 5 2 2" xfId="45961" xr:uid="{00000000-0005-0000-0000-0000AA960000}"/>
    <cellStyle name="Финансовый 4 12 2 2 5 3" xfId="33983" xr:uid="{00000000-0005-0000-0000-0000AB960000}"/>
    <cellStyle name="Финансовый 4 12 2 2 6" xfId="14186" xr:uid="{00000000-0005-0000-0000-0000AC960000}"/>
    <cellStyle name="Финансовый 4 12 2 2 6 2" xfId="38141" xr:uid="{00000000-0005-0000-0000-0000AD960000}"/>
    <cellStyle name="Финансовый 4 12 2 2 7" xfId="26164" xr:uid="{00000000-0005-0000-0000-0000AE960000}"/>
    <cellStyle name="Финансовый 4 12 2 2 8" xfId="49297" xr:uid="{00000000-0005-0000-0000-0000AF960000}"/>
    <cellStyle name="Финансовый 4 12 2 3" xfId="3025" xr:uid="{00000000-0005-0000-0000-0000B0960000}"/>
    <cellStyle name="Финансовый 4 12 2 3 2" xfId="10820" xr:uid="{00000000-0005-0000-0000-0000B1960000}"/>
    <cellStyle name="Финансовый 4 12 2 3 2 2" xfId="22798" xr:uid="{00000000-0005-0000-0000-0000B2960000}"/>
    <cellStyle name="Финансовый 4 12 2 3 2 2 2" xfId="46753" xr:uid="{00000000-0005-0000-0000-0000B3960000}"/>
    <cellStyle name="Финансовый 4 12 2 3 2 3" xfId="34775" xr:uid="{00000000-0005-0000-0000-0000B4960000}"/>
    <cellStyle name="Финансовый 4 12 2 3 3" xfId="15004" xr:uid="{00000000-0005-0000-0000-0000B5960000}"/>
    <cellStyle name="Финансовый 4 12 2 3 3 2" xfId="38959" xr:uid="{00000000-0005-0000-0000-0000B6960000}"/>
    <cellStyle name="Финансовый 4 12 2 3 4" xfId="26982" xr:uid="{00000000-0005-0000-0000-0000B7960000}"/>
    <cellStyle name="Финансовый 4 12 2 3 5" xfId="50113" xr:uid="{00000000-0005-0000-0000-0000B8960000}"/>
    <cellStyle name="Финансовый 4 12 2 4" xfId="4669" xr:uid="{00000000-0005-0000-0000-0000B9960000}"/>
    <cellStyle name="Финансовый 4 12 2 4 2" xfId="16648" xr:uid="{00000000-0005-0000-0000-0000BA960000}"/>
    <cellStyle name="Финансовый 4 12 2 4 2 2" xfId="40603" xr:uid="{00000000-0005-0000-0000-0000BB960000}"/>
    <cellStyle name="Финансовый 4 12 2 4 3" xfId="28626" xr:uid="{00000000-0005-0000-0000-0000BC960000}"/>
    <cellStyle name="Финансовый 4 12 2 5" xfId="7281" xr:uid="{00000000-0005-0000-0000-0000BD960000}"/>
    <cellStyle name="Финансовый 4 12 2 5 2" xfId="19259" xr:uid="{00000000-0005-0000-0000-0000BE960000}"/>
    <cellStyle name="Финансовый 4 12 2 5 2 2" xfId="43214" xr:uid="{00000000-0005-0000-0000-0000BF960000}"/>
    <cellStyle name="Финансовый 4 12 2 5 3" xfId="31236" xr:uid="{00000000-0005-0000-0000-0000C0960000}"/>
    <cellStyle name="Финансовый 4 12 2 6" xfId="9063" xr:uid="{00000000-0005-0000-0000-0000C1960000}"/>
    <cellStyle name="Финансовый 4 12 2 6 2" xfId="21041" xr:uid="{00000000-0005-0000-0000-0000C2960000}"/>
    <cellStyle name="Финансовый 4 12 2 6 2 2" xfId="44996" xr:uid="{00000000-0005-0000-0000-0000C3960000}"/>
    <cellStyle name="Финансовый 4 12 2 6 3" xfId="33018" xr:uid="{00000000-0005-0000-0000-0000C4960000}"/>
    <cellStyle name="Финансовый 4 12 2 7" xfId="13222" xr:uid="{00000000-0005-0000-0000-0000C5960000}"/>
    <cellStyle name="Финансовый 4 12 2 7 2" xfId="37177" xr:uid="{00000000-0005-0000-0000-0000C6960000}"/>
    <cellStyle name="Финансовый 4 12 2 8" xfId="25200" xr:uid="{00000000-0005-0000-0000-0000C7960000}"/>
    <cellStyle name="Финансовый 4 12 2 9" xfId="48333" xr:uid="{00000000-0005-0000-0000-0000C8960000}"/>
    <cellStyle name="Финансовый 4 12 3" xfId="1951" xr:uid="{00000000-0005-0000-0000-0000C9960000}"/>
    <cellStyle name="Финансовый 4 12 3 2" xfId="3596" xr:uid="{00000000-0005-0000-0000-0000CA960000}"/>
    <cellStyle name="Финансовый 4 12 3 2 2" xfId="11336" xr:uid="{00000000-0005-0000-0000-0000CB960000}"/>
    <cellStyle name="Финансовый 4 12 3 2 2 2" xfId="23314" xr:uid="{00000000-0005-0000-0000-0000CC960000}"/>
    <cellStyle name="Финансовый 4 12 3 2 2 2 2" xfId="47269" xr:uid="{00000000-0005-0000-0000-0000CD960000}"/>
    <cellStyle name="Финансовый 4 12 3 2 2 3" xfId="35291" xr:uid="{00000000-0005-0000-0000-0000CE960000}"/>
    <cellStyle name="Финансовый 4 12 3 2 3" xfId="15575" xr:uid="{00000000-0005-0000-0000-0000CF960000}"/>
    <cellStyle name="Финансовый 4 12 3 2 3 2" xfId="39530" xr:uid="{00000000-0005-0000-0000-0000D0960000}"/>
    <cellStyle name="Финансовый 4 12 3 2 4" xfId="27553" xr:uid="{00000000-0005-0000-0000-0000D1960000}"/>
    <cellStyle name="Финансовый 4 12 3 2 5" xfId="50822" xr:uid="{00000000-0005-0000-0000-0000D2960000}"/>
    <cellStyle name="Финансовый 4 12 3 3" xfId="5379" xr:uid="{00000000-0005-0000-0000-0000D3960000}"/>
    <cellStyle name="Финансовый 4 12 3 3 2" xfId="17357" xr:uid="{00000000-0005-0000-0000-0000D4960000}"/>
    <cellStyle name="Финансовый 4 12 3 3 2 2" xfId="41312" xr:uid="{00000000-0005-0000-0000-0000D5960000}"/>
    <cellStyle name="Финансовый 4 12 3 3 3" xfId="29334" xr:uid="{00000000-0005-0000-0000-0000D6960000}"/>
    <cellStyle name="Финансовый 4 12 3 4" xfId="7989" xr:uid="{00000000-0005-0000-0000-0000D7960000}"/>
    <cellStyle name="Финансовый 4 12 3 4 2" xfId="19967" xr:uid="{00000000-0005-0000-0000-0000D8960000}"/>
    <cellStyle name="Финансовый 4 12 3 4 2 2" xfId="43922" xr:uid="{00000000-0005-0000-0000-0000D9960000}"/>
    <cellStyle name="Финансовый 4 12 3 4 3" xfId="31944" xr:uid="{00000000-0005-0000-0000-0000DA960000}"/>
    <cellStyle name="Финансовый 4 12 3 5" xfId="9772" xr:uid="{00000000-0005-0000-0000-0000DB960000}"/>
    <cellStyle name="Финансовый 4 12 3 5 2" xfId="21750" xr:uid="{00000000-0005-0000-0000-0000DC960000}"/>
    <cellStyle name="Финансовый 4 12 3 5 2 2" xfId="45705" xr:uid="{00000000-0005-0000-0000-0000DD960000}"/>
    <cellStyle name="Финансовый 4 12 3 5 3" xfId="33727" xr:uid="{00000000-0005-0000-0000-0000DE960000}"/>
    <cellStyle name="Финансовый 4 12 3 6" xfId="13930" xr:uid="{00000000-0005-0000-0000-0000DF960000}"/>
    <cellStyle name="Финансовый 4 12 3 6 2" xfId="37885" xr:uid="{00000000-0005-0000-0000-0000E0960000}"/>
    <cellStyle name="Финансовый 4 12 3 7" xfId="25908" xr:uid="{00000000-0005-0000-0000-0000E1960000}"/>
    <cellStyle name="Финансовый 4 12 3 8" xfId="49041" xr:uid="{00000000-0005-0000-0000-0000E2960000}"/>
    <cellStyle name="Финансовый 4 12 4" xfId="2472" xr:uid="{00000000-0005-0000-0000-0000E3960000}"/>
    <cellStyle name="Финансовый 4 12 4 2" xfId="4117" xr:uid="{00000000-0005-0000-0000-0000E4960000}"/>
    <cellStyle name="Финансовый 4 12 4 2 2" xfId="11849" xr:uid="{00000000-0005-0000-0000-0000E5960000}"/>
    <cellStyle name="Финансовый 4 12 4 2 2 2" xfId="23827" xr:uid="{00000000-0005-0000-0000-0000E6960000}"/>
    <cellStyle name="Финансовый 4 12 4 2 2 2 2" xfId="47782" xr:uid="{00000000-0005-0000-0000-0000E7960000}"/>
    <cellStyle name="Финансовый 4 12 4 2 2 3" xfId="35804" xr:uid="{00000000-0005-0000-0000-0000E8960000}"/>
    <cellStyle name="Финансовый 4 12 4 2 3" xfId="16096" xr:uid="{00000000-0005-0000-0000-0000E9960000}"/>
    <cellStyle name="Финансовый 4 12 4 2 3 2" xfId="40051" xr:uid="{00000000-0005-0000-0000-0000EA960000}"/>
    <cellStyle name="Финансовый 4 12 4 2 4" xfId="28074" xr:uid="{00000000-0005-0000-0000-0000EB960000}"/>
    <cellStyle name="Финансовый 4 12 4 2 5" xfId="51343" xr:uid="{00000000-0005-0000-0000-0000EC960000}"/>
    <cellStyle name="Финансовый 4 12 4 3" xfId="5900" xr:uid="{00000000-0005-0000-0000-0000ED960000}"/>
    <cellStyle name="Финансовый 4 12 4 3 2" xfId="17878" xr:uid="{00000000-0005-0000-0000-0000EE960000}"/>
    <cellStyle name="Финансовый 4 12 4 3 2 2" xfId="41833" xr:uid="{00000000-0005-0000-0000-0000EF960000}"/>
    <cellStyle name="Финансовый 4 12 4 3 3" xfId="29855" xr:uid="{00000000-0005-0000-0000-0000F0960000}"/>
    <cellStyle name="Финансовый 4 12 4 4" xfId="8510" xr:uid="{00000000-0005-0000-0000-0000F1960000}"/>
    <cellStyle name="Финансовый 4 12 4 4 2" xfId="20488" xr:uid="{00000000-0005-0000-0000-0000F2960000}"/>
    <cellStyle name="Финансовый 4 12 4 4 2 2" xfId="44443" xr:uid="{00000000-0005-0000-0000-0000F3960000}"/>
    <cellStyle name="Финансовый 4 12 4 4 3" xfId="32465" xr:uid="{00000000-0005-0000-0000-0000F4960000}"/>
    <cellStyle name="Финансовый 4 12 4 5" xfId="10293" xr:uid="{00000000-0005-0000-0000-0000F5960000}"/>
    <cellStyle name="Финансовый 4 12 4 5 2" xfId="22271" xr:uid="{00000000-0005-0000-0000-0000F6960000}"/>
    <cellStyle name="Финансовый 4 12 4 5 2 2" xfId="46226" xr:uid="{00000000-0005-0000-0000-0000F7960000}"/>
    <cellStyle name="Финансовый 4 12 4 5 3" xfId="34248" xr:uid="{00000000-0005-0000-0000-0000F8960000}"/>
    <cellStyle name="Финансовый 4 12 4 6" xfId="14451" xr:uid="{00000000-0005-0000-0000-0000F9960000}"/>
    <cellStyle name="Финансовый 4 12 4 6 2" xfId="38406" xr:uid="{00000000-0005-0000-0000-0000FA960000}"/>
    <cellStyle name="Финансовый 4 12 4 7" xfId="26429" xr:uid="{00000000-0005-0000-0000-0000FB960000}"/>
    <cellStyle name="Финансовый 4 12 4 8" xfId="49562" xr:uid="{00000000-0005-0000-0000-0000FC960000}"/>
    <cellStyle name="Финансовый 4 12 5" xfId="976" xr:uid="{00000000-0005-0000-0000-0000FD960000}"/>
    <cellStyle name="Финансовый 4 12 5 2" xfId="7016" xr:uid="{00000000-0005-0000-0000-0000FE960000}"/>
    <cellStyle name="Финансовый 4 12 5 2 2" xfId="18994" xr:uid="{00000000-0005-0000-0000-0000FF960000}"/>
    <cellStyle name="Финансовый 4 12 5 2 2 2" xfId="42949" xr:uid="{00000000-0005-0000-0000-000000970000}"/>
    <cellStyle name="Финансовый 4 12 5 2 3" xfId="30971" xr:uid="{00000000-0005-0000-0000-000001970000}"/>
    <cellStyle name="Финансовый 4 12 5 3" xfId="10564" xr:uid="{00000000-0005-0000-0000-000002970000}"/>
    <cellStyle name="Финансовый 4 12 5 3 2" xfId="22542" xr:uid="{00000000-0005-0000-0000-000003970000}"/>
    <cellStyle name="Финансовый 4 12 5 3 2 2" xfId="46497" xr:uid="{00000000-0005-0000-0000-000004970000}"/>
    <cellStyle name="Финансовый 4 12 5 3 3" xfId="34519" xr:uid="{00000000-0005-0000-0000-000005970000}"/>
    <cellStyle name="Финансовый 4 12 5 4" xfId="12957" xr:uid="{00000000-0005-0000-0000-000006970000}"/>
    <cellStyle name="Финансовый 4 12 5 4 2" xfId="36912" xr:uid="{00000000-0005-0000-0000-000007970000}"/>
    <cellStyle name="Финансовый 4 12 5 5" xfId="24935" xr:uid="{00000000-0005-0000-0000-000008970000}"/>
    <cellStyle name="Финансовый 4 12 5 6" xfId="49841" xr:uid="{00000000-0005-0000-0000-000009970000}"/>
    <cellStyle name="Финансовый 4 12 6" xfId="564" xr:uid="{00000000-0005-0000-0000-00000A970000}"/>
    <cellStyle name="Финансовый 4 12 6 2" xfId="6604" xr:uid="{00000000-0005-0000-0000-00000B970000}"/>
    <cellStyle name="Финансовый 4 12 6 2 2" xfId="18582" xr:uid="{00000000-0005-0000-0000-00000C970000}"/>
    <cellStyle name="Финансовый 4 12 6 2 2 2" xfId="42537" xr:uid="{00000000-0005-0000-0000-00000D970000}"/>
    <cellStyle name="Финансовый 4 12 6 2 3" xfId="30559" xr:uid="{00000000-0005-0000-0000-00000E970000}"/>
    <cellStyle name="Финансовый 4 12 6 3" xfId="12545" xr:uid="{00000000-0005-0000-0000-00000F970000}"/>
    <cellStyle name="Финансовый 4 12 6 3 2" xfId="36500" xr:uid="{00000000-0005-0000-0000-000010970000}"/>
    <cellStyle name="Финансовый 4 12 6 4" xfId="24523" xr:uid="{00000000-0005-0000-0000-000011970000}"/>
    <cellStyle name="Финансовый 4 12 7" xfId="2753" xr:uid="{00000000-0005-0000-0000-000012970000}"/>
    <cellStyle name="Финансовый 4 12 7 2" xfId="14732" xr:uid="{00000000-0005-0000-0000-000013970000}"/>
    <cellStyle name="Финансовый 4 12 7 2 2" xfId="38687" xr:uid="{00000000-0005-0000-0000-000014970000}"/>
    <cellStyle name="Финансовый 4 12 7 3" xfId="26710" xr:uid="{00000000-0005-0000-0000-000015970000}"/>
    <cellStyle name="Финансовый 4 12 8" xfId="4397" xr:uid="{00000000-0005-0000-0000-000016970000}"/>
    <cellStyle name="Финансовый 4 12 8 2" xfId="16376" xr:uid="{00000000-0005-0000-0000-000017970000}"/>
    <cellStyle name="Финансовый 4 12 8 2 2" xfId="40331" xr:uid="{00000000-0005-0000-0000-000018970000}"/>
    <cellStyle name="Финансовый 4 12 8 3" xfId="28354" xr:uid="{00000000-0005-0000-0000-000019970000}"/>
    <cellStyle name="Финансовый 4 12 9" xfId="6184" xr:uid="{00000000-0005-0000-0000-00001A970000}"/>
    <cellStyle name="Финансовый 4 12 9 2" xfId="18162" xr:uid="{00000000-0005-0000-0000-00001B970000}"/>
    <cellStyle name="Финансовый 4 12 9 2 2" xfId="42117" xr:uid="{00000000-0005-0000-0000-00001C970000}"/>
    <cellStyle name="Финансовый 4 12 9 3" xfId="30139" xr:uid="{00000000-0005-0000-0000-00001D970000}"/>
    <cellStyle name="Финансовый 4 13" xfId="279" xr:uid="{00000000-0005-0000-0000-00001E970000}"/>
    <cellStyle name="Финансовый 4 13 10" xfId="24239" xr:uid="{00000000-0005-0000-0000-00001F970000}"/>
    <cellStyle name="Финансовый 4 13 11" xfId="48469" xr:uid="{00000000-0005-0000-0000-000020970000}"/>
    <cellStyle name="Финансовый 4 13 2" xfId="2079" xr:uid="{00000000-0005-0000-0000-000021970000}"/>
    <cellStyle name="Финансовый 4 13 2 2" xfId="3724" xr:uid="{00000000-0005-0000-0000-000022970000}"/>
    <cellStyle name="Финансовый 4 13 2 2 2" xfId="11464" xr:uid="{00000000-0005-0000-0000-000023970000}"/>
    <cellStyle name="Финансовый 4 13 2 2 2 2" xfId="23442" xr:uid="{00000000-0005-0000-0000-000024970000}"/>
    <cellStyle name="Финансовый 4 13 2 2 2 2 2" xfId="47397" xr:uid="{00000000-0005-0000-0000-000025970000}"/>
    <cellStyle name="Финансовый 4 13 2 2 2 3" xfId="35419" xr:uid="{00000000-0005-0000-0000-000026970000}"/>
    <cellStyle name="Финансовый 4 13 2 2 3" xfId="15703" xr:uid="{00000000-0005-0000-0000-000027970000}"/>
    <cellStyle name="Финансовый 4 13 2 2 3 2" xfId="39658" xr:uid="{00000000-0005-0000-0000-000028970000}"/>
    <cellStyle name="Финансовый 4 13 2 2 4" xfId="27681" xr:uid="{00000000-0005-0000-0000-000029970000}"/>
    <cellStyle name="Финансовый 4 13 2 2 5" xfId="50950" xr:uid="{00000000-0005-0000-0000-00002A970000}"/>
    <cellStyle name="Финансовый 4 13 2 3" xfId="5507" xr:uid="{00000000-0005-0000-0000-00002B970000}"/>
    <cellStyle name="Финансовый 4 13 2 3 2" xfId="17485" xr:uid="{00000000-0005-0000-0000-00002C970000}"/>
    <cellStyle name="Финансовый 4 13 2 3 2 2" xfId="41440" xr:uid="{00000000-0005-0000-0000-00002D970000}"/>
    <cellStyle name="Финансовый 4 13 2 3 3" xfId="29462" xr:uid="{00000000-0005-0000-0000-00002E970000}"/>
    <cellStyle name="Финансовый 4 13 2 4" xfId="8117" xr:uid="{00000000-0005-0000-0000-00002F970000}"/>
    <cellStyle name="Финансовый 4 13 2 4 2" xfId="20095" xr:uid="{00000000-0005-0000-0000-000030970000}"/>
    <cellStyle name="Финансовый 4 13 2 4 2 2" xfId="44050" xr:uid="{00000000-0005-0000-0000-000031970000}"/>
    <cellStyle name="Финансовый 4 13 2 4 3" xfId="32072" xr:uid="{00000000-0005-0000-0000-000032970000}"/>
    <cellStyle name="Финансовый 4 13 2 5" xfId="9900" xr:uid="{00000000-0005-0000-0000-000033970000}"/>
    <cellStyle name="Финансовый 4 13 2 5 2" xfId="21878" xr:uid="{00000000-0005-0000-0000-000034970000}"/>
    <cellStyle name="Финансовый 4 13 2 5 2 2" xfId="45833" xr:uid="{00000000-0005-0000-0000-000035970000}"/>
    <cellStyle name="Финансовый 4 13 2 5 3" xfId="33855" xr:uid="{00000000-0005-0000-0000-000036970000}"/>
    <cellStyle name="Финансовый 4 13 2 6" xfId="14058" xr:uid="{00000000-0005-0000-0000-000037970000}"/>
    <cellStyle name="Финансовый 4 13 2 6 2" xfId="38013" xr:uid="{00000000-0005-0000-0000-000038970000}"/>
    <cellStyle name="Финансовый 4 13 2 7" xfId="26036" xr:uid="{00000000-0005-0000-0000-000039970000}"/>
    <cellStyle name="Финансовый 4 13 2 8" xfId="49169" xr:uid="{00000000-0005-0000-0000-00003A970000}"/>
    <cellStyle name="Финансовый 4 13 3" xfId="1377" xr:uid="{00000000-0005-0000-0000-00003B970000}"/>
    <cellStyle name="Финансовый 4 13 3 2" xfId="7417" xr:uid="{00000000-0005-0000-0000-00003C970000}"/>
    <cellStyle name="Финансовый 4 13 3 2 2" xfId="19395" xr:uid="{00000000-0005-0000-0000-00003D970000}"/>
    <cellStyle name="Финансовый 4 13 3 2 2 2" xfId="43350" xr:uid="{00000000-0005-0000-0000-00003E970000}"/>
    <cellStyle name="Финансовый 4 13 3 2 3" xfId="31372" xr:uid="{00000000-0005-0000-0000-00003F970000}"/>
    <cellStyle name="Финансовый 4 13 3 3" xfId="10948" xr:uid="{00000000-0005-0000-0000-000040970000}"/>
    <cellStyle name="Финансовый 4 13 3 3 2" xfId="22926" xr:uid="{00000000-0005-0000-0000-000041970000}"/>
    <cellStyle name="Финансовый 4 13 3 3 2 2" xfId="46881" xr:uid="{00000000-0005-0000-0000-000042970000}"/>
    <cellStyle name="Финансовый 4 13 3 3 3" xfId="34903" xr:uid="{00000000-0005-0000-0000-000043970000}"/>
    <cellStyle name="Финансовый 4 13 3 4" xfId="13358" xr:uid="{00000000-0005-0000-0000-000044970000}"/>
    <cellStyle name="Финансовый 4 13 3 4 2" xfId="37313" xr:uid="{00000000-0005-0000-0000-000045970000}"/>
    <cellStyle name="Финансовый 4 13 3 5" xfId="25336" xr:uid="{00000000-0005-0000-0000-000046970000}"/>
    <cellStyle name="Финансовый 4 13 3 6" xfId="50249" xr:uid="{00000000-0005-0000-0000-000047970000}"/>
    <cellStyle name="Финансовый 4 13 4" xfId="700" xr:uid="{00000000-0005-0000-0000-000048970000}"/>
    <cellStyle name="Финансовый 4 13 4 2" xfId="6740" xr:uid="{00000000-0005-0000-0000-000049970000}"/>
    <cellStyle name="Финансовый 4 13 4 2 2" xfId="18718" xr:uid="{00000000-0005-0000-0000-00004A970000}"/>
    <cellStyle name="Финансовый 4 13 4 2 2 2" xfId="42673" xr:uid="{00000000-0005-0000-0000-00004B970000}"/>
    <cellStyle name="Финансовый 4 13 4 2 3" xfId="30695" xr:uid="{00000000-0005-0000-0000-00004C970000}"/>
    <cellStyle name="Финансовый 4 13 4 3" xfId="12681" xr:uid="{00000000-0005-0000-0000-00004D970000}"/>
    <cellStyle name="Финансовый 4 13 4 3 2" xfId="36636" xr:uid="{00000000-0005-0000-0000-00004E970000}"/>
    <cellStyle name="Финансовый 4 13 4 4" xfId="24659" xr:uid="{00000000-0005-0000-0000-00004F970000}"/>
    <cellStyle name="Финансовый 4 13 5" xfId="3161" xr:uid="{00000000-0005-0000-0000-000050970000}"/>
    <cellStyle name="Финансовый 4 13 5 2" xfId="15140" xr:uid="{00000000-0005-0000-0000-000051970000}"/>
    <cellStyle name="Финансовый 4 13 5 2 2" xfId="39095" xr:uid="{00000000-0005-0000-0000-000052970000}"/>
    <cellStyle name="Финансовый 4 13 5 3" xfId="27118" xr:uid="{00000000-0005-0000-0000-000053970000}"/>
    <cellStyle name="Финансовый 4 13 6" xfId="4805" xr:uid="{00000000-0005-0000-0000-000054970000}"/>
    <cellStyle name="Финансовый 4 13 6 2" xfId="16784" xr:uid="{00000000-0005-0000-0000-000055970000}"/>
    <cellStyle name="Финансовый 4 13 6 2 2" xfId="40739" xr:uid="{00000000-0005-0000-0000-000056970000}"/>
    <cellStyle name="Финансовый 4 13 6 3" xfId="28762" xr:uid="{00000000-0005-0000-0000-000057970000}"/>
    <cellStyle name="Финансовый 4 13 7" xfId="6320" xr:uid="{00000000-0005-0000-0000-000058970000}"/>
    <cellStyle name="Финансовый 4 13 7 2" xfId="18298" xr:uid="{00000000-0005-0000-0000-000059970000}"/>
    <cellStyle name="Финансовый 4 13 7 2 2" xfId="42253" xr:uid="{00000000-0005-0000-0000-00005A970000}"/>
    <cellStyle name="Финансовый 4 13 7 3" xfId="30275" xr:uid="{00000000-0005-0000-0000-00005B970000}"/>
    <cellStyle name="Финансовый 4 13 8" xfId="9199" xr:uid="{00000000-0005-0000-0000-00005C970000}"/>
    <cellStyle name="Финансовый 4 13 8 2" xfId="21177" xr:uid="{00000000-0005-0000-0000-00005D970000}"/>
    <cellStyle name="Финансовый 4 13 8 2 2" xfId="45132" xr:uid="{00000000-0005-0000-0000-00005E970000}"/>
    <cellStyle name="Финансовый 4 13 8 3" xfId="33154" xr:uid="{00000000-0005-0000-0000-00005F970000}"/>
    <cellStyle name="Финансовый 4 13 9" xfId="12261" xr:uid="{00000000-0005-0000-0000-000060970000}"/>
    <cellStyle name="Финансовый 4 13 9 2" xfId="36216" xr:uid="{00000000-0005-0000-0000-000061970000}"/>
    <cellStyle name="Финансовый 4 14" xfId="292" xr:uid="{00000000-0005-0000-0000-000062970000}"/>
    <cellStyle name="Финансовый 4 14 10" xfId="48197" xr:uid="{00000000-0005-0000-0000-000063970000}"/>
    <cellStyle name="Финансовый 4 14 2" xfId="1112" xr:uid="{00000000-0005-0000-0000-000064970000}"/>
    <cellStyle name="Финансовый 4 14 2 2" xfId="7152" xr:uid="{00000000-0005-0000-0000-000065970000}"/>
    <cellStyle name="Финансовый 4 14 2 2 2" xfId="19130" xr:uid="{00000000-0005-0000-0000-000066970000}"/>
    <cellStyle name="Финансовый 4 14 2 2 2 2" xfId="43085" xr:uid="{00000000-0005-0000-0000-000067970000}"/>
    <cellStyle name="Финансовый 4 14 2 2 3" xfId="31107" xr:uid="{00000000-0005-0000-0000-000068970000}"/>
    <cellStyle name="Финансовый 4 14 2 3" xfId="10692" xr:uid="{00000000-0005-0000-0000-000069970000}"/>
    <cellStyle name="Финансовый 4 14 2 3 2" xfId="22670" xr:uid="{00000000-0005-0000-0000-00006A970000}"/>
    <cellStyle name="Финансовый 4 14 2 3 2 2" xfId="46625" xr:uid="{00000000-0005-0000-0000-00006B970000}"/>
    <cellStyle name="Финансовый 4 14 2 3 3" xfId="34647" xr:uid="{00000000-0005-0000-0000-00006C970000}"/>
    <cellStyle name="Финансовый 4 14 2 4" xfId="13093" xr:uid="{00000000-0005-0000-0000-00006D970000}"/>
    <cellStyle name="Финансовый 4 14 2 4 2" xfId="37048" xr:uid="{00000000-0005-0000-0000-00006E970000}"/>
    <cellStyle name="Финансовый 4 14 2 5" xfId="25071" xr:uid="{00000000-0005-0000-0000-00006F970000}"/>
    <cellStyle name="Финансовый 4 14 2 6" xfId="49977" xr:uid="{00000000-0005-0000-0000-000070970000}"/>
    <cellStyle name="Финансовый 4 14 3" xfId="712" xr:uid="{00000000-0005-0000-0000-000071970000}"/>
    <cellStyle name="Финансовый 4 14 3 2" xfId="6752" xr:uid="{00000000-0005-0000-0000-000072970000}"/>
    <cellStyle name="Финансовый 4 14 3 2 2" xfId="18730" xr:uid="{00000000-0005-0000-0000-000073970000}"/>
    <cellStyle name="Финансовый 4 14 3 2 2 2" xfId="42685" xr:uid="{00000000-0005-0000-0000-000074970000}"/>
    <cellStyle name="Финансовый 4 14 3 2 3" xfId="30707" xr:uid="{00000000-0005-0000-0000-000075970000}"/>
    <cellStyle name="Финансовый 4 14 3 3" xfId="12693" xr:uid="{00000000-0005-0000-0000-000076970000}"/>
    <cellStyle name="Финансовый 4 14 3 3 2" xfId="36648" xr:uid="{00000000-0005-0000-0000-000077970000}"/>
    <cellStyle name="Финансовый 4 14 3 4" xfId="24671" xr:uid="{00000000-0005-0000-0000-000078970000}"/>
    <cellStyle name="Финансовый 4 14 4" xfId="2889" xr:uid="{00000000-0005-0000-0000-000079970000}"/>
    <cellStyle name="Финансовый 4 14 4 2" xfId="14868" xr:uid="{00000000-0005-0000-0000-00007A970000}"/>
    <cellStyle name="Финансовый 4 14 4 2 2" xfId="38823" xr:uid="{00000000-0005-0000-0000-00007B970000}"/>
    <cellStyle name="Финансовый 4 14 4 3" xfId="26846" xr:uid="{00000000-0005-0000-0000-00007C970000}"/>
    <cellStyle name="Финансовый 4 14 5" xfId="4533" xr:uid="{00000000-0005-0000-0000-00007D970000}"/>
    <cellStyle name="Финансовый 4 14 5 2" xfId="16512" xr:uid="{00000000-0005-0000-0000-00007E970000}"/>
    <cellStyle name="Финансовый 4 14 5 2 2" xfId="40467" xr:uid="{00000000-0005-0000-0000-00007F970000}"/>
    <cellStyle name="Финансовый 4 14 5 3" xfId="28490" xr:uid="{00000000-0005-0000-0000-000080970000}"/>
    <cellStyle name="Финансовый 4 14 6" xfId="6332" xr:uid="{00000000-0005-0000-0000-000081970000}"/>
    <cellStyle name="Финансовый 4 14 6 2" xfId="18310" xr:uid="{00000000-0005-0000-0000-000082970000}"/>
    <cellStyle name="Финансовый 4 14 6 2 2" xfId="42265" xr:uid="{00000000-0005-0000-0000-000083970000}"/>
    <cellStyle name="Финансовый 4 14 6 3" xfId="30287" xr:uid="{00000000-0005-0000-0000-000084970000}"/>
    <cellStyle name="Финансовый 4 14 7" xfId="8927" xr:uid="{00000000-0005-0000-0000-000085970000}"/>
    <cellStyle name="Финансовый 4 14 7 2" xfId="20905" xr:uid="{00000000-0005-0000-0000-000086970000}"/>
    <cellStyle name="Финансовый 4 14 7 2 2" xfId="44860" xr:uid="{00000000-0005-0000-0000-000087970000}"/>
    <cellStyle name="Финансовый 4 14 7 3" xfId="32882" xr:uid="{00000000-0005-0000-0000-000088970000}"/>
    <cellStyle name="Финансовый 4 14 8" xfId="12273" xr:uid="{00000000-0005-0000-0000-000089970000}"/>
    <cellStyle name="Финансовый 4 14 8 2" xfId="36228" xr:uid="{00000000-0005-0000-0000-00008A970000}"/>
    <cellStyle name="Финансовый 4 14 9" xfId="24251" xr:uid="{00000000-0005-0000-0000-00008B970000}"/>
    <cellStyle name="Финансовый 4 15" xfId="1531" xr:uid="{00000000-0005-0000-0000-00008C970000}"/>
    <cellStyle name="Финансовый 4 15 2" xfId="1699" xr:uid="{00000000-0005-0000-0000-00008D970000}"/>
    <cellStyle name="Финансовый 4 15 2 2" xfId="3344" xr:uid="{00000000-0005-0000-0000-00008E970000}"/>
    <cellStyle name="Финансовый 4 15 2 2 2" xfId="11092" xr:uid="{00000000-0005-0000-0000-00008F970000}"/>
    <cellStyle name="Финансовый 4 15 2 2 2 2" xfId="23070" xr:uid="{00000000-0005-0000-0000-000090970000}"/>
    <cellStyle name="Финансовый 4 15 2 2 2 2 2" xfId="47025" xr:uid="{00000000-0005-0000-0000-000091970000}"/>
    <cellStyle name="Финансовый 4 15 2 2 2 3" xfId="35047" xr:uid="{00000000-0005-0000-0000-000092970000}"/>
    <cellStyle name="Финансовый 4 15 2 2 3" xfId="15323" xr:uid="{00000000-0005-0000-0000-000093970000}"/>
    <cellStyle name="Финансовый 4 15 2 2 3 2" xfId="39278" xr:uid="{00000000-0005-0000-0000-000094970000}"/>
    <cellStyle name="Финансовый 4 15 2 2 4" xfId="27301" xr:uid="{00000000-0005-0000-0000-000095970000}"/>
    <cellStyle name="Финансовый 4 15 2 2 5" xfId="50570" xr:uid="{00000000-0005-0000-0000-000096970000}"/>
    <cellStyle name="Финансовый 4 15 2 3" xfId="5127" xr:uid="{00000000-0005-0000-0000-000097970000}"/>
    <cellStyle name="Финансовый 4 15 2 3 2" xfId="17105" xr:uid="{00000000-0005-0000-0000-000098970000}"/>
    <cellStyle name="Финансовый 4 15 2 3 2 2" xfId="41060" xr:uid="{00000000-0005-0000-0000-000099970000}"/>
    <cellStyle name="Финансовый 4 15 2 3 3" xfId="29082" xr:uid="{00000000-0005-0000-0000-00009A970000}"/>
    <cellStyle name="Финансовый 4 15 2 4" xfId="7737" xr:uid="{00000000-0005-0000-0000-00009B970000}"/>
    <cellStyle name="Финансовый 4 15 2 4 2" xfId="19715" xr:uid="{00000000-0005-0000-0000-00009C970000}"/>
    <cellStyle name="Финансовый 4 15 2 4 2 2" xfId="43670" xr:uid="{00000000-0005-0000-0000-00009D970000}"/>
    <cellStyle name="Финансовый 4 15 2 4 3" xfId="31692" xr:uid="{00000000-0005-0000-0000-00009E970000}"/>
    <cellStyle name="Финансовый 4 15 2 5" xfId="9520" xr:uid="{00000000-0005-0000-0000-00009F970000}"/>
    <cellStyle name="Финансовый 4 15 2 5 2" xfId="21498" xr:uid="{00000000-0005-0000-0000-0000A0970000}"/>
    <cellStyle name="Финансовый 4 15 2 5 2 2" xfId="45453" xr:uid="{00000000-0005-0000-0000-0000A1970000}"/>
    <cellStyle name="Финансовый 4 15 2 5 3" xfId="33475" xr:uid="{00000000-0005-0000-0000-0000A2970000}"/>
    <cellStyle name="Финансовый 4 15 2 6" xfId="13678" xr:uid="{00000000-0005-0000-0000-0000A3970000}"/>
    <cellStyle name="Финансовый 4 15 2 6 2" xfId="37633" xr:uid="{00000000-0005-0000-0000-0000A4970000}"/>
    <cellStyle name="Финансовый 4 15 2 7" xfId="25656" xr:uid="{00000000-0005-0000-0000-0000A5970000}"/>
    <cellStyle name="Финансовый 4 15 2 8" xfId="48789" xr:uid="{00000000-0005-0000-0000-0000A6970000}"/>
    <cellStyle name="Финансовый 4 15 3" xfId="4959" xr:uid="{00000000-0005-0000-0000-0000A7970000}"/>
    <cellStyle name="Финансовый 4 15 3 2" xfId="16937" xr:uid="{00000000-0005-0000-0000-0000A8970000}"/>
    <cellStyle name="Финансовый 4 15 3 2 2" xfId="40892" xr:uid="{00000000-0005-0000-0000-0000A9970000}"/>
    <cellStyle name="Финансовый 4 15 3 3" xfId="28914" xr:uid="{00000000-0005-0000-0000-0000AA970000}"/>
    <cellStyle name="Финансовый 4 15 3 4" xfId="50402" xr:uid="{00000000-0005-0000-0000-0000AB970000}"/>
    <cellStyle name="Финансовый 4 15 4" xfId="7569" xr:uid="{00000000-0005-0000-0000-0000AC970000}"/>
    <cellStyle name="Финансовый 4 15 4 2" xfId="19547" xr:uid="{00000000-0005-0000-0000-0000AD970000}"/>
    <cellStyle name="Финансовый 4 15 4 2 2" xfId="43502" xr:uid="{00000000-0005-0000-0000-0000AE970000}"/>
    <cellStyle name="Финансовый 4 15 4 3" xfId="31524" xr:uid="{00000000-0005-0000-0000-0000AF970000}"/>
    <cellStyle name="Финансовый 4 15 5" xfId="9352" xr:uid="{00000000-0005-0000-0000-0000B0970000}"/>
    <cellStyle name="Финансовый 4 15 5 2" xfId="21330" xr:uid="{00000000-0005-0000-0000-0000B1970000}"/>
    <cellStyle name="Финансовый 4 15 5 2 2" xfId="45285" xr:uid="{00000000-0005-0000-0000-0000B2970000}"/>
    <cellStyle name="Финансовый 4 15 5 3" xfId="33307" xr:uid="{00000000-0005-0000-0000-0000B3970000}"/>
    <cellStyle name="Финансовый 4 15 6" xfId="13510" xr:uid="{00000000-0005-0000-0000-0000B4970000}"/>
    <cellStyle name="Финансовый 4 15 6 2" xfId="37465" xr:uid="{00000000-0005-0000-0000-0000B5970000}"/>
    <cellStyle name="Финансовый 4 15 7" xfId="25488" xr:uid="{00000000-0005-0000-0000-0000B6970000}"/>
    <cellStyle name="Финансовый 4 15 8" xfId="48621" xr:uid="{00000000-0005-0000-0000-0000B7970000}"/>
    <cellStyle name="Финансовый 4 16" xfId="2335" xr:uid="{00000000-0005-0000-0000-0000B8970000}"/>
    <cellStyle name="Финансовый 4 16 2" xfId="3980" xr:uid="{00000000-0005-0000-0000-0000B9970000}"/>
    <cellStyle name="Финансовый 4 16 2 2" xfId="11720" xr:uid="{00000000-0005-0000-0000-0000BA970000}"/>
    <cellStyle name="Финансовый 4 16 2 2 2" xfId="23698" xr:uid="{00000000-0005-0000-0000-0000BB970000}"/>
    <cellStyle name="Финансовый 4 16 2 2 2 2" xfId="47653" xr:uid="{00000000-0005-0000-0000-0000BC970000}"/>
    <cellStyle name="Финансовый 4 16 2 2 3" xfId="35675" xr:uid="{00000000-0005-0000-0000-0000BD970000}"/>
    <cellStyle name="Финансовый 4 16 2 3" xfId="15959" xr:uid="{00000000-0005-0000-0000-0000BE970000}"/>
    <cellStyle name="Финансовый 4 16 2 3 2" xfId="39914" xr:uid="{00000000-0005-0000-0000-0000BF970000}"/>
    <cellStyle name="Финансовый 4 16 2 4" xfId="27937" xr:uid="{00000000-0005-0000-0000-0000C0970000}"/>
    <cellStyle name="Финансовый 4 16 2 5" xfId="51206" xr:uid="{00000000-0005-0000-0000-0000C1970000}"/>
    <cellStyle name="Финансовый 4 16 3" xfId="5763" xr:uid="{00000000-0005-0000-0000-0000C2970000}"/>
    <cellStyle name="Финансовый 4 16 3 2" xfId="17741" xr:uid="{00000000-0005-0000-0000-0000C3970000}"/>
    <cellStyle name="Финансовый 4 16 3 2 2" xfId="41696" xr:uid="{00000000-0005-0000-0000-0000C4970000}"/>
    <cellStyle name="Финансовый 4 16 3 3" xfId="29718" xr:uid="{00000000-0005-0000-0000-0000C5970000}"/>
    <cellStyle name="Финансовый 4 16 4" xfId="8373" xr:uid="{00000000-0005-0000-0000-0000C6970000}"/>
    <cellStyle name="Финансовый 4 16 4 2" xfId="20351" xr:uid="{00000000-0005-0000-0000-0000C7970000}"/>
    <cellStyle name="Финансовый 4 16 4 2 2" xfId="44306" xr:uid="{00000000-0005-0000-0000-0000C8970000}"/>
    <cellStyle name="Финансовый 4 16 4 3" xfId="32328" xr:uid="{00000000-0005-0000-0000-0000C9970000}"/>
    <cellStyle name="Финансовый 4 16 5" xfId="10156" xr:uid="{00000000-0005-0000-0000-0000CA970000}"/>
    <cellStyle name="Финансовый 4 16 5 2" xfId="22134" xr:uid="{00000000-0005-0000-0000-0000CB970000}"/>
    <cellStyle name="Финансовый 4 16 5 2 2" xfId="46089" xr:uid="{00000000-0005-0000-0000-0000CC970000}"/>
    <cellStyle name="Финансовый 4 16 5 3" xfId="34111" xr:uid="{00000000-0005-0000-0000-0000CD970000}"/>
    <cellStyle name="Финансовый 4 16 6" xfId="14314" xr:uid="{00000000-0005-0000-0000-0000CE970000}"/>
    <cellStyle name="Финансовый 4 16 6 2" xfId="38269" xr:uid="{00000000-0005-0000-0000-0000CF970000}"/>
    <cellStyle name="Финансовый 4 16 7" xfId="26292" xr:uid="{00000000-0005-0000-0000-0000D0970000}"/>
    <cellStyle name="Финансовый 4 16 8" xfId="49425" xr:uid="{00000000-0005-0000-0000-0000D1970000}"/>
    <cellStyle name="Финансовый 4 17" xfId="1562" xr:uid="{00000000-0005-0000-0000-0000D2970000}"/>
    <cellStyle name="Финансовый 4 17 2" xfId="3207" xr:uid="{00000000-0005-0000-0000-0000D3970000}"/>
    <cellStyle name="Финансовый 4 17 2 2" xfId="10963" xr:uid="{00000000-0005-0000-0000-0000D4970000}"/>
    <cellStyle name="Финансовый 4 17 2 2 2" xfId="22941" xr:uid="{00000000-0005-0000-0000-0000D5970000}"/>
    <cellStyle name="Финансовый 4 17 2 2 2 2" xfId="46896" xr:uid="{00000000-0005-0000-0000-0000D6970000}"/>
    <cellStyle name="Финансовый 4 17 2 2 3" xfId="34918" xr:uid="{00000000-0005-0000-0000-0000D7970000}"/>
    <cellStyle name="Финансовый 4 17 2 3" xfId="15186" xr:uid="{00000000-0005-0000-0000-0000D8970000}"/>
    <cellStyle name="Финансовый 4 17 2 3 2" xfId="39141" xr:uid="{00000000-0005-0000-0000-0000D9970000}"/>
    <cellStyle name="Финансовый 4 17 2 4" xfId="27164" xr:uid="{00000000-0005-0000-0000-0000DA970000}"/>
    <cellStyle name="Финансовый 4 17 2 5" xfId="50433" xr:uid="{00000000-0005-0000-0000-0000DB970000}"/>
    <cellStyle name="Финансовый 4 17 3" xfId="4990" xr:uid="{00000000-0005-0000-0000-0000DC970000}"/>
    <cellStyle name="Финансовый 4 17 3 2" xfId="16968" xr:uid="{00000000-0005-0000-0000-0000DD970000}"/>
    <cellStyle name="Финансовый 4 17 3 2 2" xfId="40923" xr:uid="{00000000-0005-0000-0000-0000DE970000}"/>
    <cellStyle name="Финансовый 4 17 3 3" xfId="28945" xr:uid="{00000000-0005-0000-0000-0000DF970000}"/>
    <cellStyle name="Финансовый 4 17 4" xfId="7600" xr:uid="{00000000-0005-0000-0000-0000E0970000}"/>
    <cellStyle name="Финансовый 4 17 4 2" xfId="19578" xr:uid="{00000000-0005-0000-0000-0000E1970000}"/>
    <cellStyle name="Финансовый 4 17 4 2 2" xfId="43533" xr:uid="{00000000-0005-0000-0000-0000E2970000}"/>
    <cellStyle name="Финансовый 4 17 4 3" xfId="31555" xr:uid="{00000000-0005-0000-0000-0000E3970000}"/>
    <cellStyle name="Финансовый 4 17 5" xfId="9383" xr:uid="{00000000-0005-0000-0000-0000E4970000}"/>
    <cellStyle name="Финансовый 4 17 5 2" xfId="21361" xr:uid="{00000000-0005-0000-0000-0000E5970000}"/>
    <cellStyle name="Финансовый 4 17 5 2 2" xfId="45316" xr:uid="{00000000-0005-0000-0000-0000E6970000}"/>
    <cellStyle name="Финансовый 4 17 5 3" xfId="33338" xr:uid="{00000000-0005-0000-0000-0000E7970000}"/>
    <cellStyle name="Финансовый 4 17 6" xfId="13541" xr:uid="{00000000-0005-0000-0000-0000E8970000}"/>
    <cellStyle name="Финансовый 4 17 6 2" xfId="37496" xr:uid="{00000000-0005-0000-0000-0000E9970000}"/>
    <cellStyle name="Финансовый 4 17 7" xfId="25519" xr:uid="{00000000-0005-0000-0000-0000EA970000}"/>
    <cellStyle name="Финансовый 4 17 8" xfId="48652" xr:uid="{00000000-0005-0000-0000-0000EB970000}"/>
    <cellStyle name="Финансовый 4 18" xfId="848" xr:uid="{00000000-0005-0000-0000-0000EC970000}"/>
    <cellStyle name="Финансовый 4 18 2" xfId="6888" xr:uid="{00000000-0005-0000-0000-0000ED970000}"/>
    <cellStyle name="Финансовый 4 18 2 2" xfId="18866" xr:uid="{00000000-0005-0000-0000-0000EE970000}"/>
    <cellStyle name="Финансовый 4 18 2 2 2" xfId="42821" xr:uid="{00000000-0005-0000-0000-0000EF970000}"/>
    <cellStyle name="Финансовый 4 18 2 3" xfId="30843" xr:uid="{00000000-0005-0000-0000-0000F0970000}"/>
    <cellStyle name="Финансовый 4 18 3" xfId="10436" xr:uid="{00000000-0005-0000-0000-0000F1970000}"/>
    <cellStyle name="Финансовый 4 18 3 2" xfId="22414" xr:uid="{00000000-0005-0000-0000-0000F2970000}"/>
    <cellStyle name="Финансовый 4 18 3 2 2" xfId="46369" xr:uid="{00000000-0005-0000-0000-0000F3970000}"/>
    <cellStyle name="Финансовый 4 18 3 3" xfId="34391" xr:uid="{00000000-0005-0000-0000-0000F4970000}"/>
    <cellStyle name="Финансовый 4 18 4" xfId="12829" xr:uid="{00000000-0005-0000-0000-0000F5970000}"/>
    <cellStyle name="Финансовый 4 18 4 2" xfId="36784" xr:uid="{00000000-0005-0000-0000-0000F6970000}"/>
    <cellStyle name="Финансовый 4 18 5" xfId="24807" xr:uid="{00000000-0005-0000-0000-0000F7970000}"/>
    <cellStyle name="Финансовый 4 18 6" xfId="49705" xr:uid="{00000000-0005-0000-0000-0000F8970000}"/>
    <cellStyle name="Финансовый 4 19" xfId="428" xr:uid="{00000000-0005-0000-0000-0000F9970000}"/>
    <cellStyle name="Финансовый 4 19 2" xfId="6468" xr:uid="{00000000-0005-0000-0000-0000FA970000}"/>
    <cellStyle name="Финансовый 4 19 2 2" xfId="18446" xr:uid="{00000000-0005-0000-0000-0000FB970000}"/>
    <cellStyle name="Финансовый 4 19 2 2 2" xfId="42401" xr:uid="{00000000-0005-0000-0000-0000FC970000}"/>
    <cellStyle name="Финансовый 4 19 2 3" xfId="30423" xr:uid="{00000000-0005-0000-0000-0000FD970000}"/>
    <cellStyle name="Финансовый 4 19 3" xfId="12409" xr:uid="{00000000-0005-0000-0000-0000FE970000}"/>
    <cellStyle name="Финансовый 4 19 3 2" xfId="36364" xr:uid="{00000000-0005-0000-0000-0000FF970000}"/>
    <cellStyle name="Финансовый 4 19 4" xfId="24387" xr:uid="{00000000-0005-0000-0000-000000980000}"/>
    <cellStyle name="Финансовый 4 2" xfId="11" xr:uid="{00000000-0005-0000-0000-000001980000}"/>
    <cellStyle name="Финансовый 4 2 10" xfId="285" xr:uid="{00000000-0005-0000-0000-000002980000}"/>
    <cellStyle name="Финансовый 4 2 10 10" xfId="24245" xr:uid="{00000000-0005-0000-0000-000003980000}"/>
    <cellStyle name="Финансовый 4 2 10 11" xfId="48475" xr:uid="{00000000-0005-0000-0000-000004980000}"/>
    <cellStyle name="Финансовый 4 2 10 2" xfId="2085" xr:uid="{00000000-0005-0000-0000-000005980000}"/>
    <cellStyle name="Финансовый 4 2 10 2 2" xfId="3730" xr:uid="{00000000-0005-0000-0000-000006980000}"/>
    <cellStyle name="Финансовый 4 2 10 2 2 2" xfId="11470" xr:uid="{00000000-0005-0000-0000-000007980000}"/>
    <cellStyle name="Финансовый 4 2 10 2 2 2 2" xfId="23448" xr:uid="{00000000-0005-0000-0000-000008980000}"/>
    <cellStyle name="Финансовый 4 2 10 2 2 2 2 2" xfId="47403" xr:uid="{00000000-0005-0000-0000-000009980000}"/>
    <cellStyle name="Финансовый 4 2 10 2 2 2 3" xfId="35425" xr:uid="{00000000-0005-0000-0000-00000A980000}"/>
    <cellStyle name="Финансовый 4 2 10 2 2 3" xfId="15709" xr:uid="{00000000-0005-0000-0000-00000B980000}"/>
    <cellStyle name="Финансовый 4 2 10 2 2 3 2" xfId="39664" xr:uid="{00000000-0005-0000-0000-00000C980000}"/>
    <cellStyle name="Финансовый 4 2 10 2 2 4" xfId="27687" xr:uid="{00000000-0005-0000-0000-00000D980000}"/>
    <cellStyle name="Финансовый 4 2 10 2 2 5" xfId="50956" xr:uid="{00000000-0005-0000-0000-00000E980000}"/>
    <cellStyle name="Финансовый 4 2 10 2 3" xfId="5513" xr:uid="{00000000-0005-0000-0000-00000F980000}"/>
    <cellStyle name="Финансовый 4 2 10 2 3 2" xfId="17491" xr:uid="{00000000-0005-0000-0000-000010980000}"/>
    <cellStyle name="Финансовый 4 2 10 2 3 2 2" xfId="41446" xr:uid="{00000000-0005-0000-0000-000011980000}"/>
    <cellStyle name="Финансовый 4 2 10 2 3 3" xfId="29468" xr:uid="{00000000-0005-0000-0000-000012980000}"/>
    <cellStyle name="Финансовый 4 2 10 2 4" xfId="8123" xr:uid="{00000000-0005-0000-0000-000013980000}"/>
    <cellStyle name="Финансовый 4 2 10 2 4 2" xfId="20101" xr:uid="{00000000-0005-0000-0000-000014980000}"/>
    <cellStyle name="Финансовый 4 2 10 2 4 2 2" xfId="44056" xr:uid="{00000000-0005-0000-0000-000015980000}"/>
    <cellStyle name="Финансовый 4 2 10 2 4 3" xfId="32078" xr:uid="{00000000-0005-0000-0000-000016980000}"/>
    <cellStyle name="Финансовый 4 2 10 2 5" xfId="9906" xr:uid="{00000000-0005-0000-0000-000017980000}"/>
    <cellStyle name="Финансовый 4 2 10 2 5 2" xfId="21884" xr:uid="{00000000-0005-0000-0000-000018980000}"/>
    <cellStyle name="Финансовый 4 2 10 2 5 2 2" xfId="45839" xr:uid="{00000000-0005-0000-0000-000019980000}"/>
    <cellStyle name="Финансовый 4 2 10 2 5 3" xfId="33861" xr:uid="{00000000-0005-0000-0000-00001A980000}"/>
    <cellStyle name="Финансовый 4 2 10 2 6" xfId="14064" xr:uid="{00000000-0005-0000-0000-00001B980000}"/>
    <cellStyle name="Финансовый 4 2 10 2 6 2" xfId="38019" xr:uid="{00000000-0005-0000-0000-00001C980000}"/>
    <cellStyle name="Финансовый 4 2 10 2 7" xfId="26042" xr:uid="{00000000-0005-0000-0000-00001D980000}"/>
    <cellStyle name="Финансовый 4 2 10 2 8" xfId="49175" xr:uid="{00000000-0005-0000-0000-00001E980000}"/>
    <cellStyle name="Финансовый 4 2 10 3" xfId="1383" xr:uid="{00000000-0005-0000-0000-00001F980000}"/>
    <cellStyle name="Финансовый 4 2 10 3 2" xfId="7423" xr:uid="{00000000-0005-0000-0000-000020980000}"/>
    <cellStyle name="Финансовый 4 2 10 3 2 2" xfId="19401" xr:uid="{00000000-0005-0000-0000-000021980000}"/>
    <cellStyle name="Финансовый 4 2 10 3 2 2 2" xfId="43356" xr:uid="{00000000-0005-0000-0000-000022980000}"/>
    <cellStyle name="Финансовый 4 2 10 3 2 3" xfId="31378" xr:uid="{00000000-0005-0000-0000-000023980000}"/>
    <cellStyle name="Финансовый 4 2 10 3 3" xfId="10954" xr:uid="{00000000-0005-0000-0000-000024980000}"/>
    <cellStyle name="Финансовый 4 2 10 3 3 2" xfId="22932" xr:uid="{00000000-0005-0000-0000-000025980000}"/>
    <cellStyle name="Финансовый 4 2 10 3 3 2 2" xfId="46887" xr:uid="{00000000-0005-0000-0000-000026980000}"/>
    <cellStyle name="Финансовый 4 2 10 3 3 3" xfId="34909" xr:uid="{00000000-0005-0000-0000-000027980000}"/>
    <cellStyle name="Финансовый 4 2 10 3 4" xfId="13364" xr:uid="{00000000-0005-0000-0000-000028980000}"/>
    <cellStyle name="Финансовый 4 2 10 3 4 2" xfId="37319" xr:uid="{00000000-0005-0000-0000-000029980000}"/>
    <cellStyle name="Финансовый 4 2 10 3 5" xfId="25342" xr:uid="{00000000-0005-0000-0000-00002A980000}"/>
    <cellStyle name="Финансовый 4 2 10 3 6" xfId="50255" xr:uid="{00000000-0005-0000-0000-00002B980000}"/>
    <cellStyle name="Финансовый 4 2 10 4" xfId="706" xr:uid="{00000000-0005-0000-0000-00002C980000}"/>
    <cellStyle name="Финансовый 4 2 10 4 2" xfId="6746" xr:uid="{00000000-0005-0000-0000-00002D980000}"/>
    <cellStyle name="Финансовый 4 2 10 4 2 2" xfId="18724" xr:uid="{00000000-0005-0000-0000-00002E980000}"/>
    <cellStyle name="Финансовый 4 2 10 4 2 2 2" xfId="42679" xr:uid="{00000000-0005-0000-0000-00002F980000}"/>
    <cellStyle name="Финансовый 4 2 10 4 2 3" xfId="30701" xr:uid="{00000000-0005-0000-0000-000030980000}"/>
    <cellStyle name="Финансовый 4 2 10 4 3" xfId="12687" xr:uid="{00000000-0005-0000-0000-000031980000}"/>
    <cellStyle name="Финансовый 4 2 10 4 3 2" xfId="36642" xr:uid="{00000000-0005-0000-0000-000032980000}"/>
    <cellStyle name="Финансовый 4 2 10 4 4" xfId="24665" xr:uid="{00000000-0005-0000-0000-000033980000}"/>
    <cellStyle name="Финансовый 4 2 10 5" xfId="3167" xr:uid="{00000000-0005-0000-0000-000034980000}"/>
    <cellStyle name="Финансовый 4 2 10 5 2" xfId="15146" xr:uid="{00000000-0005-0000-0000-000035980000}"/>
    <cellStyle name="Финансовый 4 2 10 5 2 2" xfId="39101" xr:uid="{00000000-0005-0000-0000-000036980000}"/>
    <cellStyle name="Финансовый 4 2 10 5 3" xfId="27124" xr:uid="{00000000-0005-0000-0000-000037980000}"/>
    <cellStyle name="Финансовый 4 2 10 6" xfId="4811" xr:uid="{00000000-0005-0000-0000-000038980000}"/>
    <cellStyle name="Финансовый 4 2 10 6 2" xfId="16790" xr:uid="{00000000-0005-0000-0000-000039980000}"/>
    <cellStyle name="Финансовый 4 2 10 6 2 2" xfId="40745" xr:uid="{00000000-0005-0000-0000-00003A980000}"/>
    <cellStyle name="Финансовый 4 2 10 6 3" xfId="28768" xr:uid="{00000000-0005-0000-0000-00003B980000}"/>
    <cellStyle name="Финансовый 4 2 10 7" xfId="6326" xr:uid="{00000000-0005-0000-0000-00003C980000}"/>
    <cellStyle name="Финансовый 4 2 10 7 2" xfId="18304" xr:uid="{00000000-0005-0000-0000-00003D980000}"/>
    <cellStyle name="Финансовый 4 2 10 7 2 2" xfId="42259" xr:uid="{00000000-0005-0000-0000-00003E980000}"/>
    <cellStyle name="Финансовый 4 2 10 7 3" xfId="30281" xr:uid="{00000000-0005-0000-0000-00003F980000}"/>
    <cellStyle name="Финансовый 4 2 10 8" xfId="9205" xr:uid="{00000000-0005-0000-0000-000040980000}"/>
    <cellStyle name="Финансовый 4 2 10 8 2" xfId="21183" xr:uid="{00000000-0005-0000-0000-000041980000}"/>
    <cellStyle name="Финансовый 4 2 10 8 2 2" xfId="45138" xr:uid="{00000000-0005-0000-0000-000042980000}"/>
    <cellStyle name="Финансовый 4 2 10 8 3" xfId="33160" xr:uid="{00000000-0005-0000-0000-000043980000}"/>
    <cellStyle name="Финансовый 4 2 10 9" xfId="12267" xr:uid="{00000000-0005-0000-0000-000044980000}"/>
    <cellStyle name="Финансовый 4 2 10 9 2" xfId="36222" xr:uid="{00000000-0005-0000-0000-000045980000}"/>
    <cellStyle name="Финансовый 4 2 11" xfId="298" xr:uid="{00000000-0005-0000-0000-000046980000}"/>
    <cellStyle name="Финансовый 4 2 11 10" xfId="48203" xr:uid="{00000000-0005-0000-0000-000047980000}"/>
    <cellStyle name="Финансовый 4 2 11 2" xfId="1118" xr:uid="{00000000-0005-0000-0000-000048980000}"/>
    <cellStyle name="Финансовый 4 2 11 2 2" xfId="7158" xr:uid="{00000000-0005-0000-0000-000049980000}"/>
    <cellStyle name="Финансовый 4 2 11 2 2 2" xfId="19136" xr:uid="{00000000-0005-0000-0000-00004A980000}"/>
    <cellStyle name="Финансовый 4 2 11 2 2 2 2" xfId="43091" xr:uid="{00000000-0005-0000-0000-00004B980000}"/>
    <cellStyle name="Финансовый 4 2 11 2 2 3" xfId="31113" xr:uid="{00000000-0005-0000-0000-00004C980000}"/>
    <cellStyle name="Финансовый 4 2 11 2 3" xfId="10698" xr:uid="{00000000-0005-0000-0000-00004D980000}"/>
    <cellStyle name="Финансовый 4 2 11 2 3 2" xfId="22676" xr:uid="{00000000-0005-0000-0000-00004E980000}"/>
    <cellStyle name="Финансовый 4 2 11 2 3 2 2" xfId="46631" xr:uid="{00000000-0005-0000-0000-00004F980000}"/>
    <cellStyle name="Финансовый 4 2 11 2 3 3" xfId="34653" xr:uid="{00000000-0005-0000-0000-000050980000}"/>
    <cellStyle name="Финансовый 4 2 11 2 4" xfId="13099" xr:uid="{00000000-0005-0000-0000-000051980000}"/>
    <cellStyle name="Финансовый 4 2 11 2 4 2" xfId="37054" xr:uid="{00000000-0005-0000-0000-000052980000}"/>
    <cellStyle name="Финансовый 4 2 11 2 5" xfId="25077" xr:uid="{00000000-0005-0000-0000-000053980000}"/>
    <cellStyle name="Финансовый 4 2 11 2 6" xfId="49983" xr:uid="{00000000-0005-0000-0000-000054980000}"/>
    <cellStyle name="Финансовый 4 2 11 3" xfId="718" xr:uid="{00000000-0005-0000-0000-000055980000}"/>
    <cellStyle name="Финансовый 4 2 11 3 2" xfId="6758" xr:uid="{00000000-0005-0000-0000-000056980000}"/>
    <cellStyle name="Финансовый 4 2 11 3 2 2" xfId="18736" xr:uid="{00000000-0005-0000-0000-000057980000}"/>
    <cellStyle name="Финансовый 4 2 11 3 2 2 2" xfId="42691" xr:uid="{00000000-0005-0000-0000-000058980000}"/>
    <cellStyle name="Финансовый 4 2 11 3 2 3" xfId="30713" xr:uid="{00000000-0005-0000-0000-000059980000}"/>
    <cellStyle name="Финансовый 4 2 11 3 3" xfId="12699" xr:uid="{00000000-0005-0000-0000-00005A980000}"/>
    <cellStyle name="Финансовый 4 2 11 3 3 2" xfId="36654" xr:uid="{00000000-0005-0000-0000-00005B980000}"/>
    <cellStyle name="Финансовый 4 2 11 3 4" xfId="24677" xr:uid="{00000000-0005-0000-0000-00005C980000}"/>
    <cellStyle name="Финансовый 4 2 11 4" xfId="2895" xr:uid="{00000000-0005-0000-0000-00005D980000}"/>
    <cellStyle name="Финансовый 4 2 11 4 2" xfId="14874" xr:uid="{00000000-0005-0000-0000-00005E980000}"/>
    <cellStyle name="Финансовый 4 2 11 4 2 2" xfId="38829" xr:uid="{00000000-0005-0000-0000-00005F980000}"/>
    <cellStyle name="Финансовый 4 2 11 4 3" xfId="26852" xr:uid="{00000000-0005-0000-0000-000060980000}"/>
    <cellStyle name="Финансовый 4 2 11 5" xfId="4539" xr:uid="{00000000-0005-0000-0000-000061980000}"/>
    <cellStyle name="Финансовый 4 2 11 5 2" xfId="16518" xr:uid="{00000000-0005-0000-0000-000062980000}"/>
    <cellStyle name="Финансовый 4 2 11 5 2 2" xfId="40473" xr:uid="{00000000-0005-0000-0000-000063980000}"/>
    <cellStyle name="Финансовый 4 2 11 5 3" xfId="28496" xr:uid="{00000000-0005-0000-0000-000064980000}"/>
    <cellStyle name="Финансовый 4 2 11 6" xfId="6338" xr:uid="{00000000-0005-0000-0000-000065980000}"/>
    <cellStyle name="Финансовый 4 2 11 6 2" xfId="18316" xr:uid="{00000000-0005-0000-0000-000066980000}"/>
    <cellStyle name="Финансовый 4 2 11 6 2 2" xfId="42271" xr:uid="{00000000-0005-0000-0000-000067980000}"/>
    <cellStyle name="Финансовый 4 2 11 6 3" xfId="30293" xr:uid="{00000000-0005-0000-0000-000068980000}"/>
    <cellStyle name="Финансовый 4 2 11 7" xfId="8933" xr:uid="{00000000-0005-0000-0000-000069980000}"/>
    <cellStyle name="Финансовый 4 2 11 7 2" xfId="20911" xr:uid="{00000000-0005-0000-0000-00006A980000}"/>
    <cellStyle name="Финансовый 4 2 11 7 2 2" xfId="44866" xr:uid="{00000000-0005-0000-0000-00006B980000}"/>
    <cellStyle name="Финансовый 4 2 11 7 3" xfId="32888" xr:uid="{00000000-0005-0000-0000-00006C980000}"/>
    <cellStyle name="Финансовый 4 2 11 8" xfId="12279" xr:uid="{00000000-0005-0000-0000-00006D980000}"/>
    <cellStyle name="Финансовый 4 2 11 8 2" xfId="36234" xr:uid="{00000000-0005-0000-0000-00006E980000}"/>
    <cellStyle name="Финансовый 4 2 11 9" xfId="24257" xr:uid="{00000000-0005-0000-0000-00006F980000}"/>
    <cellStyle name="Финансовый 4 2 12" xfId="1534" xr:uid="{00000000-0005-0000-0000-000070980000}"/>
    <cellStyle name="Финансовый 4 2 12 2" xfId="1705" xr:uid="{00000000-0005-0000-0000-000071980000}"/>
    <cellStyle name="Финансовый 4 2 12 2 2" xfId="3350" xr:uid="{00000000-0005-0000-0000-000072980000}"/>
    <cellStyle name="Финансовый 4 2 12 2 2 2" xfId="11098" xr:uid="{00000000-0005-0000-0000-000073980000}"/>
    <cellStyle name="Финансовый 4 2 12 2 2 2 2" xfId="23076" xr:uid="{00000000-0005-0000-0000-000074980000}"/>
    <cellStyle name="Финансовый 4 2 12 2 2 2 2 2" xfId="47031" xr:uid="{00000000-0005-0000-0000-000075980000}"/>
    <cellStyle name="Финансовый 4 2 12 2 2 2 3" xfId="35053" xr:uid="{00000000-0005-0000-0000-000076980000}"/>
    <cellStyle name="Финансовый 4 2 12 2 2 3" xfId="15329" xr:uid="{00000000-0005-0000-0000-000077980000}"/>
    <cellStyle name="Финансовый 4 2 12 2 2 3 2" xfId="39284" xr:uid="{00000000-0005-0000-0000-000078980000}"/>
    <cellStyle name="Финансовый 4 2 12 2 2 4" xfId="27307" xr:uid="{00000000-0005-0000-0000-000079980000}"/>
    <cellStyle name="Финансовый 4 2 12 2 2 5" xfId="50576" xr:uid="{00000000-0005-0000-0000-00007A980000}"/>
    <cellStyle name="Финансовый 4 2 12 2 3" xfId="5133" xr:uid="{00000000-0005-0000-0000-00007B980000}"/>
    <cellStyle name="Финансовый 4 2 12 2 3 2" xfId="17111" xr:uid="{00000000-0005-0000-0000-00007C980000}"/>
    <cellStyle name="Финансовый 4 2 12 2 3 2 2" xfId="41066" xr:uid="{00000000-0005-0000-0000-00007D980000}"/>
    <cellStyle name="Финансовый 4 2 12 2 3 3" xfId="29088" xr:uid="{00000000-0005-0000-0000-00007E980000}"/>
    <cellStyle name="Финансовый 4 2 12 2 4" xfId="7743" xr:uid="{00000000-0005-0000-0000-00007F980000}"/>
    <cellStyle name="Финансовый 4 2 12 2 4 2" xfId="19721" xr:uid="{00000000-0005-0000-0000-000080980000}"/>
    <cellStyle name="Финансовый 4 2 12 2 4 2 2" xfId="43676" xr:uid="{00000000-0005-0000-0000-000081980000}"/>
    <cellStyle name="Финансовый 4 2 12 2 4 3" xfId="31698" xr:uid="{00000000-0005-0000-0000-000082980000}"/>
    <cellStyle name="Финансовый 4 2 12 2 5" xfId="9526" xr:uid="{00000000-0005-0000-0000-000083980000}"/>
    <cellStyle name="Финансовый 4 2 12 2 5 2" xfId="21504" xr:uid="{00000000-0005-0000-0000-000084980000}"/>
    <cellStyle name="Финансовый 4 2 12 2 5 2 2" xfId="45459" xr:uid="{00000000-0005-0000-0000-000085980000}"/>
    <cellStyle name="Финансовый 4 2 12 2 5 3" xfId="33481" xr:uid="{00000000-0005-0000-0000-000086980000}"/>
    <cellStyle name="Финансовый 4 2 12 2 6" xfId="13684" xr:uid="{00000000-0005-0000-0000-000087980000}"/>
    <cellStyle name="Финансовый 4 2 12 2 6 2" xfId="37639" xr:uid="{00000000-0005-0000-0000-000088980000}"/>
    <cellStyle name="Финансовый 4 2 12 2 7" xfId="25662" xr:uid="{00000000-0005-0000-0000-000089980000}"/>
    <cellStyle name="Финансовый 4 2 12 2 8" xfId="48795" xr:uid="{00000000-0005-0000-0000-00008A980000}"/>
    <cellStyle name="Финансовый 4 2 12 3" xfId="4962" xr:uid="{00000000-0005-0000-0000-00008B980000}"/>
    <cellStyle name="Финансовый 4 2 12 3 2" xfId="16940" xr:uid="{00000000-0005-0000-0000-00008C980000}"/>
    <cellStyle name="Финансовый 4 2 12 3 2 2" xfId="40895" xr:uid="{00000000-0005-0000-0000-00008D980000}"/>
    <cellStyle name="Финансовый 4 2 12 3 3" xfId="28917" xr:uid="{00000000-0005-0000-0000-00008E980000}"/>
    <cellStyle name="Финансовый 4 2 12 3 4" xfId="50405" xr:uid="{00000000-0005-0000-0000-00008F980000}"/>
    <cellStyle name="Финансовый 4 2 12 4" xfId="7572" xr:uid="{00000000-0005-0000-0000-000090980000}"/>
    <cellStyle name="Финансовый 4 2 12 4 2" xfId="19550" xr:uid="{00000000-0005-0000-0000-000091980000}"/>
    <cellStyle name="Финансовый 4 2 12 4 2 2" xfId="43505" xr:uid="{00000000-0005-0000-0000-000092980000}"/>
    <cellStyle name="Финансовый 4 2 12 4 3" xfId="31527" xr:uid="{00000000-0005-0000-0000-000093980000}"/>
    <cellStyle name="Финансовый 4 2 12 5" xfId="9355" xr:uid="{00000000-0005-0000-0000-000094980000}"/>
    <cellStyle name="Финансовый 4 2 12 5 2" xfId="21333" xr:uid="{00000000-0005-0000-0000-000095980000}"/>
    <cellStyle name="Финансовый 4 2 12 5 2 2" xfId="45288" xr:uid="{00000000-0005-0000-0000-000096980000}"/>
    <cellStyle name="Финансовый 4 2 12 5 3" xfId="33310" xr:uid="{00000000-0005-0000-0000-000097980000}"/>
    <cellStyle name="Финансовый 4 2 12 6" xfId="13513" xr:uid="{00000000-0005-0000-0000-000098980000}"/>
    <cellStyle name="Финансовый 4 2 12 6 2" xfId="37468" xr:uid="{00000000-0005-0000-0000-000099980000}"/>
    <cellStyle name="Финансовый 4 2 12 7" xfId="25491" xr:uid="{00000000-0005-0000-0000-00009A980000}"/>
    <cellStyle name="Финансовый 4 2 12 8" xfId="48624" xr:uid="{00000000-0005-0000-0000-00009B980000}"/>
    <cellStyle name="Финансовый 4 2 13" xfId="2341" xr:uid="{00000000-0005-0000-0000-00009C980000}"/>
    <cellStyle name="Финансовый 4 2 13 2" xfId="3986" xr:uid="{00000000-0005-0000-0000-00009D980000}"/>
    <cellStyle name="Финансовый 4 2 13 2 2" xfId="11726" xr:uid="{00000000-0005-0000-0000-00009E980000}"/>
    <cellStyle name="Финансовый 4 2 13 2 2 2" xfId="23704" xr:uid="{00000000-0005-0000-0000-00009F980000}"/>
    <cellStyle name="Финансовый 4 2 13 2 2 2 2" xfId="47659" xr:uid="{00000000-0005-0000-0000-0000A0980000}"/>
    <cellStyle name="Финансовый 4 2 13 2 2 3" xfId="35681" xr:uid="{00000000-0005-0000-0000-0000A1980000}"/>
    <cellStyle name="Финансовый 4 2 13 2 3" xfId="15965" xr:uid="{00000000-0005-0000-0000-0000A2980000}"/>
    <cellStyle name="Финансовый 4 2 13 2 3 2" xfId="39920" xr:uid="{00000000-0005-0000-0000-0000A3980000}"/>
    <cellStyle name="Финансовый 4 2 13 2 4" xfId="27943" xr:uid="{00000000-0005-0000-0000-0000A4980000}"/>
    <cellStyle name="Финансовый 4 2 13 2 5" xfId="51212" xr:uid="{00000000-0005-0000-0000-0000A5980000}"/>
    <cellStyle name="Финансовый 4 2 13 3" xfId="5769" xr:uid="{00000000-0005-0000-0000-0000A6980000}"/>
    <cellStyle name="Финансовый 4 2 13 3 2" xfId="17747" xr:uid="{00000000-0005-0000-0000-0000A7980000}"/>
    <cellStyle name="Финансовый 4 2 13 3 2 2" xfId="41702" xr:uid="{00000000-0005-0000-0000-0000A8980000}"/>
    <cellStyle name="Финансовый 4 2 13 3 3" xfId="29724" xr:uid="{00000000-0005-0000-0000-0000A9980000}"/>
    <cellStyle name="Финансовый 4 2 13 4" xfId="8379" xr:uid="{00000000-0005-0000-0000-0000AA980000}"/>
    <cellStyle name="Финансовый 4 2 13 4 2" xfId="20357" xr:uid="{00000000-0005-0000-0000-0000AB980000}"/>
    <cellStyle name="Финансовый 4 2 13 4 2 2" xfId="44312" xr:uid="{00000000-0005-0000-0000-0000AC980000}"/>
    <cellStyle name="Финансовый 4 2 13 4 3" xfId="32334" xr:uid="{00000000-0005-0000-0000-0000AD980000}"/>
    <cellStyle name="Финансовый 4 2 13 5" xfId="10162" xr:uid="{00000000-0005-0000-0000-0000AE980000}"/>
    <cellStyle name="Финансовый 4 2 13 5 2" xfId="22140" xr:uid="{00000000-0005-0000-0000-0000AF980000}"/>
    <cellStyle name="Финансовый 4 2 13 5 2 2" xfId="46095" xr:uid="{00000000-0005-0000-0000-0000B0980000}"/>
    <cellStyle name="Финансовый 4 2 13 5 3" xfId="34117" xr:uid="{00000000-0005-0000-0000-0000B1980000}"/>
    <cellStyle name="Финансовый 4 2 13 6" xfId="14320" xr:uid="{00000000-0005-0000-0000-0000B2980000}"/>
    <cellStyle name="Финансовый 4 2 13 6 2" xfId="38275" xr:uid="{00000000-0005-0000-0000-0000B3980000}"/>
    <cellStyle name="Финансовый 4 2 13 7" xfId="26298" xr:uid="{00000000-0005-0000-0000-0000B4980000}"/>
    <cellStyle name="Финансовый 4 2 13 8" xfId="49431" xr:uid="{00000000-0005-0000-0000-0000B5980000}"/>
    <cellStyle name="Финансовый 4 2 14" xfId="1568" xr:uid="{00000000-0005-0000-0000-0000B6980000}"/>
    <cellStyle name="Финансовый 4 2 14 2" xfId="3213" xr:uid="{00000000-0005-0000-0000-0000B7980000}"/>
    <cellStyle name="Финансовый 4 2 14 2 2" xfId="10969" xr:uid="{00000000-0005-0000-0000-0000B8980000}"/>
    <cellStyle name="Финансовый 4 2 14 2 2 2" xfId="22947" xr:uid="{00000000-0005-0000-0000-0000B9980000}"/>
    <cellStyle name="Финансовый 4 2 14 2 2 2 2" xfId="46902" xr:uid="{00000000-0005-0000-0000-0000BA980000}"/>
    <cellStyle name="Финансовый 4 2 14 2 2 3" xfId="34924" xr:uid="{00000000-0005-0000-0000-0000BB980000}"/>
    <cellStyle name="Финансовый 4 2 14 2 3" xfId="15192" xr:uid="{00000000-0005-0000-0000-0000BC980000}"/>
    <cellStyle name="Финансовый 4 2 14 2 3 2" xfId="39147" xr:uid="{00000000-0005-0000-0000-0000BD980000}"/>
    <cellStyle name="Финансовый 4 2 14 2 4" xfId="27170" xr:uid="{00000000-0005-0000-0000-0000BE980000}"/>
    <cellStyle name="Финансовый 4 2 14 2 5" xfId="50439" xr:uid="{00000000-0005-0000-0000-0000BF980000}"/>
    <cellStyle name="Финансовый 4 2 14 3" xfId="4996" xr:uid="{00000000-0005-0000-0000-0000C0980000}"/>
    <cellStyle name="Финансовый 4 2 14 3 2" xfId="16974" xr:uid="{00000000-0005-0000-0000-0000C1980000}"/>
    <cellStyle name="Финансовый 4 2 14 3 2 2" xfId="40929" xr:uid="{00000000-0005-0000-0000-0000C2980000}"/>
    <cellStyle name="Финансовый 4 2 14 3 3" xfId="28951" xr:uid="{00000000-0005-0000-0000-0000C3980000}"/>
    <cellStyle name="Финансовый 4 2 14 4" xfId="7606" xr:uid="{00000000-0005-0000-0000-0000C4980000}"/>
    <cellStyle name="Финансовый 4 2 14 4 2" xfId="19584" xr:uid="{00000000-0005-0000-0000-0000C5980000}"/>
    <cellStyle name="Финансовый 4 2 14 4 2 2" xfId="43539" xr:uid="{00000000-0005-0000-0000-0000C6980000}"/>
    <cellStyle name="Финансовый 4 2 14 4 3" xfId="31561" xr:uid="{00000000-0005-0000-0000-0000C7980000}"/>
    <cellStyle name="Финансовый 4 2 14 5" xfId="9389" xr:uid="{00000000-0005-0000-0000-0000C8980000}"/>
    <cellStyle name="Финансовый 4 2 14 5 2" xfId="21367" xr:uid="{00000000-0005-0000-0000-0000C9980000}"/>
    <cellStyle name="Финансовый 4 2 14 5 2 2" xfId="45322" xr:uid="{00000000-0005-0000-0000-0000CA980000}"/>
    <cellStyle name="Финансовый 4 2 14 5 3" xfId="33344" xr:uid="{00000000-0005-0000-0000-0000CB980000}"/>
    <cellStyle name="Финансовый 4 2 14 6" xfId="13547" xr:uid="{00000000-0005-0000-0000-0000CC980000}"/>
    <cellStyle name="Финансовый 4 2 14 6 2" xfId="37502" xr:uid="{00000000-0005-0000-0000-0000CD980000}"/>
    <cellStyle name="Финансовый 4 2 14 7" xfId="25525" xr:uid="{00000000-0005-0000-0000-0000CE980000}"/>
    <cellStyle name="Финансовый 4 2 14 8" xfId="48658" xr:uid="{00000000-0005-0000-0000-0000CF980000}"/>
    <cellStyle name="Финансовый 4 2 15" xfId="854" xr:uid="{00000000-0005-0000-0000-0000D0980000}"/>
    <cellStyle name="Финансовый 4 2 15 2" xfId="6894" xr:uid="{00000000-0005-0000-0000-0000D1980000}"/>
    <cellStyle name="Финансовый 4 2 15 2 2" xfId="18872" xr:uid="{00000000-0005-0000-0000-0000D2980000}"/>
    <cellStyle name="Финансовый 4 2 15 2 2 2" xfId="42827" xr:uid="{00000000-0005-0000-0000-0000D3980000}"/>
    <cellStyle name="Финансовый 4 2 15 2 3" xfId="30849" xr:uid="{00000000-0005-0000-0000-0000D4980000}"/>
    <cellStyle name="Финансовый 4 2 15 3" xfId="10442" xr:uid="{00000000-0005-0000-0000-0000D5980000}"/>
    <cellStyle name="Финансовый 4 2 15 3 2" xfId="22420" xr:uid="{00000000-0005-0000-0000-0000D6980000}"/>
    <cellStyle name="Финансовый 4 2 15 3 2 2" xfId="46375" xr:uid="{00000000-0005-0000-0000-0000D7980000}"/>
    <cellStyle name="Финансовый 4 2 15 3 3" xfId="34397" xr:uid="{00000000-0005-0000-0000-0000D8980000}"/>
    <cellStyle name="Финансовый 4 2 15 4" xfId="12835" xr:uid="{00000000-0005-0000-0000-0000D9980000}"/>
    <cellStyle name="Финансовый 4 2 15 4 2" xfId="36790" xr:uid="{00000000-0005-0000-0000-0000DA980000}"/>
    <cellStyle name="Финансовый 4 2 15 5" xfId="24813" xr:uid="{00000000-0005-0000-0000-0000DB980000}"/>
    <cellStyle name="Финансовый 4 2 15 6" xfId="49711" xr:uid="{00000000-0005-0000-0000-0000DC980000}"/>
    <cellStyle name="Финансовый 4 2 16" xfId="434" xr:uid="{00000000-0005-0000-0000-0000DD980000}"/>
    <cellStyle name="Финансовый 4 2 16 2" xfId="6474" xr:uid="{00000000-0005-0000-0000-0000DE980000}"/>
    <cellStyle name="Финансовый 4 2 16 2 2" xfId="18452" xr:uid="{00000000-0005-0000-0000-0000DF980000}"/>
    <cellStyle name="Финансовый 4 2 16 2 2 2" xfId="42407" xr:uid="{00000000-0005-0000-0000-0000E0980000}"/>
    <cellStyle name="Финансовый 4 2 16 2 3" xfId="30429" xr:uid="{00000000-0005-0000-0000-0000E1980000}"/>
    <cellStyle name="Финансовый 4 2 16 3" xfId="12415" xr:uid="{00000000-0005-0000-0000-0000E2980000}"/>
    <cellStyle name="Финансовый 4 2 16 3 2" xfId="36370" xr:uid="{00000000-0005-0000-0000-0000E3980000}"/>
    <cellStyle name="Финансовый 4 2 16 4" xfId="24393" xr:uid="{00000000-0005-0000-0000-0000E4980000}"/>
    <cellStyle name="Финансовый 4 2 17" xfId="2623" xr:uid="{00000000-0005-0000-0000-0000E5980000}"/>
    <cellStyle name="Финансовый 4 2 17 2" xfId="14602" xr:uid="{00000000-0005-0000-0000-0000E6980000}"/>
    <cellStyle name="Финансовый 4 2 17 2 2" xfId="38557" xr:uid="{00000000-0005-0000-0000-0000E7980000}"/>
    <cellStyle name="Финансовый 4 2 17 3" xfId="26580" xr:uid="{00000000-0005-0000-0000-0000E8980000}"/>
    <cellStyle name="Финансовый 4 2 18" xfId="4266" xr:uid="{00000000-0005-0000-0000-0000E9980000}"/>
    <cellStyle name="Финансовый 4 2 18 2" xfId="16245" xr:uid="{00000000-0005-0000-0000-0000EA980000}"/>
    <cellStyle name="Финансовый 4 2 18 2 2" xfId="40200" xr:uid="{00000000-0005-0000-0000-0000EB980000}"/>
    <cellStyle name="Финансовый 4 2 18 3" xfId="28223" xr:uid="{00000000-0005-0000-0000-0000EC980000}"/>
    <cellStyle name="Финансовый 4 2 19" xfId="6054" xr:uid="{00000000-0005-0000-0000-0000ED980000}"/>
    <cellStyle name="Финансовый 4 2 19 2" xfId="18032" xr:uid="{00000000-0005-0000-0000-0000EE980000}"/>
    <cellStyle name="Финансовый 4 2 19 2 2" xfId="41987" xr:uid="{00000000-0005-0000-0000-0000EF980000}"/>
    <cellStyle name="Финансовый 4 2 19 3" xfId="30009" xr:uid="{00000000-0005-0000-0000-0000F0980000}"/>
    <cellStyle name="Финансовый 4 2 2" xfId="47" xr:uid="{00000000-0005-0000-0000-0000F1980000}"/>
    <cellStyle name="Финансовый 4 2 2 10" xfId="470" xr:uid="{00000000-0005-0000-0000-0000F2980000}"/>
    <cellStyle name="Финансовый 4 2 2 10 2" xfId="6510" xr:uid="{00000000-0005-0000-0000-0000F3980000}"/>
    <cellStyle name="Финансовый 4 2 2 10 2 2" xfId="18488" xr:uid="{00000000-0005-0000-0000-0000F4980000}"/>
    <cellStyle name="Финансовый 4 2 2 10 2 2 2" xfId="42443" xr:uid="{00000000-0005-0000-0000-0000F5980000}"/>
    <cellStyle name="Финансовый 4 2 2 10 2 3" xfId="30465" xr:uid="{00000000-0005-0000-0000-0000F6980000}"/>
    <cellStyle name="Финансовый 4 2 2 10 3" xfId="12451" xr:uid="{00000000-0005-0000-0000-0000F7980000}"/>
    <cellStyle name="Финансовый 4 2 2 10 3 2" xfId="36406" xr:uid="{00000000-0005-0000-0000-0000F8980000}"/>
    <cellStyle name="Финансовый 4 2 2 10 4" xfId="24429" xr:uid="{00000000-0005-0000-0000-0000F9980000}"/>
    <cellStyle name="Финансовый 4 2 2 11" xfId="2659" xr:uid="{00000000-0005-0000-0000-0000FA980000}"/>
    <cellStyle name="Финансовый 4 2 2 11 2" xfId="14638" xr:uid="{00000000-0005-0000-0000-0000FB980000}"/>
    <cellStyle name="Финансовый 4 2 2 11 2 2" xfId="38593" xr:uid="{00000000-0005-0000-0000-0000FC980000}"/>
    <cellStyle name="Финансовый 4 2 2 11 3" xfId="26616" xr:uid="{00000000-0005-0000-0000-0000FD980000}"/>
    <cellStyle name="Финансовый 4 2 2 12" xfId="4302" xr:uid="{00000000-0005-0000-0000-0000FE980000}"/>
    <cellStyle name="Финансовый 4 2 2 12 2" xfId="16281" xr:uid="{00000000-0005-0000-0000-0000FF980000}"/>
    <cellStyle name="Финансовый 4 2 2 12 2 2" xfId="40236" xr:uid="{00000000-0005-0000-0000-000000990000}"/>
    <cellStyle name="Финансовый 4 2 2 12 3" xfId="28259" xr:uid="{00000000-0005-0000-0000-000001990000}"/>
    <cellStyle name="Финансовый 4 2 2 13" xfId="6090" xr:uid="{00000000-0005-0000-0000-000002990000}"/>
    <cellStyle name="Финансовый 4 2 2 13 2" xfId="18068" xr:uid="{00000000-0005-0000-0000-000003990000}"/>
    <cellStyle name="Финансовый 4 2 2 13 2 2" xfId="42023" xr:uid="{00000000-0005-0000-0000-000004990000}"/>
    <cellStyle name="Финансовый 4 2 2 13 3" xfId="30045" xr:uid="{00000000-0005-0000-0000-000005990000}"/>
    <cellStyle name="Финансовый 4 2 2 14" xfId="8697" xr:uid="{00000000-0005-0000-0000-000006990000}"/>
    <cellStyle name="Финансовый 4 2 2 14 2" xfId="20675" xr:uid="{00000000-0005-0000-0000-000007990000}"/>
    <cellStyle name="Финансовый 4 2 2 14 2 2" xfId="44630" xr:uid="{00000000-0005-0000-0000-000008990000}"/>
    <cellStyle name="Финансовый 4 2 2 14 3" xfId="32652" xr:uid="{00000000-0005-0000-0000-000009990000}"/>
    <cellStyle name="Финансовый 4 2 2 15" xfId="12031" xr:uid="{00000000-0005-0000-0000-00000A990000}"/>
    <cellStyle name="Финансовый 4 2 2 15 2" xfId="35986" xr:uid="{00000000-0005-0000-0000-00000B990000}"/>
    <cellStyle name="Финансовый 4 2 2 16" xfId="24009" xr:uid="{00000000-0005-0000-0000-00000C990000}"/>
    <cellStyle name="Финансовый 4 2 2 17" xfId="47967" xr:uid="{00000000-0005-0000-0000-00000D990000}"/>
    <cellStyle name="Финансовый 4 2 2 2" xfId="105" xr:uid="{00000000-0005-0000-0000-00000E990000}"/>
    <cellStyle name="Финансовый 4 2 2 2 10" xfId="2715" xr:uid="{00000000-0005-0000-0000-00000F990000}"/>
    <cellStyle name="Финансовый 4 2 2 2 10 2" xfId="14694" xr:uid="{00000000-0005-0000-0000-000010990000}"/>
    <cellStyle name="Финансовый 4 2 2 2 10 2 2" xfId="38649" xr:uid="{00000000-0005-0000-0000-000011990000}"/>
    <cellStyle name="Финансовый 4 2 2 2 10 3" xfId="26672" xr:uid="{00000000-0005-0000-0000-000012990000}"/>
    <cellStyle name="Финансовый 4 2 2 2 11" xfId="4359" xr:uid="{00000000-0005-0000-0000-000013990000}"/>
    <cellStyle name="Финансовый 4 2 2 2 11 2" xfId="16338" xr:uid="{00000000-0005-0000-0000-000014990000}"/>
    <cellStyle name="Финансовый 4 2 2 2 11 2 2" xfId="40293" xr:uid="{00000000-0005-0000-0000-000015990000}"/>
    <cellStyle name="Финансовый 4 2 2 2 11 3" xfId="28316" xr:uid="{00000000-0005-0000-0000-000016990000}"/>
    <cellStyle name="Финансовый 4 2 2 2 12" xfId="6146" xr:uid="{00000000-0005-0000-0000-000017990000}"/>
    <cellStyle name="Финансовый 4 2 2 2 12 2" xfId="18124" xr:uid="{00000000-0005-0000-0000-000018990000}"/>
    <cellStyle name="Финансовый 4 2 2 2 12 2 2" xfId="42079" xr:uid="{00000000-0005-0000-0000-000019990000}"/>
    <cellStyle name="Финансовый 4 2 2 2 12 3" xfId="30101" xr:uid="{00000000-0005-0000-0000-00001A990000}"/>
    <cellStyle name="Финансовый 4 2 2 2 13" xfId="8753" xr:uid="{00000000-0005-0000-0000-00001B990000}"/>
    <cellStyle name="Финансовый 4 2 2 2 13 2" xfId="20731" xr:uid="{00000000-0005-0000-0000-00001C990000}"/>
    <cellStyle name="Финансовый 4 2 2 2 13 2 2" xfId="44686" xr:uid="{00000000-0005-0000-0000-00001D990000}"/>
    <cellStyle name="Финансовый 4 2 2 2 13 3" xfId="32708" xr:uid="{00000000-0005-0000-0000-00001E990000}"/>
    <cellStyle name="Финансовый 4 2 2 2 14" xfId="12087" xr:uid="{00000000-0005-0000-0000-00001F990000}"/>
    <cellStyle name="Финансовый 4 2 2 2 14 2" xfId="36042" xr:uid="{00000000-0005-0000-0000-000020990000}"/>
    <cellStyle name="Финансовый 4 2 2 2 15" xfId="24065" xr:uid="{00000000-0005-0000-0000-000021990000}"/>
    <cellStyle name="Финансовый 4 2 2 2 16" xfId="48023" xr:uid="{00000000-0005-0000-0000-000022990000}"/>
    <cellStyle name="Финансовый 4 2 2 2 2" xfId="241" xr:uid="{00000000-0005-0000-0000-000023990000}"/>
    <cellStyle name="Финансовый 4 2 2 2 2 10" xfId="8889" xr:uid="{00000000-0005-0000-0000-000024990000}"/>
    <cellStyle name="Финансовый 4 2 2 2 2 10 2" xfId="20867" xr:uid="{00000000-0005-0000-0000-000025990000}"/>
    <cellStyle name="Финансовый 4 2 2 2 2 10 2 2" xfId="44822" xr:uid="{00000000-0005-0000-0000-000026990000}"/>
    <cellStyle name="Финансовый 4 2 2 2 2 10 3" xfId="32844" xr:uid="{00000000-0005-0000-0000-000027990000}"/>
    <cellStyle name="Финансовый 4 2 2 2 2 11" xfId="12223" xr:uid="{00000000-0005-0000-0000-000028990000}"/>
    <cellStyle name="Финансовый 4 2 2 2 2 11 2" xfId="36178" xr:uid="{00000000-0005-0000-0000-000029990000}"/>
    <cellStyle name="Финансовый 4 2 2 2 2 12" xfId="24201" xr:uid="{00000000-0005-0000-0000-00002A990000}"/>
    <cellStyle name="Финансовый 4 2 2 2 2 13" xfId="48159" xr:uid="{00000000-0005-0000-0000-00002B990000}"/>
    <cellStyle name="Финансовый 4 2 2 2 2 2" xfId="1339" xr:uid="{00000000-0005-0000-0000-00002C990000}"/>
    <cellStyle name="Финансовый 4 2 2 2 2 2 2" xfId="2297" xr:uid="{00000000-0005-0000-0000-00002D990000}"/>
    <cellStyle name="Финансовый 4 2 2 2 2 2 2 2" xfId="3942" xr:uid="{00000000-0005-0000-0000-00002E990000}"/>
    <cellStyle name="Финансовый 4 2 2 2 2 2 2 2 2" xfId="11682" xr:uid="{00000000-0005-0000-0000-00002F990000}"/>
    <cellStyle name="Финансовый 4 2 2 2 2 2 2 2 2 2" xfId="23660" xr:uid="{00000000-0005-0000-0000-000030990000}"/>
    <cellStyle name="Финансовый 4 2 2 2 2 2 2 2 2 2 2" xfId="47615" xr:uid="{00000000-0005-0000-0000-000031990000}"/>
    <cellStyle name="Финансовый 4 2 2 2 2 2 2 2 2 3" xfId="35637" xr:uid="{00000000-0005-0000-0000-000032990000}"/>
    <cellStyle name="Финансовый 4 2 2 2 2 2 2 2 3" xfId="15921" xr:uid="{00000000-0005-0000-0000-000033990000}"/>
    <cellStyle name="Финансовый 4 2 2 2 2 2 2 2 3 2" xfId="39876" xr:uid="{00000000-0005-0000-0000-000034990000}"/>
    <cellStyle name="Финансовый 4 2 2 2 2 2 2 2 4" xfId="27899" xr:uid="{00000000-0005-0000-0000-000035990000}"/>
    <cellStyle name="Финансовый 4 2 2 2 2 2 2 2 5" xfId="51168" xr:uid="{00000000-0005-0000-0000-000036990000}"/>
    <cellStyle name="Финансовый 4 2 2 2 2 2 2 3" xfId="5725" xr:uid="{00000000-0005-0000-0000-000037990000}"/>
    <cellStyle name="Финансовый 4 2 2 2 2 2 2 3 2" xfId="17703" xr:uid="{00000000-0005-0000-0000-000038990000}"/>
    <cellStyle name="Финансовый 4 2 2 2 2 2 2 3 2 2" xfId="41658" xr:uid="{00000000-0005-0000-0000-000039990000}"/>
    <cellStyle name="Финансовый 4 2 2 2 2 2 2 3 3" xfId="29680" xr:uid="{00000000-0005-0000-0000-00003A990000}"/>
    <cellStyle name="Финансовый 4 2 2 2 2 2 2 4" xfId="8335" xr:uid="{00000000-0005-0000-0000-00003B990000}"/>
    <cellStyle name="Финансовый 4 2 2 2 2 2 2 4 2" xfId="20313" xr:uid="{00000000-0005-0000-0000-00003C990000}"/>
    <cellStyle name="Финансовый 4 2 2 2 2 2 2 4 2 2" xfId="44268" xr:uid="{00000000-0005-0000-0000-00003D990000}"/>
    <cellStyle name="Финансовый 4 2 2 2 2 2 2 4 3" xfId="32290" xr:uid="{00000000-0005-0000-0000-00003E990000}"/>
    <cellStyle name="Финансовый 4 2 2 2 2 2 2 5" xfId="10118" xr:uid="{00000000-0005-0000-0000-00003F990000}"/>
    <cellStyle name="Финансовый 4 2 2 2 2 2 2 5 2" xfId="22096" xr:uid="{00000000-0005-0000-0000-000040990000}"/>
    <cellStyle name="Финансовый 4 2 2 2 2 2 2 5 2 2" xfId="46051" xr:uid="{00000000-0005-0000-0000-000041990000}"/>
    <cellStyle name="Финансовый 4 2 2 2 2 2 2 5 3" xfId="34073" xr:uid="{00000000-0005-0000-0000-000042990000}"/>
    <cellStyle name="Финансовый 4 2 2 2 2 2 2 6" xfId="14276" xr:uid="{00000000-0005-0000-0000-000043990000}"/>
    <cellStyle name="Финансовый 4 2 2 2 2 2 2 6 2" xfId="38231" xr:uid="{00000000-0005-0000-0000-000044990000}"/>
    <cellStyle name="Финансовый 4 2 2 2 2 2 2 7" xfId="26254" xr:uid="{00000000-0005-0000-0000-000045990000}"/>
    <cellStyle name="Финансовый 4 2 2 2 2 2 2 8" xfId="49387" xr:uid="{00000000-0005-0000-0000-000046990000}"/>
    <cellStyle name="Финансовый 4 2 2 2 2 2 3" xfId="3123" xr:uid="{00000000-0005-0000-0000-000047990000}"/>
    <cellStyle name="Финансовый 4 2 2 2 2 2 3 2" xfId="10910" xr:uid="{00000000-0005-0000-0000-000048990000}"/>
    <cellStyle name="Финансовый 4 2 2 2 2 2 3 2 2" xfId="22888" xr:uid="{00000000-0005-0000-0000-000049990000}"/>
    <cellStyle name="Финансовый 4 2 2 2 2 2 3 2 2 2" xfId="46843" xr:uid="{00000000-0005-0000-0000-00004A990000}"/>
    <cellStyle name="Финансовый 4 2 2 2 2 2 3 2 3" xfId="34865" xr:uid="{00000000-0005-0000-0000-00004B990000}"/>
    <cellStyle name="Финансовый 4 2 2 2 2 2 3 3" xfId="15102" xr:uid="{00000000-0005-0000-0000-00004C990000}"/>
    <cellStyle name="Финансовый 4 2 2 2 2 2 3 3 2" xfId="39057" xr:uid="{00000000-0005-0000-0000-00004D990000}"/>
    <cellStyle name="Финансовый 4 2 2 2 2 2 3 4" xfId="27080" xr:uid="{00000000-0005-0000-0000-00004E990000}"/>
    <cellStyle name="Финансовый 4 2 2 2 2 2 3 5" xfId="50211" xr:uid="{00000000-0005-0000-0000-00004F990000}"/>
    <cellStyle name="Финансовый 4 2 2 2 2 2 4" xfId="4767" xr:uid="{00000000-0005-0000-0000-000050990000}"/>
    <cellStyle name="Финансовый 4 2 2 2 2 2 4 2" xfId="16746" xr:uid="{00000000-0005-0000-0000-000051990000}"/>
    <cellStyle name="Финансовый 4 2 2 2 2 2 4 2 2" xfId="40701" xr:uid="{00000000-0005-0000-0000-000052990000}"/>
    <cellStyle name="Финансовый 4 2 2 2 2 2 4 3" xfId="28724" xr:uid="{00000000-0005-0000-0000-000053990000}"/>
    <cellStyle name="Финансовый 4 2 2 2 2 2 5" xfId="7379" xr:uid="{00000000-0005-0000-0000-000054990000}"/>
    <cellStyle name="Финансовый 4 2 2 2 2 2 5 2" xfId="19357" xr:uid="{00000000-0005-0000-0000-000055990000}"/>
    <cellStyle name="Финансовый 4 2 2 2 2 2 5 2 2" xfId="43312" xr:uid="{00000000-0005-0000-0000-000056990000}"/>
    <cellStyle name="Финансовый 4 2 2 2 2 2 5 3" xfId="31334" xr:uid="{00000000-0005-0000-0000-000057990000}"/>
    <cellStyle name="Финансовый 4 2 2 2 2 2 6" xfId="9161" xr:uid="{00000000-0005-0000-0000-000058990000}"/>
    <cellStyle name="Финансовый 4 2 2 2 2 2 6 2" xfId="21139" xr:uid="{00000000-0005-0000-0000-000059990000}"/>
    <cellStyle name="Финансовый 4 2 2 2 2 2 6 2 2" xfId="45094" xr:uid="{00000000-0005-0000-0000-00005A990000}"/>
    <cellStyle name="Финансовый 4 2 2 2 2 2 6 3" xfId="33116" xr:uid="{00000000-0005-0000-0000-00005B990000}"/>
    <cellStyle name="Финансовый 4 2 2 2 2 2 7" xfId="13320" xr:uid="{00000000-0005-0000-0000-00005C990000}"/>
    <cellStyle name="Финансовый 4 2 2 2 2 2 7 2" xfId="37275" xr:uid="{00000000-0005-0000-0000-00005D990000}"/>
    <cellStyle name="Финансовый 4 2 2 2 2 2 8" xfId="25298" xr:uid="{00000000-0005-0000-0000-00005E990000}"/>
    <cellStyle name="Финансовый 4 2 2 2 2 2 9" xfId="48431" xr:uid="{00000000-0005-0000-0000-00005F990000}"/>
    <cellStyle name="Финансовый 4 2 2 2 2 3" xfId="2041" xr:uid="{00000000-0005-0000-0000-000060990000}"/>
    <cellStyle name="Финансовый 4 2 2 2 2 3 2" xfId="3686" xr:uid="{00000000-0005-0000-0000-000061990000}"/>
    <cellStyle name="Финансовый 4 2 2 2 2 3 2 2" xfId="11426" xr:uid="{00000000-0005-0000-0000-000062990000}"/>
    <cellStyle name="Финансовый 4 2 2 2 2 3 2 2 2" xfId="23404" xr:uid="{00000000-0005-0000-0000-000063990000}"/>
    <cellStyle name="Финансовый 4 2 2 2 2 3 2 2 2 2" xfId="47359" xr:uid="{00000000-0005-0000-0000-000064990000}"/>
    <cellStyle name="Финансовый 4 2 2 2 2 3 2 2 3" xfId="35381" xr:uid="{00000000-0005-0000-0000-000065990000}"/>
    <cellStyle name="Финансовый 4 2 2 2 2 3 2 3" xfId="15665" xr:uid="{00000000-0005-0000-0000-000066990000}"/>
    <cellStyle name="Финансовый 4 2 2 2 2 3 2 3 2" xfId="39620" xr:uid="{00000000-0005-0000-0000-000067990000}"/>
    <cellStyle name="Финансовый 4 2 2 2 2 3 2 4" xfId="27643" xr:uid="{00000000-0005-0000-0000-000068990000}"/>
    <cellStyle name="Финансовый 4 2 2 2 2 3 2 5" xfId="50912" xr:uid="{00000000-0005-0000-0000-000069990000}"/>
    <cellStyle name="Финансовый 4 2 2 2 2 3 3" xfId="5469" xr:uid="{00000000-0005-0000-0000-00006A990000}"/>
    <cellStyle name="Финансовый 4 2 2 2 2 3 3 2" xfId="17447" xr:uid="{00000000-0005-0000-0000-00006B990000}"/>
    <cellStyle name="Финансовый 4 2 2 2 2 3 3 2 2" xfId="41402" xr:uid="{00000000-0005-0000-0000-00006C990000}"/>
    <cellStyle name="Финансовый 4 2 2 2 2 3 3 3" xfId="29424" xr:uid="{00000000-0005-0000-0000-00006D990000}"/>
    <cellStyle name="Финансовый 4 2 2 2 2 3 4" xfId="8079" xr:uid="{00000000-0005-0000-0000-00006E990000}"/>
    <cellStyle name="Финансовый 4 2 2 2 2 3 4 2" xfId="20057" xr:uid="{00000000-0005-0000-0000-00006F990000}"/>
    <cellStyle name="Финансовый 4 2 2 2 2 3 4 2 2" xfId="44012" xr:uid="{00000000-0005-0000-0000-000070990000}"/>
    <cellStyle name="Финансовый 4 2 2 2 2 3 4 3" xfId="32034" xr:uid="{00000000-0005-0000-0000-000071990000}"/>
    <cellStyle name="Финансовый 4 2 2 2 2 3 5" xfId="9862" xr:uid="{00000000-0005-0000-0000-000072990000}"/>
    <cellStyle name="Финансовый 4 2 2 2 2 3 5 2" xfId="21840" xr:uid="{00000000-0005-0000-0000-000073990000}"/>
    <cellStyle name="Финансовый 4 2 2 2 2 3 5 2 2" xfId="45795" xr:uid="{00000000-0005-0000-0000-000074990000}"/>
    <cellStyle name="Финансовый 4 2 2 2 2 3 5 3" xfId="33817" xr:uid="{00000000-0005-0000-0000-000075990000}"/>
    <cellStyle name="Финансовый 4 2 2 2 2 3 6" xfId="14020" xr:uid="{00000000-0005-0000-0000-000076990000}"/>
    <cellStyle name="Финансовый 4 2 2 2 2 3 6 2" xfId="37975" xr:uid="{00000000-0005-0000-0000-000077990000}"/>
    <cellStyle name="Финансовый 4 2 2 2 2 3 7" xfId="25998" xr:uid="{00000000-0005-0000-0000-000078990000}"/>
    <cellStyle name="Финансовый 4 2 2 2 2 3 8" xfId="49131" xr:uid="{00000000-0005-0000-0000-000079990000}"/>
    <cellStyle name="Финансовый 4 2 2 2 2 4" xfId="2570" xr:uid="{00000000-0005-0000-0000-00007A990000}"/>
    <cellStyle name="Финансовый 4 2 2 2 2 4 2" xfId="4215" xr:uid="{00000000-0005-0000-0000-00007B990000}"/>
    <cellStyle name="Финансовый 4 2 2 2 2 4 2 2" xfId="11939" xr:uid="{00000000-0005-0000-0000-00007C990000}"/>
    <cellStyle name="Финансовый 4 2 2 2 2 4 2 2 2" xfId="23917" xr:uid="{00000000-0005-0000-0000-00007D990000}"/>
    <cellStyle name="Финансовый 4 2 2 2 2 4 2 2 2 2" xfId="47872" xr:uid="{00000000-0005-0000-0000-00007E990000}"/>
    <cellStyle name="Финансовый 4 2 2 2 2 4 2 2 3" xfId="35894" xr:uid="{00000000-0005-0000-0000-00007F990000}"/>
    <cellStyle name="Финансовый 4 2 2 2 2 4 2 3" xfId="16194" xr:uid="{00000000-0005-0000-0000-000080990000}"/>
    <cellStyle name="Финансовый 4 2 2 2 2 4 2 3 2" xfId="40149" xr:uid="{00000000-0005-0000-0000-000081990000}"/>
    <cellStyle name="Финансовый 4 2 2 2 2 4 2 4" xfId="28172" xr:uid="{00000000-0005-0000-0000-000082990000}"/>
    <cellStyle name="Финансовый 4 2 2 2 2 4 2 5" xfId="51441" xr:uid="{00000000-0005-0000-0000-000083990000}"/>
    <cellStyle name="Финансовый 4 2 2 2 2 4 3" xfId="5998" xr:uid="{00000000-0005-0000-0000-000084990000}"/>
    <cellStyle name="Финансовый 4 2 2 2 2 4 3 2" xfId="17976" xr:uid="{00000000-0005-0000-0000-000085990000}"/>
    <cellStyle name="Финансовый 4 2 2 2 2 4 3 2 2" xfId="41931" xr:uid="{00000000-0005-0000-0000-000086990000}"/>
    <cellStyle name="Финансовый 4 2 2 2 2 4 3 3" xfId="29953" xr:uid="{00000000-0005-0000-0000-000087990000}"/>
    <cellStyle name="Финансовый 4 2 2 2 2 4 4" xfId="8608" xr:uid="{00000000-0005-0000-0000-000088990000}"/>
    <cellStyle name="Финансовый 4 2 2 2 2 4 4 2" xfId="20586" xr:uid="{00000000-0005-0000-0000-000089990000}"/>
    <cellStyle name="Финансовый 4 2 2 2 2 4 4 2 2" xfId="44541" xr:uid="{00000000-0005-0000-0000-00008A990000}"/>
    <cellStyle name="Финансовый 4 2 2 2 2 4 4 3" xfId="32563" xr:uid="{00000000-0005-0000-0000-00008B990000}"/>
    <cellStyle name="Финансовый 4 2 2 2 2 4 5" xfId="10391" xr:uid="{00000000-0005-0000-0000-00008C990000}"/>
    <cellStyle name="Финансовый 4 2 2 2 2 4 5 2" xfId="22369" xr:uid="{00000000-0005-0000-0000-00008D990000}"/>
    <cellStyle name="Финансовый 4 2 2 2 2 4 5 2 2" xfId="46324" xr:uid="{00000000-0005-0000-0000-00008E990000}"/>
    <cellStyle name="Финансовый 4 2 2 2 2 4 5 3" xfId="34346" xr:uid="{00000000-0005-0000-0000-00008F990000}"/>
    <cellStyle name="Финансовый 4 2 2 2 2 4 6" xfId="14549" xr:uid="{00000000-0005-0000-0000-000090990000}"/>
    <cellStyle name="Финансовый 4 2 2 2 2 4 6 2" xfId="38504" xr:uid="{00000000-0005-0000-0000-000091990000}"/>
    <cellStyle name="Финансовый 4 2 2 2 2 4 7" xfId="26527" xr:uid="{00000000-0005-0000-0000-000092990000}"/>
    <cellStyle name="Финансовый 4 2 2 2 2 4 8" xfId="49660" xr:uid="{00000000-0005-0000-0000-000093990000}"/>
    <cellStyle name="Финансовый 4 2 2 2 2 5" xfId="1074" xr:uid="{00000000-0005-0000-0000-000094990000}"/>
    <cellStyle name="Финансовый 4 2 2 2 2 5 2" xfId="7114" xr:uid="{00000000-0005-0000-0000-000095990000}"/>
    <cellStyle name="Финансовый 4 2 2 2 2 5 2 2" xfId="19092" xr:uid="{00000000-0005-0000-0000-000096990000}"/>
    <cellStyle name="Финансовый 4 2 2 2 2 5 2 2 2" xfId="43047" xr:uid="{00000000-0005-0000-0000-000097990000}"/>
    <cellStyle name="Финансовый 4 2 2 2 2 5 2 3" xfId="31069" xr:uid="{00000000-0005-0000-0000-000098990000}"/>
    <cellStyle name="Финансовый 4 2 2 2 2 5 3" xfId="10654" xr:uid="{00000000-0005-0000-0000-000099990000}"/>
    <cellStyle name="Финансовый 4 2 2 2 2 5 3 2" xfId="22632" xr:uid="{00000000-0005-0000-0000-00009A990000}"/>
    <cellStyle name="Финансовый 4 2 2 2 2 5 3 2 2" xfId="46587" xr:uid="{00000000-0005-0000-0000-00009B990000}"/>
    <cellStyle name="Финансовый 4 2 2 2 2 5 3 3" xfId="34609" xr:uid="{00000000-0005-0000-0000-00009C990000}"/>
    <cellStyle name="Финансовый 4 2 2 2 2 5 4" xfId="13055" xr:uid="{00000000-0005-0000-0000-00009D990000}"/>
    <cellStyle name="Финансовый 4 2 2 2 2 5 4 2" xfId="37010" xr:uid="{00000000-0005-0000-0000-00009E990000}"/>
    <cellStyle name="Финансовый 4 2 2 2 2 5 5" xfId="25033" xr:uid="{00000000-0005-0000-0000-00009F990000}"/>
    <cellStyle name="Финансовый 4 2 2 2 2 5 6" xfId="49939" xr:uid="{00000000-0005-0000-0000-0000A0990000}"/>
    <cellStyle name="Финансовый 4 2 2 2 2 6" xfId="662" xr:uid="{00000000-0005-0000-0000-0000A1990000}"/>
    <cellStyle name="Финансовый 4 2 2 2 2 6 2" xfId="6702" xr:uid="{00000000-0005-0000-0000-0000A2990000}"/>
    <cellStyle name="Финансовый 4 2 2 2 2 6 2 2" xfId="18680" xr:uid="{00000000-0005-0000-0000-0000A3990000}"/>
    <cellStyle name="Финансовый 4 2 2 2 2 6 2 2 2" xfId="42635" xr:uid="{00000000-0005-0000-0000-0000A4990000}"/>
    <cellStyle name="Финансовый 4 2 2 2 2 6 2 3" xfId="30657" xr:uid="{00000000-0005-0000-0000-0000A5990000}"/>
    <cellStyle name="Финансовый 4 2 2 2 2 6 3" xfId="12643" xr:uid="{00000000-0005-0000-0000-0000A6990000}"/>
    <cellStyle name="Финансовый 4 2 2 2 2 6 3 2" xfId="36598" xr:uid="{00000000-0005-0000-0000-0000A7990000}"/>
    <cellStyle name="Финансовый 4 2 2 2 2 6 4" xfId="24621" xr:uid="{00000000-0005-0000-0000-0000A8990000}"/>
    <cellStyle name="Финансовый 4 2 2 2 2 7" xfId="2851" xr:uid="{00000000-0005-0000-0000-0000A9990000}"/>
    <cellStyle name="Финансовый 4 2 2 2 2 7 2" xfId="14830" xr:uid="{00000000-0005-0000-0000-0000AA990000}"/>
    <cellStyle name="Финансовый 4 2 2 2 2 7 2 2" xfId="38785" xr:uid="{00000000-0005-0000-0000-0000AB990000}"/>
    <cellStyle name="Финансовый 4 2 2 2 2 7 3" xfId="26808" xr:uid="{00000000-0005-0000-0000-0000AC990000}"/>
    <cellStyle name="Финансовый 4 2 2 2 2 8" xfId="4495" xr:uid="{00000000-0005-0000-0000-0000AD990000}"/>
    <cellStyle name="Финансовый 4 2 2 2 2 8 2" xfId="16474" xr:uid="{00000000-0005-0000-0000-0000AE990000}"/>
    <cellStyle name="Финансовый 4 2 2 2 2 8 2 2" xfId="40429" xr:uid="{00000000-0005-0000-0000-0000AF990000}"/>
    <cellStyle name="Финансовый 4 2 2 2 2 8 3" xfId="28452" xr:uid="{00000000-0005-0000-0000-0000B0990000}"/>
    <cellStyle name="Финансовый 4 2 2 2 2 9" xfId="6282" xr:uid="{00000000-0005-0000-0000-0000B1990000}"/>
    <cellStyle name="Финансовый 4 2 2 2 2 9 2" xfId="18260" xr:uid="{00000000-0005-0000-0000-0000B2990000}"/>
    <cellStyle name="Финансовый 4 2 2 2 2 9 2 2" xfId="42215" xr:uid="{00000000-0005-0000-0000-0000B3990000}"/>
    <cellStyle name="Финансовый 4 2 2 2 2 9 3" xfId="30237" xr:uid="{00000000-0005-0000-0000-0000B4990000}"/>
    <cellStyle name="Финансовый 4 2 2 2 3" xfId="390" xr:uid="{00000000-0005-0000-0000-0000B5990000}"/>
    <cellStyle name="Финансовый 4 2 2 2 3 10" xfId="24349" xr:uid="{00000000-0005-0000-0000-0000B6990000}"/>
    <cellStyle name="Финансовый 4 2 2 2 3 11" xfId="48295" xr:uid="{00000000-0005-0000-0000-0000B7990000}"/>
    <cellStyle name="Финансовый 4 2 2 2 3 2" xfId="2169" xr:uid="{00000000-0005-0000-0000-0000B8990000}"/>
    <cellStyle name="Финансовый 4 2 2 2 3 2 2" xfId="3814" xr:uid="{00000000-0005-0000-0000-0000B9990000}"/>
    <cellStyle name="Финансовый 4 2 2 2 3 2 2 2" xfId="11554" xr:uid="{00000000-0005-0000-0000-0000BA990000}"/>
    <cellStyle name="Финансовый 4 2 2 2 3 2 2 2 2" xfId="23532" xr:uid="{00000000-0005-0000-0000-0000BB990000}"/>
    <cellStyle name="Финансовый 4 2 2 2 3 2 2 2 2 2" xfId="47487" xr:uid="{00000000-0005-0000-0000-0000BC990000}"/>
    <cellStyle name="Финансовый 4 2 2 2 3 2 2 2 3" xfId="35509" xr:uid="{00000000-0005-0000-0000-0000BD990000}"/>
    <cellStyle name="Финансовый 4 2 2 2 3 2 2 3" xfId="15793" xr:uid="{00000000-0005-0000-0000-0000BE990000}"/>
    <cellStyle name="Финансовый 4 2 2 2 3 2 2 3 2" xfId="39748" xr:uid="{00000000-0005-0000-0000-0000BF990000}"/>
    <cellStyle name="Финансовый 4 2 2 2 3 2 2 4" xfId="27771" xr:uid="{00000000-0005-0000-0000-0000C0990000}"/>
    <cellStyle name="Финансовый 4 2 2 2 3 2 2 5" xfId="51040" xr:uid="{00000000-0005-0000-0000-0000C1990000}"/>
    <cellStyle name="Финансовый 4 2 2 2 3 2 3" xfId="5597" xr:uid="{00000000-0005-0000-0000-0000C2990000}"/>
    <cellStyle name="Финансовый 4 2 2 2 3 2 3 2" xfId="17575" xr:uid="{00000000-0005-0000-0000-0000C3990000}"/>
    <cellStyle name="Финансовый 4 2 2 2 3 2 3 2 2" xfId="41530" xr:uid="{00000000-0005-0000-0000-0000C4990000}"/>
    <cellStyle name="Финансовый 4 2 2 2 3 2 3 3" xfId="29552" xr:uid="{00000000-0005-0000-0000-0000C5990000}"/>
    <cellStyle name="Финансовый 4 2 2 2 3 2 4" xfId="8207" xr:uid="{00000000-0005-0000-0000-0000C6990000}"/>
    <cellStyle name="Финансовый 4 2 2 2 3 2 4 2" xfId="20185" xr:uid="{00000000-0005-0000-0000-0000C7990000}"/>
    <cellStyle name="Финансовый 4 2 2 2 3 2 4 2 2" xfId="44140" xr:uid="{00000000-0005-0000-0000-0000C8990000}"/>
    <cellStyle name="Финансовый 4 2 2 2 3 2 4 3" xfId="32162" xr:uid="{00000000-0005-0000-0000-0000C9990000}"/>
    <cellStyle name="Финансовый 4 2 2 2 3 2 5" xfId="9990" xr:uid="{00000000-0005-0000-0000-0000CA990000}"/>
    <cellStyle name="Финансовый 4 2 2 2 3 2 5 2" xfId="21968" xr:uid="{00000000-0005-0000-0000-0000CB990000}"/>
    <cellStyle name="Финансовый 4 2 2 2 3 2 5 2 2" xfId="45923" xr:uid="{00000000-0005-0000-0000-0000CC990000}"/>
    <cellStyle name="Финансовый 4 2 2 2 3 2 5 3" xfId="33945" xr:uid="{00000000-0005-0000-0000-0000CD990000}"/>
    <cellStyle name="Финансовый 4 2 2 2 3 2 6" xfId="14148" xr:uid="{00000000-0005-0000-0000-0000CE990000}"/>
    <cellStyle name="Финансовый 4 2 2 2 3 2 6 2" xfId="38103" xr:uid="{00000000-0005-0000-0000-0000CF990000}"/>
    <cellStyle name="Финансовый 4 2 2 2 3 2 7" xfId="26126" xr:uid="{00000000-0005-0000-0000-0000D0990000}"/>
    <cellStyle name="Финансовый 4 2 2 2 3 2 8" xfId="49259" xr:uid="{00000000-0005-0000-0000-0000D1990000}"/>
    <cellStyle name="Финансовый 4 2 2 2 3 3" xfId="1203" xr:uid="{00000000-0005-0000-0000-0000D2990000}"/>
    <cellStyle name="Финансовый 4 2 2 2 3 3 2" xfId="7243" xr:uid="{00000000-0005-0000-0000-0000D3990000}"/>
    <cellStyle name="Финансовый 4 2 2 2 3 3 2 2" xfId="19221" xr:uid="{00000000-0005-0000-0000-0000D4990000}"/>
    <cellStyle name="Финансовый 4 2 2 2 3 3 2 2 2" xfId="43176" xr:uid="{00000000-0005-0000-0000-0000D5990000}"/>
    <cellStyle name="Финансовый 4 2 2 2 3 3 2 3" xfId="31198" xr:uid="{00000000-0005-0000-0000-0000D6990000}"/>
    <cellStyle name="Финансовый 4 2 2 2 3 3 3" xfId="10782" xr:uid="{00000000-0005-0000-0000-0000D7990000}"/>
    <cellStyle name="Финансовый 4 2 2 2 3 3 3 2" xfId="22760" xr:uid="{00000000-0005-0000-0000-0000D8990000}"/>
    <cellStyle name="Финансовый 4 2 2 2 3 3 3 2 2" xfId="46715" xr:uid="{00000000-0005-0000-0000-0000D9990000}"/>
    <cellStyle name="Финансовый 4 2 2 2 3 3 3 3" xfId="34737" xr:uid="{00000000-0005-0000-0000-0000DA990000}"/>
    <cellStyle name="Финансовый 4 2 2 2 3 3 4" xfId="13184" xr:uid="{00000000-0005-0000-0000-0000DB990000}"/>
    <cellStyle name="Финансовый 4 2 2 2 3 3 4 2" xfId="37139" xr:uid="{00000000-0005-0000-0000-0000DC990000}"/>
    <cellStyle name="Финансовый 4 2 2 2 3 3 5" xfId="25162" xr:uid="{00000000-0005-0000-0000-0000DD990000}"/>
    <cellStyle name="Финансовый 4 2 2 2 3 3 6" xfId="50075" xr:uid="{00000000-0005-0000-0000-0000DE990000}"/>
    <cellStyle name="Финансовый 4 2 2 2 3 4" xfId="810" xr:uid="{00000000-0005-0000-0000-0000DF990000}"/>
    <cellStyle name="Финансовый 4 2 2 2 3 4 2" xfId="6850" xr:uid="{00000000-0005-0000-0000-0000E0990000}"/>
    <cellStyle name="Финансовый 4 2 2 2 3 4 2 2" xfId="18828" xr:uid="{00000000-0005-0000-0000-0000E1990000}"/>
    <cellStyle name="Финансовый 4 2 2 2 3 4 2 2 2" xfId="42783" xr:uid="{00000000-0005-0000-0000-0000E2990000}"/>
    <cellStyle name="Финансовый 4 2 2 2 3 4 2 3" xfId="30805" xr:uid="{00000000-0005-0000-0000-0000E3990000}"/>
    <cellStyle name="Финансовый 4 2 2 2 3 4 3" xfId="12791" xr:uid="{00000000-0005-0000-0000-0000E4990000}"/>
    <cellStyle name="Финансовый 4 2 2 2 3 4 3 2" xfId="36746" xr:uid="{00000000-0005-0000-0000-0000E5990000}"/>
    <cellStyle name="Финансовый 4 2 2 2 3 4 4" xfId="24769" xr:uid="{00000000-0005-0000-0000-0000E6990000}"/>
    <cellStyle name="Финансовый 4 2 2 2 3 5" xfId="2987" xr:uid="{00000000-0005-0000-0000-0000E7990000}"/>
    <cellStyle name="Финансовый 4 2 2 2 3 5 2" xfId="14966" xr:uid="{00000000-0005-0000-0000-0000E8990000}"/>
    <cellStyle name="Финансовый 4 2 2 2 3 5 2 2" xfId="38921" xr:uid="{00000000-0005-0000-0000-0000E9990000}"/>
    <cellStyle name="Финансовый 4 2 2 2 3 5 3" xfId="26944" xr:uid="{00000000-0005-0000-0000-0000EA990000}"/>
    <cellStyle name="Финансовый 4 2 2 2 3 6" xfId="4631" xr:uid="{00000000-0005-0000-0000-0000EB990000}"/>
    <cellStyle name="Финансовый 4 2 2 2 3 6 2" xfId="16610" xr:uid="{00000000-0005-0000-0000-0000EC990000}"/>
    <cellStyle name="Финансовый 4 2 2 2 3 6 2 2" xfId="40565" xr:uid="{00000000-0005-0000-0000-0000ED990000}"/>
    <cellStyle name="Финансовый 4 2 2 2 3 6 3" xfId="28588" xr:uid="{00000000-0005-0000-0000-0000EE990000}"/>
    <cellStyle name="Финансовый 4 2 2 2 3 7" xfId="6430" xr:uid="{00000000-0005-0000-0000-0000EF990000}"/>
    <cellStyle name="Финансовый 4 2 2 2 3 7 2" xfId="18408" xr:uid="{00000000-0005-0000-0000-0000F0990000}"/>
    <cellStyle name="Финансовый 4 2 2 2 3 7 2 2" xfId="42363" xr:uid="{00000000-0005-0000-0000-0000F1990000}"/>
    <cellStyle name="Финансовый 4 2 2 2 3 7 3" xfId="30385" xr:uid="{00000000-0005-0000-0000-0000F2990000}"/>
    <cellStyle name="Финансовый 4 2 2 2 3 8" xfId="9025" xr:uid="{00000000-0005-0000-0000-0000F3990000}"/>
    <cellStyle name="Финансовый 4 2 2 2 3 8 2" xfId="21003" xr:uid="{00000000-0005-0000-0000-0000F4990000}"/>
    <cellStyle name="Финансовый 4 2 2 2 3 8 2 2" xfId="44958" xr:uid="{00000000-0005-0000-0000-0000F5990000}"/>
    <cellStyle name="Финансовый 4 2 2 2 3 8 3" xfId="32980" xr:uid="{00000000-0005-0000-0000-0000F6990000}"/>
    <cellStyle name="Финансовый 4 2 2 2 3 9" xfId="12371" xr:uid="{00000000-0005-0000-0000-0000F7990000}"/>
    <cellStyle name="Финансовый 4 2 2 2 3 9 2" xfId="36326" xr:uid="{00000000-0005-0000-0000-0000F8990000}"/>
    <cellStyle name="Финансовый 4 2 2 2 4" xfId="1427" xr:uid="{00000000-0005-0000-0000-0000F9990000}"/>
    <cellStyle name="Финансовый 4 2 2 2 4 2" xfId="1913" xr:uid="{00000000-0005-0000-0000-0000FA990000}"/>
    <cellStyle name="Финансовый 4 2 2 2 4 2 2" xfId="3558" xr:uid="{00000000-0005-0000-0000-0000FB990000}"/>
    <cellStyle name="Финансовый 4 2 2 2 4 2 2 2" xfId="11298" xr:uid="{00000000-0005-0000-0000-0000FC990000}"/>
    <cellStyle name="Финансовый 4 2 2 2 4 2 2 2 2" xfId="23276" xr:uid="{00000000-0005-0000-0000-0000FD990000}"/>
    <cellStyle name="Финансовый 4 2 2 2 4 2 2 2 2 2" xfId="47231" xr:uid="{00000000-0005-0000-0000-0000FE990000}"/>
    <cellStyle name="Финансовый 4 2 2 2 4 2 2 2 3" xfId="35253" xr:uid="{00000000-0005-0000-0000-0000FF990000}"/>
    <cellStyle name="Финансовый 4 2 2 2 4 2 2 3" xfId="15537" xr:uid="{00000000-0005-0000-0000-0000009A0000}"/>
    <cellStyle name="Финансовый 4 2 2 2 4 2 2 3 2" xfId="39492" xr:uid="{00000000-0005-0000-0000-0000019A0000}"/>
    <cellStyle name="Финансовый 4 2 2 2 4 2 2 4" xfId="27515" xr:uid="{00000000-0005-0000-0000-0000029A0000}"/>
    <cellStyle name="Финансовый 4 2 2 2 4 2 2 5" xfId="50784" xr:uid="{00000000-0005-0000-0000-0000039A0000}"/>
    <cellStyle name="Финансовый 4 2 2 2 4 2 3" xfId="5341" xr:uid="{00000000-0005-0000-0000-0000049A0000}"/>
    <cellStyle name="Финансовый 4 2 2 2 4 2 3 2" xfId="17319" xr:uid="{00000000-0005-0000-0000-0000059A0000}"/>
    <cellStyle name="Финансовый 4 2 2 2 4 2 3 2 2" xfId="41274" xr:uid="{00000000-0005-0000-0000-0000069A0000}"/>
    <cellStyle name="Финансовый 4 2 2 2 4 2 3 3" xfId="29296" xr:uid="{00000000-0005-0000-0000-0000079A0000}"/>
    <cellStyle name="Финансовый 4 2 2 2 4 2 4" xfId="7951" xr:uid="{00000000-0005-0000-0000-0000089A0000}"/>
    <cellStyle name="Финансовый 4 2 2 2 4 2 4 2" xfId="19929" xr:uid="{00000000-0005-0000-0000-0000099A0000}"/>
    <cellStyle name="Финансовый 4 2 2 2 4 2 4 2 2" xfId="43884" xr:uid="{00000000-0005-0000-0000-00000A9A0000}"/>
    <cellStyle name="Финансовый 4 2 2 2 4 2 4 3" xfId="31906" xr:uid="{00000000-0005-0000-0000-00000B9A0000}"/>
    <cellStyle name="Финансовый 4 2 2 2 4 2 5" xfId="9734" xr:uid="{00000000-0005-0000-0000-00000C9A0000}"/>
    <cellStyle name="Финансовый 4 2 2 2 4 2 5 2" xfId="21712" xr:uid="{00000000-0005-0000-0000-00000D9A0000}"/>
    <cellStyle name="Финансовый 4 2 2 2 4 2 5 2 2" xfId="45667" xr:uid="{00000000-0005-0000-0000-00000E9A0000}"/>
    <cellStyle name="Финансовый 4 2 2 2 4 2 5 3" xfId="33689" xr:uid="{00000000-0005-0000-0000-00000F9A0000}"/>
    <cellStyle name="Финансовый 4 2 2 2 4 2 6" xfId="13892" xr:uid="{00000000-0005-0000-0000-0000109A0000}"/>
    <cellStyle name="Финансовый 4 2 2 2 4 2 6 2" xfId="37847" xr:uid="{00000000-0005-0000-0000-0000119A0000}"/>
    <cellStyle name="Финансовый 4 2 2 2 4 2 7" xfId="25870" xr:uid="{00000000-0005-0000-0000-0000129A0000}"/>
    <cellStyle name="Финансовый 4 2 2 2 4 2 8" xfId="49003" xr:uid="{00000000-0005-0000-0000-0000139A0000}"/>
    <cellStyle name="Финансовый 4 2 2 2 4 3" xfId="4855" xr:uid="{00000000-0005-0000-0000-0000149A0000}"/>
    <cellStyle name="Финансовый 4 2 2 2 4 3 2" xfId="16834" xr:uid="{00000000-0005-0000-0000-0000159A0000}"/>
    <cellStyle name="Финансовый 4 2 2 2 4 3 2 2" xfId="40789" xr:uid="{00000000-0005-0000-0000-0000169A0000}"/>
    <cellStyle name="Финансовый 4 2 2 2 4 3 3" xfId="28811" xr:uid="{00000000-0005-0000-0000-0000179A0000}"/>
    <cellStyle name="Финансовый 4 2 2 2 4 3 4" xfId="50299" xr:uid="{00000000-0005-0000-0000-0000189A0000}"/>
    <cellStyle name="Финансовый 4 2 2 2 4 4" xfId="7466" xr:uid="{00000000-0005-0000-0000-0000199A0000}"/>
    <cellStyle name="Финансовый 4 2 2 2 4 4 2" xfId="19444" xr:uid="{00000000-0005-0000-0000-00001A9A0000}"/>
    <cellStyle name="Финансовый 4 2 2 2 4 4 2 2" xfId="43399" xr:uid="{00000000-0005-0000-0000-00001B9A0000}"/>
    <cellStyle name="Финансовый 4 2 2 2 4 4 3" xfId="31421" xr:uid="{00000000-0005-0000-0000-00001C9A0000}"/>
    <cellStyle name="Финансовый 4 2 2 2 4 5" xfId="9249" xr:uid="{00000000-0005-0000-0000-00001D9A0000}"/>
    <cellStyle name="Финансовый 4 2 2 2 4 5 2" xfId="21227" xr:uid="{00000000-0005-0000-0000-00001E9A0000}"/>
    <cellStyle name="Финансовый 4 2 2 2 4 5 2 2" xfId="45182" xr:uid="{00000000-0005-0000-0000-00001F9A0000}"/>
    <cellStyle name="Финансовый 4 2 2 2 4 5 3" xfId="33204" xr:uid="{00000000-0005-0000-0000-0000209A0000}"/>
    <cellStyle name="Финансовый 4 2 2 2 4 6" xfId="13407" xr:uid="{00000000-0005-0000-0000-0000219A0000}"/>
    <cellStyle name="Финансовый 4 2 2 2 4 6 2" xfId="37362" xr:uid="{00000000-0005-0000-0000-0000229A0000}"/>
    <cellStyle name="Финансовый 4 2 2 2 4 7" xfId="25385" xr:uid="{00000000-0005-0000-0000-0000239A0000}"/>
    <cellStyle name="Финансовый 4 2 2 2 4 8" xfId="48518" xr:uid="{00000000-0005-0000-0000-0000249A0000}"/>
    <cellStyle name="Финансовый 4 2 2 2 5" xfId="1789" xr:uid="{00000000-0005-0000-0000-0000259A0000}"/>
    <cellStyle name="Финансовый 4 2 2 2 5 2" xfId="3434" xr:uid="{00000000-0005-0000-0000-0000269A0000}"/>
    <cellStyle name="Финансовый 4 2 2 2 5 2 2" xfId="11182" xr:uid="{00000000-0005-0000-0000-0000279A0000}"/>
    <cellStyle name="Финансовый 4 2 2 2 5 2 2 2" xfId="23160" xr:uid="{00000000-0005-0000-0000-0000289A0000}"/>
    <cellStyle name="Финансовый 4 2 2 2 5 2 2 2 2" xfId="47115" xr:uid="{00000000-0005-0000-0000-0000299A0000}"/>
    <cellStyle name="Финансовый 4 2 2 2 5 2 2 3" xfId="35137" xr:uid="{00000000-0005-0000-0000-00002A9A0000}"/>
    <cellStyle name="Финансовый 4 2 2 2 5 2 3" xfId="15413" xr:uid="{00000000-0005-0000-0000-00002B9A0000}"/>
    <cellStyle name="Финансовый 4 2 2 2 5 2 3 2" xfId="39368" xr:uid="{00000000-0005-0000-0000-00002C9A0000}"/>
    <cellStyle name="Финансовый 4 2 2 2 5 2 4" xfId="27391" xr:uid="{00000000-0005-0000-0000-00002D9A0000}"/>
    <cellStyle name="Финансовый 4 2 2 2 5 2 5" xfId="50660" xr:uid="{00000000-0005-0000-0000-00002E9A0000}"/>
    <cellStyle name="Финансовый 4 2 2 2 5 3" xfId="5217" xr:uid="{00000000-0005-0000-0000-00002F9A0000}"/>
    <cellStyle name="Финансовый 4 2 2 2 5 3 2" xfId="17195" xr:uid="{00000000-0005-0000-0000-0000309A0000}"/>
    <cellStyle name="Финансовый 4 2 2 2 5 3 2 2" xfId="41150" xr:uid="{00000000-0005-0000-0000-0000319A0000}"/>
    <cellStyle name="Финансовый 4 2 2 2 5 3 3" xfId="29172" xr:uid="{00000000-0005-0000-0000-0000329A0000}"/>
    <cellStyle name="Финансовый 4 2 2 2 5 4" xfId="7827" xr:uid="{00000000-0005-0000-0000-0000339A0000}"/>
    <cellStyle name="Финансовый 4 2 2 2 5 4 2" xfId="19805" xr:uid="{00000000-0005-0000-0000-0000349A0000}"/>
    <cellStyle name="Финансовый 4 2 2 2 5 4 2 2" xfId="43760" xr:uid="{00000000-0005-0000-0000-0000359A0000}"/>
    <cellStyle name="Финансовый 4 2 2 2 5 4 3" xfId="31782" xr:uid="{00000000-0005-0000-0000-0000369A0000}"/>
    <cellStyle name="Финансовый 4 2 2 2 5 5" xfId="9610" xr:uid="{00000000-0005-0000-0000-0000379A0000}"/>
    <cellStyle name="Финансовый 4 2 2 2 5 5 2" xfId="21588" xr:uid="{00000000-0005-0000-0000-0000389A0000}"/>
    <cellStyle name="Финансовый 4 2 2 2 5 5 2 2" xfId="45543" xr:uid="{00000000-0005-0000-0000-0000399A0000}"/>
    <cellStyle name="Финансовый 4 2 2 2 5 5 3" xfId="33565" xr:uid="{00000000-0005-0000-0000-00003A9A0000}"/>
    <cellStyle name="Финансовый 4 2 2 2 5 6" xfId="13768" xr:uid="{00000000-0005-0000-0000-00003B9A0000}"/>
    <cellStyle name="Финансовый 4 2 2 2 5 6 2" xfId="37723" xr:uid="{00000000-0005-0000-0000-00003C9A0000}"/>
    <cellStyle name="Финансовый 4 2 2 2 5 7" xfId="25746" xr:uid="{00000000-0005-0000-0000-00003D9A0000}"/>
    <cellStyle name="Финансовый 4 2 2 2 5 8" xfId="48879" xr:uid="{00000000-0005-0000-0000-00003E9A0000}"/>
    <cellStyle name="Финансовый 4 2 2 2 6" xfId="2434" xr:uid="{00000000-0005-0000-0000-00003F9A0000}"/>
    <cellStyle name="Финансовый 4 2 2 2 6 2" xfId="4079" xr:uid="{00000000-0005-0000-0000-0000409A0000}"/>
    <cellStyle name="Финансовый 4 2 2 2 6 2 2" xfId="11811" xr:uid="{00000000-0005-0000-0000-0000419A0000}"/>
    <cellStyle name="Финансовый 4 2 2 2 6 2 2 2" xfId="23789" xr:uid="{00000000-0005-0000-0000-0000429A0000}"/>
    <cellStyle name="Финансовый 4 2 2 2 6 2 2 2 2" xfId="47744" xr:uid="{00000000-0005-0000-0000-0000439A0000}"/>
    <cellStyle name="Финансовый 4 2 2 2 6 2 2 3" xfId="35766" xr:uid="{00000000-0005-0000-0000-0000449A0000}"/>
    <cellStyle name="Финансовый 4 2 2 2 6 2 3" xfId="16058" xr:uid="{00000000-0005-0000-0000-0000459A0000}"/>
    <cellStyle name="Финансовый 4 2 2 2 6 2 3 2" xfId="40013" xr:uid="{00000000-0005-0000-0000-0000469A0000}"/>
    <cellStyle name="Финансовый 4 2 2 2 6 2 4" xfId="28036" xr:uid="{00000000-0005-0000-0000-0000479A0000}"/>
    <cellStyle name="Финансовый 4 2 2 2 6 2 5" xfId="51305" xr:uid="{00000000-0005-0000-0000-0000489A0000}"/>
    <cellStyle name="Финансовый 4 2 2 2 6 3" xfId="5862" xr:uid="{00000000-0005-0000-0000-0000499A0000}"/>
    <cellStyle name="Финансовый 4 2 2 2 6 3 2" xfId="17840" xr:uid="{00000000-0005-0000-0000-00004A9A0000}"/>
    <cellStyle name="Финансовый 4 2 2 2 6 3 2 2" xfId="41795" xr:uid="{00000000-0005-0000-0000-00004B9A0000}"/>
    <cellStyle name="Финансовый 4 2 2 2 6 3 3" xfId="29817" xr:uid="{00000000-0005-0000-0000-00004C9A0000}"/>
    <cellStyle name="Финансовый 4 2 2 2 6 4" xfId="8472" xr:uid="{00000000-0005-0000-0000-00004D9A0000}"/>
    <cellStyle name="Финансовый 4 2 2 2 6 4 2" xfId="20450" xr:uid="{00000000-0005-0000-0000-00004E9A0000}"/>
    <cellStyle name="Финансовый 4 2 2 2 6 4 2 2" xfId="44405" xr:uid="{00000000-0005-0000-0000-00004F9A0000}"/>
    <cellStyle name="Финансовый 4 2 2 2 6 4 3" xfId="32427" xr:uid="{00000000-0005-0000-0000-0000509A0000}"/>
    <cellStyle name="Финансовый 4 2 2 2 6 5" xfId="10255" xr:uid="{00000000-0005-0000-0000-0000519A0000}"/>
    <cellStyle name="Финансовый 4 2 2 2 6 5 2" xfId="22233" xr:uid="{00000000-0005-0000-0000-0000529A0000}"/>
    <cellStyle name="Финансовый 4 2 2 2 6 5 2 2" xfId="46188" xr:uid="{00000000-0005-0000-0000-0000539A0000}"/>
    <cellStyle name="Финансовый 4 2 2 2 6 5 3" xfId="34210" xr:uid="{00000000-0005-0000-0000-0000549A0000}"/>
    <cellStyle name="Финансовый 4 2 2 2 6 6" xfId="14413" xr:uid="{00000000-0005-0000-0000-0000559A0000}"/>
    <cellStyle name="Финансовый 4 2 2 2 6 6 2" xfId="38368" xr:uid="{00000000-0005-0000-0000-0000569A0000}"/>
    <cellStyle name="Финансовый 4 2 2 2 6 7" xfId="26391" xr:uid="{00000000-0005-0000-0000-0000579A0000}"/>
    <cellStyle name="Финансовый 4 2 2 2 6 8" xfId="49524" xr:uid="{00000000-0005-0000-0000-0000589A0000}"/>
    <cellStyle name="Финансовый 4 2 2 2 7" xfId="1661" xr:uid="{00000000-0005-0000-0000-0000599A0000}"/>
    <cellStyle name="Финансовый 4 2 2 2 7 2" xfId="3306" xr:uid="{00000000-0005-0000-0000-00005A9A0000}"/>
    <cellStyle name="Финансовый 4 2 2 2 7 2 2" xfId="11054" xr:uid="{00000000-0005-0000-0000-00005B9A0000}"/>
    <cellStyle name="Финансовый 4 2 2 2 7 2 2 2" xfId="23032" xr:uid="{00000000-0005-0000-0000-00005C9A0000}"/>
    <cellStyle name="Финансовый 4 2 2 2 7 2 2 2 2" xfId="46987" xr:uid="{00000000-0005-0000-0000-00005D9A0000}"/>
    <cellStyle name="Финансовый 4 2 2 2 7 2 2 3" xfId="35009" xr:uid="{00000000-0005-0000-0000-00005E9A0000}"/>
    <cellStyle name="Финансовый 4 2 2 2 7 2 3" xfId="15285" xr:uid="{00000000-0005-0000-0000-00005F9A0000}"/>
    <cellStyle name="Финансовый 4 2 2 2 7 2 3 2" xfId="39240" xr:uid="{00000000-0005-0000-0000-0000609A0000}"/>
    <cellStyle name="Финансовый 4 2 2 2 7 2 4" xfId="27263" xr:uid="{00000000-0005-0000-0000-0000619A0000}"/>
    <cellStyle name="Финансовый 4 2 2 2 7 2 5" xfId="50532" xr:uid="{00000000-0005-0000-0000-0000629A0000}"/>
    <cellStyle name="Финансовый 4 2 2 2 7 3" xfId="5089" xr:uid="{00000000-0005-0000-0000-0000639A0000}"/>
    <cellStyle name="Финансовый 4 2 2 2 7 3 2" xfId="17067" xr:uid="{00000000-0005-0000-0000-0000649A0000}"/>
    <cellStyle name="Финансовый 4 2 2 2 7 3 2 2" xfId="41022" xr:uid="{00000000-0005-0000-0000-0000659A0000}"/>
    <cellStyle name="Финансовый 4 2 2 2 7 3 3" xfId="29044" xr:uid="{00000000-0005-0000-0000-0000669A0000}"/>
    <cellStyle name="Финансовый 4 2 2 2 7 4" xfId="7699" xr:uid="{00000000-0005-0000-0000-0000679A0000}"/>
    <cellStyle name="Финансовый 4 2 2 2 7 4 2" xfId="19677" xr:uid="{00000000-0005-0000-0000-0000689A0000}"/>
    <cellStyle name="Финансовый 4 2 2 2 7 4 2 2" xfId="43632" xr:uid="{00000000-0005-0000-0000-0000699A0000}"/>
    <cellStyle name="Финансовый 4 2 2 2 7 4 3" xfId="31654" xr:uid="{00000000-0005-0000-0000-00006A9A0000}"/>
    <cellStyle name="Финансовый 4 2 2 2 7 5" xfId="9482" xr:uid="{00000000-0005-0000-0000-00006B9A0000}"/>
    <cellStyle name="Финансовый 4 2 2 2 7 5 2" xfId="21460" xr:uid="{00000000-0005-0000-0000-00006C9A0000}"/>
    <cellStyle name="Финансовый 4 2 2 2 7 5 2 2" xfId="45415" xr:uid="{00000000-0005-0000-0000-00006D9A0000}"/>
    <cellStyle name="Финансовый 4 2 2 2 7 5 3" xfId="33437" xr:uid="{00000000-0005-0000-0000-00006E9A0000}"/>
    <cellStyle name="Финансовый 4 2 2 2 7 6" xfId="13640" xr:uid="{00000000-0005-0000-0000-00006F9A0000}"/>
    <cellStyle name="Финансовый 4 2 2 2 7 6 2" xfId="37595" xr:uid="{00000000-0005-0000-0000-0000709A0000}"/>
    <cellStyle name="Финансовый 4 2 2 2 7 7" xfId="25618" xr:uid="{00000000-0005-0000-0000-0000719A0000}"/>
    <cellStyle name="Финансовый 4 2 2 2 7 8" xfId="48751" xr:uid="{00000000-0005-0000-0000-0000729A0000}"/>
    <cellStyle name="Финансовый 4 2 2 2 8" xfId="938" xr:uid="{00000000-0005-0000-0000-0000739A0000}"/>
    <cellStyle name="Финансовый 4 2 2 2 8 2" xfId="6978" xr:uid="{00000000-0005-0000-0000-0000749A0000}"/>
    <cellStyle name="Финансовый 4 2 2 2 8 2 2" xfId="18956" xr:uid="{00000000-0005-0000-0000-0000759A0000}"/>
    <cellStyle name="Финансовый 4 2 2 2 8 2 2 2" xfId="42911" xr:uid="{00000000-0005-0000-0000-0000769A0000}"/>
    <cellStyle name="Финансовый 4 2 2 2 8 2 3" xfId="30933" xr:uid="{00000000-0005-0000-0000-0000779A0000}"/>
    <cellStyle name="Финансовый 4 2 2 2 8 3" xfId="10526" xr:uid="{00000000-0005-0000-0000-0000789A0000}"/>
    <cellStyle name="Финансовый 4 2 2 2 8 3 2" xfId="22504" xr:uid="{00000000-0005-0000-0000-0000799A0000}"/>
    <cellStyle name="Финансовый 4 2 2 2 8 3 2 2" xfId="46459" xr:uid="{00000000-0005-0000-0000-00007A9A0000}"/>
    <cellStyle name="Финансовый 4 2 2 2 8 3 3" xfId="34481" xr:uid="{00000000-0005-0000-0000-00007B9A0000}"/>
    <cellStyle name="Финансовый 4 2 2 2 8 4" xfId="12919" xr:uid="{00000000-0005-0000-0000-00007C9A0000}"/>
    <cellStyle name="Финансовый 4 2 2 2 8 4 2" xfId="36874" xr:uid="{00000000-0005-0000-0000-00007D9A0000}"/>
    <cellStyle name="Финансовый 4 2 2 2 8 5" xfId="24897" xr:uid="{00000000-0005-0000-0000-00007E9A0000}"/>
    <cellStyle name="Финансовый 4 2 2 2 8 6" xfId="49803" xr:uid="{00000000-0005-0000-0000-00007F9A0000}"/>
    <cellStyle name="Финансовый 4 2 2 2 9" xfId="526" xr:uid="{00000000-0005-0000-0000-0000809A0000}"/>
    <cellStyle name="Финансовый 4 2 2 2 9 2" xfId="6566" xr:uid="{00000000-0005-0000-0000-0000819A0000}"/>
    <cellStyle name="Финансовый 4 2 2 2 9 2 2" xfId="18544" xr:uid="{00000000-0005-0000-0000-0000829A0000}"/>
    <cellStyle name="Финансовый 4 2 2 2 9 2 2 2" xfId="42499" xr:uid="{00000000-0005-0000-0000-0000839A0000}"/>
    <cellStyle name="Финансовый 4 2 2 2 9 2 3" xfId="30521" xr:uid="{00000000-0005-0000-0000-0000849A0000}"/>
    <cellStyle name="Финансовый 4 2 2 2 9 3" xfId="12507" xr:uid="{00000000-0005-0000-0000-0000859A0000}"/>
    <cellStyle name="Финансовый 4 2 2 2 9 3 2" xfId="36462" xr:uid="{00000000-0005-0000-0000-0000869A0000}"/>
    <cellStyle name="Финансовый 4 2 2 2 9 4" xfId="24485" xr:uid="{00000000-0005-0000-0000-0000879A0000}"/>
    <cellStyle name="Финансовый 4 2 2 3" xfId="185" xr:uid="{00000000-0005-0000-0000-0000889A0000}"/>
    <cellStyle name="Финансовый 4 2 2 3 10" xfId="8833" xr:uid="{00000000-0005-0000-0000-0000899A0000}"/>
    <cellStyle name="Финансовый 4 2 2 3 10 2" xfId="20811" xr:uid="{00000000-0005-0000-0000-00008A9A0000}"/>
    <cellStyle name="Финансовый 4 2 2 3 10 2 2" xfId="44766" xr:uid="{00000000-0005-0000-0000-00008B9A0000}"/>
    <cellStyle name="Финансовый 4 2 2 3 10 3" xfId="32788" xr:uid="{00000000-0005-0000-0000-00008C9A0000}"/>
    <cellStyle name="Финансовый 4 2 2 3 11" xfId="12167" xr:uid="{00000000-0005-0000-0000-00008D9A0000}"/>
    <cellStyle name="Финансовый 4 2 2 3 11 2" xfId="36122" xr:uid="{00000000-0005-0000-0000-00008E9A0000}"/>
    <cellStyle name="Финансовый 4 2 2 3 12" xfId="24145" xr:uid="{00000000-0005-0000-0000-00008F9A0000}"/>
    <cellStyle name="Финансовый 4 2 2 3 13" xfId="48103" xr:uid="{00000000-0005-0000-0000-0000909A0000}"/>
    <cellStyle name="Финансовый 4 2 2 3 2" xfId="1283" xr:uid="{00000000-0005-0000-0000-0000919A0000}"/>
    <cellStyle name="Финансовый 4 2 2 3 2 2" xfId="2249" xr:uid="{00000000-0005-0000-0000-0000929A0000}"/>
    <cellStyle name="Финансовый 4 2 2 3 2 2 2" xfId="3894" xr:uid="{00000000-0005-0000-0000-0000939A0000}"/>
    <cellStyle name="Финансовый 4 2 2 3 2 2 2 2" xfId="11634" xr:uid="{00000000-0005-0000-0000-0000949A0000}"/>
    <cellStyle name="Финансовый 4 2 2 3 2 2 2 2 2" xfId="23612" xr:uid="{00000000-0005-0000-0000-0000959A0000}"/>
    <cellStyle name="Финансовый 4 2 2 3 2 2 2 2 2 2" xfId="47567" xr:uid="{00000000-0005-0000-0000-0000969A0000}"/>
    <cellStyle name="Финансовый 4 2 2 3 2 2 2 2 3" xfId="35589" xr:uid="{00000000-0005-0000-0000-0000979A0000}"/>
    <cellStyle name="Финансовый 4 2 2 3 2 2 2 3" xfId="15873" xr:uid="{00000000-0005-0000-0000-0000989A0000}"/>
    <cellStyle name="Финансовый 4 2 2 3 2 2 2 3 2" xfId="39828" xr:uid="{00000000-0005-0000-0000-0000999A0000}"/>
    <cellStyle name="Финансовый 4 2 2 3 2 2 2 4" xfId="27851" xr:uid="{00000000-0005-0000-0000-00009A9A0000}"/>
    <cellStyle name="Финансовый 4 2 2 3 2 2 2 5" xfId="51120" xr:uid="{00000000-0005-0000-0000-00009B9A0000}"/>
    <cellStyle name="Финансовый 4 2 2 3 2 2 3" xfId="5677" xr:uid="{00000000-0005-0000-0000-00009C9A0000}"/>
    <cellStyle name="Финансовый 4 2 2 3 2 2 3 2" xfId="17655" xr:uid="{00000000-0005-0000-0000-00009D9A0000}"/>
    <cellStyle name="Финансовый 4 2 2 3 2 2 3 2 2" xfId="41610" xr:uid="{00000000-0005-0000-0000-00009E9A0000}"/>
    <cellStyle name="Финансовый 4 2 2 3 2 2 3 3" xfId="29632" xr:uid="{00000000-0005-0000-0000-00009F9A0000}"/>
    <cellStyle name="Финансовый 4 2 2 3 2 2 4" xfId="8287" xr:uid="{00000000-0005-0000-0000-0000A09A0000}"/>
    <cellStyle name="Финансовый 4 2 2 3 2 2 4 2" xfId="20265" xr:uid="{00000000-0005-0000-0000-0000A19A0000}"/>
    <cellStyle name="Финансовый 4 2 2 3 2 2 4 2 2" xfId="44220" xr:uid="{00000000-0005-0000-0000-0000A29A0000}"/>
    <cellStyle name="Финансовый 4 2 2 3 2 2 4 3" xfId="32242" xr:uid="{00000000-0005-0000-0000-0000A39A0000}"/>
    <cellStyle name="Финансовый 4 2 2 3 2 2 5" xfId="10070" xr:uid="{00000000-0005-0000-0000-0000A49A0000}"/>
    <cellStyle name="Финансовый 4 2 2 3 2 2 5 2" xfId="22048" xr:uid="{00000000-0005-0000-0000-0000A59A0000}"/>
    <cellStyle name="Финансовый 4 2 2 3 2 2 5 2 2" xfId="46003" xr:uid="{00000000-0005-0000-0000-0000A69A0000}"/>
    <cellStyle name="Финансовый 4 2 2 3 2 2 5 3" xfId="34025" xr:uid="{00000000-0005-0000-0000-0000A79A0000}"/>
    <cellStyle name="Финансовый 4 2 2 3 2 2 6" xfId="14228" xr:uid="{00000000-0005-0000-0000-0000A89A0000}"/>
    <cellStyle name="Финансовый 4 2 2 3 2 2 6 2" xfId="38183" xr:uid="{00000000-0005-0000-0000-0000A99A0000}"/>
    <cellStyle name="Финансовый 4 2 2 3 2 2 7" xfId="26206" xr:uid="{00000000-0005-0000-0000-0000AA9A0000}"/>
    <cellStyle name="Финансовый 4 2 2 3 2 2 8" xfId="49339" xr:uid="{00000000-0005-0000-0000-0000AB9A0000}"/>
    <cellStyle name="Финансовый 4 2 2 3 2 3" xfId="3067" xr:uid="{00000000-0005-0000-0000-0000AC9A0000}"/>
    <cellStyle name="Финансовый 4 2 2 3 2 3 2" xfId="10862" xr:uid="{00000000-0005-0000-0000-0000AD9A0000}"/>
    <cellStyle name="Финансовый 4 2 2 3 2 3 2 2" xfId="22840" xr:uid="{00000000-0005-0000-0000-0000AE9A0000}"/>
    <cellStyle name="Финансовый 4 2 2 3 2 3 2 2 2" xfId="46795" xr:uid="{00000000-0005-0000-0000-0000AF9A0000}"/>
    <cellStyle name="Финансовый 4 2 2 3 2 3 2 3" xfId="34817" xr:uid="{00000000-0005-0000-0000-0000B09A0000}"/>
    <cellStyle name="Финансовый 4 2 2 3 2 3 3" xfId="15046" xr:uid="{00000000-0005-0000-0000-0000B19A0000}"/>
    <cellStyle name="Финансовый 4 2 2 3 2 3 3 2" xfId="39001" xr:uid="{00000000-0005-0000-0000-0000B29A0000}"/>
    <cellStyle name="Финансовый 4 2 2 3 2 3 4" xfId="27024" xr:uid="{00000000-0005-0000-0000-0000B39A0000}"/>
    <cellStyle name="Финансовый 4 2 2 3 2 3 5" xfId="50155" xr:uid="{00000000-0005-0000-0000-0000B49A0000}"/>
    <cellStyle name="Финансовый 4 2 2 3 2 4" xfId="4711" xr:uid="{00000000-0005-0000-0000-0000B59A0000}"/>
    <cellStyle name="Финансовый 4 2 2 3 2 4 2" xfId="16690" xr:uid="{00000000-0005-0000-0000-0000B69A0000}"/>
    <cellStyle name="Финансовый 4 2 2 3 2 4 2 2" xfId="40645" xr:uid="{00000000-0005-0000-0000-0000B79A0000}"/>
    <cellStyle name="Финансовый 4 2 2 3 2 4 3" xfId="28668" xr:uid="{00000000-0005-0000-0000-0000B89A0000}"/>
    <cellStyle name="Финансовый 4 2 2 3 2 5" xfId="7323" xr:uid="{00000000-0005-0000-0000-0000B99A0000}"/>
    <cellStyle name="Финансовый 4 2 2 3 2 5 2" xfId="19301" xr:uid="{00000000-0005-0000-0000-0000BA9A0000}"/>
    <cellStyle name="Финансовый 4 2 2 3 2 5 2 2" xfId="43256" xr:uid="{00000000-0005-0000-0000-0000BB9A0000}"/>
    <cellStyle name="Финансовый 4 2 2 3 2 5 3" xfId="31278" xr:uid="{00000000-0005-0000-0000-0000BC9A0000}"/>
    <cellStyle name="Финансовый 4 2 2 3 2 6" xfId="9105" xr:uid="{00000000-0005-0000-0000-0000BD9A0000}"/>
    <cellStyle name="Финансовый 4 2 2 3 2 6 2" xfId="21083" xr:uid="{00000000-0005-0000-0000-0000BE9A0000}"/>
    <cellStyle name="Финансовый 4 2 2 3 2 6 2 2" xfId="45038" xr:uid="{00000000-0005-0000-0000-0000BF9A0000}"/>
    <cellStyle name="Финансовый 4 2 2 3 2 6 3" xfId="33060" xr:uid="{00000000-0005-0000-0000-0000C09A0000}"/>
    <cellStyle name="Финансовый 4 2 2 3 2 7" xfId="13264" xr:uid="{00000000-0005-0000-0000-0000C19A0000}"/>
    <cellStyle name="Финансовый 4 2 2 3 2 7 2" xfId="37219" xr:uid="{00000000-0005-0000-0000-0000C29A0000}"/>
    <cellStyle name="Финансовый 4 2 2 3 2 8" xfId="25242" xr:uid="{00000000-0005-0000-0000-0000C39A0000}"/>
    <cellStyle name="Финансовый 4 2 2 3 2 9" xfId="48375" xr:uid="{00000000-0005-0000-0000-0000C49A0000}"/>
    <cellStyle name="Финансовый 4 2 2 3 3" xfId="1993" xr:uid="{00000000-0005-0000-0000-0000C59A0000}"/>
    <cellStyle name="Финансовый 4 2 2 3 3 2" xfId="3638" xr:uid="{00000000-0005-0000-0000-0000C69A0000}"/>
    <cellStyle name="Финансовый 4 2 2 3 3 2 2" xfId="11378" xr:uid="{00000000-0005-0000-0000-0000C79A0000}"/>
    <cellStyle name="Финансовый 4 2 2 3 3 2 2 2" xfId="23356" xr:uid="{00000000-0005-0000-0000-0000C89A0000}"/>
    <cellStyle name="Финансовый 4 2 2 3 3 2 2 2 2" xfId="47311" xr:uid="{00000000-0005-0000-0000-0000C99A0000}"/>
    <cellStyle name="Финансовый 4 2 2 3 3 2 2 3" xfId="35333" xr:uid="{00000000-0005-0000-0000-0000CA9A0000}"/>
    <cellStyle name="Финансовый 4 2 2 3 3 2 3" xfId="15617" xr:uid="{00000000-0005-0000-0000-0000CB9A0000}"/>
    <cellStyle name="Финансовый 4 2 2 3 3 2 3 2" xfId="39572" xr:uid="{00000000-0005-0000-0000-0000CC9A0000}"/>
    <cellStyle name="Финансовый 4 2 2 3 3 2 4" xfId="27595" xr:uid="{00000000-0005-0000-0000-0000CD9A0000}"/>
    <cellStyle name="Финансовый 4 2 2 3 3 2 5" xfId="50864" xr:uid="{00000000-0005-0000-0000-0000CE9A0000}"/>
    <cellStyle name="Финансовый 4 2 2 3 3 3" xfId="5421" xr:uid="{00000000-0005-0000-0000-0000CF9A0000}"/>
    <cellStyle name="Финансовый 4 2 2 3 3 3 2" xfId="17399" xr:uid="{00000000-0005-0000-0000-0000D09A0000}"/>
    <cellStyle name="Финансовый 4 2 2 3 3 3 2 2" xfId="41354" xr:uid="{00000000-0005-0000-0000-0000D19A0000}"/>
    <cellStyle name="Финансовый 4 2 2 3 3 3 3" xfId="29376" xr:uid="{00000000-0005-0000-0000-0000D29A0000}"/>
    <cellStyle name="Финансовый 4 2 2 3 3 4" xfId="8031" xr:uid="{00000000-0005-0000-0000-0000D39A0000}"/>
    <cellStyle name="Финансовый 4 2 2 3 3 4 2" xfId="20009" xr:uid="{00000000-0005-0000-0000-0000D49A0000}"/>
    <cellStyle name="Финансовый 4 2 2 3 3 4 2 2" xfId="43964" xr:uid="{00000000-0005-0000-0000-0000D59A0000}"/>
    <cellStyle name="Финансовый 4 2 2 3 3 4 3" xfId="31986" xr:uid="{00000000-0005-0000-0000-0000D69A0000}"/>
    <cellStyle name="Финансовый 4 2 2 3 3 5" xfId="9814" xr:uid="{00000000-0005-0000-0000-0000D79A0000}"/>
    <cellStyle name="Финансовый 4 2 2 3 3 5 2" xfId="21792" xr:uid="{00000000-0005-0000-0000-0000D89A0000}"/>
    <cellStyle name="Финансовый 4 2 2 3 3 5 2 2" xfId="45747" xr:uid="{00000000-0005-0000-0000-0000D99A0000}"/>
    <cellStyle name="Финансовый 4 2 2 3 3 5 3" xfId="33769" xr:uid="{00000000-0005-0000-0000-0000DA9A0000}"/>
    <cellStyle name="Финансовый 4 2 2 3 3 6" xfId="13972" xr:uid="{00000000-0005-0000-0000-0000DB9A0000}"/>
    <cellStyle name="Финансовый 4 2 2 3 3 6 2" xfId="37927" xr:uid="{00000000-0005-0000-0000-0000DC9A0000}"/>
    <cellStyle name="Финансовый 4 2 2 3 3 7" xfId="25950" xr:uid="{00000000-0005-0000-0000-0000DD9A0000}"/>
    <cellStyle name="Финансовый 4 2 2 3 3 8" xfId="49083" xr:uid="{00000000-0005-0000-0000-0000DE9A0000}"/>
    <cellStyle name="Финансовый 4 2 2 3 4" xfId="2514" xr:uid="{00000000-0005-0000-0000-0000DF9A0000}"/>
    <cellStyle name="Финансовый 4 2 2 3 4 2" xfId="4159" xr:uid="{00000000-0005-0000-0000-0000E09A0000}"/>
    <cellStyle name="Финансовый 4 2 2 3 4 2 2" xfId="11891" xr:uid="{00000000-0005-0000-0000-0000E19A0000}"/>
    <cellStyle name="Финансовый 4 2 2 3 4 2 2 2" xfId="23869" xr:uid="{00000000-0005-0000-0000-0000E29A0000}"/>
    <cellStyle name="Финансовый 4 2 2 3 4 2 2 2 2" xfId="47824" xr:uid="{00000000-0005-0000-0000-0000E39A0000}"/>
    <cellStyle name="Финансовый 4 2 2 3 4 2 2 3" xfId="35846" xr:uid="{00000000-0005-0000-0000-0000E49A0000}"/>
    <cellStyle name="Финансовый 4 2 2 3 4 2 3" xfId="16138" xr:uid="{00000000-0005-0000-0000-0000E59A0000}"/>
    <cellStyle name="Финансовый 4 2 2 3 4 2 3 2" xfId="40093" xr:uid="{00000000-0005-0000-0000-0000E69A0000}"/>
    <cellStyle name="Финансовый 4 2 2 3 4 2 4" xfId="28116" xr:uid="{00000000-0005-0000-0000-0000E79A0000}"/>
    <cellStyle name="Финансовый 4 2 2 3 4 2 5" xfId="51385" xr:uid="{00000000-0005-0000-0000-0000E89A0000}"/>
    <cellStyle name="Финансовый 4 2 2 3 4 3" xfId="5942" xr:uid="{00000000-0005-0000-0000-0000E99A0000}"/>
    <cellStyle name="Финансовый 4 2 2 3 4 3 2" xfId="17920" xr:uid="{00000000-0005-0000-0000-0000EA9A0000}"/>
    <cellStyle name="Финансовый 4 2 2 3 4 3 2 2" xfId="41875" xr:uid="{00000000-0005-0000-0000-0000EB9A0000}"/>
    <cellStyle name="Финансовый 4 2 2 3 4 3 3" xfId="29897" xr:uid="{00000000-0005-0000-0000-0000EC9A0000}"/>
    <cellStyle name="Финансовый 4 2 2 3 4 4" xfId="8552" xr:uid="{00000000-0005-0000-0000-0000ED9A0000}"/>
    <cellStyle name="Финансовый 4 2 2 3 4 4 2" xfId="20530" xr:uid="{00000000-0005-0000-0000-0000EE9A0000}"/>
    <cellStyle name="Финансовый 4 2 2 3 4 4 2 2" xfId="44485" xr:uid="{00000000-0005-0000-0000-0000EF9A0000}"/>
    <cellStyle name="Финансовый 4 2 2 3 4 4 3" xfId="32507" xr:uid="{00000000-0005-0000-0000-0000F09A0000}"/>
    <cellStyle name="Финансовый 4 2 2 3 4 5" xfId="10335" xr:uid="{00000000-0005-0000-0000-0000F19A0000}"/>
    <cellStyle name="Финансовый 4 2 2 3 4 5 2" xfId="22313" xr:uid="{00000000-0005-0000-0000-0000F29A0000}"/>
    <cellStyle name="Финансовый 4 2 2 3 4 5 2 2" xfId="46268" xr:uid="{00000000-0005-0000-0000-0000F39A0000}"/>
    <cellStyle name="Финансовый 4 2 2 3 4 5 3" xfId="34290" xr:uid="{00000000-0005-0000-0000-0000F49A0000}"/>
    <cellStyle name="Финансовый 4 2 2 3 4 6" xfId="14493" xr:uid="{00000000-0005-0000-0000-0000F59A0000}"/>
    <cellStyle name="Финансовый 4 2 2 3 4 6 2" xfId="38448" xr:uid="{00000000-0005-0000-0000-0000F69A0000}"/>
    <cellStyle name="Финансовый 4 2 2 3 4 7" xfId="26471" xr:uid="{00000000-0005-0000-0000-0000F79A0000}"/>
    <cellStyle name="Финансовый 4 2 2 3 4 8" xfId="49604" xr:uid="{00000000-0005-0000-0000-0000F89A0000}"/>
    <cellStyle name="Финансовый 4 2 2 3 5" xfId="1018" xr:uid="{00000000-0005-0000-0000-0000F99A0000}"/>
    <cellStyle name="Финансовый 4 2 2 3 5 2" xfId="7058" xr:uid="{00000000-0005-0000-0000-0000FA9A0000}"/>
    <cellStyle name="Финансовый 4 2 2 3 5 2 2" xfId="19036" xr:uid="{00000000-0005-0000-0000-0000FB9A0000}"/>
    <cellStyle name="Финансовый 4 2 2 3 5 2 2 2" xfId="42991" xr:uid="{00000000-0005-0000-0000-0000FC9A0000}"/>
    <cellStyle name="Финансовый 4 2 2 3 5 2 3" xfId="31013" xr:uid="{00000000-0005-0000-0000-0000FD9A0000}"/>
    <cellStyle name="Финансовый 4 2 2 3 5 3" xfId="10606" xr:uid="{00000000-0005-0000-0000-0000FE9A0000}"/>
    <cellStyle name="Финансовый 4 2 2 3 5 3 2" xfId="22584" xr:uid="{00000000-0005-0000-0000-0000FF9A0000}"/>
    <cellStyle name="Финансовый 4 2 2 3 5 3 2 2" xfId="46539" xr:uid="{00000000-0005-0000-0000-0000009B0000}"/>
    <cellStyle name="Финансовый 4 2 2 3 5 3 3" xfId="34561" xr:uid="{00000000-0005-0000-0000-0000019B0000}"/>
    <cellStyle name="Финансовый 4 2 2 3 5 4" xfId="12999" xr:uid="{00000000-0005-0000-0000-0000029B0000}"/>
    <cellStyle name="Финансовый 4 2 2 3 5 4 2" xfId="36954" xr:uid="{00000000-0005-0000-0000-0000039B0000}"/>
    <cellStyle name="Финансовый 4 2 2 3 5 5" xfId="24977" xr:uid="{00000000-0005-0000-0000-0000049B0000}"/>
    <cellStyle name="Финансовый 4 2 2 3 5 6" xfId="49883" xr:uid="{00000000-0005-0000-0000-0000059B0000}"/>
    <cellStyle name="Финансовый 4 2 2 3 6" xfId="606" xr:uid="{00000000-0005-0000-0000-0000069B0000}"/>
    <cellStyle name="Финансовый 4 2 2 3 6 2" xfId="6646" xr:uid="{00000000-0005-0000-0000-0000079B0000}"/>
    <cellStyle name="Финансовый 4 2 2 3 6 2 2" xfId="18624" xr:uid="{00000000-0005-0000-0000-0000089B0000}"/>
    <cellStyle name="Финансовый 4 2 2 3 6 2 2 2" xfId="42579" xr:uid="{00000000-0005-0000-0000-0000099B0000}"/>
    <cellStyle name="Финансовый 4 2 2 3 6 2 3" xfId="30601" xr:uid="{00000000-0005-0000-0000-00000A9B0000}"/>
    <cellStyle name="Финансовый 4 2 2 3 6 3" xfId="12587" xr:uid="{00000000-0005-0000-0000-00000B9B0000}"/>
    <cellStyle name="Финансовый 4 2 2 3 6 3 2" xfId="36542" xr:uid="{00000000-0005-0000-0000-00000C9B0000}"/>
    <cellStyle name="Финансовый 4 2 2 3 6 4" xfId="24565" xr:uid="{00000000-0005-0000-0000-00000D9B0000}"/>
    <cellStyle name="Финансовый 4 2 2 3 7" xfId="2795" xr:uid="{00000000-0005-0000-0000-00000E9B0000}"/>
    <cellStyle name="Финансовый 4 2 2 3 7 2" xfId="14774" xr:uid="{00000000-0005-0000-0000-00000F9B0000}"/>
    <cellStyle name="Финансовый 4 2 2 3 7 2 2" xfId="38729" xr:uid="{00000000-0005-0000-0000-0000109B0000}"/>
    <cellStyle name="Финансовый 4 2 2 3 7 3" xfId="26752" xr:uid="{00000000-0005-0000-0000-0000119B0000}"/>
    <cellStyle name="Финансовый 4 2 2 3 8" xfId="4439" xr:uid="{00000000-0005-0000-0000-0000129B0000}"/>
    <cellStyle name="Финансовый 4 2 2 3 8 2" xfId="16418" xr:uid="{00000000-0005-0000-0000-0000139B0000}"/>
    <cellStyle name="Финансовый 4 2 2 3 8 2 2" xfId="40373" xr:uid="{00000000-0005-0000-0000-0000149B0000}"/>
    <cellStyle name="Финансовый 4 2 2 3 8 3" xfId="28396" xr:uid="{00000000-0005-0000-0000-0000159B0000}"/>
    <cellStyle name="Финансовый 4 2 2 3 9" xfId="6226" xr:uid="{00000000-0005-0000-0000-0000169B0000}"/>
    <cellStyle name="Финансовый 4 2 2 3 9 2" xfId="18204" xr:uid="{00000000-0005-0000-0000-0000179B0000}"/>
    <cellStyle name="Финансовый 4 2 2 3 9 2 2" xfId="42159" xr:uid="{00000000-0005-0000-0000-0000189B0000}"/>
    <cellStyle name="Финансовый 4 2 2 3 9 3" xfId="30181" xr:uid="{00000000-0005-0000-0000-0000199B0000}"/>
    <cellStyle name="Финансовый 4 2 2 4" xfId="334" xr:uid="{00000000-0005-0000-0000-00001A9B0000}"/>
    <cellStyle name="Финансовый 4 2 2 4 10" xfId="24293" xr:uid="{00000000-0005-0000-0000-00001B9B0000}"/>
    <cellStyle name="Финансовый 4 2 2 4 11" xfId="48239" xr:uid="{00000000-0005-0000-0000-00001C9B0000}"/>
    <cellStyle name="Финансовый 4 2 2 4 2" xfId="2121" xr:uid="{00000000-0005-0000-0000-00001D9B0000}"/>
    <cellStyle name="Финансовый 4 2 2 4 2 2" xfId="3766" xr:uid="{00000000-0005-0000-0000-00001E9B0000}"/>
    <cellStyle name="Финансовый 4 2 2 4 2 2 2" xfId="11506" xr:uid="{00000000-0005-0000-0000-00001F9B0000}"/>
    <cellStyle name="Финансовый 4 2 2 4 2 2 2 2" xfId="23484" xr:uid="{00000000-0005-0000-0000-0000209B0000}"/>
    <cellStyle name="Финансовый 4 2 2 4 2 2 2 2 2" xfId="47439" xr:uid="{00000000-0005-0000-0000-0000219B0000}"/>
    <cellStyle name="Финансовый 4 2 2 4 2 2 2 3" xfId="35461" xr:uid="{00000000-0005-0000-0000-0000229B0000}"/>
    <cellStyle name="Финансовый 4 2 2 4 2 2 3" xfId="15745" xr:uid="{00000000-0005-0000-0000-0000239B0000}"/>
    <cellStyle name="Финансовый 4 2 2 4 2 2 3 2" xfId="39700" xr:uid="{00000000-0005-0000-0000-0000249B0000}"/>
    <cellStyle name="Финансовый 4 2 2 4 2 2 4" xfId="27723" xr:uid="{00000000-0005-0000-0000-0000259B0000}"/>
    <cellStyle name="Финансовый 4 2 2 4 2 2 5" xfId="50992" xr:uid="{00000000-0005-0000-0000-0000269B0000}"/>
    <cellStyle name="Финансовый 4 2 2 4 2 3" xfId="5549" xr:uid="{00000000-0005-0000-0000-0000279B0000}"/>
    <cellStyle name="Финансовый 4 2 2 4 2 3 2" xfId="17527" xr:uid="{00000000-0005-0000-0000-0000289B0000}"/>
    <cellStyle name="Финансовый 4 2 2 4 2 3 2 2" xfId="41482" xr:uid="{00000000-0005-0000-0000-0000299B0000}"/>
    <cellStyle name="Финансовый 4 2 2 4 2 3 3" xfId="29504" xr:uid="{00000000-0005-0000-0000-00002A9B0000}"/>
    <cellStyle name="Финансовый 4 2 2 4 2 4" xfId="8159" xr:uid="{00000000-0005-0000-0000-00002B9B0000}"/>
    <cellStyle name="Финансовый 4 2 2 4 2 4 2" xfId="20137" xr:uid="{00000000-0005-0000-0000-00002C9B0000}"/>
    <cellStyle name="Финансовый 4 2 2 4 2 4 2 2" xfId="44092" xr:uid="{00000000-0005-0000-0000-00002D9B0000}"/>
    <cellStyle name="Финансовый 4 2 2 4 2 4 3" xfId="32114" xr:uid="{00000000-0005-0000-0000-00002E9B0000}"/>
    <cellStyle name="Финансовый 4 2 2 4 2 5" xfId="9942" xr:uid="{00000000-0005-0000-0000-00002F9B0000}"/>
    <cellStyle name="Финансовый 4 2 2 4 2 5 2" xfId="21920" xr:uid="{00000000-0005-0000-0000-0000309B0000}"/>
    <cellStyle name="Финансовый 4 2 2 4 2 5 2 2" xfId="45875" xr:uid="{00000000-0005-0000-0000-0000319B0000}"/>
    <cellStyle name="Финансовый 4 2 2 4 2 5 3" xfId="33897" xr:uid="{00000000-0005-0000-0000-0000329B0000}"/>
    <cellStyle name="Финансовый 4 2 2 4 2 6" xfId="14100" xr:uid="{00000000-0005-0000-0000-0000339B0000}"/>
    <cellStyle name="Финансовый 4 2 2 4 2 6 2" xfId="38055" xr:uid="{00000000-0005-0000-0000-0000349B0000}"/>
    <cellStyle name="Финансовый 4 2 2 4 2 7" xfId="26078" xr:uid="{00000000-0005-0000-0000-0000359B0000}"/>
    <cellStyle name="Финансовый 4 2 2 4 2 8" xfId="49211" xr:uid="{00000000-0005-0000-0000-0000369B0000}"/>
    <cellStyle name="Финансовый 4 2 2 4 3" xfId="1154" xr:uid="{00000000-0005-0000-0000-0000379B0000}"/>
    <cellStyle name="Финансовый 4 2 2 4 3 2" xfId="7194" xr:uid="{00000000-0005-0000-0000-0000389B0000}"/>
    <cellStyle name="Финансовый 4 2 2 4 3 2 2" xfId="19172" xr:uid="{00000000-0005-0000-0000-0000399B0000}"/>
    <cellStyle name="Финансовый 4 2 2 4 3 2 2 2" xfId="43127" xr:uid="{00000000-0005-0000-0000-00003A9B0000}"/>
    <cellStyle name="Финансовый 4 2 2 4 3 2 3" xfId="31149" xr:uid="{00000000-0005-0000-0000-00003B9B0000}"/>
    <cellStyle name="Финансовый 4 2 2 4 3 3" xfId="10734" xr:uid="{00000000-0005-0000-0000-00003C9B0000}"/>
    <cellStyle name="Финансовый 4 2 2 4 3 3 2" xfId="22712" xr:uid="{00000000-0005-0000-0000-00003D9B0000}"/>
    <cellStyle name="Финансовый 4 2 2 4 3 3 2 2" xfId="46667" xr:uid="{00000000-0005-0000-0000-00003E9B0000}"/>
    <cellStyle name="Финансовый 4 2 2 4 3 3 3" xfId="34689" xr:uid="{00000000-0005-0000-0000-00003F9B0000}"/>
    <cellStyle name="Финансовый 4 2 2 4 3 4" xfId="13135" xr:uid="{00000000-0005-0000-0000-0000409B0000}"/>
    <cellStyle name="Финансовый 4 2 2 4 3 4 2" xfId="37090" xr:uid="{00000000-0005-0000-0000-0000419B0000}"/>
    <cellStyle name="Финансовый 4 2 2 4 3 5" xfId="25113" xr:uid="{00000000-0005-0000-0000-0000429B0000}"/>
    <cellStyle name="Финансовый 4 2 2 4 3 6" xfId="50019" xr:uid="{00000000-0005-0000-0000-0000439B0000}"/>
    <cellStyle name="Финансовый 4 2 2 4 4" xfId="754" xr:uid="{00000000-0005-0000-0000-0000449B0000}"/>
    <cellStyle name="Финансовый 4 2 2 4 4 2" xfId="6794" xr:uid="{00000000-0005-0000-0000-0000459B0000}"/>
    <cellStyle name="Финансовый 4 2 2 4 4 2 2" xfId="18772" xr:uid="{00000000-0005-0000-0000-0000469B0000}"/>
    <cellStyle name="Финансовый 4 2 2 4 4 2 2 2" xfId="42727" xr:uid="{00000000-0005-0000-0000-0000479B0000}"/>
    <cellStyle name="Финансовый 4 2 2 4 4 2 3" xfId="30749" xr:uid="{00000000-0005-0000-0000-0000489B0000}"/>
    <cellStyle name="Финансовый 4 2 2 4 4 3" xfId="12735" xr:uid="{00000000-0005-0000-0000-0000499B0000}"/>
    <cellStyle name="Финансовый 4 2 2 4 4 3 2" xfId="36690" xr:uid="{00000000-0005-0000-0000-00004A9B0000}"/>
    <cellStyle name="Финансовый 4 2 2 4 4 4" xfId="24713" xr:uid="{00000000-0005-0000-0000-00004B9B0000}"/>
    <cellStyle name="Финансовый 4 2 2 4 5" xfId="2931" xr:uid="{00000000-0005-0000-0000-00004C9B0000}"/>
    <cellStyle name="Финансовый 4 2 2 4 5 2" xfId="14910" xr:uid="{00000000-0005-0000-0000-00004D9B0000}"/>
    <cellStyle name="Финансовый 4 2 2 4 5 2 2" xfId="38865" xr:uid="{00000000-0005-0000-0000-00004E9B0000}"/>
    <cellStyle name="Финансовый 4 2 2 4 5 3" xfId="26888" xr:uid="{00000000-0005-0000-0000-00004F9B0000}"/>
    <cellStyle name="Финансовый 4 2 2 4 6" xfId="4575" xr:uid="{00000000-0005-0000-0000-0000509B0000}"/>
    <cellStyle name="Финансовый 4 2 2 4 6 2" xfId="16554" xr:uid="{00000000-0005-0000-0000-0000519B0000}"/>
    <cellStyle name="Финансовый 4 2 2 4 6 2 2" xfId="40509" xr:uid="{00000000-0005-0000-0000-0000529B0000}"/>
    <cellStyle name="Финансовый 4 2 2 4 6 3" xfId="28532" xr:uid="{00000000-0005-0000-0000-0000539B0000}"/>
    <cellStyle name="Финансовый 4 2 2 4 7" xfId="6374" xr:uid="{00000000-0005-0000-0000-0000549B0000}"/>
    <cellStyle name="Финансовый 4 2 2 4 7 2" xfId="18352" xr:uid="{00000000-0005-0000-0000-0000559B0000}"/>
    <cellStyle name="Финансовый 4 2 2 4 7 2 2" xfId="42307" xr:uid="{00000000-0005-0000-0000-0000569B0000}"/>
    <cellStyle name="Финансовый 4 2 2 4 7 3" xfId="30329" xr:uid="{00000000-0005-0000-0000-0000579B0000}"/>
    <cellStyle name="Финансовый 4 2 2 4 8" xfId="8969" xr:uid="{00000000-0005-0000-0000-0000589B0000}"/>
    <cellStyle name="Финансовый 4 2 2 4 8 2" xfId="20947" xr:uid="{00000000-0005-0000-0000-0000599B0000}"/>
    <cellStyle name="Финансовый 4 2 2 4 8 2 2" xfId="44902" xr:uid="{00000000-0005-0000-0000-00005A9B0000}"/>
    <cellStyle name="Финансовый 4 2 2 4 8 3" xfId="32924" xr:uid="{00000000-0005-0000-0000-00005B9B0000}"/>
    <cellStyle name="Финансовый 4 2 2 4 9" xfId="12315" xr:uid="{00000000-0005-0000-0000-00005C9B0000}"/>
    <cellStyle name="Финансовый 4 2 2 4 9 2" xfId="36270" xr:uid="{00000000-0005-0000-0000-00005D9B0000}"/>
    <cellStyle name="Финансовый 4 2 2 5" xfId="1535" xr:uid="{00000000-0005-0000-0000-00005E9B0000}"/>
    <cellStyle name="Финансовый 4 2 2 5 2" xfId="1857" xr:uid="{00000000-0005-0000-0000-00005F9B0000}"/>
    <cellStyle name="Финансовый 4 2 2 5 2 2" xfId="3502" xr:uid="{00000000-0005-0000-0000-0000609B0000}"/>
    <cellStyle name="Финансовый 4 2 2 5 2 2 2" xfId="11250" xr:uid="{00000000-0005-0000-0000-0000619B0000}"/>
    <cellStyle name="Финансовый 4 2 2 5 2 2 2 2" xfId="23228" xr:uid="{00000000-0005-0000-0000-0000629B0000}"/>
    <cellStyle name="Финансовый 4 2 2 5 2 2 2 2 2" xfId="47183" xr:uid="{00000000-0005-0000-0000-0000639B0000}"/>
    <cellStyle name="Финансовый 4 2 2 5 2 2 2 3" xfId="35205" xr:uid="{00000000-0005-0000-0000-0000649B0000}"/>
    <cellStyle name="Финансовый 4 2 2 5 2 2 3" xfId="15481" xr:uid="{00000000-0005-0000-0000-0000659B0000}"/>
    <cellStyle name="Финансовый 4 2 2 5 2 2 3 2" xfId="39436" xr:uid="{00000000-0005-0000-0000-0000669B0000}"/>
    <cellStyle name="Финансовый 4 2 2 5 2 2 4" xfId="27459" xr:uid="{00000000-0005-0000-0000-0000679B0000}"/>
    <cellStyle name="Финансовый 4 2 2 5 2 2 5" xfId="50728" xr:uid="{00000000-0005-0000-0000-0000689B0000}"/>
    <cellStyle name="Финансовый 4 2 2 5 2 3" xfId="5285" xr:uid="{00000000-0005-0000-0000-0000699B0000}"/>
    <cellStyle name="Финансовый 4 2 2 5 2 3 2" xfId="17263" xr:uid="{00000000-0005-0000-0000-00006A9B0000}"/>
    <cellStyle name="Финансовый 4 2 2 5 2 3 2 2" xfId="41218" xr:uid="{00000000-0005-0000-0000-00006B9B0000}"/>
    <cellStyle name="Финансовый 4 2 2 5 2 3 3" xfId="29240" xr:uid="{00000000-0005-0000-0000-00006C9B0000}"/>
    <cellStyle name="Финансовый 4 2 2 5 2 4" xfId="7895" xr:uid="{00000000-0005-0000-0000-00006D9B0000}"/>
    <cellStyle name="Финансовый 4 2 2 5 2 4 2" xfId="19873" xr:uid="{00000000-0005-0000-0000-00006E9B0000}"/>
    <cellStyle name="Финансовый 4 2 2 5 2 4 2 2" xfId="43828" xr:uid="{00000000-0005-0000-0000-00006F9B0000}"/>
    <cellStyle name="Финансовый 4 2 2 5 2 4 3" xfId="31850" xr:uid="{00000000-0005-0000-0000-0000709B0000}"/>
    <cellStyle name="Финансовый 4 2 2 5 2 5" xfId="9678" xr:uid="{00000000-0005-0000-0000-0000719B0000}"/>
    <cellStyle name="Финансовый 4 2 2 5 2 5 2" xfId="21656" xr:uid="{00000000-0005-0000-0000-0000729B0000}"/>
    <cellStyle name="Финансовый 4 2 2 5 2 5 2 2" xfId="45611" xr:uid="{00000000-0005-0000-0000-0000739B0000}"/>
    <cellStyle name="Финансовый 4 2 2 5 2 5 3" xfId="33633" xr:uid="{00000000-0005-0000-0000-0000749B0000}"/>
    <cellStyle name="Финансовый 4 2 2 5 2 6" xfId="13836" xr:uid="{00000000-0005-0000-0000-0000759B0000}"/>
    <cellStyle name="Финансовый 4 2 2 5 2 6 2" xfId="37791" xr:uid="{00000000-0005-0000-0000-0000769B0000}"/>
    <cellStyle name="Финансовый 4 2 2 5 2 7" xfId="25814" xr:uid="{00000000-0005-0000-0000-0000779B0000}"/>
    <cellStyle name="Финансовый 4 2 2 5 2 8" xfId="48947" xr:uid="{00000000-0005-0000-0000-0000789B0000}"/>
    <cellStyle name="Финансовый 4 2 2 5 3" xfId="4963" xr:uid="{00000000-0005-0000-0000-0000799B0000}"/>
    <cellStyle name="Финансовый 4 2 2 5 3 2" xfId="16941" xr:uid="{00000000-0005-0000-0000-00007A9B0000}"/>
    <cellStyle name="Финансовый 4 2 2 5 3 2 2" xfId="40896" xr:uid="{00000000-0005-0000-0000-00007B9B0000}"/>
    <cellStyle name="Финансовый 4 2 2 5 3 3" xfId="28918" xr:uid="{00000000-0005-0000-0000-00007C9B0000}"/>
    <cellStyle name="Финансовый 4 2 2 5 3 4" xfId="50406" xr:uid="{00000000-0005-0000-0000-00007D9B0000}"/>
    <cellStyle name="Финансовый 4 2 2 5 4" xfId="7573" xr:uid="{00000000-0005-0000-0000-00007E9B0000}"/>
    <cellStyle name="Финансовый 4 2 2 5 4 2" xfId="19551" xr:uid="{00000000-0005-0000-0000-00007F9B0000}"/>
    <cellStyle name="Финансовый 4 2 2 5 4 2 2" xfId="43506" xr:uid="{00000000-0005-0000-0000-0000809B0000}"/>
    <cellStyle name="Финансовый 4 2 2 5 4 3" xfId="31528" xr:uid="{00000000-0005-0000-0000-0000819B0000}"/>
    <cellStyle name="Финансовый 4 2 2 5 5" xfId="9356" xr:uid="{00000000-0005-0000-0000-0000829B0000}"/>
    <cellStyle name="Финансовый 4 2 2 5 5 2" xfId="21334" xr:uid="{00000000-0005-0000-0000-0000839B0000}"/>
    <cellStyle name="Финансовый 4 2 2 5 5 2 2" xfId="45289" xr:uid="{00000000-0005-0000-0000-0000849B0000}"/>
    <cellStyle name="Финансовый 4 2 2 5 5 3" xfId="33311" xr:uid="{00000000-0005-0000-0000-0000859B0000}"/>
    <cellStyle name="Финансовый 4 2 2 5 6" xfId="13514" xr:uid="{00000000-0005-0000-0000-0000869B0000}"/>
    <cellStyle name="Финансовый 4 2 2 5 6 2" xfId="37469" xr:uid="{00000000-0005-0000-0000-0000879B0000}"/>
    <cellStyle name="Финансовый 4 2 2 5 7" xfId="25492" xr:uid="{00000000-0005-0000-0000-0000889B0000}"/>
    <cellStyle name="Финансовый 4 2 2 5 8" xfId="48625" xr:uid="{00000000-0005-0000-0000-0000899B0000}"/>
    <cellStyle name="Финансовый 4 2 2 6" xfId="1741" xr:uid="{00000000-0005-0000-0000-00008A9B0000}"/>
    <cellStyle name="Финансовый 4 2 2 6 2" xfId="3386" xr:uid="{00000000-0005-0000-0000-00008B9B0000}"/>
    <cellStyle name="Финансовый 4 2 2 6 2 2" xfId="11134" xr:uid="{00000000-0005-0000-0000-00008C9B0000}"/>
    <cellStyle name="Финансовый 4 2 2 6 2 2 2" xfId="23112" xr:uid="{00000000-0005-0000-0000-00008D9B0000}"/>
    <cellStyle name="Финансовый 4 2 2 6 2 2 2 2" xfId="47067" xr:uid="{00000000-0005-0000-0000-00008E9B0000}"/>
    <cellStyle name="Финансовый 4 2 2 6 2 2 3" xfId="35089" xr:uid="{00000000-0005-0000-0000-00008F9B0000}"/>
    <cellStyle name="Финансовый 4 2 2 6 2 3" xfId="15365" xr:uid="{00000000-0005-0000-0000-0000909B0000}"/>
    <cellStyle name="Финансовый 4 2 2 6 2 3 2" xfId="39320" xr:uid="{00000000-0005-0000-0000-0000919B0000}"/>
    <cellStyle name="Финансовый 4 2 2 6 2 4" xfId="27343" xr:uid="{00000000-0005-0000-0000-0000929B0000}"/>
    <cellStyle name="Финансовый 4 2 2 6 2 5" xfId="50612" xr:uid="{00000000-0005-0000-0000-0000939B0000}"/>
    <cellStyle name="Финансовый 4 2 2 6 3" xfId="5169" xr:uid="{00000000-0005-0000-0000-0000949B0000}"/>
    <cellStyle name="Финансовый 4 2 2 6 3 2" xfId="17147" xr:uid="{00000000-0005-0000-0000-0000959B0000}"/>
    <cellStyle name="Финансовый 4 2 2 6 3 2 2" xfId="41102" xr:uid="{00000000-0005-0000-0000-0000969B0000}"/>
    <cellStyle name="Финансовый 4 2 2 6 3 3" xfId="29124" xr:uid="{00000000-0005-0000-0000-0000979B0000}"/>
    <cellStyle name="Финансовый 4 2 2 6 4" xfId="7779" xr:uid="{00000000-0005-0000-0000-0000989B0000}"/>
    <cellStyle name="Финансовый 4 2 2 6 4 2" xfId="19757" xr:uid="{00000000-0005-0000-0000-0000999B0000}"/>
    <cellStyle name="Финансовый 4 2 2 6 4 2 2" xfId="43712" xr:uid="{00000000-0005-0000-0000-00009A9B0000}"/>
    <cellStyle name="Финансовый 4 2 2 6 4 3" xfId="31734" xr:uid="{00000000-0005-0000-0000-00009B9B0000}"/>
    <cellStyle name="Финансовый 4 2 2 6 5" xfId="9562" xr:uid="{00000000-0005-0000-0000-00009C9B0000}"/>
    <cellStyle name="Финансовый 4 2 2 6 5 2" xfId="21540" xr:uid="{00000000-0005-0000-0000-00009D9B0000}"/>
    <cellStyle name="Финансовый 4 2 2 6 5 2 2" xfId="45495" xr:uid="{00000000-0005-0000-0000-00009E9B0000}"/>
    <cellStyle name="Финансовый 4 2 2 6 5 3" xfId="33517" xr:uid="{00000000-0005-0000-0000-00009F9B0000}"/>
    <cellStyle name="Финансовый 4 2 2 6 6" xfId="13720" xr:uid="{00000000-0005-0000-0000-0000A09B0000}"/>
    <cellStyle name="Финансовый 4 2 2 6 6 2" xfId="37675" xr:uid="{00000000-0005-0000-0000-0000A19B0000}"/>
    <cellStyle name="Финансовый 4 2 2 6 7" xfId="25698" xr:uid="{00000000-0005-0000-0000-0000A29B0000}"/>
    <cellStyle name="Финансовый 4 2 2 6 8" xfId="48831" xr:uid="{00000000-0005-0000-0000-0000A39B0000}"/>
    <cellStyle name="Финансовый 4 2 2 7" xfId="2377" xr:uid="{00000000-0005-0000-0000-0000A49B0000}"/>
    <cellStyle name="Финансовый 4 2 2 7 2" xfId="4022" xr:uid="{00000000-0005-0000-0000-0000A59B0000}"/>
    <cellStyle name="Финансовый 4 2 2 7 2 2" xfId="11762" xr:uid="{00000000-0005-0000-0000-0000A69B0000}"/>
    <cellStyle name="Финансовый 4 2 2 7 2 2 2" xfId="23740" xr:uid="{00000000-0005-0000-0000-0000A79B0000}"/>
    <cellStyle name="Финансовый 4 2 2 7 2 2 2 2" xfId="47695" xr:uid="{00000000-0005-0000-0000-0000A89B0000}"/>
    <cellStyle name="Финансовый 4 2 2 7 2 2 3" xfId="35717" xr:uid="{00000000-0005-0000-0000-0000A99B0000}"/>
    <cellStyle name="Финансовый 4 2 2 7 2 3" xfId="16001" xr:uid="{00000000-0005-0000-0000-0000AA9B0000}"/>
    <cellStyle name="Финансовый 4 2 2 7 2 3 2" xfId="39956" xr:uid="{00000000-0005-0000-0000-0000AB9B0000}"/>
    <cellStyle name="Финансовый 4 2 2 7 2 4" xfId="27979" xr:uid="{00000000-0005-0000-0000-0000AC9B0000}"/>
    <cellStyle name="Финансовый 4 2 2 7 2 5" xfId="51248" xr:uid="{00000000-0005-0000-0000-0000AD9B0000}"/>
    <cellStyle name="Финансовый 4 2 2 7 3" xfId="5805" xr:uid="{00000000-0005-0000-0000-0000AE9B0000}"/>
    <cellStyle name="Финансовый 4 2 2 7 3 2" xfId="17783" xr:uid="{00000000-0005-0000-0000-0000AF9B0000}"/>
    <cellStyle name="Финансовый 4 2 2 7 3 2 2" xfId="41738" xr:uid="{00000000-0005-0000-0000-0000B09B0000}"/>
    <cellStyle name="Финансовый 4 2 2 7 3 3" xfId="29760" xr:uid="{00000000-0005-0000-0000-0000B19B0000}"/>
    <cellStyle name="Финансовый 4 2 2 7 4" xfId="8415" xr:uid="{00000000-0005-0000-0000-0000B29B0000}"/>
    <cellStyle name="Финансовый 4 2 2 7 4 2" xfId="20393" xr:uid="{00000000-0005-0000-0000-0000B39B0000}"/>
    <cellStyle name="Финансовый 4 2 2 7 4 2 2" xfId="44348" xr:uid="{00000000-0005-0000-0000-0000B49B0000}"/>
    <cellStyle name="Финансовый 4 2 2 7 4 3" xfId="32370" xr:uid="{00000000-0005-0000-0000-0000B59B0000}"/>
    <cellStyle name="Финансовый 4 2 2 7 5" xfId="10198" xr:uid="{00000000-0005-0000-0000-0000B69B0000}"/>
    <cellStyle name="Финансовый 4 2 2 7 5 2" xfId="22176" xr:uid="{00000000-0005-0000-0000-0000B79B0000}"/>
    <cellStyle name="Финансовый 4 2 2 7 5 2 2" xfId="46131" xr:uid="{00000000-0005-0000-0000-0000B89B0000}"/>
    <cellStyle name="Финансовый 4 2 2 7 5 3" xfId="34153" xr:uid="{00000000-0005-0000-0000-0000B99B0000}"/>
    <cellStyle name="Финансовый 4 2 2 7 6" xfId="14356" xr:uid="{00000000-0005-0000-0000-0000BA9B0000}"/>
    <cellStyle name="Финансовый 4 2 2 7 6 2" xfId="38311" xr:uid="{00000000-0005-0000-0000-0000BB9B0000}"/>
    <cellStyle name="Финансовый 4 2 2 7 7" xfId="26334" xr:uid="{00000000-0005-0000-0000-0000BC9B0000}"/>
    <cellStyle name="Финансовый 4 2 2 7 8" xfId="49467" xr:uid="{00000000-0005-0000-0000-0000BD9B0000}"/>
    <cellStyle name="Финансовый 4 2 2 8" xfId="1604" xr:uid="{00000000-0005-0000-0000-0000BE9B0000}"/>
    <cellStyle name="Финансовый 4 2 2 8 2" xfId="3249" xr:uid="{00000000-0005-0000-0000-0000BF9B0000}"/>
    <cellStyle name="Финансовый 4 2 2 8 2 2" xfId="11005" xr:uid="{00000000-0005-0000-0000-0000C09B0000}"/>
    <cellStyle name="Финансовый 4 2 2 8 2 2 2" xfId="22983" xr:uid="{00000000-0005-0000-0000-0000C19B0000}"/>
    <cellStyle name="Финансовый 4 2 2 8 2 2 2 2" xfId="46938" xr:uid="{00000000-0005-0000-0000-0000C29B0000}"/>
    <cellStyle name="Финансовый 4 2 2 8 2 2 3" xfId="34960" xr:uid="{00000000-0005-0000-0000-0000C39B0000}"/>
    <cellStyle name="Финансовый 4 2 2 8 2 3" xfId="15228" xr:uid="{00000000-0005-0000-0000-0000C49B0000}"/>
    <cellStyle name="Финансовый 4 2 2 8 2 3 2" xfId="39183" xr:uid="{00000000-0005-0000-0000-0000C59B0000}"/>
    <cellStyle name="Финансовый 4 2 2 8 2 4" xfId="27206" xr:uid="{00000000-0005-0000-0000-0000C69B0000}"/>
    <cellStyle name="Финансовый 4 2 2 8 2 5" xfId="50475" xr:uid="{00000000-0005-0000-0000-0000C79B0000}"/>
    <cellStyle name="Финансовый 4 2 2 8 3" xfId="5032" xr:uid="{00000000-0005-0000-0000-0000C89B0000}"/>
    <cellStyle name="Финансовый 4 2 2 8 3 2" xfId="17010" xr:uid="{00000000-0005-0000-0000-0000C99B0000}"/>
    <cellStyle name="Финансовый 4 2 2 8 3 2 2" xfId="40965" xr:uid="{00000000-0005-0000-0000-0000CA9B0000}"/>
    <cellStyle name="Финансовый 4 2 2 8 3 3" xfId="28987" xr:uid="{00000000-0005-0000-0000-0000CB9B0000}"/>
    <cellStyle name="Финансовый 4 2 2 8 4" xfId="7642" xr:uid="{00000000-0005-0000-0000-0000CC9B0000}"/>
    <cellStyle name="Финансовый 4 2 2 8 4 2" xfId="19620" xr:uid="{00000000-0005-0000-0000-0000CD9B0000}"/>
    <cellStyle name="Финансовый 4 2 2 8 4 2 2" xfId="43575" xr:uid="{00000000-0005-0000-0000-0000CE9B0000}"/>
    <cellStyle name="Финансовый 4 2 2 8 4 3" xfId="31597" xr:uid="{00000000-0005-0000-0000-0000CF9B0000}"/>
    <cellStyle name="Финансовый 4 2 2 8 5" xfId="9425" xr:uid="{00000000-0005-0000-0000-0000D09B0000}"/>
    <cellStyle name="Финансовый 4 2 2 8 5 2" xfId="21403" xr:uid="{00000000-0005-0000-0000-0000D19B0000}"/>
    <cellStyle name="Финансовый 4 2 2 8 5 2 2" xfId="45358" xr:uid="{00000000-0005-0000-0000-0000D29B0000}"/>
    <cellStyle name="Финансовый 4 2 2 8 5 3" xfId="33380" xr:uid="{00000000-0005-0000-0000-0000D39B0000}"/>
    <cellStyle name="Финансовый 4 2 2 8 6" xfId="13583" xr:uid="{00000000-0005-0000-0000-0000D49B0000}"/>
    <cellStyle name="Финансовый 4 2 2 8 6 2" xfId="37538" xr:uid="{00000000-0005-0000-0000-0000D59B0000}"/>
    <cellStyle name="Финансовый 4 2 2 8 7" xfId="25561" xr:uid="{00000000-0005-0000-0000-0000D69B0000}"/>
    <cellStyle name="Финансовый 4 2 2 8 8" xfId="48694" xr:uid="{00000000-0005-0000-0000-0000D79B0000}"/>
    <cellStyle name="Финансовый 4 2 2 9" xfId="890" xr:uid="{00000000-0005-0000-0000-0000D89B0000}"/>
    <cellStyle name="Финансовый 4 2 2 9 2" xfId="6930" xr:uid="{00000000-0005-0000-0000-0000D99B0000}"/>
    <cellStyle name="Финансовый 4 2 2 9 2 2" xfId="18908" xr:uid="{00000000-0005-0000-0000-0000DA9B0000}"/>
    <cellStyle name="Финансовый 4 2 2 9 2 2 2" xfId="42863" xr:uid="{00000000-0005-0000-0000-0000DB9B0000}"/>
    <cellStyle name="Финансовый 4 2 2 9 2 3" xfId="30885" xr:uid="{00000000-0005-0000-0000-0000DC9B0000}"/>
    <cellStyle name="Финансовый 4 2 2 9 3" xfId="10478" xr:uid="{00000000-0005-0000-0000-0000DD9B0000}"/>
    <cellStyle name="Финансовый 4 2 2 9 3 2" xfId="22456" xr:uid="{00000000-0005-0000-0000-0000DE9B0000}"/>
    <cellStyle name="Финансовый 4 2 2 9 3 2 2" xfId="46411" xr:uid="{00000000-0005-0000-0000-0000DF9B0000}"/>
    <cellStyle name="Финансовый 4 2 2 9 3 3" xfId="34433" xr:uid="{00000000-0005-0000-0000-0000E09B0000}"/>
    <cellStyle name="Финансовый 4 2 2 9 4" xfId="12871" xr:uid="{00000000-0005-0000-0000-0000E19B0000}"/>
    <cellStyle name="Финансовый 4 2 2 9 4 2" xfId="36826" xr:uid="{00000000-0005-0000-0000-0000E29B0000}"/>
    <cellStyle name="Финансовый 4 2 2 9 5" xfId="24849" xr:uid="{00000000-0005-0000-0000-0000E39B0000}"/>
    <cellStyle name="Финансовый 4 2 2 9 6" xfId="49747" xr:uid="{00000000-0005-0000-0000-0000E49B0000}"/>
    <cellStyle name="Финансовый 4 2 20" xfId="8661" xr:uid="{00000000-0005-0000-0000-0000E59B0000}"/>
    <cellStyle name="Финансовый 4 2 20 2" xfId="20639" xr:uid="{00000000-0005-0000-0000-0000E69B0000}"/>
    <cellStyle name="Финансовый 4 2 20 2 2" xfId="44594" xr:uid="{00000000-0005-0000-0000-0000E79B0000}"/>
    <cellStyle name="Финансовый 4 2 20 3" xfId="32616" xr:uid="{00000000-0005-0000-0000-0000E89B0000}"/>
    <cellStyle name="Финансовый 4 2 21" xfId="11995" xr:uid="{00000000-0005-0000-0000-0000E99B0000}"/>
    <cellStyle name="Финансовый 4 2 21 2" xfId="35950" xr:uid="{00000000-0005-0000-0000-0000EA9B0000}"/>
    <cellStyle name="Финансовый 4 2 22" xfId="23973" xr:uid="{00000000-0005-0000-0000-0000EB9B0000}"/>
    <cellStyle name="Финансовый 4 2 23" xfId="47931" xr:uid="{00000000-0005-0000-0000-0000EC9B0000}"/>
    <cellStyle name="Финансовый 4 2 3" xfId="117" xr:uid="{00000000-0005-0000-0000-0000ED9B0000}"/>
    <cellStyle name="Финансовый 4 2 3 10" xfId="2727" xr:uid="{00000000-0005-0000-0000-0000EE9B0000}"/>
    <cellStyle name="Финансовый 4 2 3 10 2" xfId="14706" xr:uid="{00000000-0005-0000-0000-0000EF9B0000}"/>
    <cellStyle name="Финансовый 4 2 3 10 2 2" xfId="38661" xr:uid="{00000000-0005-0000-0000-0000F09B0000}"/>
    <cellStyle name="Финансовый 4 2 3 10 3" xfId="26684" xr:uid="{00000000-0005-0000-0000-0000F19B0000}"/>
    <cellStyle name="Финансовый 4 2 3 11" xfId="4371" xr:uid="{00000000-0005-0000-0000-0000F29B0000}"/>
    <cellStyle name="Финансовый 4 2 3 11 2" xfId="16350" xr:uid="{00000000-0005-0000-0000-0000F39B0000}"/>
    <cellStyle name="Финансовый 4 2 3 11 2 2" xfId="40305" xr:uid="{00000000-0005-0000-0000-0000F49B0000}"/>
    <cellStyle name="Финансовый 4 2 3 11 3" xfId="28328" xr:uid="{00000000-0005-0000-0000-0000F59B0000}"/>
    <cellStyle name="Финансовый 4 2 3 12" xfId="6158" xr:uid="{00000000-0005-0000-0000-0000F69B0000}"/>
    <cellStyle name="Финансовый 4 2 3 12 2" xfId="18136" xr:uid="{00000000-0005-0000-0000-0000F79B0000}"/>
    <cellStyle name="Финансовый 4 2 3 12 2 2" xfId="42091" xr:uid="{00000000-0005-0000-0000-0000F89B0000}"/>
    <cellStyle name="Финансовый 4 2 3 12 3" xfId="30113" xr:uid="{00000000-0005-0000-0000-0000F99B0000}"/>
    <cellStyle name="Финансовый 4 2 3 13" xfId="8765" xr:uid="{00000000-0005-0000-0000-0000FA9B0000}"/>
    <cellStyle name="Финансовый 4 2 3 13 2" xfId="20743" xr:uid="{00000000-0005-0000-0000-0000FB9B0000}"/>
    <cellStyle name="Финансовый 4 2 3 13 2 2" xfId="44698" xr:uid="{00000000-0005-0000-0000-0000FC9B0000}"/>
    <cellStyle name="Финансовый 4 2 3 13 3" xfId="32720" xr:uid="{00000000-0005-0000-0000-0000FD9B0000}"/>
    <cellStyle name="Финансовый 4 2 3 14" xfId="12099" xr:uid="{00000000-0005-0000-0000-0000FE9B0000}"/>
    <cellStyle name="Финансовый 4 2 3 14 2" xfId="36054" xr:uid="{00000000-0005-0000-0000-0000FF9B0000}"/>
    <cellStyle name="Финансовый 4 2 3 15" xfId="24077" xr:uid="{00000000-0005-0000-0000-0000009C0000}"/>
    <cellStyle name="Финансовый 4 2 3 16" xfId="48035" xr:uid="{00000000-0005-0000-0000-0000019C0000}"/>
    <cellStyle name="Финансовый 4 2 3 2" xfId="253" xr:uid="{00000000-0005-0000-0000-0000029C0000}"/>
    <cellStyle name="Финансовый 4 2 3 2 10" xfId="8901" xr:uid="{00000000-0005-0000-0000-0000039C0000}"/>
    <cellStyle name="Финансовый 4 2 3 2 10 2" xfId="20879" xr:uid="{00000000-0005-0000-0000-0000049C0000}"/>
    <cellStyle name="Финансовый 4 2 3 2 10 2 2" xfId="44834" xr:uid="{00000000-0005-0000-0000-0000059C0000}"/>
    <cellStyle name="Финансовый 4 2 3 2 10 3" xfId="32856" xr:uid="{00000000-0005-0000-0000-0000069C0000}"/>
    <cellStyle name="Финансовый 4 2 3 2 11" xfId="12235" xr:uid="{00000000-0005-0000-0000-0000079C0000}"/>
    <cellStyle name="Финансовый 4 2 3 2 11 2" xfId="36190" xr:uid="{00000000-0005-0000-0000-0000089C0000}"/>
    <cellStyle name="Финансовый 4 2 3 2 12" xfId="24213" xr:uid="{00000000-0005-0000-0000-0000099C0000}"/>
    <cellStyle name="Финансовый 4 2 3 2 13" xfId="48171" xr:uid="{00000000-0005-0000-0000-00000A9C0000}"/>
    <cellStyle name="Финансовый 4 2 3 2 2" xfId="1351" xr:uid="{00000000-0005-0000-0000-00000B9C0000}"/>
    <cellStyle name="Финансовый 4 2 3 2 2 2" xfId="2309" xr:uid="{00000000-0005-0000-0000-00000C9C0000}"/>
    <cellStyle name="Финансовый 4 2 3 2 2 2 2" xfId="3954" xr:uid="{00000000-0005-0000-0000-00000D9C0000}"/>
    <cellStyle name="Финансовый 4 2 3 2 2 2 2 2" xfId="11694" xr:uid="{00000000-0005-0000-0000-00000E9C0000}"/>
    <cellStyle name="Финансовый 4 2 3 2 2 2 2 2 2" xfId="23672" xr:uid="{00000000-0005-0000-0000-00000F9C0000}"/>
    <cellStyle name="Финансовый 4 2 3 2 2 2 2 2 2 2" xfId="47627" xr:uid="{00000000-0005-0000-0000-0000109C0000}"/>
    <cellStyle name="Финансовый 4 2 3 2 2 2 2 2 3" xfId="35649" xr:uid="{00000000-0005-0000-0000-0000119C0000}"/>
    <cellStyle name="Финансовый 4 2 3 2 2 2 2 3" xfId="15933" xr:uid="{00000000-0005-0000-0000-0000129C0000}"/>
    <cellStyle name="Финансовый 4 2 3 2 2 2 2 3 2" xfId="39888" xr:uid="{00000000-0005-0000-0000-0000139C0000}"/>
    <cellStyle name="Финансовый 4 2 3 2 2 2 2 4" xfId="27911" xr:uid="{00000000-0005-0000-0000-0000149C0000}"/>
    <cellStyle name="Финансовый 4 2 3 2 2 2 2 5" xfId="51180" xr:uid="{00000000-0005-0000-0000-0000159C0000}"/>
    <cellStyle name="Финансовый 4 2 3 2 2 2 3" xfId="5737" xr:uid="{00000000-0005-0000-0000-0000169C0000}"/>
    <cellStyle name="Финансовый 4 2 3 2 2 2 3 2" xfId="17715" xr:uid="{00000000-0005-0000-0000-0000179C0000}"/>
    <cellStyle name="Финансовый 4 2 3 2 2 2 3 2 2" xfId="41670" xr:uid="{00000000-0005-0000-0000-0000189C0000}"/>
    <cellStyle name="Финансовый 4 2 3 2 2 2 3 3" xfId="29692" xr:uid="{00000000-0005-0000-0000-0000199C0000}"/>
    <cellStyle name="Финансовый 4 2 3 2 2 2 4" xfId="8347" xr:uid="{00000000-0005-0000-0000-00001A9C0000}"/>
    <cellStyle name="Финансовый 4 2 3 2 2 2 4 2" xfId="20325" xr:uid="{00000000-0005-0000-0000-00001B9C0000}"/>
    <cellStyle name="Финансовый 4 2 3 2 2 2 4 2 2" xfId="44280" xr:uid="{00000000-0005-0000-0000-00001C9C0000}"/>
    <cellStyle name="Финансовый 4 2 3 2 2 2 4 3" xfId="32302" xr:uid="{00000000-0005-0000-0000-00001D9C0000}"/>
    <cellStyle name="Финансовый 4 2 3 2 2 2 5" xfId="10130" xr:uid="{00000000-0005-0000-0000-00001E9C0000}"/>
    <cellStyle name="Финансовый 4 2 3 2 2 2 5 2" xfId="22108" xr:uid="{00000000-0005-0000-0000-00001F9C0000}"/>
    <cellStyle name="Финансовый 4 2 3 2 2 2 5 2 2" xfId="46063" xr:uid="{00000000-0005-0000-0000-0000209C0000}"/>
    <cellStyle name="Финансовый 4 2 3 2 2 2 5 3" xfId="34085" xr:uid="{00000000-0005-0000-0000-0000219C0000}"/>
    <cellStyle name="Финансовый 4 2 3 2 2 2 6" xfId="14288" xr:uid="{00000000-0005-0000-0000-0000229C0000}"/>
    <cellStyle name="Финансовый 4 2 3 2 2 2 6 2" xfId="38243" xr:uid="{00000000-0005-0000-0000-0000239C0000}"/>
    <cellStyle name="Финансовый 4 2 3 2 2 2 7" xfId="26266" xr:uid="{00000000-0005-0000-0000-0000249C0000}"/>
    <cellStyle name="Финансовый 4 2 3 2 2 2 8" xfId="49399" xr:uid="{00000000-0005-0000-0000-0000259C0000}"/>
    <cellStyle name="Финансовый 4 2 3 2 2 3" xfId="3135" xr:uid="{00000000-0005-0000-0000-0000269C0000}"/>
    <cellStyle name="Финансовый 4 2 3 2 2 3 2" xfId="10922" xr:uid="{00000000-0005-0000-0000-0000279C0000}"/>
    <cellStyle name="Финансовый 4 2 3 2 2 3 2 2" xfId="22900" xr:uid="{00000000-0005-0000-0000-0000289C0000}"/>
    <cellStyle name="Финансовый 4 2 3 2 2 3 2 2 2" xfId="46855" xr:uid="{00000000-0005-0000-0000-0000299C0000}"/>
    <cellStyle name="Финансовый 4 2 3 2 2 3 2 3" xfId="34877" xr:uid="{00000000-0005-0000-0000-00002A9C0000}"/>
    <cellStyle name="Финансовый 4 2 3 2 2 3 3" xfId="15114" xr:uid="{00000000-0005-0000-0000-00002B9C0000}"/>
    <cellStyle name="Финансовый 4 2 3 2 2 3 3 2" xfId="39069" xr:uid="{00000000-0005-0000-0000-00002C9C0000}"/>
    <cellStyle name="Финансовый 4 2 3 2 2 3 4" xfId="27092" xr:uid="{00000000-0005-0000-0000-00002D9C0000}"/>
    <cellStyle name="Финансовый 4 2 3 2 2 3 5" xfId="50223" xr:uid="{00000000-0005-0000-0000-00002E9C0000}"/>
    <cellStyle name="Финансовый 4 2 3 2 2 4" xfId="4779" xr:uid="{00000000-0005-0000-0000-00002F9C0000}"/>
    <cellStyle name="Финансовый 4 2 3 2 2 4 2" xfId="16758" xr:uid="{00000000-0005-0000-0000-0000309C0000}"/>
    <cellStyle name="Финансовый 4 2 3 2 2 4 2 2" xfId="40713" xr:uid="{00000000-0005-0000-0000-0000319C0000}"/>
    <cellStyle name="Финансовый 4 2 3 2 2 4 3" xfId="28736" xr:uid="{00000000-0005-0000-0000-0000329C0000}"/>
    <cellStyle name="Финансовый 4 2 3 2 2 5" xfId="7391" xr:uid="{00000000-0005-0000-0000-0000339C0000}"/>
    <cellStyle name="Финансовый 4 2 3 2 2 5 2" xfId="19369" xr:uid="{00000000-0005-0000-0000-0000349C0000}"/>
    <cellStyle name="Финансовый 4 2 3 2 2 5 2 2" xfId="43324" xr:uid="{00000000-0005-0000-0000-0000359C0000}"/>
    <cellStyle name="Финансовый 4 2 3 2 2 5 3" xfId="31346" xr:uid="{00000000-0005-0000-0000-0000369C0000}"/>
    <cellStyle name="Финансовый 4 2 3 2 2 6" xfId="9173" xr:uid="{00000000-0005-0000-0000-0000379C0000}"/>
    <cellStyle name="Финансовый 4 2 3 2 2 6 2" xfId="21151" xr:uid="{00000000-0005-0000-0000-0000389C0000}"/>
    <cellStyle name="Финансовый 4 2 3 2 2 6 2 2" xfId="45106" xr:uid="{00000000-0005-0000-0000-0000399C0000}"/>
    <cellStyle name="Финансовый 4 2 3 2 2 6 3" xfId="33128" xr:uid="{00000000-0005-0000-0000-00003A9C0000}"/>
    <cellStyle name="Финансовый 4 2 3 2 2 7" xfId="13332" xr:uid="{00000000-0005-0000-0000-00003B9C0000}"/>
    <cellStyle name="Финансовый 4 2 3 2 2 7 2" xfId="37287" xr:uid="{00000000-0005-0000-0000-00003C9C0000}"/>
    <cellStyle name="Финансовый 4 2 3 2 2 8" xfId="25310" xr:uid="{00000000-0005-0000-0000-00003D9C0000}"/>
    <cellStyle name="Финансовый 4 2 3 2 2 9" xfId="48443" xr:uid="{00000000-0005-0000-0000-00003E9C0000}"/>
    <cellStyle name="Финансовый 4 2 3 2 3" xfId="2053" xr:uid="{00000000-0005-0000-0000-00003F9C0000}"/>
    <cellStyle name="Финансовый 4 2 3 2 3 2" xfId="3698" xr:uid="{00000000-0005-0000-0000-0000409C0000}"/>
    <cellStyle name="Финансовый 4 2 3 2 3 2 2" xfId="11438" xr:uid="{00000000-0005-0000-0000-0000419C0000}"/>
    <cellStyle name="Финансовый 4 2 3 2 3 2 2 2" xfId="23416" xr:uid="{00000000-0005-0000-0000-0000429C0000}"/>
    <cellStyle name="Финансовый 4 2 3 2 3 2 2 2 2" xfId="47371" xr:uid="{00000000-0005-0000-0000-0000439C0000}"/>
    <cellStyle name="Финансовый 4 2 3 2 3 2 2 3" xfId="35393" xr:uid="{00000000-0005-0000-0000-0000449C0000}"/>
    <cellStyle name="Финансовый 4 2 3 2 3 2 3" xfId="15677" xr:uid="{00000000-0005-0000-0000-0000459C0000}"/>
    <cellStyle name="Финансовый 4 2 3 2 3 2 3 2" xfId="39632" xr:uid="{00000000-0005-0000-0000-0000469C0000}"/>
    <cellStyle name="Финансовый 4 2 3 2 3 2 4" xfId="27655" xr:uid="{00000000-0005-0000-0000-0000479C0000}"/>
    <cellStyle name="Финансовый 4 2 3 2 3 2 5" xfId="50924" xr:uid="{00000000-0005-0000-0000-0000489C0000}"/>
    <cellStyle name="Финансовый 4 2 3 2 3 3" xfId="5481" xr:uid="{00000000-0005-0000-0000-0000499C0000}"/>
    <cellStyle name="Финансовый 4 2 3 2 3 3 2" xfId="17459" xr:uid="{00000000-0005-0000-0000-00004A9C0000}"/>
    <cellStyle name="Финансовый 4 2 3 2 3 3 2 2" xfId="41414" xr:uid="{00000000-0005-0000-0000-00004B9C0000}"/>
    <cellStyle name="Финансовый 4 2 3 2 3 3 3" xfId="29436" xr:uid="{00000000-0005-0000-0000-00004C9C0000}"/>
    <cellStyle name="Финансовый 4 2 3 2 3 4" xfId="8091" xr:uid="{00000000-0005-0000-0000-00004D9C0000}"/>
    <cellStyle name="Финансовый 4 2 3 2 3 4 2" xfId="20069" xr:uid="{00000000-0005-0000-0000-00004E9C0000}"/>
    <cellStyle name="Финансовый 4 2 3 2 3 4 2 2" xfId="44024" xr:uid="{00000000-0005-0000-0000-00004F9C0000}"/>
    <cellStyle name="Финансовый 4 2 3 2 3 4 3" xfId="32046" xr:uid="{00000000-0005-0000-0000-0000509C0000}"/>
    <cellStyle name="Финансовый 4 2 3 2 3 5" xfId="9874" xr:uid="{00000000-0005-0000-0000-0000519C0000}"/>
    <cellStyle name="Финансовый 4 2 3 2 3 5 2" xfId="21852" xr:uid="{00000000-0005-0000-0000-0000529C0000}"/>
    <cellStyle name="Финансовый 4 2 3 2 3 5 2 2" xfId="45807" xr:uid="{00000000-0005-0000-0000-0000539C0000}"/>
    <cellStyle name="Финансовый 4 2 3 2 3 5 3" xfId="33829" xr:uid="{00000000-0005-0000-0000-0000549C0000}"/>
    <cellStyle name="Финансовый 4 2 3 2 3 6" xfId="14032" xr:uid="{00000000-0005-0000-0000-0000559C0000}"/>
    <cellStyle name="Финансовый 4 2 3 2 3 6 2" xfId="37987" xr:uid="{00000000-0005-0000-0000-0000569C0000}"/>
    <cellStyle name="Финансовый 4 2 3 2 3 7" xfId="26010" xr:uid="{00000000-0005-0000-0000-0000579C0000}"/>
    <cellStyle name="Финансовый 4 2 3 2 3 8" xfId="49143" xr:uid="{00000000-0005-0000-0000-0000589C0000}"/>
    <cellStyle name="Финансовый 4 2 3 2 4" xfId="2582" xr:uid="{00000000-0005-0000-0000-0000599C0000}"/>
    <cellStyle name="Финансовый 4 2 3 2 4 2" xfId="4227" xr:uid="{00000000-0005-0000-0000-00005A9C0000}"/>
    <cellStyle name="Финансовый 4 2 3 2 4 2 2" xfId="11951" xr:uid="{00000000-0005-0000-0000-00005B9C0000}"/>
    <cellStyle name="Финансовый 4 2 3 2 4 2 2 2" xfId="23929" xr:uid="{00000000-0005-0000-0000-00005C9C0000}"/>
    <cellStyle name="Финансовый 4 2 3 2 4 2 2 2 2" xfId="47884" xr:uid="{00000000-0005-0000-0000-00005D9C0000}"/>
    <cellStyle name="Финансовый 4 2 3 2 4 2 2 3" xfId="35906" xr:uid="{00000000-0005-0000-0000-00005E9C0000}"/>
    <cellStyle name="Финансовый 4 2 3 2 4 2 3" xfId="16206" xr:uid="{00000000-0005-0000-0000-00005F9C0000}"/>
    <cellStyle name="Финансовый 4 2 3 2 4 2 3 2" xfId="40161" xr:uid="{00000000-0005-0000-0000-0000609C0000}"/>
    <cellStyle name="Финансовый 4 2 3 2 4 2 4" xfId="28184" xr:uid="{00000000-0005-0000-0000-0000619C0000}"/>
    <cellStyle name="Финансовый 4 2 3 2 4 2 5" xfId="51453" xr:uid="{00000000-0005-0000-0000-0000629C0000}"/>
    <cellStyle name="Финансовый 4 2 3 2 4 3" xfId="6010" xr:uid="{00000000-0005-0000-0000-0000639C0000}"/>
    <cellStyle name="Финансовый 4 2 3 2 4 3 2" xfId="17988" xr:uid="{00000000-0005-0000-0000-0000649C0000}"/>
    <cellStyle name="Финансовый 4 2 3 2 4 3 2 2" xfId="41943" xr:uid="{00000000-0005-0000-0000-0000659C0000}"/>
    <cellStyle name="Финансовый 4 2 3 2 4 3 3" xfId="29965" xr:uid="{00000000-0005-0000-0000-0000669C0000}"/>
    <cellStyle name="Финансовый 4 2 3 2 4 4" xfId="8620" xr:uid="{00000000-0005-0000-0000-0000679C0000}"/>
    <cellStyle name="Финансовый 4 2 3 2 4 4 2" xfId="20598" xr:uid="{00000000-0005-0000-0000-0000689C0000}"/>
    <cellStyle name="Финансовый 4 2 3 2 4 4 2 2" xfId="44553" xr:uid="{00000000-0005-0000-0000-0000699C0000}"/>
    <cellStyle name="Финансовый 4 2 3 2 4 4 3" xfId="32575" xr:uid="{00000000-0005-0000-0000-00006A9C0000}"/>
    <cellStyle name="Финансовый 4 2 3 2 4 5" xfId="10403" xr:uid="{00000000-0005-0000-0000-00006B9C0000}"/>
    <cellStyle name="Финансовый 4 2 3 2 4 5 2" xfId="22381" xr:uid="{00000000-0005-0000-0000-00006C9C0000}"/>
    <cellStyle name="Финансовый 4 2 3 2 4 5 2 2" xfId="46336" xr:uid="{00000000-0005-0000-0000-00006D9C0000}"/>
    <cellStyle name="Финансовый 4 2 3 2 4 5 3" xfId="34358" xr:uid="{00000000-0005-0000-0000-00006E9C0000}"/>
    <cellStyle name="Финансовый 4 2 3 2 4 6" xfId="14561" xr:uid="{00000000-0005-0000-0000-00006F9C0000}"/>
    <cellStyle name="Финансовый 4 2 3 2 4 6 2" xfId="38516" xr:uid="{00000000-0005-0000-0000-0000709C0000}"/>
    <cellStyle name="Финансовый 4 2 3 2 4 7" xfId="26539" xr:uid="{00000000-0005-0000-0000-0000719C0000}"/>
    <cellStyle name="Финансовый 4 2 3 2 4 8" xfId="49672" xr:uid="{00000000-0005-0000-0000-0000729C0000}"/>
    <cellStyle name="Финансовый 4 2 3 2 5" xfId="1086" xr:uid="{00000000-0005-0000-0000-0000739C0000}"/>
    <cellStyle name="Финансовый 4 2 3 2 5 2" xfId="7126" xr:uid="{00000000-0005-0000-0000-0000749C0000}"/>
    <cellStyle name="Финансовый 4 2 3 2 5 2 2" xfId="19104" xr:uid="{00000000-0005-0000-0000-0000759C0000}"/>
    <cellStyle name="Финансовый 4 2 3 2 5 2 2 2" xfId="43059" xr:uid="{00000000-0005-0000-0000-0000769C0000}"/>
    <cellStyle name="Финансовый 4 2 3 2 5 2 3" xfId="31081" xr:uid="{00000000-0005-0000-0000-0000779C0000}"/>
    <cellStyle name="Финансовый 4 2 3 2 5 3" xfId="10666" xr:uid="{00000000-0005-0000-0000-0000789C0000}"/>
    <cellStyle name="Финансовый 4 2 3 2 5 3 2" xfId="22644" xr:uid="{00000000-0005-0000-0000-0000799C0000}"/>
    <cellStyle name="Финансовый 4 2 3 2 5 3 2 2" xfId="46599" xr:uid="{00000000-0005-0000-0000-00007A9C0000}"/>
    <cellStyle name="Финансовый 4 2 3 2 5 3 3" xfId="34621" xr:uid="{00000000-0005-0000-0000-00007B9C0000}"/>
    <cellStyle name="Финансовый 4 2 3 2 5 4" xfId="13067" xr:uid="{00000000-0005-0000-0000-00007C9C0000}"/>
    <cellStyle name="Финансовый 4 2 3 2 5 4 2" xfId="37022" xr:uid="{00000000-0005-0000-0000-00007D9C0000}"/>
    <cellStyle name="Финансовый 4 2 3 2 5 5" xfId="25045" xr:uid="{00000000-0005-0000-0000-00007E9C0000}"/>
    <cellStyle name="Финансовый 4 2 3 2 5 6" xfId="49951" xr:uid="{00000000-0005-0000-0000-00007F9C0000}"/>
    <cellStyle name="Финансовый 4 2 3 2 6" xfId="674" xr:uid="{00000000-0005-0000-0000-0000809C0000}"/>
    <cellStyle name="Финансовый 4 2 3 2 6 2" xfId="6714" xr:uid="{00000000-0005-0000-0000-0000819C0000}"/>
    <cellStyle name="Финансовый 4 2 3 2 6 2 2" xfId="18692" xr:uid="{00000000-0005-0000-0000-0000829C0000}"/>
    <cellStyle name="Финансовый 4 2 3 2 6 2 2 2" xfId="42647" xr:uid="{00000000-0005-0000-0000-0000839C0000}"/>
    <cellStyle name="Финансовый 4 2 3 2 6 2 3" xfId="30669" xr:uid="{00000000-0005-0000-0000-0000849C0000}"/>
    <cellStyle name="Финансовый 4 2 3 2 6 3" xfId="12655" xr:uid="{00000000-0005-0000-0000-0000859C0000}"/>
    <cellStyle name="Финансовый 4 2 3 2 6 3 2" xfId="36610" xr:uid="{00000000-0005-0000-0000-0000869C0000}"/>
    <cellStyle name="Финансовый 4 2 3 2 6 4" xfId="24633" xr:uid="{00000000-0005-0000-0000-0000879C0000}"/>
    <cellStyle name="Финансовый 4 2 3 2 7" xfId="2863" xr:uid="{00000000-0005-0000-0000-0000889C0000}"/>
    <cellStyle name="Финансовый 4 2 3 2 7 2" xfId="14842" xr:uid="{00000000-0005-0000-0000-0000899C0000}"/>
    <cellStyle name="Финансовый 4 2 3 2 7 2 2" xfId="38797" xr:uid="{00000000-0005-0000-0000-00008A9C0000}"/>
    <cellStyle name="Финансовый 4 2 3 2 7 3" xfId="26820" xr:uid="{00000000-0005-0000-0000-00008B9C0000}"/>
    <cellStyle name="Финансовый 4 2 3 2 8" xfId="4507" xr:uid="{00000000-0005-0000-0000-00008C9C0000}"/>
    <cellStyle name="Финансовый 4 2 3 2 8 2" xfId="16486" xr:uid="{00000000-0005-0000-0000-00008D9C0000}"/>
    <cellStyle name="Финансовый 4 2 3 2 8 2 2" xfId="40441" xr:uid="{00000000-0005-0000-0000-00008E9C0000}"/>
    <cellStyle name="Финансовый 4 2 3 2 8 3" xfId="28464" xr:uid="{00000000-0005-0000-0000-00008F9C0000}"/>
    <cellStyle name="Финансовый 4 2 3 2 9" xfId="6294" xr:uid="{00000000-0005-0000-0000-0000909C0000}"/>
    <cellStyle name="Финансовый 4 2 3 2 9 2" xfId="18272" xr:uid="{00000000-0005-0000-0000-0000919C0000}"/>
    <cellStyle name="Финансовый 4 2 3 2 9 2 2" xfId="42227" xr:uid="{00000000-0005-0000-0000-0000929C0000}"/>
    <cellStyle name="Финансовый 4 2 3 2 9 3" xfId="30249" xr:uid="{00000000-0005-0000-0000-0000939C0000}"/>
    <cellStyle name="Финансовый 4 2 3 3" xfId="402" xr:uid="{00000000-0005-0000-0000-0000949C0000}"/>
    <cellStyle name="Финансовый 4 2 3 3 10" xfId="24361" xr:uid="{00000000-0005-0000-0000-0000959C0000}"/>
    <cellStyle name="Финансовый 4 2 3 3 11" xfId="48307" xr:uid="{00000000-0005-0000-0000-0000969C0000}"/>
    <cellStyle name="Финансовый 4 2 3 3 2" xfId="2181" xr:uid="{00000000-0005-0000-0000-0000979C0000}"/>
    <cellStyle name="Финансовый 4 2 3 3 2 2" xfId="3826" xr:uid="{00000000-0005-0000-0000-0000989C0000}"/>
    <cellStyle name="Финансовый 4 2 3 3 2 2 2" xfId="11566" xr:uid="{00000000-0005-0000-0000-0000999C0000}"/>
    <cellStyle name="Финансовый 4 2 3 3 2 2 2 2" xfId="23544" xr:uid="{00000000-0005-0000-0000-00009A9C0000}"/>
    <cellStyle name="Финансовый 4 2 3 3 2 2 2 2 2" xfId="47499" xr:uid="{00000000-0005-0000-0000-00009B9C0000}"/>
    <cellStyle name="Финансовый 4 2 3 3 2 2 2 3" xfId="35521" xr:uid="{00000000-0005-0000-0000-00009C9C0000}"/>
    <cellStyle name="Финансовый 4 2 3 3 2 2 3" xfId="15805" xr:uid="{00000000-0005-0000-0000-00009D9C0000}"/>
    <cellStyle name="Финансовый 4 2 3 3 2 2 3 2" xfId="39760" xr:uid="{00000000-0005-0000-0000-00009E9C0000}"/>
    <cellStyle name="Финансовый 4 2 3 3 2 2 4" xfId="27783" xr:uid="{00000000-0005-0000-0000-00009F9C0000}"/>
    <cellStyle name="Финансовый 4 2 3 3 2 2 5" xfId="51052" xr:uid="{00000000-0005-0000-0000-0000A09C0000}"/>
    <cellStyle name="Финансовый 4 2 3 3 2 3" xfId="5609" xr:uid="{00000000-0005-0000-0000-0000A19C0000}"/>
    <cellStyle name="Финансовый 4 2 3 3 2 3 2" xfId="17587" xr:uid="{00000000-0005-0000-0000-0000A29C0000}"/>
    <cellStyle name="Финансовый 4 2 3 3 2 3 2 2" xfId="41542" xr:uid="{00000000-0005-0000-0000-0000A39C0000}"/>
    <cellStyle name="Финансовый 4 2 3 3 2 3 3" xfId="29564" xr:uid="{00000000-0005-0000-0000-0000A49C0000}"/>
    <cellStyle name="Финансовый 4 2 3 3 2 4" xfId="8219" xr:uid="{00000000-0005-0000-0000-0000A59C0000}"/>
    <cellStyle name="Финансовый 4 2 3 3 2 4 2" xfId="20197" xr:uid="{00000000-0005-0000-0000-0000A69C0000}"/>
    <cellStyle name="Финансовый 4 2 3 3 2 4 2 2" xfId="44152" xr:uid="{00000000-0005-0000-0000-0000A79C0000}"/>
    <cellStyle name="Финансовый 4 2 3 3 2 4 3" xfId="32174" xr:uid="{00000000-0005-0000-0000-0000A89C0000}"/>
    <cellStyle name="Финансовый 4 2 3 3 2 5" xfId="10002" xr:uid="{00000000-0005-0000-0000-0000A99C0000}"/>
    <cellStyle name="Финансовый 4 2 3 3 2 5 2" xfId="21980" xr:uid="{00000000-0005-0000-0000-0000AA9C0000}"/>
    <cellStyle name="Финансовый 4 2 3 3 2 5 2 2" xfId="45935" xr:uid="{00000000-0005-0000-0000-0000AB9C0000}"/>
    <cellStyle name="Финансовый 4 2 3 3 2 5 3" xfId="33957" xr:uid="{00000000-0005-0000-0000-0000AC9C0000}"/>
    <cellStyle name="Финансовый 4 2 3 3 2 6" xfId="14160" xr:uid="{00000000-0005-0000-0000-0000AD9C0000}"/>
    <cellStyle name="Финансовый 4 2 3 3 2 6 2" xfId="38115" xr:uid="{00000000-0005-0000-0000-0000AE9C0000}"/>
    <cellStyle name="Финансовый 4 2 3 3 2 7" xfId="26138" xr:uid="{00000000-0005-0000-0000-0000AF9C0000}"/>
    <cellStyle name="Финансовый 4 2 3 3 2 8" xfId="49271" xr:uid="{00000000-0005-0000-0000-0000B09C0000}"/>
    <cellStyle name="Финансовый 4 2 3 3 3" xfId="1215" xr:uid="{00000000-0005-0000-0000-0000B19C0000}"/>
    <cellStyle name="Финансовый 4 2 3 3 3 2" xfId="7255" xr:uid="{00000000-0005-0000-0000-0000B29C0000}"/>
    <cellStyle name="Финансовый 4 2 3 3 3 2 2" xfId="19233" xr:uid="{00000000-0005-0000-0000-0000B39C0000}"/>
    <cellStyle name="Финансовый 4 2 3 3 3 2 2 2" xfId="43188" xr:uid="{00000000-0005-0000-0000-0000B49C0000}"/>
    <cellStyle name="Финансовый 4 2 3 3 3 2 3" xfId="31210" xr:uid="{00000000-0005-0000-0000-0000B59C0000}"/>
    <cellStyle name="Финансовый 4 2 3 3 3 3" xfId="10794" xr:uid="{00000000-0005-0000-0000-0000B69C0000}"/>
    <cellStyle name="Финансовый 4 2 3 3 3 3 2" xfId="22772" xr:uid="{00000000-0005-0000-0000-0000B79C0000}"/>
    <cellStyle name="Финансовый 4 2 3 3 3 3 2 2" xfId="46727" xr:uid="{00000000-0005-0000-0000-0000B89C0000}"/>
    <cellStyle name="Финансовый 4 2 3 3 3 3 3" xfId="34749" xr:uid="{00000000-0005-0000-0000-0000B99C0000}"/>
    <cellStyle name="Финансовый 4 2 3 3 3 4" xfId="13196" xr:uid="{00000000-0005-0000-0000-0000BA9C0000}"/>
    <cellStyle name="Финансовый 4 2 3 3 3 4 2" xfId="37151" xr:uid="{00000000-0005-0000-0000-0000BB9C0000}"/>
    <cellStyle name="Финансовый 4 2 3 3 3 5" xfId="25174" xr:uid="{00000000-0005-0000-0000-0000BC9C0000}"/>
    <cellStyle name="Финансовый 4 2 3 3 3 6" xfId="50087" xr:uid="{00000000-0005-0000-0000-0000BD9C0000}"/>
    <cellStyle name="Финансовый 4 2 3 3 4" xfId="822" xr:uid="{00000000-0005-0000-0000-0000BE9C0000}"/>
    <cellStyle name="Финансовый 4 2 3 3 4 2" xfId="6862" xr:uid="{00000000-0005-0000-0000-0000BF9C0000}"/>
    <cellStyle name="Финансовый 4 2 3 3 4 2 2" xfId="18840" xr:uid="{00000000-0005-0000-0000-0000C09C0000}"/>
    <cellStyle name="Финансовый 4 2 3 3 4 2 2 2" xfId="42795" xr:uid="{00000000-0005-0000-0000-0000C19C0000}"/>
    <cellStyle name="Финансовый 4 2 3 3 4 2 3" xfId="30817" xr:uid="{00000000-0005-0000-0000-0000C29C0000}"/>
    <cellStyle name="Финансовый 4 2 3 3 4 3" xfId="12803" xr:uid="{00000000-0005-0000-0000-0000C39C0000}"/>
    <cellStyle name="Финансовый 4 2 3 3 4 3 2" xfId="36758" xr:uid="{00000000-0005-0000-0000-0000C49C0000}"/>
    <cellStyle name="Финансовый 4 2 3 3 4 4" xfId="24781" xr:uid="{00000000-0005-0000-0000-0000C59C0000}"/>
    <cellStyle name="Финансовый 4 2 3 3 5" xfId="2999" xr:uid="{00000000-0005-0000-0000-0000C69C0000}"/>
    <cellStyle name="Финансовый 4 2 3 3 5 2" xfId="14978" xr:uid="{00000000-0005-0000-0000-0000C79C0000}"/>
    <cellStyle name="Финансовый 4 2 3 3 5 2 2" xfId="38933" xr:uid="{00000000-0005-0000-0000-0000C89C0000}"/>
    <cellStyle name="Финансовый 4 2 3 3 5 3" xfId="26956" xr:uid="{00000000-0005-0000-0000-0000C99C0000}"/>
    <cellStyle name="Финансовый 4 2 3 3 6" xfId="4643" xr:uid="{00000000-0005-0000-0000-0000CA9C0000}"/>
    <cellStyle name="Финансовый 4 2 3 3 6 2" xfId="16622" xr:uid="{00000000-0005-0000-0000-0000CB9C0000}"/>
    <cellStyle name="Финансовый 4 2 3 3 6 2 2" xfId="40577" xr:uid="{00000000-0005-0000-0000-0000CC9C0000}"/>
    <cellStyle name="Финансовый 4 2 3 3 6 3" xfId="28600" xr:uid="{00000000-0005-0000-0000-0000CD9C0000}"/>
    <cellStyle name="Финансовый 4 2 3 3 7" xfId="6442" xr:uid="{00000000-0005-0000-0000-0000CE9C0000}"/>
    <cellStyle name="Финансовый 4 2 3 3 7 2" xfId="18420" xr:uid="{00000000-0005-0000-0000-0000CF9C0000}"/>
    <cellStyle name="Финансовый 4 2 3 3 7 2 2" xfId="42375" xr:uid="{00000000-0005-0000-0000-0000D09C0000}"/>
    <cellStyle name="Финансовый 4 2 3 3 7 3" xfId="30397" xr:uid="{00000000-0005-0000-0000-0000D19C0000}"/>
    <cellStyle name="Финансовый 4 2 3 3 8" xfId="9037" xr:uid="{00000000-0005-0000-0000-0000D29C0000}"/>
    <cellStyle name="Финансовый 4 2 3 3 8 2" xfId="21015" xr:uid="{00000000-0005-0000-0000-0000D39C0000}"/>
    <cellStyle name="Финансовый 4 2 3 3 8 2 2" xfId="44970" xr:uid="{00000000-0005-0000-0000-0000D49C0000}"/>
    <cellStyle name="Финансовый 4 2 3 3 8 3" xfId="32992" xr:uid="{00000000-0005-0000-0000-0000D59C0000}"/>
    <cellStyle name="Финансовый 4 2 3 3 9" xfId="12383" xr:uid="{00000000-0005-0000-0000-0000D69C0000}"/>
    <cellStyle name="Финансовый 4 2 3 3 9 2" xfId="36338" xr:uid="{00000000-0005-0000-0000-0000D79C0000}"/>
    <cellStyle name="Финансовый 4 2 3 4" xfId="1536" xr:uid="{00000000-0005-0000-0000-0000D89C0000}"/>
    <cellStyle name="Финансовый 4 2 3 4 2" xfId="1925" xr:uid="{00000000-0005-0000-0000-0000D99C0000}"/>
    <cellStyle name="Финансовый 4 2 3 4 2 2" xfId="3570" xr:uid="{00000000-0005-0000-0000-0000DA9C0000}"/>
    <cellStyle name="Финансовый 4 2 3 4 2 2 2" xfId="11310" xr:uid="{00000000-0005-0000-0000-0000DB9C0000}"/>
    <cellStyle name="Финансовый 4 2 3 4 2 2 2 2" xfId="23288" xr:uid="{00000000-0005-0000-0000-0000DC9C0000}"/>
    <cellStyle name="Финансовый 4 2 3 4 2 2 2 2 2" xfId="47243" xr:uid="{00000000-0005-0000-0000-0000DD9C0000}"/>
    <cellStyle name="Финансовый 4 2 3 4 2 2 2 3" xfId="35265" xr:uid="{00000000-0005-0000-0000-0000DE9C0000}"/>
    <cellStyle name="Финансовый 4 2 3 4 2 2 3" xfId="15549" xr:uid="{00000000-0005-0000-0000-0000DF9C0000}"/>
    <cellStyle name="Финансовый 4 2 3 4 2 2 3 2" xfId="39504" xr:uid="{00000000-0005-0000-0000-0000E09C0000}"/>
    <cellStyle name="Финансовый 4 2 3 4 2 2 4" xfId="27527" xr:uid="{00000000-0005-0000-0000-0000E19C0000}"/>
    <cellStyle name="Финансовый 4 2 3 4 2 2 5" xfId="50796" xr:uid="{00000000-0005-0000-0000-0000E29C0000}"/>
    <cellStyle name="Финансовый 4 2 3 4 2 3" xfId="5353" xr:uid="{00000000-0005-0000-0000-0000E39C0000}"/>
    <cellStyle name="Финансовый 4 2 3 4 2 3 2" xfId="17331" xr:uid="{00000000-0005-0000-0000-0000E49C0000}"/>
    <cellStyle name="Финансовый 4 2 3 4 2 3 2 2" xfId="41286" xr:uid="{00000000-0005-0000-0000-0000E59C0000}"/>
    <cellStyle name="Финансовый 4 2 3 4 2 3 3" xfId="29308" xr:uid="{00000000-0005-0000-0000-0000E69C0000}"/>
    <cellStyle name="Финансовый 4 2 3 4 2 4" xfId="7963" xr:uid="{00000000-0005-0000-0000-0000E79C0000}"/>
    <cellStyle name="Финансовый 4 2 3 4 2 4 2" xfId="19941" xr:uid="{00000000-0005-0000-0000-0000E89C0000}"/>
    <cellStyle name="Финансовый 4 2 3 4 2 4 2 2" xfId="43896" xr:uid="{00000000-0005-0000-0000-0000E99C0000}"/>
    <cellStyle name="Финансовый 4 2 3 4 2 4 3" xfId="31918" xr:uid="{00000000-0005-0000-0000-0000EA9C0000}"/>
    <cellStyle name="Финансовый 4 2 3 4 2 5" xfId="9746" xr:uid="{00000000-0005-0000-0000-0000EB9C0000}"/>
    <cellStyle name="Финансовый 4 2 3 4 2 5 2" xfId="21724" xr:uid="{00000000-0005-0000-0000-0000EC9C0000}"/>
    <cellStyle name="Финансовый 4 2 3 4 2 5 2 2" xfId="45679" xr:uid="{00000000-0005-0000-0000-0000ED9C0000}"/>
    <cellStyle name="Финансовый 4 2 3 4 2 5 3" xfId="33701" xr:uid="{00000000-0005-0000-0000-0000EE9C0000}"/>
    <cellStyle name="Финансовый 4 2 3 4 2 6" xfId="13904" xr:uid="{00000000-0005-0000-0000-0000EF9C0000}"/>
    <cellStyle name="Финансовый 4 2 3 4 2 6 2" xfId="37859" xr:uid="{00000000-0005-0000-0000-0000F09C0000}"/>
    <cellStyle name="Финансовый 4 2 3 4 2 7" xfId="25882" xr:uid="{00000000-0005-0000-0000-0000F19C0000}"/>
    <cellStyle name="Финансовый 4 2 3 4 2 8" xfId="49015" xr:uid="{00000000-0005-0000-0000-0000F29C0000}"/>
    <cellStyle name="Финансовый 4 2 3 4 3" xfId="4964" xr:uid="{00000000-0005-0000-0000-0000F39C0000}"/>
    <cellStyle name="Финансовый 4 2 3 4 3 2" xfId="16942" xr:uid="{00000000-0005-0000-0000-0000F49C0000}"/>
    <cellStyle name="Финансовый 4 2 3 4 3 2 2" xfId="40897" xr:uid="{00000000-0005-0000-0000-0000F59C0000}"/>
    <cellStyle name="Финансовый 4 2 3 4 3 3" xfId="28919" xr:uid="{00000000-0005-0000-0000-0000F69C0000}"/>
    <cellStyle name="Финансовый 4 2 3 4 3 4" xfId="50407" xr:uid="{00000000-0005-0000-0000-0000F79C0000}"/>
    <cellStyle name="Финансовый 4 2 3 4 4" xfId="7574" xr:uid="{00000000-0005-0000-0000-0000F89C0000}"/>
    <cellStyle name="Финансовый 4 2 3 4 4 2" xfId="19552" xr:uid="{00000000-0005-0000-0000-0000F99C0000}"/>
    <cellStyle name="Финансовый 4 2 3 4 4 2 2" xfId="43507" xr:uid="{00000000-0005-0000-0000-0000FA9C0000}"/>
    <cellStyle name="Финансовый 4 2 3 4 4 3" xfId="31529" xr:uid="{00000000-0005-0000-0000-0000FB9C0000}"/>
    <cellStyle name="Финансовый 4 2 3 4 5" xfId="9357" xr:uid="{00000000-0005-0000-0000-0000FC9C0000}"/>
    <cellStyle name="Финансовый 4 2 3 4 5 2" xfId="21335" xr:uid="{00000000-0005-0000-0000-0000FD9C0000}"/>
    <cellStyle name="Финансовый 4 2 3 4 5 2 2" xfId="45290" xr:uid="{00000000-0005-0000-0000-0000FE9C0000}"/>
    <cellStyle name="Финансовый 4 2 3 4 5 3" xfId="33312" xr:uid="{00000000-0005-0000-0000-0000FF9C0000}"/>
    <cellStyle name="Финансовый 4 2 3 4 6" xfId="13515" xr:uid="{00000000-0005-0000-0000-0000009D0000}"/>
    <cellStyle name="Финансовый 4 2 3 4 6 2" xfId="37470" xr:uid="{00000000-0005-0000-0000-0000019D0000}"/>
    <cellStyle name="Финансовый 4 2 3 4 7" xfId="25493" xr:uid="{00000000-0005-0000-0000-0000029D0000}"/>
    <cellStyle name="Финансовый 4 2 3 4 8" xfId="48626" xr:uid="{00000000-0005-0000-0000-0000039D0000}"/>
    <cellStyle name="Финансовый 4 2 3 5" xfId="1801" xr:uid="{00000000-0005-0000-0000-0000049D0000}"/>
    <cellStyle name="Финансовый 4 2 3 5 2" xfId="3446" xr:uid="{00000000-0005-0000-0000-0000059D0000}"/>
    <cellStyle name="Финансовый 4 2 3 5 2 2" xfId="11194" xr:uid="{00000000-0005-0000-0000-0000069D0000}"/>
    <cellStyle name="Финансовый 4 2 3 5 2 2 2" xfId="23172" xr:uid="{00000000-0005-0000-0000-0000079D0000}"/>
    <cellStyle name="Финансовый 4 2 3 5 2 2 2 2" xfId="47127" xr:uid="{00000000-0005-0000-0000-0000089D0000}"/>
    <cellStyle name="Финансовый 4 2 3 5 2 2 3" xfId="35149" xr:uid="{00000000-0005-0000-0000-0000099D0000}"/>
    <cellStyle name="Финансовый 4 2 3 5 2 3" xfId="15425" xr:uid="{00000000-0005-0000-0000-00000A9D0000}"/>
    <cellStyle name="Финансовый 4 2 3 5 2 3 2" xfId="39380" xr:uid="{00000000-0005-0000-0000-00000B9D0000}"/>
    <cellStyle name="Финансовый 4 2 3 5 2 4" xfId="27403" xr:uid="{00000000-0005-0000-0000-00000C9D0000}"/>
    <cellStyle name="Финансовый 4 2 3 5 2 5" xfId="50672" xr:uid="{00000000-0005-0000-0000-00000D9D0000}"/>
    <cellStyle name="Финансовый 4 2 3 5 3" xfId="5229" xr:uid="{00000000-0005-0000-0000-00000E9D0000}"/>
    <cellStyle name="Финансовый 4 2 3 5 3 2" xfId="17207" xr:uid="{00000000-0005-0000-0000-00000F9D0000}"/>
    <cellStyle name="Финансовый 4 2 3 5 3 2 2" xfId="41162" xr:uid="{00000000-0005-0000-0000-0000109D0000}"/>
    <cellStyle name="Финансовый 4 2 3 5 3 3" xfId="29184" xr:uid="{00000000-0005-0000-0000-0000119D0000}"/>
    <cellStyle name="Финансовый 4 2 3 5 4" xfId="7839" xr:uid="{00000000-0005-0000-0000-0000129D0000}"/>
    <cellStyle name="Финансовый 4 2 3 5 4 2" xfId="19817" xr:uid="{00000000-0005-0000-0000-0000139D0000}"/>
    <cellStyle name="Финансовый 4 2 3 5 4 2 2" xfId="43772" xr:uid="{00000000-0005-0000-0000-0000149D0000}"/>
    <cellStyle name="Финансовый 4 2 3 5 4 3" xfId="31794" xr:uid="{00000000-0005-0000-0000-0000159D0000}"/>
    <cellStyle name="Финансовый 4 2 3 5 5" xfId="9622" xr:uid="{00000000-0005-0000-0000-0000169D0000}"/>
    <cellStyle name="Финансовый 4 2 3 5 5 2" xfId="21600" xr:uid="{00000000-0005-0000-0000-0000179D0000}"/>
    <cellStyle name="Финансовый 4 2 3 5 5 2 2" xfId="45555" xr:uid="{00000000-0005-0000-0000-0000189D0000}"/>
    <cellStyle name="Финансовый 4 2 3 5 5 3" xfId="33577" xr:uid="{00000000-0005-0000-0000-0000199D0000}"/>
    <cellStyle name="Финансовый 4 2 3 5 6" xfId="13780" xr:uid="{00000000-0005-0000-0000-00001A9D0000}"/>
    <cellStyle name="Финансовый 4 2 3 5 6 2" xfId="37735" xr:uid="{00000000-0005-0000-0000-00001B9D0000}"/>
    <cellStyle name="Финансовый 4 2 3 5 7" xfId="25758" xr:uid="{00000000-0005-0000-0000-00001C9D0000}"/>
    <cellStyle name="Финансовый 4 2 3 5 8" xfId="48891" xr:uid="{00000000-0005-0000-0000-00001D9D0000}"/>
    <cellStyle name="Финансовый 4 2 3 6" xfId="2446" xr:uid="{00000000-0005-0000-0000-00001E9D0000}"/>
    <cellStyle name="Финансовый 4 2 3 6 2" xfId="4091" xr:uid="{00000000-0005-0000-0000-00001F9D0000}"/>
    <cellStyle name="Финансовый 4 2 3 6 2 2" xfId="11823" xr:uid="{00000000-0005-0000-0000-0000209D0000}"/>
    <cellStyle name="Финансовый 4 2 3 6 2 2 2" xfId="23801" xr:uid="{00000000-0005-0000-0000-0000219D0000}"/>
    <cellStyle name="Финансовый 4 2 3 6 2 2 2 2" xfId="47756" xr:uid="{00000000-0005-0000-0000-0000229D0000}"/>
    <cellStyle name="Финансовый 4 2 3 6 2 2 3" xfId="35778" xr:uid="{00000000-0005-0000-0000-0000239D0000}"/>
    <cellStyle name="Финансовый 4 2 3 6 2 3" xfId="16070" xr:uid="{00000000-0005-0000-0000-0000249D0000}"/>
    <cellStyle name="Финансовый 4 2 3 6 2 3 2" xfId="40025" xr:uid="{00000000-0005-0000-0000-0000259D0000}"/>
    <cellStyle name="Финансовый 4 2 3 6 2 4" xfId="28048" xr:uid="{00000000-0005-0000-0000-0000269D0000}"/>
    <cellStyle name="Финансовый 4 2 3 6 2 5" xfId="51317" xr:uid="{00000000-0005-0000-0000-0000279D0000}"/>
    <cellStyle name="Финансовый 4 2 3 6 3" xfId="5874" xr:uid="{00000000-0005-0000-0000-0000289D0000}"/>
    <cellStyle name="Финансовый 4 2 3 6 3 2" xfId="17852" xr:uid="{00000000-0005-0000-0000-0000299D0000}"/>
    <cellStyle name="Финансовый 4 2 3 6 3 2 2" xfId="41807" xr:uid="{00000000-0005-0000-0000-00002A9D0000}"/>
    <cellStyle name="Финансовый 4 2 3 6 3 3" xfId="29829" xr:uid="{00000000-0005-0000-0000-00002B9D0000}"/>
    <cellStyle name="Финансовый 4 2 3 6 4" xfId="8484" xr:uid="{00000000-0005-0000-0000-00002C9D0000}"/>
    <cellStyle name="Финансовый 4 2 3 6 4 2" xfId="20462" xr:uid="{00000000-0005-0000-0000-00002D9D0000}"/>
    <cellStyle name="Финансовый 4 2 3 6 4 2 2" xfId="44417" xr:uid="{00000000-0005-0000-0000-00002E9D0000}"/>
    <cellStyle name="Финансовый 4 2 3 6 4 3" xfId="32439" xr:uid="{00000000-0005-0000-0000-00002F9D0000}"/>
    <cellStyle name="Финансовый 4 2 3 6 5" xfId="10267" xr:uid="{00000000-0005-0000-0000-0000309D0000}"/>
    <cellStyle name="Финансовый 4 2 3 6 5 2" xfId="22245" xr:uid="{00000000-0005-0000-0000-0000319D0000}"/>
    <cellStyle name="Финансовый 4 2 3 6 5 2 2" xfId="46200" xr:uid="{00000000-0005-0000-0000-0000329D0000}"/>
    <cellStyle name="Финансовый 4 2 3 6 5 3" xfId="34222" xr:uid="{00000000-0005-0000-0000-0000339D0000}"/>
    <cellStyle name="Финансовый 4 2 3 6 6" xfId="14425" xr:uid="{00000000-0005-0000-0000-0000349D0000}"/>
    <cellStyle name="Финансовый 4 2 3 6 6 2" xfId="38380" xr:uid="{00000000-0005-0000-0000-0000359D0000}"/>
    <cellStyle name="Финансовый 4 2 3 6 7" xfId="26403" xr:uid="{00000000-0005-0000-0000-0000369D0000}"/>
    <cellStyle name="Финансовый 4 2 3 6 8" xfId="49536" xr:uid="{00000000-0005-0000-0000-0000379D0000}"/>
    <cellStyle name="Финансовый 4 2 3 7" xfId="1673" xr:uid="{00000000-0005-0000-0000-0000389D0000}"/>
    <cellStyle name="Финансовый 4 2 3 7 2" xfId="3318" xr:uid="{00000000-0005-0000-0000-0000399D0000}"/>
    <cellStyle name="Финансовый 4 2 3 7 2 2" xfId="11066" xr:uid="{00000000-0005-0000-0000-00003A9D0000}"/>
    <cellStyle name="Финансовый 4 2 3 7 2 2 2" xfId="23044" xr:uid="{00000000-0005-0000-0000-00003B9D0000}"/>
    <cellStyle name="Финансовый 4 2 3 7 2 2 2 2" xfId="46999" xr:uid="{00000000-0005-0000-0000-00003C9D0000}"/>
    <cellStyle name="Финансовый 4 2 3 7 2 2 3" xfId="35021" xr:uid="{00000000-0005-0000-0000-00003D9D0000}"/>
    <cellStyle name="Финансовый 4 2 3 7 2 3" xfId="15297" xr:uid="{00000000-0005-0000-0000-00003E9D0000}"/>
    <cellStyle name="Финансовый 4 2 3 7 2 3 2" xfId="39252" xr:uid="{00000000-0005-0000-0000-00003F9D0000}"/>
    <cellStyle name="Финансовый 4 2 3 7 2 4" xfId="27275" xr:uid="{00000000-0005-0000-0000-0000409D0000}"/>
    <cellStyle name="Финансовый 4 2 3 7 2 5" xfId="50544" xr:uid="{00000000-0005-0000-0000-0000419D0000}"/>
    <cellStyle name="Финансовый 4 2 3 7 3" xfId="5101" xr:uid="{00000000-0005-0000-0000-0000429D0000}"/>
    <cellStyle name="Финансовый 4 2 3 7 3 2" xfId="17079" xr:uid="{00000000-0005-0000-0000-0000439D0000}"/>
    <cellStyle name="Финансовый 4 2 3 7 3 2 2" xfId="41034" xr:uid="{00000000-0005-0000-0000-0000449D0000}"/>
    <cellStyle name="Финансовый 4 2 3 7 3 3" xfId="29056" xr:uid="{00000000-0005-0000-0000-0000459D0000}"/>
    <cellStyle name="Финансовый 4 2 3 7 4" xfId="7711" xr:uid="{00000000-0005-0000-0000-0000469D0000}"/>
    <cellStyle name="Финансовый 4 2 3 7 4 2" xfId="19689" xr:uid="{00000000-0005-0000-0000-0000479D0000}"/>
    <cellStyle name="Финансовый 4 2 3 7 4 2 2" xfId="43644" xr:uid="{00000000-0005-0000-0000-0000489D0000}"/>
    <cellStyle name="Финансовый 4 2 3 7 4 3" xfId="31666" xr:uid="{00000000-0005-0000-0000-0000499D0000}"/>
    <cellStyle name="Финансовый 4 2 3 7 5" xfId="9494" xr:uid="{00000000-0005-0000-0000-00004A9D0000}"/>
    <cellStyle name="Финансовый 4 2 3 7 5 2" xfId="21472" xr:uid="{00000000-0005-0000-0000-00004B9D0000}"/>
    <cellStyle name="Финансовый 4 2 3 7 5 2 2" xfId="45427" xr:uid="{00000000-0005-0000-0000-00004C9D0000}"/>
    <cellStyle name="Финансовый 4 2 3 7 5 3" xfId="33449" xr:uid="{00000000-0005-0000-0000-00004D9D0000}"/>
    <cellStyle name="Финансовый 4 2 3 7 6" xfId="13652" xr:uid="{00000000-0005-0000-0000-00004E9D0000}"/>
    <cellStyle name="Финансовый 4 2 3 7 6 2" xfId="37607" xr:uid="{00000000-0005-0000-0000-00004F9D0000}"/>
    <cellStyle name="Финансовый 4 2 3 7 7" xfId="25630" xr:uid="{00000000-0005-0000-0000-0000509D0000}"/>
    <cellStyle name="Финансовый 4 2 3 7 8" xfId="48763" xr:uid="{00000000-0005-0000-0000-0000519D0000}"/>
    <cellStyle name="Финансовый 4 2 3 8" xfId="950" xr:uid="{00000000-0005-0000-0000-0000529D0000}"/>
    <cellStyle name="Финансовый 4 2 3 8 2" xfId="6990" xr:uid="{00000000-0005-0000-0000-0000539D0000}"/>
    <cellStyle name="Финансовый 4 2 3 8 2 2" xfId="18968" xr:uid="{00000000-0005-0000-0000-0000549D0000}"/>
    <cellStyle name="Финансовый 4 2 3 8 2 2 2" xfId="42923" xr:uid="{00000000-0005-0000-0000-0000559D0000}"/>
    <cellStyle name="Финансовый 4 2 3 8 2 3" xfId="30945" xr:uid="{00000000-0005-0000-0000-0000569D0000}"/>
    <cellStyle name="Финансовый 4 2 3 8 3" xfId="10538" xr:uid="{00000000-0005-0000-0000-0000579D0000}"/>
    <cellStyle name="Финансовый 4 2 3 8 3 2" xfId="22516" xr:uid="{00000000-0005-0000-0000-0000589D0000}"/>
    <cellStyle name="Финансовый 4 2 3 8 3 2 2" xfId="46471" xr:uid="{00000000-0005-0000-0000-0000599D0000}"/>
    <cellStyle name="Финансовый 4 2 3 8 3 3" xfId="34493" xr:uid="{00000000-0005-0000-0000-00005A9D0000}"/>
    <cellStyle name="Финансовый 4 2 3 8 4" xfId="12931" xr:uid="{00000000-0005-0000-0000-00005B9D0000}"/>
    <cellStyle name="Финансовый 4 2 3 8 4 2" xfId="36886" xr:uid="{00000000-0005-0000-0000-00005C9D0000}"/>
    <cellStyle name="Финансовый 4 2 3 8 5" xfId="24909" xr:uid="{00000000-0005-0000-0000-00005D9D0000}"/>
    <cellStyle name="Финансовый 4 2 3 8 6" xfId="49815" xr:uid="{00000000-0005-0000-0000-00005E9D0000}"/>
    <cellStyle name="Финансовый 4 2 3 9" xfId="538" xr:uid="{00000000-0005-0000-0000-00005F9D0000}"/>
    <cellStyle name="Финансовый 4 2 3 9 2" xfId="6578" xr:uid="{00000000-0005-0000-0000-0000609D0000}"/>
    <cellStyle name="Финансовый 4 2 3 9 2 2" xfId="18556" xr:uid="{00000000-0005-0000-0000-0000619D0000}"/>
    <cellStyle name="Финансовый 4 2 3 9 2 2 2" xfId="42511" xr:uid="{00000000-0005-0000-0000-0000629D0000}"/>
    <cellStyle name="Финансовый 4 2 3 9 2 3" xfId="30533" xr:uid="{00000000-0005-0000-0000-0000639D0000}"/>
    <cellStyle name="Финансовый 4 2 3 9 3" xfId="12519" xr:uid="{00000000-0005-0000-0000-0000649D0000}"/>
    <cellStyle name="Финансовый 4 2 3 9 3 2" xfId="36474" xr:uid="{00000000-0005-0000-0000-0000659D0000}"/>
    <cellStyle name="Финансовый 4 2 3 9 4" xfId="24497" xr:uid="{00000000-0005-0000-0000-0000669D0000}"/>
    <cellStyle name="Финансовый 4 2 4" xfId="81" xr:uid="{00000000-0005-0000-0000-0000679D0000}"/>
    <cellStyle name="Финансовый 4 2 4 10" xfId="2691" xr:uid="{00000000-0005-0000-0000-0000689D0000}"/>
    <cellStyle name="Финансовый 4 2 4 10 2" xfId="14670" xr:uid="{00000000-0005-0000-0000-0000699D0000}"/>
    <cellStyle name="Финансовый 4 2 4 10 2 2" xfId="38625" xr:uid="{00000000-0005-0000-0000-00006A9D0000}"/>
    <cellStyle name="Финансовый 4 2 4 10 3" xfId="26648" xr:uid="{00000000-0005-0000-0000-00006B9D0000}"/>
    <cellStyle name="Финансовый 4 2 4 11" xfId="4335" xr:uid="{00000000-0005-0000-0000-00006C9D0000}"/>
    <cellStyle name="Финансовый 4 2 4 11 2" xfId="16314" xr:uid="{00000000-0005-0000-0000-00006D9D0000}"/>
    <cellStyle name="Финансовый 4 2 4 11 2 2" xfId="40269" xr:uid="{00000000-0005-0000-0000-00006E9D0000}"/>
    <cellStyle name="Финансовый 4 2 4 11 3" xfId="28292" xr:uid="{00000000-0005-0000-0000-00006F9D0000}"/>
    <cellStyle name="Финансовый 4 2 4 12" xfId="6122" xr:uid="{00000000-0005-0000-0000-0000709D0000}"/>
    <cellStyle name="Финансовый 4 2 4 12 2" xfId="18100" xr:uid="{00000000-0005-0000-0000-0000719D0000}"/>
    <cellStyle name="Финансовый 4 2 4 12 2 2" xfId="42055" xr:uid="{00000000-0005-0000-0000-0000729D0000}"/>
    <cellStyle name="Финансовый 4 2 4 12 3" xfId="30077" xr:uid="{00000000-0005-0000-0000-0000739D0000}"/>
    <cellStyle name="Финансовый 4 2 4 13" xfId="8729" xr:uid="{00000000-0005-0000-0000-0000749D0000}"/>
    <cellStyle name="Финансовый 4 2 4 13 2" xfId="20707" xr:uid="{00000000-0005-0000-0000-0000759D0000}"/>
    <cellStyle name="Финансовый 4 2 4 13 2 2" xfId="44662" xr:uid="{00000000-0005-0000-0000-0000769D0000}"/>
    <cellStyle name="Финансовый 4 2 4 13 3" xfId="32684" xr:uid="{00000000-0005-0000-0000-0000779D0000}"/>
    <cellStyle name="Финансовый 4 2 4 14" xfId="12063" xr:uid="{00000000-0005-0000-0000-0000789D0000}"/>
    <cellStyle name="Финансовый 4 2 4 14 2" xfId="36018" xr:uid="{00000000-0005-0000-0000-0000799D0000}"/>
    <cellStyle name="Финансовый 4 2 4 15" xfId="24041" xr:uid="{00000000-0005-0000-0000-00007A9D0000}"/>
    <cellStyle name="Финансовый 4 2 4 16" xfId="47999" xr:uid="{00000000-0005-0000-0000-00007B9D0000}"/>
    <cellStyle name="Финансовый 4 2 4 2" xfId="217" xr:uid="{00000000-0005-0000-0000-00007C9D0000}"/>
    <cellStyle name="Финансовый 4 2 4 2 10" xfId="8865" xr:uid="{00000000-0005-0000-0000-00007D9D0000}"/>
    <cellStyle name="Финансовый 4 2 4 2 10 2" xfId="20843" xr:uid="{00000000-0005-0000-0000-00007E9D0000}"/>
    <cellStyle name="Финансовый 4 2 4 2 10 2 2" xfId="44798" xr:uid="{00000000-0005-0000-0000-00007F9D0000}"/>
    <cellStyle name="Финансовый 4 2 4 2 10 3" xfId="32820" xr:uid="{00000000-0005-0000-0000-0000809D0000}"/>
    <cellStyle name="Финансовый 4 2 4 2 11" xfId="12199" xr:uid="{00000000-0005-0000-0000-0000819D0000}"/>
    <cellStyle name="Финансовый 4 2 4 2 11 2" xfId="36154" xr:uid="{00000000-0005-0000-0000-0000829D0000}"/>
    <cellStyle name="Финансовый 4 2 4 2 12" xfId="24177" xr:uid="{00000000-0005-0000-0000-0000839D0000}"/>
    <cellStyle name="Финансовый 4 2 4 2 13" xfId="48135" xr:uid="{00000000-0005-0000-0000-0000849D0000}"/>
    <cellStyle name="Финансовый 4 2 4 2 2" xfId="1315" xr:uid="{00000000-0005-0000-0000-0000859D0000}"/>
    <cellStyle name="Финансовый 4 2 4 2 2 2" xfId="2273" xr:uid="{00000000-0005-0000-0000-0000869D0000}"/>
    <cellStyle name="Финансовый 4 2 4 2 2 2 2" xfId="3918" xr:uid="{00000000-0005-0000-0000-0000879D0000}"/>
    <cellStyle name="Финансовый 4 2 4 2 2 2 2 2" xfId="11658" xr:uid="{00000000-0005-0000-0000-0000889D0000}"/>
    <cellStyle name="Финансовый 4 2 4 2 2 2 2 2 2" xfId="23636" xr:uid="{00000000-0005-0000-0000-0000899D0000}"/>
    <cellStyle name="Финансовый 4 2 4 2 2 2 2 2 2 2" xfId="47591" xr:uid="{00000000-0005-0000-0000-00008A9D0000}"/>
    <cellStyle name="Финансовый 4 2 4 2 2 2 2 2 3" xfId="35613" xr:uid="{00000000-0005-0000-0000-00008B9D0000}"/>
    <cellStyle name="Финансовый 4 2 4 2 2 2 2 3" xfId="15897" xr:uid="{00000000-0005-0000-0000-00008C9D0000}"/>
    <cellStyle name="Финансовый 4 2 4 2 2 2 2 3 2" xfId="39852" xr:uid="{00000000-0005-0000-0000-00008D9D0000}"/>
    <cellStyle name="Финансовый 4 2 4 2 2 2 2 4" xfId="27875" xr:uid="{00000000-0005-0000-0000-00008E9D0000}"/>
    <cellStyle name="Финансовый 4 2 4 2 2 2 2 5" xfId="51144" xr:uid="{00000000-0005-0000-0000-00008F9D0000}"/>
    <cellStyle name="Финансовый 4 2 4 2 2 2 3" xfId="5701" xr:uid="{00000000-0005-0000-0000-0000909D0000}"/>
    <cellStyle name="Финансовый 4 2 4 2 2 2 3 2" xfId="17679" xr:uid="{00000000-0005-0000-0000-0000919D0000}"/>
    <cellStyle name="Финансовый 4 2 4 2 2 2 3 2 2" xfId="41634" xr:uid="{00000000-0005-0000-0000-0000929D0000}"/>
    <cellStyle name="Финансовый 4 2 4 2 2 2 3 3" xfId="29656" xr:uid="{00000000-0005-0000-0000-0000939D0000}"/>
    <cellStyle name="Финансовый 4 2 4 2 2 2 4" xfId="8311" xr:uid="{00000000-0005-0000-0000-0000949D0000}"/>
    <cellStyle name="Финансовый 4 2 4 2 2 2 4 2" xfId="20289" xr:uid="{00000000-0005-0000-0000-0000959D0000}"/>
    <cellStyle name="Финансовый 4 2 4 2 2 2 4 2 2" xfId="44244" xr:uid="{00000000-0005-0000-0000-0000969D0000}"/>
    <cellStyle name="Финансовый 4 2 4 2 2 2 4 3" xfId="32266" xr:uid="{00000000-0005-0000-0000-0000979D0000}"/>
    <cellStyle name="Финансовый 4 2 4 2 2 2 5" xfId="10094" xr:uid="{00000000-0005-0000-0000-0000989D0000}"/>
    <cellStyle name="Финансовый 4 2 4 2 2 2 5 2" xfId="22072" xr:uid="{00000000-0005-0000-0000-0000999D0000}"/>
    <cellStyle name="Финансовый 4 2 4 2 2 2 5 2 2" xfId="46027" xr:uid="{00000000-0005-0000-0000-00009A9D0000}"/>
    <cellStyle name="Финансовый 4 2 4 2 2 2 5 3" xfId="34049" xr:uid="{00000000-0005-0000-0000-00009B9D0000}"/>
    <cellStyle name="Финансовый 4 2 4 2 2 2 6" xfId="14252" xr:uid="{00000000-0005-0000-0000-00009C9D0000}"/>
    <cellStyle name="Финансовый 4 2 4 2 2 2 6 2" xfId="38207" xr:uid="{00000000-0005-0000-0000-00009D9D0000}"/>
    <cellStyle name="Финансовый 4 2 4 2 2 2 7" xfId="26230" xr:uid="{00000000-0005-0000-0000-00009E9D0000}"/>
    <cellStyle name="Финансовый 4 2 4 2 2 2 8" xfId="49363" xr:uid="{00000000-0005-0000-0000-00009F9D0000}"/>
    <cellStyle name="Финансовый 4 2 4 2 2 3" xfId="3099" xr:uid="{00000000-0005-0000-0000-0000A09D0000}"/>
    <cellStyle name="Финансовый 4 2 4 2 2 3 2" xfId="10886" xr:uid="{00000000-0005-0000-0000-0000A19D0000}"/>
    <cellStyle name="Финансовый 4 2 4 2 2 3 2 2" xfId="22864" xr:uid="{00000000-0005-0000-0000-0000A29D0000}"/>
    <cellStyle name="Финансовый 4 2 4 2 2 3 2 2 2" xfId="46819" xr:uid="{00000000-0005-0000-0000-0000A39D0000}"/>
    <cellStyle name="Финансовый 4 2 4 2 2 3 2 3" xfId="34841" xr:uid="{00000000-0005-0000-0000-0000A49D0000}"/>
    <cellStyle name="Финансовый 4 2 4 2 2 3 3" xfId="15078" xr:uid="{00000000-0005-0000-0000-0000A59D0000}"/>
    <cellStyle name="Финансовый 4 2 4 2 2 3 3 2" xfId="39033" xr:uid="{00000000-0005-0000-0000-0000A69D0000}"/>
    <cellStyle name="Финансовый 4 2 4 2 2 3 4" xfId="27056" xr:uid="{00000000-0005-0000-0000-0000A79D0000}"/>
    <cellStyle name="Финансовый 4 2 4 2 2 3 5" xfId="50187" xr:uid="{00000000-0005-0000-0000-0000A89D0000}"/>
    <cellStyle name="Финансовый 4 2 4 2 2 4" xfId="4743" xr:uid="{00000000-0005-0000-0000-0000A99D0000}"/>
    <cellStyle name="Финансовый 4 2 4 2 2 4 2" xfId="16722" xr:uid="{00000000-0005-0000-0000-0000AA9D0000}"/>
    <cellStyle name="Финансовый 4 2 4 2 2 4 2 2" xfId="40677" xr:uid="{00000000-0005-0000-0000-0000AB9D0000}"/>
    <cellStyle name="Финансовый 4 2 4 2 2 4 3" xfId="28700" xr:uid="{00000000-0005-0000-0000-0000AC9D0000}"/>
    <cellStyle name="Финансовый 4 2 4 2 2 5" xfId="7355" xr:uid="{00000000-0005-0000-0000-0000AD9D0000}"/>
    <cellStyle name="Финансовый 4 2 4 2 2 5 2" xfId="19333" xr:uid="{00000000-0005-0000-0000-0000AE9D0000}"/>
    <cellStyle name="Финансовый 4 2 4 2 2 5 2 2" xfId="43288" xr:uid="{00000000-0005-0000-0000-0000AF9D0000}"/>
    <cellStyle name="Финансовый 4 2 4 2 2 5 3" xfId="31310" xr:uid="{00000000-0005-0000-0000-0000B09D0000}"/>
    <cellStyle name="Финансовый 4 2 4 2 2 6" xfId="9137" xr:uid="{00000000-0005-0000-0000-0000B19D0000}"/>
    <cellStyle name="Финансовый 4 2 4 2 2 6 2" xfId="21115" xr:uid="{00000000-0005-0000-0000-0000B29D0000}"/>
    <cellStyle name="Финансовый 4 2 4 2 2 6 2 2" xfId="45070" xr:uid="{00000000-0005-0000-0000-0000B39D0000}"/>
    <cellStyle name="Финансовый 4 2 4 2 2 6 3" xfId="33092" xr:uid="{00000000-0005-0000-0000-0000B49D0000}"/>
    <cellStyle name="Финансовый 4 2 4 2 2 7" xfId="13296" xr:uid="{00000000-0005-0000-0000-0000B59D0000}"/>
    <cellStyle name="Финансовый 4 2 4 2 2 7 2" xfId="37251" xr:uid="{00000000-0005-0000-0000-0000B69D0000}"/>
    <cellStyle name="Финансовый 4 2 4 2 2 8" xfId="25274" xr:uid="{00000000-0005-0000-0000-0000B79D0000}"/>
    <cellStyle name="Финансовый 4 2 4 2 2 9" xfId="48407" xr:uid="{00000000-0005-0000-0000-0000B89D0000}"/>
    <cellStyle name="Финансовый 4 2 4 2 3" xfId="2017" xr:uid="{00000000-0005-0000-0000-0000B99D0000}"/>
    <cellStyle name="Финансовый 4 2 4 2 3 2" xfId="3662" xr:uid="{00000000-0005-0000-0000-0000BA9D0000}"/>
    <cellStyle name="Финансовый 4 2 4 2 3 2 2" xfId="11402" xr:uid="{00000000-0005-0000-0000-0000BB9D0000}"/>
    <cellStyle name="Финансовый 4 2 4 2 3 2 2 2" xfId="23380" xr:uid="{00000000-0005-0000-0000-0000BC9D0000}"/>
    <cellStyle name="Финансовый 4 2 4 2 3 2 2 2 2" xfId="47335" xr:uid="{00000000-0005-0000-0000-0000BD9D0000}"/>
    <cellStyle name="Финансовый 4 2 4 2 3 2 2 3" xfId="35357" xr:uid="{00000000-0005-0000-0000-0000BE9D0000}"/>
    <cellStyle name="Финансовый 4 2 4 2 3 2 3" xfId="15641" xr:uid="{00000000-0005-0000-0000-0000BF9D0000}"/>
    <cellStyle name="Финансовый 4 2 4 2 3 2 3 2" xfId="39596" xr:uid="{00000000-0005-0000-0000-0000C09D0000}"/>
    <cellStyle name="Финансовый 4 2 4 2 3 2 4" xfId="27619" xr:uid="{00000000-0005-0000-0000-0000C19D0000}"/>
    <cellStyle name="Финансовый 4 2 4 2 3 2 5" xfId="50888" xr:uid="{00000000-0005-0000-0000-0000C29D0000}"/>
    <cellStyle name="Финансовый 4 2 4 2 3 3" xfId="5445" xr:uid="{00000000-0005-0000-0000-0000C39D0000}"/>
    <cellStyle name="Финансовый 4 2 4 2 3 3 2" xfId="17423" xr:uid="{00000000-0005-0000-0000-0000C49D0000}"/>
    <cellStyle name="Финансовый 4 2 4 2 3 3 2 2" xfId="41378" xr:uid="{00000000-0005-0000-0000-0000C59D0000}"/>
    <cellStyle name="Финансовый 4 2 4 2 3 3 3" xfId="29400" xr:uid="{00000000-0005-0000-0000-0000C69D0000}"/>
    <cellStyle name="Финансовый 4 2 4 2 3 4" xfId="8055" xr:uid="{00000000-0005-0000-0000-0000C79D0000}"/>
    <cellStyle name="Финансовый 4 2 4 2 3 4 2" xfId="20033" xr:uid="{00000000-0005-0000-0000-0000C89D0000}"/>
    <cellStyle name="Финансовый 4 2 4 2 3 4 2 2" xfId="43988" xr:uid="{00000000-0005-0000-0000-0000C99D0000}"/>
    <cellStyle name="Финансовый 4 2 4 2 3 4 3" xfId="32010" xr:uid="{00000000-0005-0000-0000-0000CA9D0000}"/>
    <cellStyle name="Финансовый 4 2 4 2 3 5" xfId="9838" xr:uid="{00000000-0005-0000-0000-0000CB9D0000}"/>
    <cellStyle name="Финансовый 4 2 4 2 3 5 2" xfId="21816" xr:uid="{00000000-0005-0000-0000-0000CC9D0000}"/>
    <cellStyle name="Финансовый 4 2 4 2 3 5 2 2" xfId="45771" xr:uid="{00000000-0005-0000-0000-0000CD9D0000}"/>
    <cellStyle name="Финансовый 4 2 4 2 3 5 3" xfId="33793" xr:uid="{00000000-0005-0000-0000-0000CE9D0000}"/>
    <cellStyle name="Финансовый 4 2 4 2 3 6" xfId="13996" xr:uid="{00000000-0005-0000-0000-0000CF9D0000}"/>
    <cellStyle name="Финансовый 4 2 4 2 3 6 2" xfId="37951" xr:uid="{00000000-0005-0000-0000-0000D09D0000}"/>
    <cellStyle name="Финансовый 4 2 4 2 3 7" xfId="25974" xr:uid="{00000000-0005-0000-0000-0000D19D0000}"/>
    <cellStyle name="Финансовый 4 2 4 2 3 8" xfId="49107" xr:uid="{00000000-0005-0000-0000-0000D29D0000}"/>
    <cellStyle name="Финансовый 4 2 4 2 4" xfId="2546" xr:uid="{00000000-0005-0000-0000-0000D39D0000}"/>
    <cellStyle name="Финансовый 4 2 4 2 4 2" xfId="4191" xr:uid="{00000000-0005-0000-0000-0000D49D0000}"/>
    <cellStyle name="Финансовый 4 2 4 2 4 2 2" xfId="11915" xr:uid="{00000000-0005-0000-0000-0000D59D0000}"/>
    <cellStyle name="Финансовый 4 2 4 2 4 2 2 2" xfId="23893" xr:uid="{00000000-0005-0000-0000-0000D69D0000}"/>
    <cellStyle name="Финансовый 4 2 4 2 4 2 2 2 2" xfId="47848" xr:uid="{00000000-0005-0000-0000-0000D79D0000}"/>
    <cellStyle name="Финансовый 4 2 4 2 4 2 2 3" xfId="35870" xr:uid="{00000000-0005-0000-0000-0000D89D0000}"/>
    <cellStyle name="Финансовый 4 2 4 2 4 2 3" xfId="16170" xr:uid="{00000000-0005-0000-0000-0000D99D0000}"/>
    <cellStyle name="Финансовый 4 2 4 2 4 2 3 2" xfId="40125" xr:uid="{00000000-0005-0000-0000-0000DA9D0000}"/>
    <cellStyle name="Финансовый 4 2 4 2 4 2 4" xfId="28148" xr:uid="{00000000-0005-0000-0000-0000DB9D0000}"/>
    <cellStyle name="Финансовый 4 2 4 2 4 2 5" xfId="51417" xr:uid="{00000000-0005-0000-0000-0000DC9D0000}"/>
    <cellStyle name="Финансовый 4 2 4 2 4 3" xfId="5974" xr:uid="{00000000-0005-0000-0000-0000DD9D0000}"/>
    <cellStyle name="Финансовый 4 2 4 2 4 3 2" xfId="17952" xr:uid="{00000000-0005-0000-0000-0000DE9D0000}"/>
    <cellStyle name="Финансовый 4 2 4 2 4 3 2 2" xfId="41907" xr:uid="{00000000-0005-0000-0000-0000DF9D0000}"/>
    <cellStyle name="Финансовый 4 2 4 2 4 3 3" xfId="29929" xr:uid="{00000000-0005-0000-0000-0000E09D0000}"/>
    <cellStyle name="Финансовый 4 2 4 2 4 4" xfId="8584" xr:uid="{00000000-0005-0000-0000-0000E19D0000}"/>
    <cellStyle name="Финансовый 4 2 4 2 4 4 2" xfId="20562" xr:uid="{00000000-0005-0000-0000-0000E29D0000}"/>
    <cellStyle name="Финансовый 4 2 4 2 4 4 2 2" xfId="44517" xr:uid="{00000000-0005-0000-0000-0000E39D0000}"/>
    <cellStyle name="Финансовый 4 2 4 2 4 4 3" xfId="32539" xr:uid="{00000000-0005-0000-0000-0000E49D0000}"/>
    <cellStyle name="Финансовый 4 2 4 2 4 5" xfId="10367" xr:uid="{00000000-0005-0000-0000-0000E59D0000}"/>
    <cellStyle name="Финансовый 4 2 4 2 4 5 2" xfId="22345" xr:uid="{00000000-0005-0000-0000-0000E69D0000}"/>
    <cellStyle name="Финансовый 4 2 4 2 4 5 2 2" xfId="46300" xr:uid="{00000000-0005-0000-0000-0000E79D0000}"/>
    <cellStyle name="Финансовый 4 2 4 2 4 5 3" xfId="34322" xr:uid="{00000000-0005-0000-0000-0000E89D0000}"/>
    <cellStyle name="Финансовый 4 2 4 2 4 6" xfId="14525" xr:uid="{00000000-0005-0000-0000-0000E99D0000}"/>
    <cellStyle name="Финансовый 4 2 4 2 4 6 2" xfId="38480" xr:uid="{00000000-0005-0000-0000-0000EA9D0000}"/>
    <cellStyle name="Финансовый 4 2 4 2 4 7" xfId="26503" xr:uid="{00000000-0005-0000-0000-0000EB9D0000}"/>
    <cellStyle name="Финансовый 4 2 4 2 4 8" xfId="49636" xr:uid="{00000000-0005-0000-0000-0000EC9D0000}"/>
    <cellStyle name="Финансовый 4 2 4 2 5" xfId="1050" xr:uid="{00000000-0005-0000-0000-0000ED9D0000}"/>
    <cellStyle name="Финансовый 4 2 4 2 5 2" xfId="7090" xr:uid="{00000000-0005-0000-0000-0000EE9D0000}"/>
    <cellStyle name="Финансовый 4 2 4 2 5 2 2" xfId="19068" xr:uid="{00000000-0005-0000-0000-0000EF9D0000}"/>
    <cellStyle name="Финансовый 4 2 4 2 5 2 2 2" xfId="43023" xr:uid="{00000000-0005-0000-0000-0000F09D0000}"/>
    <cellStyle name="Финансовый 4 2 4 2 5 2 3" xfId="31045" xr:uid="{00000000-0005-0000-0000-0000F19D0000}"/>
    <cellStyle name="Финансовый 4 2 4 2 5 3" xfId="10630" xr:uid="{00000000-0005-0000-0000-0000F29D0000}"/>
    <cellStyle name="Финансовый 4 2 4 2 5 3 2" xfId="22608" xr:uid="{00000000-0005-0000-0000-0000F39D0000}"/>
    <cellStyle name="Финансовый 4 2 4 2 5 3 2 2" xfId="46563" xr:uid="{00000000-0005-0000-0000-0000F49D0000}"/>
    <cellStyle name="Финансовый 4 2 4 2 5 3 3" xfId="34585" xr:uid="{00000000-0005-0000-0000-0000F59D0000}"/>
    <cellStyle name="Финансовый 4 2 4 2 5 4" xfId="13031" xr:uid="{00000000-0005-0000-0000-0000F69D0000}"/>
    <cellStyle name="Финансовый 4 2 4 2 5 4 2" xfId="36986" xr:uid="{00000000-0005-0000-0000-0000F79D0000}"/>
    <cellStyle name="Финансовый 4 2 4 2 5 5" xfId="25009" xr:uid="{00000000-0005-0000-0000-0000F89D0000}"/>
    <cellStyle name="Финансовый 4 2 4 2 5 6" xfId="49915" xr:uid="{00000000-0005-0000-0000-0000F99D0000}"/>
    <cellStyle name="Финансовый 4 2 4 2 6" xfId="638" xr:uid="{00000000-0005-0000-0000-0000FA9D0000}"/>
    <cellStyle name="Финансовый 4 2 4 2 6 2" xfId="6678" xr:uid="{00000000-0005-0000-0000-0000FB9D0000}"/>
    <cellStyle name="Финансовый 4 2 4 2 6 2 2" xfId="18656" xr:uid="{00000000-0005-0000-0000-0000FC9D0000}"/>
    <cellStyle name="Финансовый 4 2 4 2 6 2 2 2" xfId="42611" xr:uid="{00000000-0005-0000-0000-0000FD9D0000}"/>
    <cellStyle name="Финансовый 4 2 4 2 6 2 3" xfId="30633" xr:uid="{00000000-0005-0000-0000-0000FE9D0000}"/>
    <cellStyle name="Финансовый 4 2 4 2 6 3" xfId="12619" xr:uid="{00000000-0005-0000-0000-0000FF9D0000}"/>
    <cellStyle name="Финансовый 4 2 4 2 6 3 2" xfId="36574" xr:uid="{00000000-0005-0000-0000-0000009E0000}"/>
    <cellStyle name="Финансовый 4 2 4 2 6 4" xfId="24597" xr:uid="{00000000-0005-0000-0000-0000019E0000}"/>
    <cellStyle name="Финансовый 4 2 4 2 7" xfId="2827" xr:uid="{00000000-0005-0000-0000-0000029E0000}"/>
    <cellStyle name="Финансовый 4 2 4 2 7 2" xfId="14806" xr:uid="{00000000-0005-0000-0000-0000039E0000}"/>
    <cellStyle name="Финансовый 4 2 4 2 7 2 2" xfId="38761" xr:uid="{00000000-0005-0000-0000-0000049E0000}"/>
    <cellStyle name="Финансовый 4 2 4 2 7 3" xfId="26784" xr:uid="{00000000-0005-0000-0000-0000059E0000}"/>
    <cellStyle name="Финансовый 4 2 4 2 8" xfId="4471" xr:uid="{00000000-0005-0000-0000-0000069E0000}"/>
    <cellStyle name="Финансовый 4 2 4 2 8 2" xfId="16450" xr:uid="{00000000-0005-0000-0000-0000079E0000}"/>
    <cellStyle name="Финансовый 4 2 4 2 8 2 2" xfId="40405" xr:uid="{00000000-0005-0000-0000-0000089E0000}"/>
    <cellStyle name="Финансовый 4 2 4 2 8 3" xfId="28428" xr:uid="{00000000-0005-0000-0000-0000099E0000}"/>
    <cellStyle name="Финансовый 4 2 4 2 9" xfId="6258" xr:uid="{00000000-0005-0000-0000-00000A9E0000}"/>
    <cellStyle name="Финансовый 4 2 4 2 9 2" xfId="18236" xr:uid="{00000000-0005-0000-0000-00000B9E0000}"/>
    <cellStyle name="Финансовый 4 2 4 2 9 2 2" xfId="42191" xr:uid="{00000000-0005-0000-0000-00000C9E0000}"/>
    <cellStyle name="Финансовый 4 2 4 2 9 3" xfId="30213" xr:uid="{00000000-0005-0000-0000-00000D9E0000}"/>
    <cellStyle name="Финансовый 4 2 4 3" xfId="366" xr:uid="{00000000-0005-0000-0000-00000E9E0000}"/>
    <cellStyle name="Финансовый 4 2 4 3 10" xfId="24325" xr:uid="{00000000-0005-0000-0000-00000F9E0000}"/>
    <cellStyle name="Финансовый 4 2 4 3 11" xfId="48271" xr:uid="{00000000-0005-0000-0000-0000109E0000}"/>
    <cellStyle name="Финансовый 4 2 4 3 2" xfId="2145" xr:uid="{00000000-0005-0000-0000-0000119E0000}"/>
    <cellStyle name="Финансовый 4 2 4 3 2 2" xfId="3790" xr:uid="{00000000-0005-0000-0000-0000129E0000}"/>
    <cellStyle name="Финансовый 4 2 4 3 2 2 2" xfId="11530" xr:uid="{00000000-0005-0000-0000-0000139E0000}"/>
    <cellStyle name="Финансовый 4 2 4 3 2 2 2 2" xfId="23508" xr:uid="{00000000-0005-0000-0000-0000149E0000}"/>
    <cellStyle name="Финансовый 4 2 4 3 2 2 2 2 2" xfId="47463" xr:uid="{00000000-0005-0000-0000-0000159E0000}"/>
    <cellStyle name="Финансовый 4 2 4 3 2 2 2 3" xfId="35485" xr:uid="{00000000-0005-0000-0000-0000169E0000}"/>
    <cellStyle name="Финансовый 4 2 4 3 2 2 3" xfId="15769" xr:uid="{00000000-0005-0000-0000-0000179E0000}"/>
    <cellStyle name="Финансовый 4 2 4 3 2 2 3 2" xfId="39724" xr:uid="{00000000-0005-0000-0000-0000189E0000}"/>
    <cellStyle name="Финансовый 4 2 4 3 2 2 4" xfId="27747" xr:uid="{00000000-0005-0000-0000-0000199E0000}"/>
    <cellStyle name="Финансовый 4 2 4 3 2 2 5" xfId="51016" xr:uid="{00000000-0005-0000-0000-00001A9E0000}"/>
    <cellStyle name="Финансовый 4 2 4 3 2 3" xfId="5573" xr:uid="{00000000-0005-0000-0000-00001B9E0000}"/>
    <cellStyle name="Финансовый 4 2 4 3 2 3 2" xfId="17551" xr:uid="{00000000-0005-0000-0000-00001C9E0000}"/>
    <cellStyle name="Финансовый 4 2 4 3 2 3 2 2" xfId="41506" xr:uid="{00000000-0005-0000-0000-00001D9E0000}"/>
    <cellStyle name="Финансовый 4 2 4 3 2 3 3" xfId="29528" xr:uid="{00000000-0005-0000-0000-00001E9E0000}"/>
    <cellStyle name="Финансовый 4 2 4 3 2 4" xfId="8183" xr:uid="{00000000-0005-0000-0000-00001F9E0000}"/>
    <cellStyle name="Финансовый 4 2 4 3 2 4 2" xfId="20161" xr:uid="{00000000-0005-0000-0000-0000209E0000}"/>
    <cellStyle name="Финансовый 4 2 4 3 2 4 2 2" xfId="44116" xr:uid="{00000000-0005-0000-0000-0000219E0000}"/>
    <cellStyle name="Финансовый 4 2 4 3 2 4 3" xfId="32138" xr:uid="{00000000-0005-0000-0000-0000229E0000}"/>
    <cellStyle name="Финансовый 4 2 4 3 2 5" xfId="9966" xr:uid="{00000000-0005-0000-0000-0000239E0000}"/>
    <cellStyle name="Финансовый 4 2 4 3 2 5 2" xfId="21944" xr:uid="{00000000-0005-0000-0000-0000249E0000}"/>
    <cellStyle name="Финансовый 4 2 4 3 2 5 2 2" xfId="45899" xr:uid="{00000000-0005-0000-0000-0000259E0000}"/>
    <cellStyle name="Финансовый 4 2 4 3 2 5 3" xfId="33921" xr:uid="{00000000-0005-0000-0000-0000269E0000}"/>
    <cellStyle name="Финансовый 4 2 4 3 2 6" xfId="14124" xr:uid="{00000000-0005-0000-0000-0000279E0000}"/>
    <cellStyle name="Финансовый 4 2 4 3 2 6 2" xfId="38079" xr:uid="{00000000-0005-0000-0000-0000289E0000}"/>
    <cellStyle name="Финансовый 4 2 4 3 2 7" xfId="26102" xr:uid="{00000000-0005-0000-0000-0000299E0000}"/>
    <cellStyle name="Финансовый 4 2 4 3 2 8" xfId="49235" xr:uid="{00000000-0005-0000-0000-00002A9E0000}"/>
    <cellStyle name="Финансовый 4 2 4 3 3" xfId="1179" xr:uid="{00000000-0005-0000-0000-00002B9E0000}"/>
    <cellStyle name="Финансовый 4 2 4 3 3 2" xfId="7219" xr:uid="{00000000-0005-0000-0000-00002C9E0000}"/>
    <cellStyle name="Финансовый 4 2 4 3 3 2 2" xfId="19197" xr:uid="{00000000-0005-0000-0000-00002D9E0000}"/>
    <cellStyle name="Финансовый 4 2 4 3 3 2 2 2" xfId="43152" xr:uid="{00000000-0005-0000-0000-00002E9E0000}"/>
    <cellStyle name="Финансовый 4 2 4 3 3 2 3" xfId="31174" xr:uid="{00000000-0005-0000-0000-00002F9E0000}"/>
    <cellStyle name="Финансовый 4 2 4 3 3 3" xfId="10758" xr:uid="{00000000-0005-0000-0000-0000309E0000}"/>
    <cellStyle name="Финансовый 4 2 4 3 3 3 2" xfId="22736" xr:uid="{00000000-0005-0000-0000-0000319E0000}"/>
    <cellStyle name="Финансовый 4 2 4 3 3 3 2 2" xfId="46691" xr:uid="{00000000-0005-0000-0000-0000329E0000}"/>
    <cellStyle name="Финансовый 4 2 4 3 3 3 3" xfId="34713" xr:uid="{00000000-0005-0000-0000-0000339E0000}"/>
    <cellStyle name="Финансовый 4 2 4 3 3 4" xfId="13160" xr:uid="{00000000-0005-0000-0000-0000349E0000}"/>
    <cellStyle name="Финансовый 4 2 4 3 3 4 2" xfId="37115" xr:uid="{00000000-0005-0000-0000-0000359E0000}"/>
    <cellStyle name="Финансовый 4 2 4 3 3 5" xfId="25138" xr:uid="{00000000-0005-0000-0000-0000369E0000}"/>
    <cellStyle name="Финансовый 4 2 4 3 3 6" xfId="50051" xr:uid="{00000000-0005-0000-0000-0000379E0000}"/>
    <cellStyle name="Финансовый 4 2 4 3 4" xfId="786" xr:uid="{00000000-0005-0000-0000-0000389E0000}"/>
    <cellStyle name="Финансовый 4 2 4 3 4 2" xfId="6826" xr:uid="{00000000-0005-0000-0000-0000399E0000}"/>
    <cellStyle name="Финансовый 4 2 4 3 4 2 2" xfId="18804" xr:uid="{00000000-0005-0000-0000-00003A9E0000}"/>
    <cellStyle name="Финансовый 4 2 4 3 4 2 2 2" xfId="42759" xr:uid="{00000000-0005-0000-0000-00003B9E0000}"/>
    <cellStyle name="Финансовый 4 2 4 3 4 2 3" xfId="30781" xr:uid="{00000000-0005-0000-0000-00003C9E0000}"/>
    <cellStyle name="Финансовый 4 2 4 3 4 3" xfId="12767" xr:uid="{00000000-0005-0000-0000-00003D9E0000}"/>
    <cellStyle name="Финансовый 4 2 4 3 4 3 2" xfId="36722" xr:uid="{00000000-0005-0000-0000-00003E9E0000}"/>
    <cellStyle name="Финансовый 4 2 4 3 4 4" xfId="24745" xr:uid="{00000000-0005-0000-0000-00003F9E0000}"/>
    <cellStyle name="Финансовый 4 2 4 3 5" xfId="2963" xr:uid="{00000000-0005-0000-0000-0000409E0000}"/>
    <cellStyle name="Финансовый 4 2 4 3 5 2" xfId="14942" xr:uid="{00000000-0005-0000-0000-0000419E0000}"/>
    <cellStyle name="Финансовый 4 2 4 3 5 2 2" xfId="38897" xr:uid="{00000000-0005-0000-0000-0000429E0000}"/>
    <cellStyle name="Финансовый 4 2 4 3 5 3" xfId="26920" xr:uid="{00000000-0005-0000-0000-0000439E0000}"/>
    <cellStyle name="Финансовый 4 2 4 3 6" xfId="4607" xr:uid="{00000000-0005-0000-0000-0000449E0000}"/>
    <cellStyle name="Финансовый 4 2 4 3 6 2" xfId="16586" xr:uid="{00000000-0005-0000-0000-0000459E0000}"/>
    <cellStyle name="Финансовый 4 2 4 3 6 2 2" xfId="40541" xr:uid="{00000000-0005-0000-0000-0000469E0000}"/>
    <cellStyle name="Финансовый 4 2 4 3 6 3" xfId="28564" xr:uid="{00000000-0005-0000-0000-0000479E0000}"/>
    <cellStyle name="Финансовый 4 2 4 3 7" xfId="6406" xr:uid="{00000000-0005-0000-0000-0000489E0000}"/>
    <cellStyle name="Финансовый 4 2 4 3 7 2" xfId="18384" xr:uid="{00000000-0005-0000-0000-0000499E0000}"/>
    <cellStyle name="Финансовый 4 2 4 3 7 2 2" xfId="42339" xr:uid="{00000000-0005-0000-0000-00004A9E0000}"/>
    <cellStyle name="Финансовый 4 2 4 3 7 3" xfId="30361" xr:uid="{00000000-0005-0000-0000-00004B9E0000}"/>
    <cellStyle name="Финансовый 4 2 4 3 8" xfId="9001" xr:uid="{00000000-0005-0000-0000-00004C9E0000}"/>
    <cellStyle name="Финансовый 4 2 4 3 8 2" xfId="20979" xr:uid="{00000000-0005-0000-0000-00004D9E0000}"/>
    <cellStyle name="Финансовый 4 2 4 3 8 2 2" xfId="44934" xr:uid="{00000000-0005-0000-0000-00004E9E0000}"/>
    <cellStyle name="Финансовый 4 2 4 3 8 3" xfId="32956" xr:uid="{00000000-0005-0000-0000-00004F9E0000}"/>
    <cellStyle name="Финансовый 4 2 4 3 9" xfId="12347" xr:uid="{00000000-0005-0000-0000-0000509E0000}"/>
    <cellStyle name="Финансовый 4 2 4 3 9 2" xfId="36302" xr:uid="{00000000-0005-0000-0000-0000519E0000}"/>
    <cellStyle name="Финансовый 4 2 4 4" xfId="1537" xr:uid="{00000000-0005-0000-0000-0000529E0000}"/>
    <cellStyle name="Финансовый 4 2 4 4 2" xfId="1889" xr:uid="{00000000-0005-0000-0000-0000539E0000}"/>
    <cellStyle name="Финансовый 4 2 4 4 2 2" xfId="3534" xr:uid="{00000000-0005-0000-0000-0000549E0000}"/>
    <cellStyle name="Финансовый 4 2 4 4 2 2 2" xfId="11274" xr:uid="{00000000-0005-0000-0000-0000559E0000}"/>
    <cellStyle name="Финансовый 4 2 4 4 2 2 2 2" xfId="23252" xr:uid="{00000000-0005-0000-0000-0000569E0000}"/>
    <cellStyle name="Финансовый 4 2 4 4 2 2 2 2 2" xfId="47207" xr:uid="{00000000-0005-0000-0000-0000579E0000}"/>
    <cellStyle name="Финансовый 4 2 4 4 2 2 2 3" xfId="35229" xr:uid="{00000000-0005-0000-0000-0000589E0000}"/>
    <cellStyle name="Финансовый 4 2 4 4 2 2 3" xfId="15513" xr:uid="{00000000-0005-0000-0000-0000599E0000}"/>
    <cellStyle name="Финансовый 4 2 4 4 2 2 3 2" xfId="39468" xr:uid="{00000000-0005-0000-0000-00005A9E0000}"/>
    <cellStyle name="Финансовый 4 2 4 4 2 2 4" xfId="27491" xr:uid="{00000000-0005-0000-0000-00005B9E0000}"/>
    <cellStyle name="Финансовый 4 2 4 4 2 2 5" xfId="50760" xr:uid="{00000000-0005-0000-0000-00005C9E0000}"/>
    <cellStyle name="Финансовый 4 2 4 4 2 3" xfId="5317" xr:uid="{00000000-0005-0000-0000-00005D9E0000}"/>
    <cellStyle name="Финансовый 4 2 4 4 2 3 2" xfId="17295" xr:uid="{00000000-0005-0000-0000-00005E9E0000}"/>
    <cellStyle name="Финансовый 4 2 4 4 2 3 2 2" xfId="41250" xr:uid="{00000000-0005-0000-0000-00005F9E0000}"/>
    <cellStyle name="Финансовый 4 2 4 4 2 3 3" xfId="29272" xr:uid="{00000000-0005-0000-0000-0000609E0000}"/>
    <cellStyle name="Финансовый 4 2 4 4 2 4" xfId="7927" xr:uid="{00000000-0005-0000-0000-0000619E0000}"/>
    <cellStyle name="Финансовый 4 2 4 4 2 4 2" xfId="19905" xr:uid="{00000000-0005-0000-0000-0000629E0000}"/>
    <cellStyle name="Финансовый 4 2 4 4 2 4 2 2" xfId="43860" xr:uid="{00000000-0005-0000-0000-0000639E0000}"/>
    <cellStyle name="Финансовый 4 2 4 4 2 4 3" xfId="31882" xr:uid="{00000000-0005-0000-0000-0000649E0000}"/>
    <cellStyle name="Финансовый 4 2 4 4 2 5" xfId="9710" xr:uid="{00000000-0005-0000-0000-0000659E0000}"/>
    <cellStyle name="Финансовый 4 2 4 4 2 5 2" xfId="21688" xr:uid="{00000000-0005-0000-0000-0000669E0000}"/>
    <cellStyle name="Финансовый 4 2 4 4 2 5 2 2" xfId="45643" xr:uid="{00000000-0005-0000-0000-0000679E0000}"/>
    <cellStyle name="Финансовый 4 2 4 4 2 5 3" xfId="33665" xr:uid="{00000000-0005-0000-0000-0000689E0000}"/>
    <cellStyle name="Финансовый 4 2 4 4 2 6" xfId="13868" xr:uid="{00000000-0005-0000-0000-0000699E0000}"/>
    <cellStyle name="Финансовый 4 2 4 4 2 6 2" xfId="37823" xr:uid="{00000000-0005-0000-0000-00006A9E0000}"/>
    <cellStyle name="Финансовый 4 2 4 4 2 7" xfId="25846" xr:uid="{00000000-0005-0000-0000-00006B9E0000}"/>
    <cellStyle name="Финансовый 4 2 4 4 2 8" xfId="48979" xr:uid="{00000000-0005-0000-0000-00006C9E0000}"/>
    <cellStyle name="Финансовый 4 2 4 4 3" xfId="4965" xr:uid="{00000000-0005-0000-0000-00006D9E0000}"/>
    <cellStyle name="Финансовый 4 2 4 4 3 2" xfId="16943" xr:uid="{00000000-0005-0000-0000-00006E9E0000}"/>
    <cellStyle name="Финансовый 4 2 4 4 3 2 2" xfId="40898" xr:uid="{00000000-0005-0000-0000-00006F9E0000}"/>
    <cellStyle name="Финансовый 4 2 4 4 3 3" xfId="28920" xr:uid="{00000000-0005-0000-0000-0000709E0000}"/>
    <cellStyle name="Финансовый 4 2 4 4 3 4" xfId="50408" xr:uid="{00000000-0005-0000-0000-0000719E0000}"/>
    <cellStyle name="Финансовый 4 2 4 4 4" xfId="7575" xr:uid="{00000000-0005-0000-0000-0000729E0000}"/>
    <cellStyle name="Финансовый 4 2 4 4 4 2" xfId="19553" xr:uid="{00000000-0005-0000-0000-0000739E0000}"/>
    <cellStyle name="Финансовый 4 2 4 4 4 2 2" xfId="43508" xr:uid="{00000000-0005-0000-0000-0000749E0000}"/>
    <cellStyle name="Финансовый 4 2 4 4 4 3" xfId="31530" xr:uid="{00000000-0005-0000-0000-0000759E0000}"/>
    <cellStyle name="Финансовый 4 2 4 4 5" xfId="9358" xr:uid="{00000000-0005-0000-0000-0000769E0000}"/>
    <cellStyle name="Финансовый 4 2 4 4 5 2" xfId="21336" xr:uid="{00000000-0005-0000-0000-0000779E0000}"/>
    <cellStyle name="Финансовый 4 2 4 4 5 2 2" xfId="45291" xr:uid="{00000000-0005-0000-0000-0000789E0000}"/>
    <cellStyle name="Финансовый 4 2 4 4 5 3" xfId="33313" xr:uid="{00000000-0005-0000-0000-0000799E0000}"/>
    <cellStyle name="Финансовый 4 2 4 4 6" xfId="13516" xr:uid="{00000000-0005-0000-0000-00007A9E0000}"/>
    <cellStyle name="Финансовый 4 2 4 4 6 2" xfId="37471" xr:uid="{00000000-0005-0000-0000-00007B9E0000}"/>
    <cellStyle name="Финансовый 4 2 4 4 7" xfId="25494" xr:uid="{00000000-0005-0000-0000-00007C9E0000}"/>
    <cellStyle name="Финансовый 4 2 4 4 8" xfId="48627" xr:uid="{00000000-0005-0000-0000-00007D9E0000}"/>
    <cellStyle name="Финансовый 4 2 4 5" xfId="1765" xr:uid="{00000000-0005-0000-0000-00007E9E0000}"/>
    <cellStyle name="Финансовый 4 2 4 5 2" xfId="3410" xr:uid="{00000000-0005-0000-0000-00007F9E0000}"/>
    <cellStyle name="Финансовый 4 2 4 5 2 2" xfId="11158" xr:uid="{00000000-0005-0000-0000-0000809E0000}"/>
    <cellStyle name="Финансовый 4 2 4 5 2 2 2" xfId="23136" xr:uid="{00000000-0005-0000-0000-0000819E0000}"/>
    <cellStyle name="Финансовый 4 2 4 5 2 2 2 2" xfId="47091" xr:uid="{00000000-0005-0000-0000-0000829E0000}"/>
    <cellStyle name="Финансовый 4 2 4 5 2 2 3" xfId="35113" xr:uid="{00000000-0005-0000-0000-0000839E0000}"/>
    <cellStyle name="Финансовый 4 2 4 5 2 3" xfId="15389" xr:uid="{00000000-0005-0000-0000-0000849E0000}"/>
    <cellStyle name="Финансовый 4 2 4 5 2 3 2" xfId="39344" xr:uid="{00000000-0005-0000-0000-0000859E0000}"/>
    <cellStyle name="Финансовый 4 2 4 5 2 4" xfId="27367" xr:uid="{00000000-0005-0000-0000-0000869E0000}"/>
    <cellStyle name="Финансовый 4 2 4 5 2 5" xfId="50636" xr:uid="{00000000-0005-0000-0000-0000879E0000}"/>
    <cellStyle name="Финансовый 4 2 4 5 3" xfId="5193" xr:uid="{00000000-0005-0000-0000-0000889E0000}"/>
    <cellStyle name="Финансовый 4 2 4 5 3 2" xfId="17171" xr:uid="{00000000-0005-0000-0000-0000899E0000}"/>
    <cellStyle name="Финансовый 4 2 4 5 3 2 2" xfId="41126" xr:uid="{00000000-0005-0000-0000-00008A9E0000}"/>
    <cellStyle name="Финансовый 4 2 4 5 3 3" xfId="29148" xr:uid="{00000000-0005-0000-0000-00008B9E0000}"/>
    <cellStyle name="Финансовый 4 2 4 5 4" xfId="7803" xr:uid="{00000000-0005-0000-0000-00008C9E0000}"/>
    <cellStyle name="Финансовый 4 2 4 5 4 2" xfId="19781" xr:uid="{00000000-0005-0000-0000-00008D9E0000}"/>
    <cellStyle name="Финансовый 4 2 4 5 4 2 2" xfId="43736" xr:uid="{00000000-0005-0000-0000-00008E9E0000}"/>
    <cellStyle name="Финансовый 4 2 4 5 4 3" xfId="31758" xr:uid="{00000000-0005-0000-0000-00008F9E0000}"/>
    <cellStyle name="Финансовый 4 2 4 5 5" xfId="9586" xr:uid="{00000000-0005-0000-0000-0000909E0000}"/>
    <cellStyle name="Финансовый 4 2 4 5 5 2" xfId="21564" xr:uid="{00000000-0005-0000-0000-0000919E0000}"/>
    <cellStyle name="Финансовый 4 2 4 5 5 2 2" xfId="45519" xr:uid="{00000000-0005-0000-0000-0000929E0000}"/>
    <cellStyle name="Финансовый 4 2 4 5 5 3" xfId="33541" xr:uid="{00000000-0005-0000-0000-0000939E0000}"/>
    <cellStyle name="Финансовый 4 2 4 5 6" xfId="13744" xr:uid="{00000000-0005-0000-0000-0000949E0000}"/>
    <cellStyle name="Финансовый 4 2 4 5 6 2" xfId="37699" xr:uid="{00000000-0005-0000-0000-0000959E0000}"/>
    <cellStyle name="Финансовый 4 2 4 5 7" xfId="25722" xr:uid="{00000000-0005-0000-0000-0000969E0000}"/>
    <cellStyle name="Финансовый 4 2 4 5 8" xfId="48855" xr:uid="{00000000-0005-0000-0000-0000979E0000}"/>
    <cellStyle name="Финансовый 4 2 4 6" xfId="2410" xr:uid="{00000000-0005-0000-0000-0000989E0000}"/>
    <cellStyle name="Финансовый 4 2 4 6 2" xfId="4055" xr:uid="{00000000-0005-0000-0000-0000999E0000}"/>
    <cellStyle name="Финансовый 4 2 4 6 2 2" xfId="11787" xr:uid="{00000000-0005-0000-0000-00009A9E0000}"/>
    <cellStyle name="Финансовый 4 2 4 6 2 2 2" xfId="23765" xr:uid="{00000000-0005-0000-0000-00009B9E0000}"/>
    <cellStyle name="Финансовый 4 2 4 6 2 2 2 2" xfId="47720" xr:uid="{00000000-0005-0000-0000-00009C9E0000}"/>
    <cellStyle name="Финансовый 4 2 4 6 2 2 3" xfId="35742" xr:uid="{00000000-0005-0000-0000-00009D9E0000}"/>
    <cellStyle name="Финансовый 4 2 4 6 2 3" xfId="16034" xr:uid="{00000000-0005-0000-0000-00009E9E0000}"/>
    <cellStyle name="Финансовый 4 2 4 6 2 3 2" xfId="39989" xr:uid="{00000000-0005-0000-0000-00009F9E0000}"/>
    <cellStyle name="Финансовый 4 2 4 6 2 4" xfId="28012" xr:uid="{00000000-0005-0000-0000-0000A09E0000}"/>
    <cellStyle name="Финансовый 4 2 4 6 2 5" xfId="51281" xr:uid="{00000000-0005-0000-0000-0000A19E0000}"/>
    <cellStyle name="Финансовый 4 2 4 6 3" xfId="5838" xr:uid="{00000000-0005-0000-0000-0000A29E0000}"/>
    <cellStyle name="Финансовый 4 2 4 6 3 2" xfId="17816" xr:uid="{00000000-0005-0000-0000-0000A39E0000}"/>
    <cellStyle name="Финансовый 4 2 4 6 3 2 2" xfId="41771" xr:uid="{00000000-0005-0000-0000-0000A49E0000}"/>
    <cellStyle name="Финансовый 4 2 4 6 3 3" xfId="29793" xr:uid="{00000000-0005-0000-0000-0000A59E0000}"/>
    <cellStyle name="Финансовый 4 2 4 6 4" xfId="8448" xr:uid="{00000000-0005-0000-0000-0000A69E0000}"/>
    <cellStyle name="Финансовый 4 2 4 6 4 2" xfId="20426" xr:uid="{00000000-0005-0000-0000-0000A79E0000}"/>
    <cellStyle name="Финансовый 4 2 4 6 4 2 2" xfId="44381" xr:uid="{00000000-0005-0000-0000-0000A89E0000}"/>
    <cellStyle name="Финансовый 4 2 4 6 4 3" xfId="32403" xr:uid="{00000000-0005-0000-0000-0000A99E0000}"/>
    <cellStyle name="Финансовый 4 2 4 6 5" xfId="10231" xr:uid="{00000000-0005-0000-0000-0000AA9E0000}"/>
    <cellStyle name="Финансовый 4 2 4 6 5 2" xfId="22209" xr:uid="{00000000-0005-0000-0000-0000AB9E0000}"/>
    <cellStyle name="Финансовый 4 2 4 6 5 2 2" xfId="46164" xr:uid="{00000000-0005-0000-0000-0000AC9E0000}"/>
    <cellStyle name="Финансовый 4 2 4 6 5 3" xfId="34186" xr:uid="{00000000-0005-0000-0000-0000AD9E0000}"/>
    <cellStyle name="Финансовый 4 2 4 6 6" xfId="14389" xr:uid="{00000000-0005-0000-0000-0000AE9E0000}"/>
    <cellStyle name="Финансовый 4 2 4 6 6 2" xfId="38344" xr:uid="{00000000-0005-0000-0000-0000AF9E0000}"/>
    <cellStyle name="Финансовый 4 2 4 6 7" xfId="26367" xr:uid="{00000000-0005-0000-0000-0000B09E0000}"/>
    <cellStyle name="Финансовый 4 2 4 6 8" xfId="49500" xr:uid="{00000000-0005-0000-0000-0000B19E0000}"/>
    <cellStyle name="Финансовый 4 2 4 7" xfId="1637" xr:uid="{00000000-0005-0000-0000-0000B29E0000}"/>
    <cellStyle name="Финансовый 4 2 4 7 2" xfId="3282" xr:uid="{00000000-0005-0000-0000-0000B39E0000}"/>
    <cellStyle name="Финансовый 4 2 4 7 2 2" xfId="11030" xr:uid="{00000000-0005-0000-0000-0000B49E0000}"/>
    <cellStyle name="Финансовый 4 2 4 7 2 2 2" xfId="23008" xr:uid="{00000000-0005-0000-0000-0000B59E0000}"/>
    <cellStyle name="Финансовый 4 2 4 7 2 2 2 2" xfId="46963" xr:uid="{00000000-0005-0000-0000-0000B69E0000}"/>
    <cellStyle name="Финансовый 4 2 4 7 2 2 3" xfId="34985" xr:uid="{00000000-0005-0000-0000-0000B79E0000}"/>
    <cellStyle name="Финансовый 4 2 4 7 2 3" xfId="15261" xr:uid="{00000000-0005-0000-0000-0000B89E0000}"/>
    <cellStyle name="Финансовый 4 2 4 7 2 3 2" xfId="39216" xr:uid="{00000000-0005-0000-0000-0000B99E0000}"/>
    <cellStyle name="Финансовый 4 2 4 7 2 4" xfId="27239" xr:uid="{00000000-0005-0000-0000-0000BA9E0000}"/>
    <cellStyle name="Финансовый 4 2 4 7 2 5" xfId="50508" xr:uid="{00000000-0005-0000-0000-0000BB9E0000}"/>
    <cellStyle name="Финансовый 4 2 4 7 3" xfId="5065" xr:uid="{00000000-0005-0000-0000-0000BC9E0000}"/>
    <cellStyle name="Финансовый 4 2 4 7 3 2" xfId="17043" xr:uid="{00000000-0005-0000-0000-0000BD9E0000}"/>
    <cellStyle name="Финансовый 4 2 4 7 3 2 2" xfId="40998" xr:uid="{00000000-0005-0000-0000-0000BE9E0000}"/>
    <cellStyle name="Финансовый 4 2 4 7 3 3" xfId="29020" xr:uid="{00000000-0005-0000-0000-0000BF9E0000}"/>
    <cellStyle name="Финансовый 4 2 4 7 4" xfId="7675" xr:uid="{00000000-0005-0000-0000-0000C09E0000}"/>
    <cellStyle name="Финансовый 4 2 4 7 4 2" xfId="19653" xr:uid="{00000000-0005-0000-0000-0000C19E0000}"/>
    <cellStyle name="Финансовый 4 2 4 7 4 2 2" xfId="43608" xr:uid="{00000000-0005-0000-0000-0000C29E0000}"/>
    <cellStyle name="Финансовый 4 2 4 7 4 3" xfId="31630" xr:uid="{00000000-0005-0000-0000-0000C39E0000}"/>
    <cellStyle name="Финансовый 4 2 4 7 5" xfId="9458" xr:uid="{00000000-0005-0000-0000-0000C49E0000}"/>
    <cellStyle name="Финансовый 4 2 4 7 5 2" xfId="21436" xr:uid="{00000000-0005-0000-0000-0000C59E0000}"/>
    <cellStyle name="Финансовый 4 2 4 7 5 2 2" xfId="45391" xr:uid="{00000000-0005-0000-0000-0000C69E0000}"/>
    <cellStyle name="Финансовый 4 2 4 7 5 3" xfId="33413" xr:uid="{00000000-0005-0000-0000-0000C79E0000}"/>
    <cellStyle name="Финансовый 4 2 4 7 6" xfId="13616" xr:uid="{00000000-0005-0000-0000-0000C89E0000}"/>
    <cellStyle name="Финансовый 4 2 4 7 6 2" xfId="37571" xr:uid="{00000000-0005-0000-0000-0000C99E0000}"/>
    <cellStyle name="Финансовый 4 2 4 7 7" xfId="25594" xr:uid="{00000000-0005-0000-0000-0000CA9E0000}"/>
    <cellStyle name="Финансовый 4 2 4 7 8" xfId="48727" xr:uid="{00000000-0005-0000-0000-0000CB9E0000}"/>
    <cellStyle name="Финансовый 4 2 4 8" xfId="914" xr:uid="{00000000-0005-0000-0000-0000CC9E0000}"/>
    <cellStyle name="Финансовый 4 2 4 8 2" xfId="6954" xr:uid="{00000000-0005-0000-0000-0000CD9E0000}"/>
    <cellStyle name="Финансовый 4 2 4 8 2 2" xfId="18932" xr:uid="{00000000-0005-0000-0000-0000CE9E0000}"/>
    <cellStyle name="Финансовый 4 2 4 8 2 2 2" xfId="42887" xr:uid="{00000000-0005-0000-0000-0000CF9E0000}"/>
    <cellStyle name="Финансовый 4 2 4 8 2 3" xfId="30909" xr:uid="{00000000-0005-0000-0000-0000D09E0000}"/>
    <cellStyle name="Финансовый 4 2 4 8 3" xfId="10502" xr:uid="{00000000-0005-0000-0000-0000D19E0000}"/>
    <cellStyle name="Финансовый 4 2 4 8 3 2" xfId="22480" xr:uid="{00000000-0005-0000-0000-0000D29E0000}"/>
    <cellStyle name="Финансовый 4 2 4 8 3 2 2" xfId="46435" xr:uid="{00000000-0005-0000-0000-0000D39E0000}"/>
    <cellStyle name="Финансовый 4 2 4 8 3 3" xfId="34457" xr:uid="{00000000-0005-0000-0000-0000D49E0000}"/>
    <cellStyle name="Финансовый 4 2 4 8 4" xfId="12895" xr:uid="{00000000-0005-0000-0000-0000D59E0000}"/>
    <cellStyle name="Финансовый 4 2 4 8 4 2" xfId="36850" xr:uid="{00000000-0005-0000-0000-0000D69E0000}"/>
    <cellStyle name="Финансовый 4 2 4 8 5" xfId="24873" xr:uid="{00000000-0005-0000-0000-0000D79E0000}"/>
    <cellStyle name="Финансовый 4 2 4 8 6" xfId="49779" xr:uid="{00000000-0005-0000-0000-0000D89E0000}"/>
    <cellStyle name="Финансовый 4 2 4 9" xfId="502" xr:uid="{00000000-0005-0000-0000-0000D99E0000}"/>
    <cellStyle name="Финансовый 4 2 4 9 2" xfId="6542" xr:uid="{00000000-0005-0000-0000-0000DA9E0000}"/>
    <cellStyle name="Финансовый 4 2 4 9 2 2" xfId="18520" xr:uid="{00000000-0005-0000-0000-0000DB9E0000}"/>
    <cellStyle name="Финансовый 4 2 4 9 2 2 2" xfId="42475" xr:uid="{00000000-0005-0000-0000-0000DC9E0000}"/>
    <cellStyle name="Финансовый 4 2 4 9 2 3" xfId="30497" xr:uid="{00000000-0005-0000-0000-0000DD9E0000}"/>
    <cellStyle name="Финансовый 4 2 4 9 3" xfId="12483" xr:uid="{00000000-0005-0000-0000-0000DE9E0000}"/>
    <cellStyle name="Финансовый 4 2 4 9 3 2" xfId="36438" xr:uid="{00000000-0005-0000-0000-0000DF9E0000}"/>
    <cellStyle name="Финансовый 4 2 4 9 4" xfId="24461" xr:uid="{00000000-0005-0000-0000-0000E09E0000}"/>
    <cellStyle name="Финансовый 4 2 5" xfId="59" xr:uid="{00000000-0005-0000-0000-0000E19E0000}"/>
    <cellStyle name="Финансовый 4 2 5 10" xfId="2671" xr:uid="{00000000-0005-0000-0000-0000E29E0000}"/>
    <cellStyle name="Финансовый 4 2 5 10 2" xfId="14650" xr:uid="{00000000-0005-0000-0000-0000E39E0000}"/>
    <cellStyle name="Финансовый 4 2 5 10 2 2" xfId="38605" xr:uid="{00000000-0005-0000-0000-0000E49E0000}"/>
    <cellStyle name="Финансовый 4 2 5 10 3" xfId="26628" xr:uid="{00000000-0005-0000-0000-0000E59E0000}"/>
    <cellStyle name="Финансовый 4 2 5 11" xfId="4314" xr:uid="{00000000-0005-0000-0000-0000E69E0000}"/>
    <cellStyle name="Финансовый 4 2 5 11 2" xfId="16293" xr:uid="{00000000-0005-0000-0000-0000E79E0000}"/>
    <cellStyle name="Финансовый 4 2 5 11 2 2" xfId="40248" xr:uid="{00000000-0005-0000-0000-0000E89E0000}"/>
    <cellStyle name="Финансовый 4 2 5 11 3" xfId="28271" xr:uid="{00000000-0005-0000-0000-0000E99E0000}"/>
    <cellStyle name="Финансовый 4 2 5 12" xfId="6102" xr:uid="{00000000-0005-0000-0000-0000EA9E0000}"/>
    <cellStyle name="Финансовый 4 2 5 12 2" xfId="18080" xr:uid="{00000000-0005-0000-0000-0000EB9E0000}"/>
    <cellStyle name="Финансовый 4 2 5 12 2 2" xfId="42035" xr:uid="{00000000-0005-0000-0000-0000EC9E0000}"/>
    <cellStyle name="Финансовый 4 2 5 12 3" xfId="30057" xr:uid="{00000000-0005-0000-0000-0000ED9E0000}"/>
    <cellStyle name="Финансовый 4 2 5 13" xfId="8709" xr:uid="{00000000-0005-0000-0000-0000EE9E0000}"/>
    <cellStyle name="Финансовый 4 2 5 13 2" xfId="20687" xr:uid="{00000000-0005-0000-0000-0000EF9E0000}"/>
    <cellStyle name="Финансовый 4 2 5 13 2 2" xfId="44642" xr:uid="{00000000-0005-0000-0000-0000F09E0000}"/>
    <cellStyle name="Финансовый 4 2 5 13 3" xfId="32664" xr:uid="{00000000-0005-0000-0000-0000F19E0000}"/>
    <cellStyle name="Финансовый 4 2 5 14" xfId="12043" xr:uid="{00000000-0005-0000-0000-0000F29E0000}"/>
    <cellStyle name="Финансовый 4 2 5 14 2" xfId="35998" xr:uid="{00000000-0005-0000-0000-0000F39E0000}"/>
    <cellStyle name="Финансовый 4 2 5 15" xfId="24021" xr:uid="{00000000-0005-0000-0000-0000F49E0000}"/>
    <cellStyle name="Финансовый 4 2 5 16" xfId="47979" xr:uid="{00000000-0005-0000-0000-0000F59E0000}"/>
    <cellStyle name="Финансовый 4 2 5 2" xfId="197" xr:uid="{00000000-0005-0000-0000-0000F69E0000}"/>
    <cellStyle name="Финансовый 4 2 5 2 10" xfId="8845" xr:uid="{00000000-0005-0000-0000-0000F79E0000}"/>
    <cellStyle name="Финансовый 4 2 5 2 10 2" xfId="20823" xr:uid="{00000000-0005-0000-0000-0000F89E0000}"/>
    <cellStyle name="Финансовый 4 2 5 2 10 2 2" xfId="44778" xr:uid="{00000000-0005-0000-0000-0000F99E0000}"/>
    <cellStyle name="Финансовый 4 2 5 2 10 3" xfId="32800" xr:uid="{00000000-0005-0000-0000-0000FA9E0000}"/>
    <cellStyle name="Финансовый 4 2 5 2 11" xfId="12179" xr:uid="{00000000-0005-0000-0000-0000FB9E0000}"/>
    <cellStyle name="Финансовый 4 2 5 2 11 2" xfId="36134" xr:uid="{00000000-0005-0000-0000-0000FC9E0000}"/>
    <cellStyle name="Финансовый 4 2 5 2 12" xfId="24157" xr:uid="{00000000-0005-0000-0000-0000FD9E0000}"/>
    <cellStyle name="Финансовый 4 2 5 2 13" xfId="48115" xr:uid="{00000000-0005-0000-0000-0000FE9E0000}"/>
    <cellStyle name="Финансовый 4 2 5 2 2" xfId="1295" xr:uid="{00000000-0005-0000-0000-0000FF9E0000}"/>
    <cellStyle name="Финансовый 4 2 5 2 2 2" xfId="2261" xr:uid="{00000000-0005-0000-0000-0000009F0000}"/>
    <cellStyle name="Финансовый 4 2 5 2 2 2 2" xfId="3906" xr:uid="{00000000-0005-0000-0000-0000019F0000}"/>
    <cellStyle name="Финансовый 4 2 5 2 2 2 2 2" xfId="11646" xr:uid="{00000000-0005-0000-0000-0000029F0000}"/>
    <cellStyle name="Финансовый 4 2 5 2 2 2 2 2 2" xfId="23624" xr:uid="{00000000-0005-0000-0000-0000039F0000}"/>
    <cellStyle name="Финансовый 4 2 5 2 2 2 2 2 2 2" xfId="47579" xr:uid="{00000000-0005-0000-0000-0000049F0000}"/>
    <cellStyle name="Финансовый 4 2 5 2 2 2 2 2 3" xfId="35601" xr:uid="{00000000-0005-0000-0000-0000059F0000}"/>
    <cellStyle name="Финансовый 4 2 5 2 2 2 2 3" xfId="15885" xr:uid="{00000000-0005-0000-0000-0000069F0000}"/>
    <cellStyle name="Финансовый 4 2 5 2 2 2 2 3 2" xfId="39840" xr:uid="{00000000-0005-0000-0000-0000079F0000}"/>
    <cellStyle name="Финансовый 4 2 5 2 2 2 2 4" xfId="27863" xr:uid="{00000000-0005-0000-0000-0000089F0000}"/>
    <cellStyle name="Финансовый 4 2 5 2 2 2 2 5" xfId="51132" xr:uid="{00000000-0005-0000-0000-0000099F0000}"/>
    <cellStyle name="Финансовый 4 2 5 2 2 2 3" xfId="5689" xr:uid="{00000000-0005-0000-0000-00000A9F0000}"/>
    <cellStyle name="Финансовый 4 2 5 2 2 2 3 2" xfId="17667" xr:uid="{00000000-0005-0000-0000-00000B9F0000}"/>
    <cellStyle name="Финансовый 4 2 5 2 2 2 3 2 2" xfId="41622" xr:uid="{00000000-0005-0000-0000-00000C9F0000}"/>
    <cellStyle name="Финансовый 4 2 5 2 2 2 3 3" xfId="29644" xr:uid="{00000000-0005-0000-0000-00000D9F0000}"/>
    <cellStyle name="Финансовый 4 2 5 2 2 2 4" xfId="8299" xr:uid="{00000000-0005-0000-0000-00000E9F0000}"/>
    <cellStyle name="Финансовый 4 2 5 2 2 2 4 2" xfId="20277" xr:uid="{00000000-0005-0000-0000-00000F9F0000}"/>
    <cellStyle name="Финансовый 4 2 5 2 2 2 4 2 2" xfId="44232" xr:uid="{00000000-0005-0000-0000-0000109F0000}"/>
    <cellStyle name="Финансовый 4 2 5 2 2 2 4 3" xfId="32254" xr:uid="{00000000-0005-0000-0000-0000119F0000}"/>
    <cellStyle name="Финансовый 4 2 5 2 2 2 5" xfId="10082" xr:uid="{00000000-0005-0000-0000-0000129F0000}"/>
    <cellStyle name="Финансовый 4 2 5 2 2 2 5 2" xfId="22060" xr:uid="{00000000-0005-0000-0000-0000139F0000}"/>
    <cellStyle name="Финансовый 4 2 5 2 2 2 5 2 2" xfId="46015" xr:uid="{00000000-0005-0000-0000-0000149F0000}"/>
    <cellStyle name="Финансовый 4 2 5 2 2 2 5 3" xfId="34037" xr:uid="{00000000-0005-0000-0000-0000159F0000}"/>
    <cellStyle name="Финансовый 4 2 5 2 2 2 6" xfId="14240" xr:uid="{00000000-0005-0000-0000-0000169F0000}"/>
    <cellStyle name="Финансовый 4 2 5 2 2 2 6 2" xfId="38195" xr:uid="{00000000-0005-0000-0000-0000179F0000}"/>
    <cellStyle name="Финансовый 4 2 5 2 2 2 7" xfId="26218" xr:uid="{00000000-0005-0000-0000-0000189F0000}"/>
    <cellStyle name="Финансовый 4 2 5 2 2 2 8" xfId="49351" xr:uid="{00000000-0005-0000-0000-0000199F0000}"/>
    <cellStyle name="Финансовый 4 2 5 2 2 3" xfId="3079" xr:uid="{00000000-0005-0000-0000-00001A9F0000}"/>
    <cellStyle name="Финансовый 4 2 5 2 2 3 2" xfId="10874" xr:uid="{00000000-0005-0000-0000-00001B9F0000}"/>
    <cellStyle name="Финансовый 4 2 5 2 2 3 2 2" xfId="22852" xr:uid="{00000000-0005-0000-0000-00001C9F0000}"/>
    <cellStyle name="Финансовый 4 2 5 2 2 3 2 2 2" xfId="46807" xr:uid="{00000000-0005-0000-0000-00001D9F0000}"/>
    <cellStyle name="Финансовый 4 2 5 2 2 3 2 3" xfId="34829" xr:uid="{00000000-0005-0000-0000-00001E9F0000}"/>
    <cellStyle name="Финансовый 4 2 5 2 2 3 3" xfId="15058" xr:uid="{00000000-0005-0000-0000-00001F9F0000}"/>
    <cellStyle name="Финансовый 4 2 5 2 2 3 3 2" xfId="39013" xr:uid="{00000000-0005-0000-0000-0000209F0000}"/>
    <cellStyle name="Финансовый 4 2 5 2 2 3 4" xfId="27036" xr:uid="{00000000-0005-0000-0000-0000219F0000}"/>
    <cellStyle name="Финансовый 4 2 5 2 2 3 5" xfId="50167" xr:uid="{00000000-0005-0000-0000-0000229F0000}"/>
    <cellStyle name="Финансовый 4 2 5 2 2 4" xfId="4723" xr:uid="{00000000-0005-0000-0000-0000239F0000}"/>
    <cellStyle name="Финансовый 4 2 5 2 2 4 2" xfId="16702" xr:uid="{00000000-0005-0000-0000-0000249F0000}"/>
    <cellStyle name="Финансовый 4 2 5 2 2 4 2 2" xfId="40657" xr:uid="{00000000-0005-0000-0000-0000259F0000}"/>
    <cellStyle name="Финансовый 4 2 5 2 2 4 3" xfId="28680" xr:uid="{00000000-0005-0000-0000-0000269F0000}"/>
    <cellStyle name="Финансовый 4 2 5 2 2 5" xfId="7335" xr:uid="{00000000-0005-0000-0000-0000279F0000}"/>
    <cellStyle name="Финансовый 4 2 5 2 2 5 2" xfId="19313" xr:uid="{00000000-0005-0000-0000-0000289F0000}"/>
    <cellStyle name="Финансовый 4 2 5 2 2 5 2 2" xfId="43268" xr:uid="{00000000-0005-0000-0000-0000299F0000}"/>
    <cellStyle name="Финансовый 4 2 5 2 2 5 3" xfId="31290" xr:uid="{00000000-0005-0000-0000-00002A9F0000}"/>
    <cellStyle name="Финансовый 4 2 5 2 2 6" xfId="9117" xr:uid="{00000000-0005-0000-0000-00002B9F0000}"/>
    <cellStyle name="Финансовый 4 2 5 2 2 6 2" xfId="21095" xr:uid="{00000000-0005-0000-0000-00002C9F0000}"/>
    <cellStyle name="Финансовый 4 2 5 2 2 6 2 2" xfId="45050" xr:uid="{00000000-0005-0000-0000-00002D9F0000}"/>
    <cellStyle name="Финансовый 4 2 5 2 2 6 3" xfId="33072" xr:uid="{00000000-0005-0000-0000-00002E9F0000}"/>
    <cellStyle name="Финансовый 4 2 5 2 2 7" xfId="13276" xr:uid="{00000000-0005-0000-0000-00002F9F0000}"/>
    <cellStyle name="Финансовый 4 2 5 2 2 7 2" xfId="37231" xr:uid="{00000000-0005-0000-0000-0000309F0000}"/>
    <cellStyle name="Финансовый 4 2 5 2 2 8" xfId="25254" xr:uid="{00000000-0005-0000-0000-0000319F0000}"/>
    <cellStyle name="Финансовый 4 2 5 2 2 9" xfId="48387" xr:uid="{00000000-0005-0000-0000-0000329F0000}"/>
    <cellStyle name="Финансовый 4 2 5 2 3" xfId="2005" xr:uid="{00000000-0005-0000-0000-0000339F0000}"/>
    <cellStyle name="Финансовый 4 2 5 2 3 2" xfId="3650" xr:uid="{00000000-0005-0000-0000-0000349F0000}"/>
    <cellStyle name="Финансовый 4 2 5 2 3 2 2" xfId="11390" xr:uid="{00000000-0005-0000-0000-0000359F0000}"/>
    <cellStyle name="Финансовый 4 2 5 2 3 2 2 2" xfId="23368" xr:uid="{00000000-0005-0000-0000-0000369F0000}"/>
    <cellStyle name="Финансовый 4 2 5 2 3 2 2 2 2" xfId="47323" xr:uid="{00000000-0005-0000-0000-0000379F0000}"/>
    <cellStyle name="Финансовый 4 2 5 2 3 2 2 3" xfId="35345" xr:uid="{00000000-0005-0000-0000-0000389F0000}"/>
    <cellStyle name="Финансовый 4 2 5 2 3 2 3" xfId="15629" xr:uid="{00000000-0005-0000-0000-0000399F0000}"/>
    <cellStyle name="Финансовый 4 2 5 2 3 2 3 2" xfId="39584" xr:uid="{00000000-0005-0000-0000-00003A9F0000}"/>
    <cellStyle name="Финансовый 4 2 5 2 3 2 4" xfId="27607" xr:uid="{00000000-0005-0000-0000-00003B9F0000}"/>
    <cellStyle name="Финансовый 4 2 5 2 3 2 5" xfId="50876" xr:uid="{00000000-0005-0000-0000-00003C9F0000}"/>
    <cellStyle name="Финансовый 4 2 5 2 3 3" xfId="5433" xr:uid="{00000000-0005-0000-0000-00003D9F0000}"/>
    <cellStyle name="Финансовый 4 2 5 2 3 3 2" xfId="17411" xr:uid="{00000000-0005-0000-0000-00003E9F0000}"/>
    <cellStyle name="Финансовый 4 2 5 2 3 3 2 2" xfId="41366" xr:uid="{00000000-0005-0000-0000-00003F9F0000}"/>
    <cellStyle name="Финансовый 4 2 5 2 3 3 3" xfId="29388" xr:uid="{00000000-0005-0000-0000-0000409F0000}"/>
    <cellStyle name="Финансовый 4 2 5 2 3 4" xfId="8043" xr:uid="{00000000-0005-0000-0000-0000419F0000}"/>
    <cellStyle name="Финансовый 4 2 5 2 3 4 2" xfId="20021" xr:uid="{00000000-0005-0000-0000-0000429F0000}"/>
    <cellStyle name="Финансовый 4 2 5 2 3 4 2 2" xfId="43976" xr:uid="{00000000-0005-0000-0000-0000439F0000}"/>
    <cellStyle name="Финансовый 4 2 5 2 3 4 3" xfId="31998" xr:uid="{00000000-0005-0000-0000-0000449F0000}"/>
    <cellStyle name="Финансовый 4 2 5 2 3 5" xfId="9826" xr:uid="{00000000-0005-0000-0000-0000459F0000}"/>
    <cellStyle name="Финансовый 4 2 5 2 3 5 2" xfId="21804" xr:uid="{00000000-0005-0000-0000-0000469F0000}"/>
    <cellStyle name="Финансовый 4 2 5 2 3 5 2 2" xfId="45759" xr:uid="{00000000-0005-0000-0000-0000479F0000}"/>
    <cellStyle name="Финансовый 4 2 5 2 3 5 3" xfId="33781" xr:uid="{00000000-0005-0000-0000-0000489F0000}"/>
    <cellStyle name="Финансовый 4 2 5 2 3 6" xfId="13984" xr:uid="{00000000-0005-0000-0000-0000499F0000}"/>
    <cellStyle name="Финансовый 4 2 5 2 3 6 2" xfId="37939" xr:uid="{00000000-0005-0000-0000-00004A9F0000}"/>
    <cellStyle name="Финансовый 4 2 5 2 3 7" xfId="25962" xr:uid="{00000000-0005-0000-0000-00004B9F0000}"/>
    <cellStyle name="Финансовый 4 2 5 2 3 8" xfId="49095" xr:uid="{00000000-0005-0000-0000-00004C9F0000}"/>
    <cellStyle name="Финансовый 4 2 5 2 4" xfId="2526" xr:uid="{00000000-0005-0000-0000-00004D9F0000}"/>
    <cellStyle name="Финансовый 4 2 5 2 4 2" xfId="4171" xr:uid="{00000000-0005-0000-0000-00004E9F0000}"/>
    <cellStyle name="Финансовый 4 2 5 2 4 2 2" xfId="11903" xr:uid="{00000000-0005-0000-0000-00004F9F0000}"/>
    <cellStyle name="Финансовый 4 2 5 2 4 2 2 2" xfId="23881" xr:uid="{00000000-0005-0000-0000-0000509F0000}"/>
    <cellStyle name="Финансовый 4 2 5 2 4 2 2 2 2" xfId="47836" xr:uid="{00000000-0005-0000-0000-0000519F0000}"/>
    <cellStyle name="Финансовый 4 2 5 2 4 2 2 3" xfId="35858" xr:uid="{00000000-0005-0000-0000-0000529F0000}"/>
    <cellStyle name="Финансовый 4 2 5 2 4 2 3" xfId="16150" xr:uid="{00000000-0005-0000-0000-0000539F0000}"/>
    <cellStyle name="Финансовый 4 2 5 2 4 2 3 2" xfId="40105" xr:uid="{00000000-0005-0000-0000-0000549F0000}"/>
    <cellStyle name="Финансовый 4 2 5 2 4 2 4" xfId="28128" xr:uid="{00000000-0005-0000-0000-0000559F0000}"/>
    <cellStyle name="Финансовый 4 2 5 2 4 2 5" xfId="51397" xr:uid="{00000000-0005-0000-0000-0000569F0000}"/>
    <cellStyle name="Финансовый 4 2 5 2 4 3" xfId="5954" xr:uid="{00000000-0005-0000-0000-0000579F0000}"/>
    <cellStyle name="Финансовый 4 2 5 2 4 3 2" xfId="17932" xr:uid="{00000000-0005-0000-0000-0000589F0000}"/>
    <cellStyle name="Финансовый 4 2 5 2 4 3 2 2" xfId="41887" xr:uid="{00000000-0005-0000-0000-0000599F0000}"/>
    <cellStyle name="Финансовый 4 2 5 2 4 3 3" xfId="29909" xr:uid="{00000000-0005-0000-0000-00005A9F0000}"/>
    <cellStyle name="Финансовый 4 2 5 2 4 4" xfId="8564" xr:uid="{00000000-0005-0000-0000-00005B9F0000}"/>
    <cellStyle name="Финансовый 4 2 5 2 4 4 2" xfId="20542" xr:uid="{00000000-0005-0000-0000-00005C9F0000}"/>
    <cellStyle name="Финансовый 4 2 5 2 4 4 2 2" xfId="44497" xr:uid="{00000000-0005-0000-0000-00005D9F0000}"/>
    <cellStyle name="Финансовый 4 2 5 2 4 4 3" xfId="32519" xr:uid="{00000000-0005-0000-0000-00005E9F0000}"/>
    <cellStyle name="Финансовый 4 2 5 2 4 5" xfId="10347" xr:uid="{00000000-0005-0000-0000-00005F9F0000}"/>
    <cellStyle name="Финансовый 4 2 5 2 4 5 2" xfId="22325" xr:uid="{00000000-0005-0000-0000-0000609F0000}"/>
    <cellStyle name="Финансовый 4 2 5 2 4 5 2 2" xfId="46280" xr:uid="{00000000-0005-0000-0000-0000619F0000}"/>
    <cellStyle name="Финансовый 4 2 5 2 4 5 3" xfId="34302" xr:uid="{00000000-0005-0000-0000-0000629F0000}"/>
    <cellStyle name="Финансовый 4 2 5 2 4 6" xfId="14505" xr:uid="{00000000-0005-0000-0000-0000639F0000}"/>
    <cellStyle name="Финансовый 4 2 5 2 4 6 2" xfId="38460" xr:uid="{00000000-0005-0000-0000-0000649F0000}"/>
    <cellStyle name="Финансовый 4 2 5 2 4 7" xfId="26483" xr:uid="{00000000-0005-0000-0000-0000659F0000}"/>
    <cellStyle name="Финансовый 4 2 5 2 4 8" xfId="49616" xr:uid="{00000000-0005-0000-0000-0000669F0000}"/>
    <cellStyle name="Финансовый 4 2 5 2 5" xfId="1030" xr:uid="{00000000-0005-0000-0000-0000679F0000}"/>
    <cellStyle name="Финансовый 4 2 5 2 5 2" xfId="7070" xr:uid="{00000000-0005-0000-0000-0000689F0000}"/>
    <cellStyle name="Финансовый 4 2 5 2 5 2 2" xfId="19048" xr:uid="{00000000-0005-0000-0000-0000699F0000}"/>
    <cellStyle name="Финансовый 4 2 5 2 5 2 2 2" xfId="43003" xr:uid="{00000000-0005-0000-0000-00006A9F0000}"/>
    <cellStyle name="Финансовый 4 2 5 2 5 2 3" xfId="31025" xr:uid="{00000000-0005-0000-0000-00006B9F0000}"/>
    <cellStyle name="Финансовый 4 2 5 2 5 3" xfId="10618" xr:uid="{00000000-0005-0000-0000-00006C9F0000}"/>
    <cellStyle name="Финансовый 4 2 5 2 5 3 2" xfId="22596" xr:uid="{00000000-0005-0000-0000-00006D9F0000}"/>
    <cellStyle name="Финансовый 4 2 5 2 5 3 2 2" xfId="46551" xr:uid="{00000000-0005-0000-0000-00006E9F0000}"/>
    <cellStyle name="Финансовый 4 2 5 2 5 3 3" xfId="34573" xr:uid="{00000000-0005-0000-0000-00006F9F0000}"/>
    <cellStyle name="Финансовый 4 2 5 2 5 4" xfId="13011" xr:uid="{00000000-0005-0000-0000-0000709F0000}"/>
    <cellStyle name="Финансовый 4 2 5 2 5 4 2" xfId="36966" xr:uid="{00000000-0005-0000-0000-0000719F0000}"/>
    <cellStyle name="Финансовый 4 2 5 2 5 5" xfId="24989" xr:uid="{00000000-0005-0000-0000-0000729F0000}"/>
    <cellStyle name="Финансовый 4 2 5 2 5 6" xfId="49895" xr:uid="{00000000-0005-0000-0000-0000739F0000}"/>
    <cellStyle name="Финансовый 4 2 5 2 6" xfId="618" xr:uid="{00000000-0005-0000-0000-0000749F0000}"/>
    <cellStyle name="Финансовый 4 2 5 2 6 2" xfId="6658" xr:uid="{00000000-0005-0000-0000-0000759F0000}"/>
    <cellStyle name="Финансовый 4 2 5 2 6 2 2" xfId="18636" xr:uid="{00000000-0005-0000-0000-0000769F0000}"/>
    <cellStyle name="Финансовый 4 2 5 2 6 2 2 2" xfId="42591" xr:uid="{00000000-0005-0000-0000-0000779F0000}"/>
    <cellStyle name="Финансовый 4 2 5 2 6 2 3" xfId="30613" xr:uid="{00000000-0005-0000-0000-0000789F0000}"/>
    <cellStyle name="Финансовый 4 2 5 2 6 3" xfId="12599" xr:uid="{00000000-0005-0000-0000-0000799F0000}"/>
    <cellStyle name="Финансовый 4 2 5 2 6 3 2" xfId="36554" xr:uid="{00000000-0005-0000-0000-00007A9F0000}"/>
    <cellStyle name="Финансовый 4 2 5 2 6 4" xfId="24577" xr:uid="{00000000-0005-0000-0000-00007B9F0000}"/>
    <cellStyle name="Финансовый 4 2 5 2 7" xfId="2807" xr:uid="{00000000-0005-0000-0000-00007C9F0000}"/>
    <cellStyle name="Финансовый 4 2 5 2 7 2" xfId="14786" xr:uid="{00000000-0005-0000-0000-00007D9F0000}"/>
    <cellStyle name="Финансовый 4 2 5 2 7 2 2" xfId="38741" xr:uid="{00000000-0005-0000-0000-00007E9F0000}"/>
    <cellStyle name="Финансовый 4 2 5 2 7 3" xfId="26764" xr:uid="{00000000-0005-0000-0000-00007F9F0000}"/>
    <cellStyle name="Финансовый 4 2 5 2 8" xfId="4451" xr:uid="{00000000-0005-0000-0000-0000809F0000}"/>
    <cellStyle name="Финансовый 4 2 5 2 8 2" xfId="16430" xr:uid="{00000000-0005-0000-0000-0000819F0000}"/>
    <cellStyle name="Финансовый 4 2 5 2 8 2 2" xfId="40385" xr:uid="{00000000-0005-0000-0000-0000829F0000}"/>
    <cellStyle name="Финансовый 4 2 5 2 8 3" xfId="28408" xr:uid="{00000000-0005-0000-0000-0000839F0000}"/>
    <cellStyle name="Финансовый 4 2 5 2 9" xfId="6238" xr:uid="{00000000-0005-0000-0000-0000849F0000}"/>
    <cellStyle name="Финансовый 4 2 5 2 9 2" xfId="18216" xr:uid="{00000000-0005-0000-0000-0000859F0000}"/>
    <cellStyle name="Финансовый 4 2 5 2 9 2 2" xfId="42171" xr:uid="{00000000-0005-0000-0000-0000869F0000}"/>
    <cellStyle name="Финансовый 4 2 5 2 9 3" xfId="30193" xr:uid="{00000000-0005-0000-0000-0000879F0000}"/>
    <cellStyle name="Финансовый 4 2 5 3" xfId="346" xr:uid="{00000000-0005-0000-0000-0000889F0000}"/>
    <cellStyle name="Финансовый 4 2 5 3 10" xfId="24305" xr:uid="{00000000-0005-0000-0000-0000899F0000}"/>
    <cellStyle name="Финансовый 4 2 5 3 11" xfId="48251" xr:uid="{00000000-0005-0000-0000-00008A9F0000}"/>
    <cellStyle name="Финансовый 4 2 5 3 2" xfId="2133" xr:uid="{00000000-0005-0000-0000-00008B9F0000}"/>
    <cellStyle name="Финансовый 4 2 5 3 2 2" xfId="3778" xr:uid="{00000000-0005-0000-0000-00008C9F0000}"/>
    <cellStyle name="Финансовый 4 2 5 3 2 2 2" xfId="11518" xr:uid="{00000000-0005-0000-0000-00008D9F0000}"/>
    <cellStyle name="Финансовый 4 2 5 3 2 2 2 2" xfId="23496" xr:uid="{00000000-0005-0000-0000-00008E9F0000}"/>
    <cellStyle name="Финансовый 4 2 5 3 2 2 2 2 2" xfId="47451" xr:uid="{00000000-0005-0000-0000-00008F9F0000}"/>
    <cellStyle name="Финансовый 4 2 5 3 2 2 2 3" xfId="35473" xr:uid="{00000000-0005-0000-0000-0000909F0000}"/>
    <cellStyle name="Финансовый 4 2 5 3 2 2 3" xfId="15757" xr:uid="{00000000-0005-0000-0000-0000919F0000}"/>
    <cellStyle name="Финансовый 4 2 5 3 2 2 3 2" xfId="39712" xr:uid="{00000000-0005-0000-0000-0000929F0000}"/>
    <cellStyle name="Финансовый 4 2 5 3 2 2 4" xfId="27735" xr:uid="{00000000-0005-0000-0000-0000939F0000}"/>
    <cellStyle name="Финансовый 4 2 5 3 2 2 5" xfId="51004" xr:uid="{00000000-0005-0000-0000-0000949F0000}"/>
    <cellStyle name="Финансовый 4 2 5 3 2 3" xfId="5561" xr:uid="{00000000-0005-0000-0000-0000959F0000}"/>
    <cellStyle name="Финансовый 4 2 5 3 2 3 2" xfId="17539" xr:uid="{00000000-0005-0000-0000-0000969F0000}"/>
    <cellStyle name="Финансовый 4 2 5 3 2 3 2 2" xfId="41494" xr:uid="{00000000-0005-0000-0000-0000979F0000}"/>
    <cellStyle name="Финансовый 4 2 5 3 2 3 3" xfId="29516" xr:uid="{00000000-0005-0000-0000-0000989F0000}"/>
    <cellStyle name="Финансовый 4 2 5 3 2 4" xfId="8171" xr:uid="{00000000-0005-0000-0000-0000999F0000}"/>
    <cellStyle name="Финансовый 4 2 5 3 2 4 2" xfId="20149" xr:uid="{00000000-0005-0000-0000-00009A9F0000}"/>
    <cellStyle name="Финансовый 4 2 5 3 2 4 2 2" xfId="44104" xr:uid="{00000000-0005-0000-0000-00009B9F0000}"/>
    <cellStyle name="Финансовый 4 2 5 3 2 4 3" xfId="32126" xr:uid="{00000000-0005-0000-0000-00009C9F0000}"/>
    <cellStyle name="Финансовый 4 2 5 3 2 5" xfId="9954" xr:uid="{00000000-0005-0000-0000-00009D9F0000}"/>
    <cellStyle name="Финансовый 4 2 5 3 2 5 2" xfId="21932" xr:uid="{00000000-0005-0000-0000-00009E9F0000}"/>
    <cellStyle name="Финансовый 4 2 5 3 2 5 2 2" xfId="45887" xr:uid="{00000000-0005-0000-0000-00009F9F0000}"/>
    <cellStyle name="Финансовый 4 2 5 3 2 5 3" xfId="33909" xr:uid="{00000000-0005-0000-0000-0000A09F0000}"/>
    <cellStyle name="Финансовый 4 2 5 3 2 6" xfId="14112" xr:uid="{00000000-0005-0000-0000-0000A19F0000}"/>
    <cellStyle name="Финансовый 4 2 5 3 2 6 2" xfId="38067" xr:uid="{00000000-0005-0000-0000-0000A29F0000}"/>
    <cellStyle name="Финансовый 4 2 5 3 2 7" xfId="26090" xr:uid="{00000000-0005-0000-0000-0000A39F0000}"/>
    <cellStyle name="Финансовый 4 2 5 3 2 8" xfId="49223" xr:uid="{00000000-0005-0000-0000-0000A49F0000}"/>
    <cellStyle name="Финансовый 4 2 5 3 3" xfId="1166" xr:uid="{00000000-0005-0000-0000-0000A59F0000}"/>
    <cellStyle name="Финансовый 4 2 5 3 3 2" xfId="7206" xr:uid="{00000000-0005-0000-0000-0000A69F0000}"/>
    <cellStyle name="Финансовый 4 2 5 3 3 2 2" xfId="19184" xr:uid="{00000000-0005-0000-0000-0000A79F0000}"/>
    <cellStyle name="Финансовый 4 2 5 3 3 2 2 2" xfId="43139" xr:uid="{00000000-0005-0000-0000-0000A89F0000}"/>
    <cellStyle name="Финансовый 4 2 5 3 3 2 3" xfId="31161" xr:uid="{00000000-0005-0000-0000-0000A99F0000}"/>
    <cellStyle name="Финансовый 4 2 5 3 3 3" xfId="10746" xr:uid="{00000000-0005-0000-0000-0000AA9F0000}"/>
    <cellStyle name="Финансовый 4 2 5 3 3 3 2" xfId="22724" xr:uid="{00000000-0005-0000-0000-0000AB9F0000}"/>
    <cellStyle name="Финансовый 4 2 5 3 3 3 2 2" xfId="46679" xr:uid="{00000000-0005-0000-0000-0000AC9F0000}"/>
    <cellStyle name="Финансовый 4 2 5 3 3 3 3" xfId="34701" xr:uid="{00000000-0005-0000-0000-0000AD9F0000}"/>
    <cellStyle name="Финансовый 4 2 5 3 3 4" xfId="13147" xr:uid="{00000000-0005-0000-0000-0000AE9F0000}"/>
    <cellStyle name="Финансовый 4 2 5 3 3 4 2" xfId="37102" xr:uid="{00000000-0005-0000-0000-0000AF9F0000}"/>
    <cellStyle name="Финансовый 4 2 5 3 3 5" xfId="25125" xr:uid="{00000000-0005-0000-0000-0000B09F0000}"/>
    <cellStyle name="Финансовый 4 2 5 3 3 6" xfId="50031" xr:uid="{00000000-0005-0000-0000-0000B19F0000}"/>
    <cellStyle name="Финансовый 4 2 5 3 4" xfId="766" xr:uid="{00000000-0005-0000-0000-0000B29F0000}"/>
    <cellStyle name="Финансовый 4 2 5 3 4 2" xfId="6806" xr:uid="{00000000-0005-0000-0000-0000B39F0000}"/>
    <cellStyle name="Финансовый 4 2 5 3 4 2 2" xfId="18784" xr:uid="{00000000-0005-0000-0000-0000B49F0000}"/>
    <cellStyle name="Финансовый 4 2 5 3 4 2 2 2" xfId="42739" xr:uid="{00000000-0005-0000-0000-0000B59F0000}"/>
    <cellStyle name="Финансовый 4 2 5 3 4 2 3" xfId="30761" xr:uid="{00000000-0005-0000-0000-0000B69F0000}"/>
    <cellStyle name="Финансовый 4 2 5 3 4 3" xfId="12747" xr:uid="{00000000-0005-0000-0000-0000B79F0000}"/>
    <cellStyle name="Финансовый 4 2 5 3 4 3 2" xfId="36702" xr:uid="{00000000-0005-0000-0000-0000B89F0000}"/>
    <cellStyle name="Финансовый 4 2 5 3 4 4" xfId="24725" xr:uid="{00000000-0005-0000-0000-0000B99F0000}"/>
    <cellStyle name="Финансовый 4 2 5 3 5" xfId="2943" xr:uid="{00000000-0005-0000-0000-0000BA9F0000}"/>
    <cellStyle name="Финансовый 4 2 5 3 5 2" xfId="14922" xr:uid="{00000000-0005-0000-0000-0000BB9F0000}"/>
    <cellStyle name="Финансовый 4 2 5 3 5 2 2" xfId="38877" xr:uid="{00000000-0005-0000-0000-0000BC9F0000}"/>
    <cellStyle name="Финансовый 4 2 5 3 5 3" xfId="26900" xr:uid="{00000000-0005-0000-0000-0000BD9F0000}"/>
    <cellStyle name="Финансовый 4 2 5 3 6" xfId="4587" xr:uid="{00000000-0005-0000-0000-0000BE9F0000}"/>
    <cellStyle name="Финансовый 4 2 5 3 6 2" xfId="16566" xr:uid="{00000000-0005-0000-0000-0000BF9F0000}"/>
    <cellStyle name="Финансовый 4 2 5 3 6 2 2" xfId="40521" xr:uid="{00000000-0005-0000-0000-0000C09F0000}"/>
    <cellStyle name="Финансовый 4 2 5 3 6 3" xfId="28544" xr:uid="{00000000-0005-0000-0000-0000C19F0000}"/>
    <cellStyle name="Финансовый 4 2 5 3 7" xfId="6386" xr:uid="{00000000-0005-0000-0000-0000C29F0000}"/>
    <cellStyle name="Финансовый 4 2 5 3 7 2" xfId="18364" xr:uid="{00000000-0005-0000-0000-0000C39F0000}"/>
    <cellStyle name="Финансовый 4 2 5 3 7 2 2" xfId="42319" xr:uid="{00000000-0005-0000-0000-0000C49F0000}"/>
    <cellStyle name="Финансовый 4 2 5 3 7 3" xfId="30341" xr:uid="{00000000-0005-0000-0000-0000C59F0000}"/>
    <cellStyle name="Финансовый 4 2 5 3 8" xfId="8981" xr:uid="{00000000-0005-0000-0000-0000C69F0000}"/>
    <cellStyle name="Финансовый 4 2 5 3 8 2" xfId="20959" xr:uid="{00000000-0005-0000-0000-0000C79F0000}"/>
    <cellStyle name="Финансовый 4 2 5 3 8 2 2" xfId="44914" xr:uid="{00000000-0005-0000-0000-0000C89F0000}"/>
    <cellStyle name="Финансовый 4 2 5 3 8 3" xfId="32936" xr:uid="{00000000-0005-0000-0000-0000C99F0000}"/>
    <cellStyle name="Финансовый 4 2 5 3 9" xfId="12327" xr:uid="{00000000-0005-0000-0000-0000CA9F0000}"/>
    <cellStyle name="Финансовый 4 2 5 3 9 2" xfId="36282" xr:uid="{00000000-0005-0000-0000-0000CB9F0000}"/>
    <cellStyle name="Финансовый 4 2 5 4" xfId="1538" xr:uid="{00000000-0005-0000-0000-0000CC9F0000}"/>
    <cellStyle name="Финансовый 4 2 5 4 2" xfId="1869" xr:uid="{00000000-0005-0000-0000-0000CD9F0000}"/>
    <cellStyle name="Финансовый 4 2 5 4 2 2" xfId="3514" xr:uid="{00000000-0005-0000-0000-0000CE9F0000}"/>
    <cellStyle name="Финансовый 4 2 5 4 2 2 2" xfId="11262" xr:uid="{00000000-0005-0000-0000-0000CF9F0000}"/>
    <cellStyle name="Финансовый 4 2 5 4 2 2 2 2" xfId="23240" xr:uid="{00000000-0005-0000-0000-0000D09F0000}"/>
    <cellStyle name="Финансовый 4 2 5 4 2 2 2 2 2" xfId="47195" xr:uid="{00000000-0005-0000-0000-0000D19F0000}"/>
    <cellStyle name="Финансовый 4 2 5 4 2 2 2 3" xfId="35217" xr:uid="{00000000-0005-0000-0000-0000D29F0000}"/>
    <cellStyle name="Финансовый 4 2 5 4 2 2 3" xfId="15493" xr:uid="{00000000-0005-0000-0000-0000D39F0000}"/>
    <cellStyle name="Финансовый 4 2 5 4 2 2 3 2" xfId="39448" xr:uid="{00000000-0005-0000-0000-0000D49F0000}"/>
    <cellStyle name="Финансовый 4 2 5 4 2 2 4" xfId="27471" xr:uid="{00000000-0005-0000-0000-0000D59F0000}"/>
    <cellStyle name="Финансовый 4 2 5 4 2 2 5" xfId="50740" xr:uid="{00000000-0005-0000-0000-0000D69F0000}"/>
    <cellStyle name="Финансовый 4 2 5 4 2 3" xfId="5297" xr:uid="{00000000-0005-0000-0000-0000D79F0000}"/>
    <cellStyle name="Финансовый 4 2 5 4 2 3 2" xfId="17275" xr:uid="{00000000-0005-0000-0000-0000D89F0000}"/>
    <cellStyle name="Финансовый 4 2 5 4 2 3 2 2" xfId="41230" xr:uid="{00000000-0005-0000-0000-0000D99F0000}"/>
    <cellStyle name="Финансовый 4 2 5 4 2 3 3" xfId="29252" xr:uid="{00000000-0005-0000-0000-0000DA9F0000}"/>
    <cellStyle name="Финансовый 4 2 5 4 2 4" xfId="7907" xr:uid="{00000000-0005-0000-0000-0000DB9F0000}"/>
    <cellStyle name="Финансовый 4 2 5 4 2 4 2" xfId="19885" xr:uid="{00000000-0005-0000-0000-0000DC9F0000}"/>
    <cellStyle name="Финансовый 4 2 5 4 2 4 2 2" xfId="43840" xr:uid="{00000000-0005-0000-0000-0000DD9F0000}"/>
    <cellStyle name="Финансовый 4 2 5 4 2 4 3" xfId="31862" xr:uid="{00000000-0005-0000-0000-0000DE9F0000}"/>
    <cellStyle name="Финансовый 4 2 5 4 2 5" xfId="9690" xr:uid="{00000000-0005-0000-0000-0000DF9F0000}"/>
    <cellStyle name="Финансовый 4 2 5 4 2 5 2" xfId="21668" xr:uid="{00000000-0005-0000-0000-0000E09F0000}"/>
    <cellStyle name="Финансовый 4 2 5 4 2 5 2 2" xfId="45623" xr:uid="{00000000-0005-0000-0000-0000E19F0000}"/>
    <cellStyle name="Финансовый 4 2 5 4 2 5 3" xfId="33645" xr:uid="{00000000-0005-0000-0000-0000E29F0000}"/>
    <cellStyle name="Финансовый 4 2 5 4 2 6" xfId="13848" xr:uid="{00000000-0005-0000-0000-0000E39F0000}"/>
    <cellStyle name="Финансовый 4 2 5 4 2 6 2" xfId="37803" xr:uid="{00000000-0005-0000-0000-0000E49F0000}"/>
    <cellStyle name="Финансовый 4 2 5 4 2 7" xfId="25826" xr:uid="{00000000-0005-0000-0000-0000E59F0000}"/>
    <cellStyle name="Финансовый 4 2 5 4 2 8" xfId="48959" xr:uid="{00000000-0005-0000-0000-0000E69F0000}"/>
    <cellStyle name="Финансовый 4 2 5 4 3" xfId="4966" xr:uid="{00000000-0005-0000-0000-0000E79F0000}"/>
    <cellStyle name="Финансовый 4 2 5 4 3 2" xfId="16944" xr:uid="{00000000-0005-0000-0000-0000E89F0000}"/>
    <cellStyle name="Финансовый 4 2 5 4 3 2 2" xfId="40899" xr:uid="{00000000-0005-0000-0000-0000E99F0000}"/>
    <cellStyle name="Финансовый 4 2 5 4 3 3" xfId="28921" xr:uid="{00000000-0005-0000-0000-0000EA9F0000}"/>
    <cellStyle name="Финансовый 4 2 5 4 3 4" xfId="50409" xr:uid="{00000000-0005-0000-0000-0000EB9F0000}"/>
    <cellStyle name="Финансовый 4 2 5 4 4" xfId="7576" xr:uid="{00000000-0005-0000-0000-0000EC9F0000}"/>
    <cellStyle name="Финансовый 4 2 5 4 4 2" xfId="19554" xr:uid="{00000000-0005-0000-0000-0000ED9F0000}"/>
    <cellStyle name="Финансовый 4 2 5 4 4 2 2" xfId="43509" xr:uid="{00000000-0005-0000-0000-0000EE9F0000}"/>
    <cellStyle name="Финансовый 4 2 5 4 4 3" xfId="31531" xr:uid="{00000000-0005-0000-0000-0000EF9F0000}"/>
    <cellStyle name="Финансовый 4 2 5 4 5" xfId="9359" xr:uid="{00000000-0005-0000-0000-0000F09F0000}"/>
    <cellStyle name="Финансовый 4 2 5 4 5 2" xfId="21337" xr:uid="{00000000-0005-0000-0000-0000F19F0000}"/>
    <cellStyle name="Финансовый 4 2 5 4 5 2 2" xfId="45292" xr:uid="{00000000-0005-0000-0000-0000F29F0000}"/>
    <cellStyle name="Финансовый 4 2 5 4 5 3" xfId="33314" xr:uid="{00000000-0005-0000-0000-0000F39F0000}"/>
    <cellStyle name="Финансовый 4 2 5 4 6" xfId="13517" xr:uid="{00000000-0005-0000-0000-0000F49F0000}"/>
    <cellStyle name="Финансовый 4 2 5 4 6 2" xfId="37472" xr:uid="{00000000-0005-0000-0000-0000F59F0000}"/>
    <cellStyle name="Финансовый 4 2 5 4 7" xfId="25495" xr:uid="{00000000-0005-0000-0000-0000F69F0000}"/>
    <cellStyle name="Финансовый 4 2 5 4 8" xfId="48628" xr:uid="{00000000-0005-0000-0000-0000F79F0000}"/>
    <cellStyle name="Финансовый 4 2 5 5" xfId="1753" xr:uid="{00000000-0005-0000-0000-0000F89F0000}"/>
    <cellStyle name="Финансовый 4 2 5 5 2" xfId="3398" xr:uid="{00000000-0005-0000-0000-0000F99F0000}"/>
    <cellStyle name="Финансовый 4 2 5 5 2 2" xfId="11146" xr:uid="{00000000-0005-0000-0000-0000FA9F0000}"/>
    <cellStyle name="Финансовый 4 2 5 5 2 2 2" xfId="23124" xr:uid="{00000000-0005-0000-0000-0000FB9F0000}"/>
    <cellStyle name="Финансовый 4 2 5 5 2 2 2 2" xfId="47079" xr:uid="{00000000-0005-0000-0000-0000FC9F0000}"/>
    <cellStyle name="Финансовый 4 2 5 5 2 2 3" xfId="35101" xr:uid="{00000000-0005-0000-0000-0000FD9F0000}"/>
    <cellStyle name="Финансовый 4 2 5 5 2 3" xfId="15377" xr:uid="{00000000-0005-0000-0000-0000FE9F0000}"/>
    <cellStyle name="Финансовый 4 2 5 5 2 3 2" xfId="39332" xr:uid="{00000000-0005-0000-0000-0000FF9F0000}"/>
    <cellStyle name="Финансовый 4 2 5 5 2 4" xfId="27355" xr:uid="{00000000-0005-0000-0000-000000A00000}"/>
    <cellStyle name="Финансовый 4 2 5 5 2 5" xfId="50624" xr:uid="{00000000-0005-0000-0000-000001A00000}"/>
    <cellStyle name="Финансовый 4 2 5 5 3" xfId="5181" xr:uid="{00000000-0005-0000-0000-000002A00000}"/>
    <cellStyle name="Финансовый 4 2 5 5 3 2" xfId="17159" xr:uid="{00000000-0005-0000-0000-000003A00000}"/>
    <cellStyle name="Финансовый 4 2 5 5 3 2 2" xfId="41114" xr:uid="{00000000-0005-0000-0000-000004A00000}"/>
    <cellStyle name="Финансовый 4 2 5 5 3 3" xfId="29136" xr:uid="{00000000-0005-0000-0000-000005A00000}"/>
    <cellStyle name="Финансовый 4 2 5 5 4" xfId="7791" xr:uid="{00000000-0005-0000-0000-000006A00000}"/>
    <cellStyle name="Финансовый 4 2 5 5 4 2" xfId="19769" xr:uid="{00000000-0005-0000-0000-000007A00000}"/>
    <cellStyle name="Финансовый 4 2 5 5 4 2 2" xfId="43724" xr:uid="{00000000-0005-0000-0000-000008A00000}"/>
    <cellStyle name="Финансовый 4 2 5 5 4 3" xfId="31746" xr:uid="{00000000-0005-0000-0000-000009A00000}"/>
    <cellStyle name="Финансовый 4 2 5 5 5" xfId="9574" xr:uid="{00000000-0005-0000-0000-00000AA00000}"/>
    <cellStyle name="Финансовый 4 2 5 5 5 2" xfId="21552" xr:uid="{00000000-0005-0000-0000-00000BA00000}"/>
    <cellStyle name="Финансовый 4 2 5 5 5 2 2" xfId="45507" xr:uid="{00000000-0005-0000-0000-00000CA00000}"/>
    <cellStyle name="Финансовый 4 2 5 5 5 3" xfId="33529" xr:uid="{00000000-0005-0000-0000-00000DA00000}"/>
    <cellStyle name="Финансовый 4 2 5 5 6" xfId="13732" xr:uid="{00000000-0005-0000-0000-00000EA00000}"/>
    <cellStyle name="Финансовый 4 2 5 5 6 2" xfId="37687" xr:uid="{00000000-0005-0000-0000-00000FA00000}"/>
    <cellStyle name="Финансовый 4 2 5 5 7" xfId="25710" xr:uid="{00000000-0005-0000-0000-000010A00000}"/>
    <cellStyle name="Финансовый 4 2 5 5 8" xfId="48843" xr:uid="{00000000-0005-0000-0000-000011A00000}"/>
    <cellStyle name="Финансовый 4 2 5 6" xfId="2389" xr:uid="{00000000-0005-0000-0000-000012A00000}"/>
    <cellStyle name="Финансовый 4 2 5 6 2" xfId="4034" xr:uid="{00000000-0005-0000-0000-000013A00000}"/>
    <cellStyle name="Финансовый 4 2 5 6 2 2" xfId="11774" xr:uid="{00000000-0005-0000-0000-000014A00000}"/>
    <cellStyle name="Финансовый 4 2 5 6 2 2 2" xfId="23752" xr:uid="{00000000-0005-0000-0000-000015A00000}"/>
    <cellStyle name="Финансовый 4 2 5 6 2 2 2 2" xfId="47707" xr:uid="{00000000-0005-0000-0000-000016A00000}"/>
    <cellStyle name="Финансовый 4 2 5 6 2 2 3" xfId="35729" xr:uid="{00000000-0005-0000-0000-000017A00000}"/>
    <cellStyle name="Финансовый 4 2 5 6 2 3" xfId="16013" xr:uid="{00000000-0005-0000-0000-000018A00000}"/>
    <cellStyle name="Финансовый 4 2 5 6 2 3 2" xfId="39968" xr:uid="{00000000-0005-0000-0000-000019A00000}"/>
    <cellStyle name="Финансовый 4 2 5 6 2 4" xfId="27991" xr:uid="{00000000-0005-0000-0000-00001AA00000}"/>
    <cellStyle name="Финансовый 4 2 5 6 2 5" xfId="51260" xr:uid="{00000000-0005-0000-0000-00001BA00000}"/>
    <cellStyle name="Финансовый 4 2 5 6 3" xfId="5817" xr:uid="{00000000-0005-0000-0000-00001CA00000}"/>
    <cellStyle name="Финансовый 4 2 5 6 3 2" xfId="17795" xr:uid="{00000000-0005-0000-0000-00001DA00000}"/>
    <cellStyle name="Финансовый 4 2 5 6 3 2 2" xfId="41750" xr:uid="{00000000-0005-0000-0000-00001EA00000}"/>
    <cellStyle name="Финансовый 4 2 5 6 3 3" xfId="29772" xr:uid="{00000000-0005-0000-0000-00001FA00000}"/>
    <cellStyle name="Финансовый 4 2 5 6 4" xfId="8427" xr:uid="{00000000-0005-0000-0000-000020A00000}"/>
    <cellStyle name="Финансовый 4 2 5 6 4 2" xfId="20405" xr:uid="{00000000-0005-0000-0000-000021A00000}"/>
    <cellStyle name="Финансовый 4 2 5 6 4 2 2" xfId="44360" xr:uid="{00000000-0005-0000-0000-000022A00000}"/>
    <cellStyle name="Финансовый 4 2 5 6 4 3" xfId="32382" xr:uid="{00000000-0005-0000-0000-000023A00000}"/>
    <cellStyle name="Финансовый 4 2 5 6 5" xfId="10210" xr:uid="{00000000-0005-0000-0000-000024A00000}"/>
    <cellStyle name="Финансовый 4 2 5 6 5 2" xfId="22188" xr:uid="{00000000-0005-0000-0000-000025A00000}"/>
    <cellStyle name="Финансовый 4 2 5 6 5 2 2" xfId="46143" xr:uid="{00000000-0005-0000-0000-000026A00000}"/>
    <cellStyle name="Финансовый 4 2 5 6 5 3" xfId="34165" xr:uid="{00000000-0005-0000-0000-000027A00000}"/>
    <cellStyle name="Финансовый 4 2 5 6 6" xfId="14368" xr:uid="{00000000-0005-0000-0000-000028A00000}"/>
    <cellStyle name="Финансовый 4 2 5 6 6 2" xfId="38323" xr:uid="{00000000-0005-0000-0000-000029A00000}"/>
    <cellStyle name="Финансовый 4 2 5 6 7" xfId="26346" xr:uid="{00000000-0005-0000-0000-00002AA00000}"/>
    <cellStyle name="Финансовый 4 2 5 6 8" xfId="49479" xr:uid="{00000000-0005-0000-0000-00002BA00000}"/>
    <cellStyle name="Финансовый 4 2 5 7" xfId="1616" xr:uid="{00000000-0005-0000-0000-00002CA00000}"/>
    <cellStyle name="Финансовый 4 2 5 7 2" xfId="3261" xr:uid="{00000000-0005-0000-0000-00002DA00000}"/>
    <cellStyle name="Финансовый 4 2 5 7 2 2" xfId="11017" xr:uid="{00000000-0005-0000-0000-00002EA00000}"/>
    <cellStyle name="Финансовый 4 2 5 7 2 2 2" xfId="22995" xr:uid="{00000000-0005-0000-0000-00002FA00000}"/>
    <cellStyle name="Финансовый 4 2 5 7 2 2 2 2" xfId="46950" xr:uid="{00000000-0005-0000-0000-000030A00000}"/>
    <cellStyle name="Финансовый 4 2 5 7 2 2 3" xfId="34972" xr:uid="{00000000-0005-0000-0000-000031A00000}"/>
    <cellStyle name="Финансовый 4 2 5 7 2 3" xfId="15240" xr:uid="{00000000-0005-0000-0000-000032A00000}"/>
    <cellStyle name="Финансовый 4 2 5 7 2 3 2" xfId="39195" xr:uid="{00000000-0005-0000-0000-000033A00000}"/>
    <cellStyle name="Финансовый 4 2 5 7 2 4" xfId="27218" xr:uid="{00000000-0005-0000-0000-000034A00000}"/>
    <cellStyle name="Финансовый 4 2 5 7 2 5" xfId="50487" xr:uid="{00000000-0005-0000-0000-000035A00000}"/>
    <cellStyle name="Финансовый 4 2 5 7 3" xfId="5044" xr:uid="{00000000-0005-0000-0000-000036A00000}"/>
    <cellStyle name="Финансовый 4 2 5 7 3 2" xfId="17022" xr:uid="{00000000-0005-0000-0000-000037A00000}"/>
    <cellStyle name="Финансовый 4 2 5 7 3 2 2" xfId="40977" xr:uid="{00000000-0005-0000-0000-000038A00000}"/>
    <cellStyle name="Финансовый 4 2 5 7 3 3" xfId="28999" xr:uid="{00000000-0005-0000-0000-000039A00000}"/>
    <cellStyle name="Финансовый 4 2 5 7 4" xfId="7654" xr:uid="{00000000-0005-0000-0000-00003AA00000}"/>
    <cellStyle name="Финансовый 4 2 5 7 4 2" xfId="19632" xr:uid="{00000000-0005-0000-0000-00003BA00000}"/>
    <cellStyle name="Финансовый 4 2 5 7 4 2 2" xfId="43587" xr:uid="{00000000-0005-0000-0000-00003CA00000}"/>
    <cellStyle name="Финансовый 4 2 5 7 4 3" xfId="31609" xr:uid="{00000000-0005-0000-0000-00003DA00000}"/>
    <cellStyle name="Финансовый 4 2 5 7 5" xfId="9437" xr:uid="{00000000-0005-0000-0000-00003EA00000}"/>
    <cellStyle name="Финансовый 4 2 5 7 5 2" xfId="21415" xr:uid="{00000000-0005-0000-0000-00003FA00000}"/>
    <cellStyle name="Финансовый 4 2 5 7 5 2 2" xfId="45370" xr:uid="{00000000-0005-0000-0000-000040A00000}"/>
    <cellStyle name="Финансовый 4 2 5 7 5 3" xfId="33392" xr:uid="{00000000-0005-0000-0000-000041A00000}"/>
    <cellStyle name="Финансовый 4 2 5 7 6" xfId="13595" xr:uid="{00000000-0005-0000-0000-000042A00000}"/>
    <cellStyle name="Финансовый 4 2 5 7 6 2" xfId="37550" xr:uid="{00000000-0005-0000-0000-000043A00000}"/>
    <cellStyle name="Финансовый 4 2 5 7 7" xfId="25573" xr:uid="{00000000-0005-0000-0000-000044A00000}"/>
    <cellStyle name="Финансовый 4 2 5 7 8" xfId="48706" xr:uid="{00000000-0005-0000-0000-000045A00000}"/>
    <cellStyle name="Финансовый 4 2 5 8" xfId="902" xr:uid="{00000000-0005-0000-0000-000046A00000}"/>
    <cellStyle name="Финансовый 4 2 5 8 2" xfId="6942" xr:uid="{00000000-0005-0000-0000-000047A00000}"/>
    <cellStyle name="Финансовый 4 2 5 8 2 2" xfId="18920" xr:uid="{00000000-0005-0000-0000-000048A00000}"/>
    <cellStyle name="Финансовый 4 2 5 8 2 2 2" xfId="42875" xr:uid="{00000000-0005-0000-0000-000049A00000}"/>
    <cellStyle name="Финансовый 4 2 5 8 2 3" xfId="30897" xr:uid="{00000000-0005-0000-0000-00004AA00000}"/>
    <cellStyle name="Финансовый 4 2 5 8 3" xfId="10490" xr:uid="{00000000-0005-0000-0000-00004BA00000}"/>
    <cellStyle name="Финансовый 4 2 5 8 3 2" xfId="22468" xr:uid="{00000000-0005-0000-0000-00004CA00000}"/>
    <cellStyle name="Финансовый 4 2 5 8 3 2 2" xfId="46423" xr:uid="{00000000-0005-0000-0000-00004DA00000}"/>
    <cellStyle name="Финансовый 4 2 5 8 3 3" xfId="34445" xr:uid="{00000000-0005-0000-0000-00004EA00000}"/>
    <cellStyle name="Финансовый 4 2 5 8 4" xfId="12883" xr:uid="{00000000-0005-0000-0000-00004FA00000}"/>
    <cellStyle name="Финансовый 4 2 5 8 4 2" xfId="36838" xr:uid="{00000000-0005-0000-0000-000050A00000}"/>
    <cellStyle name="Финансовый 4 2 5 8 5" xfId="24861" xr:uid="{00000000-0005-0000-0000-000051A00000}"/>
    <cellStyle name="Финансовый 4 2 5 8 6" xfId="49759" xr:uid="{00000000-0005-0000-0000-000052A00000}"/>
    <cellStyle name="Финансовый 4 2 5 9" xfId="482" xr:uid="{00000000-0005-0000-0000-000053A00000}"/>
    <cellStyle name="Финансовый 4 2 5 9 2" xfId="6522" xr:uid="{00000000-0005-0000-0000-000054A00000}"/>
    <cellStyle name="Финансовый 4 2 5 9 2 2" xfId="18500" xr:uid="{00000000-0005-0000-0000-000055A00000}"/>
    <cellStyle name="Финансовый 4 2 5 9 2 2 2" xfId="42455" xr:uid="{00000000-0005-0000-0000-000056A00000}"/>
    <cellStyle name="Финансовый 4 2 5 9 2 3" xfId="30477" xr:uid="{00000000-0005-0000-0000-000057A00000}"/>
    <cellStyle name="Финансовый 4 2 5 9 3" xfId="12463" xr:uid="{00000000-0005-0000-0000-000058A00000}"/>
    <cellStyle name="Финансовый 4 2 5 9 3 2" xfId="36418" xr:uid="{00000000-0005-0000-0000-000059A00000}"/>
    <cellStyle name="Финансовый 4 2 5 9 4" xfId="24441" xr:uid="{00000000-0005-0000-0000-00005AA00000}"/>
    <cellStyle name="Финансовый 4 2 6" xfId="137" xr:uid="{00000000-0005-0000-0000-00005BA00000}"/>
    <cellStyle name="Финансовый 4 2 6 10" xfId="2747" xr:uid="{00000000-0005-0000-0000-00005CA00000}"/>
    <cellStyle name="Финансовый 4 2 6 10 2" xfId="14726" xr:uid="{00000000-0005-0000-0000-00005DA00000}"/>
    <cellStyle name="Финансовый 4 2 6 10 2 2" xfId="38681" xr:uid="{00000000-0005-0000-0000-00005EA00000}"/>
    <cellStyle name="Финансовый 4 2 6 10 3" xfId="26704" xr:uid="{00000000-0005-0000-0000-00005FA00000}"/>
    <cellStyle name="Финансовый 4 2 6 11" xfId="4391" xr:uid="{00000000-0005-0000-0000-000060A00000}"/>
    <cellStyle name="Финансовый 4 2 6 11 2" xfId="16370" xr:uid="{00000000-0005-0000-0000-000061A00000}"/>
    <cellStyle name="Финансовый 4 2 6 11 2 2" xfId="40325" xr:uid="{00000000-0005-0000-0000-000062A00000}"/>
    <cellStyle name="Финансовый 4 2 6 11 3" xfId="28348" xr:uid="{00000000-0005-0000-0000-000063A00000}"/>
    <cellStyle name="Финансовый 4 2 6 12" xfId="6178" xr:uid="{00000000-0005-0000-0000-000064A00000}"/>
    <cellStyle name="Финансовый 4 2 6 12 2" xfId="18156" xr:uid="{00000000-0005-0000-0000-000065A00000}"/>
    <cellStyle name="Финансовый 4 2 6 12 2 2" xfId="42111" xr:uid="{00000000-0005-0000-0000-000066A00000}"/>
    <cellStyle name="Финансовый 4 2 6 12 3" xfId="30133" xr:uid="{00000000-0005-0000-0000-000067A00000}"/>
    <cellStyle name="Финансовый 4 2 6 13" xfId="8785" xr:uid="{00000000-0005-0000-0000-000068A00000}"/>
    <cellStyle name="Финансовый 4 2 6 13 2" xfId="20763" xr:uid="{00000000-0005-0000-0000-000069A00000}"/>
    <cellStyle name="Финансовый 4 2 6 13 2 2" xfId="44718" xr:uid="{00000000-0005-0000-0000-00006AA00000}"/>
    <cellStyle name="Финансовый 4 2 6 13 3" xfId="32740" xr:uid="{00000000-0005-0000-0000-00006BA00000}"/>
    <cellStyle name="Финансовый 4 2 6 14" xfId="12119" xr:uid="{00000000-0005-0000-0000-00006CA00000}"/>
    <cellStyle name="Финансовый 4 2 6 14 2" xfId="36074" xr:uid="{00000000-0005-0000-0000-00006DA00000}"/>
    <cellStyle name="Финансовый 4 2 6 15" xfId="24097" xr:uid="{00000000-0005-0000-0000-00006EA00000}"/>
    <cellStyle name="Финансовый 4 2 6 16" xfId="48055" xr:uid="{00000000-0005-0000-0000-00006FA00000}"/>
    <cellStyle name="Финансовый 4 2 6 2" xfId="273" xr:uid="{00000000-0005-0000-0000-000070A00000}"/>
    <cellStyle name="Финансовый 4 2 6 2 10" xfId="8921" xr:uid="{00000000-0005-0000-0000-000071A00000}"/>
    <cellStyle name="Финансовый 4 2 6 2 10 2" xfId="20899" xr:uid="{00000000-0005-0000-0000-000072A00000}"/>
    <cellStyle name="Финансовый 4 2 6 2 10 2 2" xfId="44854" xr:uid="{00000000-0005-0000-0000-000073A00000}"/>
    <cellStyle name="Финансовый 4 2 6 2 10 3" xfId="32876" xr:uid="{00000000-0005-0000-0000-000074A00000}"/>
    <cellStyle name="Финансовый 4 2 6 2 11" xfId="12255" xr:uid="{00000000-0005-0000-0000-000075A00000}"/>
    <cellStyle name="Финансовый 4 2 6 2 11 2" xfId="36210" xr:uid="{00000000-0005-0000-0000-000076A00000}"/>
    <cellStyle name="Финансовый 4 2 6 2 12" xfId="24233" xr:uid="{00000000-0005-0000-0000-000077A00000}"/>
    <cellStyle name="Финансовый 4 2 6 2 13" xfId="48191" xr:uid="{00000000-0005-0000-0000-000078A00000}"/>
    <cellStyle name="Финансовый 4 2 6 2 2" xfId="1371" xr:uid="{00000000-0005-0000-0000-000079A00000}"/>
    <cellStyle name="Финансовый 4 2 6 2 2 2" xfId="2329" xr:uid="{00000000-0005-0000-0000-00007AA00000}"/>
    <cellStyle name="Финансовый 4 2 6 2 2 2 2" xfId="3974" xr:uid="{00000000-0005-0000-0000-00007BA00000}"/>
    <cellStyle name="Финансовый 4 2 6 2 2 2 2 2" xfId="11714" xr:uid="{00000000-0005-0000-0000-00007CA00000}"/>
    <cellStyle name="Финансовый 4 2 6 2 2 2 2 2 2" xfId="23692" xr:uid="{00000000-0005-0000-0000-00007DA00000}"/>
    <cellStyle name="Финансовый 4 2 6 2 2 2 2 2 2 2" xfId="47647" xr:uid="{00000000-0005-0000-0000-00007EA00000}"/>
    <cellStyle name="Финансовый 4 2 6 2 2 2 2 2 3" xfId="35669" xr:uid="{00000000-0005-0000-0000-00007FA00000}"/>
    <cellStyle name="Финансовый 4 2 6 2 2 2 2 3" xfId="15953" xr:uid="{00000000-0005-0000-0000-000080A00000}"/>
    <cellStyle name="Финансовый 4 2 6 2 2 2 2 3 2" xfId="39908" xr:uid="{00000000-0005-0000-0000-000081A00000}"/>
    <cellStyle name="Финансовый 4 2 6 2 2 2 2 4" xfId="27931" xr:uid="{00000000-0005-0000-0000-000082A00000}"/>
    <cellStyle name="Финансовый 4 2 6 2 2 2 2 5" xfId="51200" xr:uid="{00000000-0005-0000-0000-000083A00000}"/>
    <cellStyle name="Финансовый 4 2 6 2 2 2 3" xfId="5757" xr:uid="{00000000-0005-0000-0000-000084A00000}"/>
    <cellStyle name="Финансовый 4 2 6 2 2 2 3 2" xfId="17735" xr:uid="{00000000-0005-0000-0000-000085A00000}"/>
    <cellStyle name="Финансовый 4 2 6 2 2 2 3 2 2" xfId="41690" xr:uid="{00000000-0005-0000-0000-000086A00000}"/>
    <cellStyle name="Финансовый 4 2 6 2 2 2 3 3" xfId="29712" xr:uid="{00000000-0005-0000-0000-000087A00000}"/>
    <cellStyle name="Финансовый 4 2 6 2 2 2 4" xfId="8367" xr:uid="{00000000-0005-0000-0000-000088A00000}"/>
    <cellStyle name="Финансовый 4 2 6 2 2 2 4 2" xfId="20345" xr:uid="{00000000-0005-0000-0000-000089A00000}"/>
    <cellStyle name="Финансовый 4 2 6 2 2 2 4 2 2" xfId="44300" xr:uid="{00000000-0005-0000-0000-00008AA00000}"/>
    <cellStyle name="Финансовый 4 2 6 2 2 2 4 3" xfId="32322" xr:uid="{00000000-0005-0000-0000-00008BA00000}"/>
    <cellStyle name="Финансовый 4 2 6 2 2 2 5" xfId="10150" xr:uid="{00000000-0005-0000-0000-00008CA00000}"/>
    <cellStyle name="Финансовый 4 2 6 2 2 2 5 2" xfId="22128" xr:uid="{00000000-0005-0000-0000-00008DA00000}"/>
    <cellStyle name="Финансовый 4 2 6 2 2 2 5 2 2" xfId="46083" xr:uid="{00000000-0005-0000-0000-00008EA00000}"/>
    <cellStyle name="Финансовый 4 2 6 2 2 2 5 3" xfId="34105" xr:uid="{00000000-0005-0000-0000-00008FA00000}"/>
    <cellStyle name="Финансовый 4 2 6 2 2 2 6" xfId="14308" xr:uid="{00000000-0005-0000-0000-000090A00000}"/>
    <cellStyle name="Финансовый 4 2 6 2 2 2 6 2" xfId="38263" xr:uid="{00000000-0005-0000-0000-000091A00000}"/>
    <cellStyle name="Финансовый 4 2 6 2 2 2 7" xfId="26286" xr:uid="{00000000-0005-0000-0000-000092A00000}"/>
    <cellStyle name="Финансовый 4 2 6 2 2 2 8" xfId="49419" xr:uid="{00000000-0005-0000-0000-000093A00000}"/>
    <cellStyle name="Финансовый 4 2 6 2 2 3" xfId="3155" xr:uid="{00000000-0005-0000-0000-000094A00000}"/>
    <cellStyle name="Финансовый 4 2 6 2 2 3 2" xfId="10942" xr:uid="{00000000-0005-0000-0000-000095A00000}"/>
    <cellStyle name="Финансовый 4 2 6 2 2 3 2 2" xfId="22920" xr:uid="{00000000-0005-0000-0000-000096A00000}"/>
    <cellStyle name="Финансовый 4 2 6 2 2 3 2 2 2" xfId="46875" xr:uid="{00000000-0005-0000-0000-000097A00000}"/>
    <cellStyle name="Финансовый 4 2 6 2 2 3 2 3" xfId="34897" xr:uid="{00000000-0005-0000-0000-000098A00000}"/>
    <cellStyle name="Финансовый 4 2 6 2 2 3 3" xfId="15134" xr:uid="{00000000-0005-0000-0000-000099A00000}"/>
    <cellStyle name="Финансовый 4 2 6 2 2 3 3 2" xfId="39089" xr:uid="{00000000-0005-0000-0000-00009AA00000}"/>
    <cellStyle name="Финансовый 4 2 6 2 2 3 4" xfId="27112" xr:uid="{00000000-0005-0000-0000-00009BA00000}"/>
    <cellStyle name="Финансовый 4 2 6 2 2 3 5" xfId="50243" xr:uid="{00000000-0005-0000-0000-00009CA00000}"/>
    <cellStyle name="Финансовый 4 2 6 2 2 4" xfId="4799" xr:uid="{00000000-0005-0000-0000-00009DA00000}"/>
    <cellStyle name="Финансовый 4 2 6 2 2 4 2" xfId="16778" xr:uid="{00000000-0005-0000-0000-00009EA00000}"/>
    <cellStyle name="Финансовый 4 2 6 2 2 4 2 2" xfId="40733" xr:uid="{00000000-0005-0000-0000-00009FA00000}"/>
    <cellStyle name="Финансовый 4 2 6 2 2 4 3" xfId="28756" xr:uid="{00000000-0005-0000-0000-0000A0A00000}"/>
    <cellStyle name="Финансовый 4 2 6 2 2 5" xfId="7411" xr:uid="{00000000-0005-0000-0000-0000A1A00000}"/>
    <cellStyle name="Финансовый 4 2 6 2 2 5 2" xfId="19389" xr:uid="{00000000-0005-0000-0000-0000A2A00000}"/>
    <cellStyle name="Финансовый 4 2 6 2 2 5 2 2" xfId="43344" xr:uid="{00000000-0005-0000-0000-0000A3A00000}"/>
    <cellStyle name="Финансовый 4 2 6 2 2 5 3" xfId="31366" xr:uid="{00000000-0005-0000-0000-0000A4A00000}"/>
    <cellStyle name="Финансовый 4 2 6 2 2 6" xfId="9193" xr:uid="{00000000-0005-0000-0000-0000A5A00000}"/>
    <cellStyle name="Финансовый 4 2 6 2 2 6 2" xfId="21171" xr:uid="{00000000-0005-0000-0000-0000A6A00000}"/>
    <cellStyle name="Финансовый 4 2 6 2 2 6 2 2" xfId="45126" xr:uid="{00000000-0005-0000-0000-0000A7A00000}"/>
    <cellStyle name="Финансовый 4 2 6 2 2 6 3" xfId="33148" xr:uid="{00000000-0005-0000-0000-0000A8A00000}"/>
    <cellStyle name="Финансовый 4 2 6 2 2 7" xfId="13352" xr:uid="{00000000-0005-0000-0000-0000A9A00000}"/>
    <cellStyle name="Финансовый 4 2 6 2 2 7 2" xfId="37307" xr:uid="{00000000-0005-0000-0000-0000AAA00000}"/>
    <cellStyle name="Финансовый 4 2 6 2 2 8" xfId="25330" xr:uid="{00000000-0005-0000-0000-0000ABA00000}"/>
    <cellStyle name="Финансовый 4 2 6 2 2 9" xfId="48463" xr:uid="{00000000-0005-0000-0000-0000ACA00000}"/>
    <cellStyle name="Финансовый 4 2 6 2 3" xfId="2073" xr:uid="{00000000-0005-0000-0000-0000ADA00000}"/>
    <cellStyle name="Финансовый 4 2 6 2 3 2" xfId="3718" xr:uid="{00000000-0005-0000-0000-0000AEA00000}"/>
    <cellStyle name="Финансовый 4 2 6 2 3 2 2" xfId="11458" xr:uid="{00000000-0005-0000-0000-0000AFA00000}"/>
    <cellStyle name="Финансовый 4 2 6 2 3 2 2 2" xfId="23436" xr:uid="{00000000-0005-0000-0000-0000B0A00000}"/>
    <cellStyle name="Финансовый 4 2 6 2 3 2 2 2 2" xfId="47391" xr:uid="{00000000-0005-0000-0000-0000B1A00000}"/>
    <cellStyle name="Финансовый 4 2 6 2 3 2 2 3" xfId="35413" xr:uid="{00000000-0005-0000-0000-0000B2A00000}"/>
    <cellStyle name="Финансовый 4 2 6 2 3 2 3" xfId="15697" xr:uid="{00000000-0005-0000-0000-0000B3A00000}"/>
    <cellStyle name="Финансовый 4 2 6 2 3 2 3 2" xfId="39652" xr:uid="{00000000-0005-0000-0000-0000B4A00000}"/>
    <cellStyle name="Финансовый 4 2 6 2 3 2 4" xfId="27675" xr:uid="{00000000-0005-0000-0000-0000B5A00000}"/>
    <cellStyle name="Финансовый 4 2 6 2 3 2 5" xfId="50944" xr:uid="{00000000-0005-0000-0000-0000B6A00000}"/>
    <cellStyle name="Финансовый 4 2 6 2 3 3" xfId="5501" xr:uid="{00000000-0005-0000-0000-0000B7A00000}"/>
    <cellStyle name="Финансовый 4 2 6 2 3 3 2" xfId="17479" xr:uid="{00000000-0005-0000-0000-0000B8A00000}"/>
    <cellStyle name="Финансовый 4 2 6 2 3 3 2 2" xfId="41434" xr:uid="{00000000-0005-0000-0000-0000B9A00000}"/>
    <cellStyle name="Финансовый 4 2 6 2 3 3 3" xfId="29456" xr:uid="{00000000-0005-0000-0000-0000BAA00000}"/>
    <cellStyle name="Финансовый 4 2 6 2 3 4" xfId="8111" xr:uid="{00000000-0005-0000-0000-0000BBA00000}"/>
    <cellStyle name="Финансовый 4 2 6 2 3 4 2" xfId="20089" xr:uid="{00000000-0005-0000-0000-0000BCA00000}"/>
    <cellStyle name="Финансовый 4 2 6 2 3 4 2 2" xfId="44044" xr:uid="{00000000-0005-0000-0000-0000BDA00000}"/>
    <cellStyle name="Финансовый 4 2 6 2 3 4 3" xfId="32066" xr:uid="{00000000-0005-0000-0000-0000BEA00000}"/>
    <cellStyle name="Финансовый 4 2 6 2 3 5" xfId="9894" xr:uid="{00000000-0005-0000-0000-0000BFA00000}"/>
    <cellStyle name="Финансовый 4 2 6 2 3 5 2" xfId="21872" xr:uid="{00000000-0005-0000-0000-0000C0A00000}"/>
    <cellStyle name="Финансовый 4 2 6 2 3 5 2 2" xfId="45827" xr:uid="{00000000-0005-0000-0000-0000C1A00000}"/>
    <cellStyle name="Финансовый 4 2 6 2 3 5 3" xfId="33849" xr:uid="{00000000-0005-0000-0000-0000C2A00000}"/>
    <cellStyle name="Финансовый 4 2 6 2 3 6" xfId="14052" xr:uid="{00000000-0005-0000-0000-0000C3A00000}"/>
    <cellStyle name="Финансовый 4 2 6 2 3 6 2" xfId="38007" xr:uid="{00000000-0005-0000-0000-0000C4A00000}"/>
    <cellStyle name="Финансовый 4 2 6 2 3 7" xfId="26030" xr:uid="{00000000-0005-0000-0000-0000C5A00000}"/>
    <cellStyle name="Финансовый 4 2 6 2 3 8" xfId="49163" xr:uid="{00000000-0005-0000-0000-0000C6A00000}"/>
    <cellStyle name="Финансовый 4 2 6 2 4" xfId="2602" xr:uid="{00000000-0005-0000-0000-0000C7A00000}"/>
    <cellStyle name="Финансовый 4 2 6 2 4 2" xfId="4247" xr:uid="{00000000-0005-0000-0000-0000C8A00000}"/>
    <cellStyle name="Финансовый 4 2 6 2 4 2 2" xfId="11971" xr:uid="{00000000-0005-0000-0000-0000C9A00000}"/>
    <cellStyle name="Финансовый 4 2 6 2 4 2 2 2" xfId="23949" xr:uid="{00000000-0005-0000-0000-0000CAA00000}"/>
    <cellStyle name="Финансовый 4 2 6 2 4 2 2 2 2" xfId="47904" xr:uid="{00000000-0005-0000-0000-0000CBA00000}"/>
    <cellStyle name="Финансовый 4 2 6 2 4 2 2 3" xfId="35926" xr:uid="{00000000-0005-0000-0000-0000CCA00000}"/>
    <cellStyle name="Финансовый 4 2 6 2 4 2 3" xfId="16226" xr:uid="{00000000-0005-0000-0000-0000CDA00000}"/>
    <cellStyle name="Финансовый 4 2 6 2 4 2 3 2" xfId="40181" xr:uid="{00000000-0005-0000-0000-0000CEA00000}"/>
    <cellStyle name="Финансовый 4 2 6 2 4 2 4" xfId="28204" xr:uid="{00000000-0005-0000-0000-0000CFA00000}"/>
    <cellStyle name="Финансовый 4 2 6 2 4 2 5" xfId="51473" xr:uid="{00000000-0005-0000-0000-0000D0A00000}"/>
    <cellStyle name="Финансовый 4 2 6 2 4 3" xfId="6030" xr:uid="{00000000-0005-0000-0000-0000D1A00000}"/>
    <cellStyle name="Финансовый 4 2 6 2 4 3 2" xfId="18008" xr:uid="{00000000-0005-0000-0000-0000D2A00000}"/>
    <cellStyle name="Финансовый 4 2 6 2 4 3 2 2" xfId="41963" xr:uid="{00000000-0005-0000-0000-0000D3A00000}"/>
    <cellStyle name="Финансовый 4 2 6 2 4 3 3" xfId="29985" xr:uid="{00000000-0005-0000-0000-0000D4A00000}"/>
    <cellStyle name="Финансовый 4 2 6 2 4 4" xfId="8640" xr:uid="{00000000-0005-0000-0000-0000D5A00000}"/>
    <cellStyle name="Финансовый 4 2 6 2 4 4 2" xfId="20618" xr:uid="{00000000-0005-0000-0000-0000D6A00000}"/>
    <cellStyle name="Финансовый 4 2 6 2 4 4 2 2" xfId="44573" xr:uid="{00000000-0005-0000-0000-0000D7A00000}"/>
    <cellStyle name="Финансовый 4 2 6 2 4 4 3" xfId="32595" xr:uid="{00000000-0005-0000-0000-0000D8A00000}"/>
    <cellStyle name="Финансовый 4 2 6 2 4 5" xfId="10423" xr:uid="{00000000-0005-0000-0000-0000D9A00000}"/>
    <cellStyle name="Финансовый 4 2 6 2 4 5 2" xfId="22401" xr:uid="{00000000-0005-0000-0000-0000DAA00000}"/>
    <cellStyle name="Финансовый 4 2 6 2 4 5 2 2" xfId="46356" xr:uid="{00000000-0005-0000-0000-0000DBA00000}"/>
    <cellStyle name="Финансовый 4 2 6 2 4 5 3" xfId="34378" xr:uid="{00000000-0005-0000-0000-0000DCA00000}"/>
    <cellStyle name="Финансовый 4 2 6 2 4 6" xfId="14581" xr:uid="{00000000-0005-0000-0000-0000DDA00000}"/>
    <cellStyle name="Финансовый 4 2 6 2 4 6 2" xfId="38536" xr:uid="{00000000-0005-0000-0000-0000DEA00000}"/>
    <cellStyle name="Финансовый 4 2 6 2 4 7" xfId="26559" xr:uid="{00000000-0005-0000-0000-0000DFA00000}"/>
    <cellStyle name="Финансовый 4 2 6 2 4 8" xfId="49692" xr:uid="{00000000-0005-0000-0000-0000E0A00000}"/>
    <cellStyle name="Финансовый 4 2 6 2 5" xfId="1106" xr:uid="{00000000-0005-0000-0000-0000E1A00000}"/>
    <cellStyle name="Финансовый 4 2 6 2 5 2" xfId="7146" xr:uid="{00000000-0005-0000-0000-0000E2A00000}"/>
    <cellStyle name="Финансовый 4 2 6 2 5 2 2" xfId="19124" xr:uid="{00000000-0005-0000-0000-0000E3A00000}"/>
    <cellStyle name="Финансовый 4 2 6 2 5 2 2 2" xfId="43079" xr:uid="{00000000-0005-0000-0000-0000E4A00000}"/>
    <cellStyle name="Финансовый 4 2 6 2 5 2 3" xfId="31101" xr:uid="{00000000-0005-0000-0000-0000E5A00000}"/>
    <cellStyle name="Финансовый 4 2 6 2 5 3" xfId="10686" xr:uid="{00000000-0005-0000-0000-0000E6A00000}"/>
    <cellStyle name="Финансовый 4 2 6 2 5 3 2" xfId="22664" xr:uid="{00000000-0005-0000-0000-0000E7A00000}"/>
    <cellStyle name="Финансовый 4 2 6 2 5 3 2 2" xfId="46619" xr:uid="{00000000-0005-0000-0000-0000E8A00000}"/>
    <cellStyle name="Финансовый 4 2 6 2 5 3 3" xfId="34641" xr:uid="{00000000-0005-0000-0000-0000E9A00000}"/>
    <cellStyle name="Финансовый 4 2 6 2 5 4" xfId="13087" xr:uid="{00000000-0005-0000-0000-0000EAA00000}"/>
    <cellStyle name="Финансовый 4 2 6 2 5 4 2" xfId="37042" xr:uid="{00000000-0005-0000-0000-0000EBA00000}"/>
    <cellStyle name="Финансовый 4 2 6 2 5 5" xfId="25065" xr:uid="{00000000-0005-0000-0000-0000ECA00000}"/>
    <cellStyle name="Финансовый 4 2 6 2 5 6" xfId="49971" xr:uid="{00000000-0005-0000-0000-0000EDA00000}"/>
    <cellStyle name="Финансовый 4 2 6 2 6" xfId="694" xr:uid="{00000000-0005-0000-0000-0000EEA00000}"/>
    <cellStyle name="Финансовый 4 2 6 2 6 2" xfId="6734" xr:uid="{00000000-0005-0000-0000-0000EFA00000}"/>
    <cellStyle name="Финансовый 4 2 6 2 6 2 2" xfId="18712" xr:uid="{00000000-0005-0000-0000-0000F0A00000}"/>
    <cellStyle name="Финансовый 4 2 6 2 6 2 2 2" xfId="42667" xr:uid="{00000000-0005-0000-0000-0000F1A00000}"/>
    <cellStyle name="Финансовый 4 2 6 2 6 2 3" xfId="30689" xr:uid="{00000000-0005-0000-0000-0000F2A00000}"/>
    <cellStyle name="Финансовый 4 2 6 2 6 3" xfId="12675" xr:uid="{00000000-0005-0000-0000-0000F3A00000}"/>
    <cellStyle name="Финансовый 4 2 6 2 6 3 2" xfId="36630" xr:uid="{00000000-0005-0000-0000-0000F4A00000}"/>
    <cellStyle name="Финансовый 4 2 6 2 6 4" xfId="24653" xr:uid="{00000000-0005-0000-0000-0000F5A00000}"/>
    <cellStyle name="Финансовый 4 2 6 2 7" xfId="2883" xr:uid="{00000000-0005-0000-0000-0000F6A00000}"/>
    <cellStyle name="Финансовый 4 2 6 2 7 2" xfId="14862" xr:uid="{00000000-0005-0000-0000-0000F7A00000}"/>
    <cellStyle name="Финансовый 4 2 6 2 7 2 2" xfId="38817" xr:uid="{00000000-0005-0000-0000-0000F8A00000}"/>
    <cellStyle name="Финансовый 4 2 6 2 7 3" xfId="26840" xr:uid="{00000000-0005-0000-0000-0000F9A00000}"/>
    <cellStyle name="Финансовый 4 2 6 2 8" xfId="4527" xr:uid="{00000000-0005-0000-0000-0000FAA00000}"/>
    <cellStyle name="Финансовый 4 2 6 2 8 2" xfId="16506" xr:uid="{00000000-0005-0000-0000-0000FBA00000}"/>
    <cellStyle name="Финансовый 4 2 6 2 8 2 2" xfId="40461" xr:uid="{00000000-0005-0000-0000-0000FCA00000}"/>
    <cellStyle name="Финансовый 4 2 6 2 8 3" xfId="28484" xr:uid="{00000000-0005-0000-0000-0000FDA00000}"/>
    <cellStyle name="Финансовый 4 2 6 2 9" xfId="6314" xr:uid="{00000000-0005-0000-0000-0000FEA00000}"/>
    <cellStyle name="Финансовый 4 2 6 2 9 2" xfId="18292" xr:uid="{00000000-0005-0000-0000-0000FFA00000}"/>
    <cellStyle name="Финансовый 4 2 6 2 9 2 2" xfId="42247" xr:uid="{00000000-0005-0000-0000-000000A10000}"/>
    <cellStyle name="Финансовый 4 2 6 2 9 3" xfId="30269" xr:uid="{00000000-0005-0000-0000-000001A10000}"/>
    <cellStyle name="Финансовый 4 2 6 3" xfId="422" xr:uid="{00000000-0005-0000-0000-000002A10000}"/>
    <cellStyle name="Финансовый 4 2 6 3 10" xfId="24381" xr:uid="{00000000-0005-0000-0000-000003A10000}"/>
    <cellStyle name="Финансовый 4 2 6 3 11" xfId="48327" xr:uid="{00000000-0005-0000-0000-000004A10000}"/>
    <cellStyle name="Финансовый 4 2 6 3 2" xfId="2201" xr:uid="{00000000-0005-0000-0000-000005A10000}"/>
    <cellStyle name="Финансовый 4 2 6 3 2 2" xfId="3846" xr:uid="{00000000-0005-0000-0000-000006A10000}"/>
    <cellStyle name="Финансовый 4 2 6 3 2 2 2" xfId="11586" xr:uid="{00000000-0005-0000-0000-000007A10000}"/>
    <cellStyle name="Финансовый 4 2 6 3 2 2 2 2" xfId="23564" xr:uid="{00000000-0005-0000-0000-000008A10000}"/>
    <cellStyle name="Финансовый 4 2 6 3 2 2 2 2 2" xfId="47519" xr:uid="{00000000-0005-0000-0000-000009A10000}"/>
    <cellStyle name="Финансовый 4 2 6 3 2 2 2 3" xfId="35541" xr:uid="{00000000-0005-0000-0000-00000AA10000}"/>
    <cellStyle name="Финансовый 4 2 6 3 2 2 3" xfId="15825" xr:uid="{00000000-0005-0000-0000-00000BA10000}"/>
    <cellStyle name="Финансовый 4 2 6 3 2 2 3 2" xfId="39780" xr:uid="{00000000-0005-0000-0000-00000CA10000}"/>
    <cellStyle name="Финансовый 4 2 6 3 2 2 4" xfId="27803" xr:uid="{00000000-0005-0000-0000-00000DA10000}"/>
    <cellStyle name="Финансовый 4 2 6 3 2 2 5" xfId="51072" xr:uid="{00000000-0005-0000-0000-00000EA10000}"/>
    <cellStyle name="Финансовый 4 2 6 3 2 3" xfId="5629" xr:uid="{00000000-0005-0000-0000-00000FA10000}"/>
    <cellStyle name="Финансовый 4 2 6 3 2 3 2" xfId="17607" xr:uid="{00000000-0005-0000-0000-000010A10000}"/>
    <cellStyle name="Финансовый 4 2 6 3 2 3 2 2" xfId="41562" xr:uid="{00000000-0005-0000-0000-000011A10000}"/>
    <cellStyle name="Финансовый 4 2 6 3 2 3 3" xfId="29584" xr:uid="{00000000-0005-0000-0000-000012A10000}"/>
    <cellStyle name="Финансовый 4 2 6 3 2 4" xfId="8239" xr:uid="{00000000-0005-0000-0000-000013A10000}"/>
    <cellStyle name="Финансовый 4 2 6 3 2 4 2" xfId="20217" xr:uid="{00000000-0005-0000-0000-000014A10000}"/>
    <cellStyle name="Финансовый 4 2 6 3 2 4 2 2" xfId="44172" xr:uid="{00000000-0005-0000-0000-000015A10000}"/>
    <cellStyle name="Финансовый 4 2 6 3 2 4 3" xfId="32194" xr:uid="{00000000-0005-0000-0000-000016A10000}"/>
    <cellStyle name="Финансовый 4 2 6 3 2 5" xfId="10022" xr:uid="{00000000-0005-0000-0000-000017A10000}"/>
    <cellStyle name="Финансовый 4 2 6 3 2 5 2" xfId="22000" xr:uid="{00000000-0005-0000-0000-000018A10000}"/>
    <cellStyle name="Финансовый 4 2 6 3 2 5 2 2" xfId="45955" xr:uid="{00000000-0005-0000-0000-000019A10000}"/>
    <cellStyle name="Финансовый 4 2 6 3 2 5 3" xfId="33977" xr:uid="{00000000-0005-0000-0000-00001AA10000}"/>
    <cellStyle name="Финансовый 4 2 6 3 2 6" xfId="14180" xr:uid="{00000000-0005-0000-0000-00001BA10000}"/>
    <cellStyle name="Финансовый 4 2 6 3 2 6 2" xfId="38135" xr:uid="{00000000-0005-0000-0000-00001CA10000}"/>
    <cellStyle name="Финансовый 4 2 6 3 2 7" xfId="26158" xr:uid="{00000000-0005-0000-0000-00001DA10000}"/>
    <cellStyle name="Финансовый 4 2 6 3 2 8" xfId="49291" xr:uid="{00000000-0005-0000-0000-00001EA10000}"/>
    <cellStyle name="Финансовый 4 2 6 3 3" xfId="1235" xr:uid="{00000000-0005-0000-0000-00001FA10000}"/>
    <cellStyle name="Финансовый 4 2 6 3 3 2" xfId="7275" xr:uid="{00000000-0005-0000-0000-000020A10000}"/>
    <cellStyle name="Финансовый 4 2 6 3 3 2 2" xfId="19253" xr:uid="{00000000-0005-0000-0000-000021A10000}"/>
    <cellStyle name="Финансовый 4 2 6 3 3 2 2 2" xfId="43208" xr:uid="{00000000-0005-0000-0000-000022A10000}"/>
    <cellStyle name="Финансовый 4 2 6 3 3 2 3" xfId="31230" xr:uid="{00000000-0005-0000-0000-000023A10000}"/>
    <cellStyle name="Финансовый 4 2 6 3 3 3" xfId="10814" xr:uid="{00000000-0005-0000-0000-000024A10000}"/>
    <cellStyle name="Финансовый 4 2 6 3 3 3 2" xfId="22792" xr:uid="{00000000-0005-0000-0000-000025A10000}"/>
    <cellStyle name="Финансовый 4 2 6 3 3 3 2 2" xfId="46747" xr:uid="{00000000-0005-0000-0000-000026A10000}"/>
    <cellStyle name="Финансовый 4 2 6 3 3 3 3" xfId="34769" xr:uid="{00000000-0005-0000-0000-000027A10000}"/>
    <cellStyle name="Финансовый 4 2 6 3 3 4" xfId="13216" xr:uid="{00000000-0005-0000-0000-000028A10000}"/>
    <cellStyle name="Финансовый 4 2 6 3 3 4 2" xfId="37171" xr:uid="{00000000-0005-0000-0000-000029A10000}"/>
    <cellStyle name="Финансовый 4 2 6 3 3 5" xfId="25194" xr:uid="{00000000-0005-0000-0000-00002AA10000}"/>
    <cellStyle name="Финансовый 4 2 6 3 3 6" xfId="50107" xr:uid="{00000000-0005-0000-0000-00002BA10000}"/>
    <cellStyle name="Финансовый 4 2 6 3 4" xfId="842" xr:uid="{00000000-0005-0000-0000-00002CA10000}"/>
    <cellStyle name="Финансовый 4 2 6 3 4 2" xfId="6882" xr:uid="{00000000-0005-0000-0000-00002DA10000}"/>
    <cellStyle name="Финансовый 4 2 6 3 4 2 2" xfId="18860" xr:uid="{00000000-0005-0000-0000-00002EA10000}"/>
    <cellStyle name="Финансовый 4 2 6 3 4 2 2 2" xfId="42815" xr:uid="{00000000-0005-0000-0000-00002FA10000}"/>
    <cellStyle name="Финансовый 4 2 6 3 4 2 3" xfId="30837" xr:uid="{00000000-0005-0000-0000-000030A10000}"/>
    <cellStyle name="Финансовый 4 2 6 3 4 3" xfId="12823" xr:uid="{00000000-0005-0000-0000-000031A10000}"/>
    <cellStyle name="Финансовый 4 2 6 3 4 3 2" xfId="36778" xr:uid="{00000000-0005-0000-0000-000032A10000}"/>
    <cellStyle name="Финансовый 4 2 6 3 4 4" xfId="24801" xr:uid="{00000000-0005-0000-0000-000033A10000}"/>
    <cellStyle name="Финансовый 4 2 6 3 5" xfId="3019" xr:uid="{00000000-0005-0000-0000-000034A10000}"/>
    <cellStyle name="Финансовый 4 2 6 3 5 2" xfId="14998" xr:uid="{00000000-0005-0000-0000-000035A10000}"/>
    <cellStyle name="Финансовый 4 2 6 3 5 2 2" xfId="38953" xr:uid="{00000000-0005-0000-0000-000036A10000}"/>
    <cellStyle name="Финансовый 4 2 6 3 5 3" xfId="26976" xr:uid="{00000000-0005-0000-0000-000037A10000}"/>
    <cellStyle name="Финансовый 4 2 6 3 6" xfId="4663" xr:uid="{00000000-0005-0000-0000-000038A10000}"/>
    <cellStyle name="Финансовый 4 2 6 3 6 2" xfId="16642" xr:uid="{00000000-0005-0000-0000-000039A10000}"/>
    <cellStyle name="Финансовый 4 2 6 3 6 2 2" xfId="40597" xr:uid="{00000000-0005-0000-0000-00003AA10000}"/>
    <cellStyle name="Финансовый 4 2 6 3 6 3" xfId="28620" xr:uid="{00000000-0005-0000-0000-00003BA10000}"/>
    <cellStyle name="Финансовый 4 2 6 3 7" xfId="6462" xr:uid="{00000000-0005-0000-0000-00003CA10000}"/>
    <cellStyle name="Финансовый 4 2 6 3 7 2" xfId="18440" xr:uid="{00000000-0005-0000-0000-00003DA10000}"/>
    <cellStyle name="Финансовый 4 2 6 3 7 2 2" xfId="42395" xr:uid="{00000000-0005-0000-0000-00003EA10000}"/>
    <cellStyle name="Финансовый 4 2 6 3 7 3" xfId="30417" xr:uid="{00000000-0005-0000-0000-00003FA10000}"/>
    <cellStyle name="Финансовый 4 2 6 3 8" xfId="9057" xr:uid="{00000000-0005-0000-0000-000040A10000}"/>
    <cellStyle name="Финансовый 4 2 6 3 8 2" xfId="21035" xr:uid="{00000000-0005-0000-0000-000041A10000}"/>
    <cellStyle name="Финансовый 4 2 6 3 8 2 2" xfId="44990" xr:uid="{00000000-0005-0000-0000-000042A10000}"/>
    <cellStyle name="Финансовый 4 2 6 3 8 3" xfId="33012" xr:uid="{00000000-0005-0000-0000-000043A10000}"/>
    <cellStyle name="Финансовый 4 2 6 3 9" xfId="12403" xr:uid="{00000000-0005-0000-0000-000044A10000}"/>
    <cellStyle name="Финансовый 4 2 6 3 9 2" xfId="36358" xr:uid="{00000000-0005-0000-0000-000045A10000}"/>
    <cellStyle name="Финансовый 4 2 6 4" xfId="1453" xr:uid="{00000000-0005-0000-0000-000046A10000}"/>
    <cellStyle name="Финансовый 4 2 6 4 2" xfId="1945" xr:uid="{00000000-0005-0000-0000-000047A10000}"/>
    <cellStyle name="Финансовый 4 2 6 4 2 2" xfId="3590" xr:uid="{00000000-0005-0000-0000-000048A10000}"/>
    <cellStyle name="Финансовый 4 2 6 4 2 2 2" xfId="11330" xr:uid="{00000000-0005-0000-0000-000049A10000}"/>
    <cellStyle name="Финансовый 4 2 6 4 2 2 2 2" xfId="23308" xr:uid="{00000000-0005-0000-0000-00004AA10000}"/>
    <cellStyle name="Финансовый 4 2 6 4 2 2 2 2 2" xfId="47263" xr:uid="{00000000-0005-0000-0000-00004BA10000}"/>
    <cellStyle name="Финансовый 4 2 6 4 2 2 2 3" xfId="35285" xr:uid="{00000000-0005-0000-0000-00004CA10000}"/>
    <cellStyle name="Финансовый 4 2 6 4 2 2 3" xfId="15569" xr:uid="{00000000-0005-0000-0000-00004DA10000}"/>
    <cellStyle name="Финансовый 4 2 6 4 2 2 3 2" xfId="39524" xr:uid="{00000000-0005-0000-0000-00004EA10000}"/>
    <cellStyle name="Финансовый 4 2 6 4 2 2 4" xfId="27547" xr:uid="{00000000-0005-0000-0000-00004FA10000}"/>
    <cellStyle name="Финансовый 4 2 6 4 2 2 5" xfId="50816" xr:uid="{00000000-0005-0000-0000-000050A10000}"/>
    <cellStyle name="Финансовый 4 2 6 4 2 3" xfId="5373" xr:uid="{00000000-0005-0000-0000-000051A10000}"/>
    <cellStyle name="Финансовый 4 2 6 4 2 3 2" xfId="17351" xr:uid="{00000000-0005-0000-0000-000052A10000}"/>
    <cellStyle name="Финансовый 4 2 6 4 2 3 2 2" xfId="41306" xr:uid="{00000000-0005-0000-0000-000053A10000}"/>
    <cellStyle name="Финансовый 4 2 6 4 2 3 3" xfId="29328" xr:uid="{00000000-0005-0000-0000-000054A10000}"/>
    <cellStyle name="Финансовый 4 2 6 4 2 4" xfId="7983" xr:uid="{00000000-0005-0000-0000-000055A10000}"/>
    <cellStyle name="Финансовый 4 2 6 4 2 4 2" xfId="19961" xr:uid="{00000000-0005-0000-0000-000056A10000}"/>
    <cellStyle name="Финансовый 4 2 6 4 2 4 2 2" xfId="43916" xr:uid="{00000000-0005-0000-0000-000057A10000}"/>
    <cellStyle name="Финансовый 4 2 6 4 2 4 3" xfId="31938" xr:uid="{00000000-0005-0000-0000-000058A10000}"/>
    <cellStyle name="Финансовый 4 2 6 4 2 5" xfId="9766" xr:uid="{00000000-0005-0000-0000-000059A10000}"/>
    <cellStyle name="Финансовый 4 2 6 4 2 5 2" xfId="21744" xr:uid="{00000000-0005-0000-0000-00005AA10000}"/>
    <cellStyle name="Финансовый 4 2 6 4 2 5 2 2" xfId="45699" xr:uid="{00000000-0005-0000-0000-00005BA10000}"/>
    <cellStyle name="Финансовый 4 2 6 4 2 5 3" xfId="33721" xr:uid="{00000000-0005-0000-0000-00005CA10000}"/>
    <cellStyle name="Финансовый 4 2 6 4 2 6" xfId="13924" xr:uid="{00000000-0005-0000-0000-00005DA10000}"/>
    <cellStyle name="Финансовый 4 2 6 4 2 6 2" xfId="37879" xr:uid="{00000000-0005-0000-0000-00005EA10000}"/>
    <cellStyle name="Финансовый 4 2 6 4 2 7" xfId="25902" xr:uid="{00000000-0005-0000-0000-00005FA10000}"/>
    <cellStyle name="Финансовый 4 2 6 4 2 8" xfId="49035" xr:uid="{00000000-0005-0000-0000-000060A10000}"/>
    <cellStyle name="Финансовый 4 2 6 4 3" xfId="4881" xr:uid="{00000000-0005-0000-0000-000061A10000}"/>
    <cellStyle name="Финансовый 4 2 6 4 3 2" xfId="16859" xr:uid="{00000000-0005-0000-0000-000062A10000}"/>
    <cellStyle name="Финансовый 4 2 6 4 3 2 2" xfId="40814" xr:uid="{00000000-0005-0000-0000-000063A10000}"/>
    <cellStyle name="Финансовый 4 2 6 4 3 3" xfId="28836" xr:uid="{00000000-0005-0000-0000-000064A10000}"/>
    <cellStyle name="Финансовый 4 2 6 4 3 4" xfId="50324" xr:uid="{00000000-0005-0000-0000-000065A10000}"/>
    <cellStyle name="Финансовый 4 2 6 4 4" xfId="7491" xr:uid="{00000000-0005-0000-0000-000066A10000}"/>
    <cellStyle name="Финансовый 4 2 6 4 4 2" xfId="19469" xr:uid="{00000000-0005-0000-0000-000067A10000}"/>
    <cellStyle name="Финансовый 4 2 6 4 4 2 2" xfId="43424" xr:uid="{00000000-0005-0000-0000-000068A10000}"/>
    <cellStyle name="Финансовый 4 2 6 4 4 3" xfId="31446" xr:uid="{00000000-0005-0000-0000-000069A10000}"/>
    <cellStyle name="Финансовый 4 2 6 4 5" xfId="9274" xr:uid="{00000000-0005-0000-0000-00006AA10000}"/>
    <cellStyle name="Финансовый 4 2 6 4 5 2" xfId="21252" xr:uid="{00000000-0005-0000-0000-00006BA10000}"/>
    <cellStyle name="Финансовый 4 2 6 4 5 2 2" xfId="45207" xr:uid="{00000000-0005-0000-0000-00006CA10000}"/>
    <cellStyle name="Финансовый 4 2 6 4 5 3" xfId="33229" xr:uid="{00000000-0005-0000-0000-00006DA10000}"/>
    <cellStyle name="Финансовый 4 2 6 4 6" xfId="13432" xr:uid="{00000000-0005-0000-0000-00006EA10000}"/>
    <cellStyle name="Финансовый 4 2 6 4 6 2" xfId="37387" xr:uid="{00000000-0005-0000-0000-00006FA10000}"/>
    <cellStyle name="Финансовый 4 2 6 4 7" xfId="25410" xr:uid="{00000000-0005-0000-0000-000070A10000}"/>
    <cellStyle name="Финансовый 4 2 6 4 8" xfId="48543" xr:uid="{00000000-0005-0000-0000-000071A10000}"/>
    <cellStyle name="Финансовый 4 2 6 5" xfId="1821" xr:uid="{00000000-0005-0000-0000-000072A10000}"/>
    <cellStyle name="Финансовый 4 2 6 5 2" xfId="3466" xr:uid="{00000000-0005-0000-0000-000073A10000}"/>
    <cellStyle name="Финансовый 4 2 6 5 2 2" xfId="11214" xr:uid="{00000000-0005-0000-0000-000074A10000}"/>
    <cellStyle name="Финансовый 4 2 6 5 2 2 2" xfId="23192" xr:uid="{00000000-0005-0000-0000-000075A10000}"/>
    <cellStyle name="Финансовый 4 2 6 5 2 2 2 2" xfId="47147" xr:uid="{00000000-0005-0000-0000-000076A10000}"/>
    <cellStyle name="Финансовый 4 2 6 5 2 2 3" xfId="35169" xr:uid="{00000000-0005-0000-0000-000077A10000}"/>
    <cellStyle name="Финансовый 4 2 6 5 2 3" xfId="15445" xr:uid="{00000000-0005-0000-0000-000078A10000}"/>
    <cellStyle name="Финансовый 4 2 6 5 2 3 2" xfId="39400" xr:uid="{00000000-0005-0000-0000-000079A10000}"/>
    <cellStyle name="Финансовый 4 2 6 5 2 4" xfId="27423" xr:uid="{00000000-0005-0000-0000-00007AA10000}"/>
    <cellStyle name="Финансовый 4 2 6 5 2 5" xfId="50692" xr:uid="{00000000-0005-0000-0000-00007BA10000}"/>
    <cellStyle name="Финансовый 4 2 6 5 3" xfId="5249" xr:uid="{00000000-0005-0000-0000-00007CA10000}"/>
    <cellStyle name="Финансовый 4 2 6 5 3 2" xfId="17227" xr:uid="{00000000-0005-0000-0000-00007DA10000}"/>
    <cellStyle name="Финансовый 4 2 6 5 3 2 2" xfId="41182" xr:uid="{00000000-0005-0000-0000-00007EA10000}"/>
    <cellStyle name="Финансовый 4 2 6 5 3 3" xfId="29204" xr:uid="{00000000-0005-0000-0000-00007FA10000}"/>
    <cellStyle name="Финансовый 4 2 6 5 4" xfId="7859" xr:uid="{00000000-0005-0000-0000-000080A10000}"/>
    <cellStyle name="Финансовый 4 2 6 5 4 2" xfId="19837" xr:uid="{00000000-0005-0000-0000-000081A10000}"/>
    <cellStyle name="Финансовый 4 2 6 5 4 2 2" xfId="43792" xr:uid="{00000000-0005-0000-0000-000082A10000}"/>
    <cellStyle name="Финансовый 4 2 6 5 4 3" xfId="31814" xr:uid="{00000000-0005-0000-0000-000083A10000}"/>
    <cellStyle name="Финансовый 4 2 6 5 5" xfId="9642" xr:uid="{00000000-0005-0000-0000-000084A10000}"/>
    <cellStyle name="Финансовый 4 2 6 5 5 2" xfId="21620" xr:uid="{00000000-0005-0000-0000-000085A10000}"/>
    <cellStyle name="Финансовый 4 2 6 5 5 2 2" xfId="45575" xr:uid="{00000000-0005-0000-0000-000086A10000}"/>
    <cellStyle name="Финансовый 4 2 6 5 5 3" xfId="33597" xr:uid="{00000000-0005-0000-0000-000087A10000}"/>
    <cellStyle name="Финансовый 4 2 6 5 6" xfId="13800" xr:uid="{00000000-0005-0000-0000-000088A10000}"/>
    <cellStyle name="Финансовый 4 2 6 5 6 2" xfId="37755" xr:uid="{00000000-0005-0000-0000-000089A10000}"/>
    <cellStyle name="Финансовый 4 2 6 5 7" xfId="25778" xr:uid="{00000000-0005-0000-0000-00008AA10000}"/>
    <cellStyle name="Финансовый 4 2 6 5 8" xfId="48911" xr:uid="{00000000-0005-0000-0000-00008BA10000}"/>
    <cellStyle name="Финансовый 4 2 6 6" xfId="2466" xr:uid="{00000000-0005-0000-0000-00008CA10000}"/>
    <cellStyle name="Финансовый 4 2 6 6 2" xfId="4111" xr:uid="{00000000-0005-0000-0000-00008DA10000}"/>
    <cellStyle name="Финансовый 4 2 6 6 2 2" xfId="11843" xr:uid="{00000000-0005-0000-0000-00008EA10000}"/>
    <cellStyle name="Финансовый 4 2 6 6 2 2 2" xfId="23821" xr:uid="{00000000-0005-0000-0000-00008FA10000}"/>
    <cellStyle name="Финансовый 4 2 6 6 2 2 2 2" xfId="47776" xr:uid="{00000000-0005-0000-0000-000090A10000}"/>
    <cellStyle name="Финансовый 4 2 6 6 2 2 3" xfId="35798" xr:uid="{00000000-0005-0000-0000-000091A10000}"/>
    <cellStyle name="Финансовый 4 2 6 6 2 3" xfId="16090" xr:uid="{00000000-0005-0000-0000-000092A10000}"/>
    <cellStyle name="Финансовый 4 2 6 6 2 3 2" xfId="40045" xr:uid="{00000000-0005-0000-0000-000093A10000}"/>
    <cellStyle name="Финансовый 4 2 6 6 2 4" xfId="28068" xr:uid="{00000000-0005-0000-0000-000094A10000}"/>
    <cellStyle name="Финансовый 4 2 6 6 2 5" xfId="51337" xr:uid="{00000000-0005-0000-0000-000095A10000}"/>
    <cellStyle name="Финансовый 4 2 6 6 3" xfId="5894" xr:uid="{00000000-0005-0000-0000-000096A10000}"/>
    <cellStyle name="Финансовый 4 2 6 6 3 2" xfId="17872" xr:uid="{00000000-0005-0000-0000-000097A10000}"/>
    <cellStyle name="Финансовый 4 2 6 6 3 2 2" xfId="41827" xr:uid="{00000000-0005-0000-0000-000098A10000}"/>
    <cellStyle name="Финансовый 4 2 6 6 3 3" xfId="29849" xr:uid="{00000000-0005-0000-0000-000099A10000}"/>
    <cellStyle name="Финансовый 4 2 6 6 4" xfId="8504" xr:uid="{00000000-0005-0000-0000-00009AA10000}"/>
    <cellStyle name="Финансовый 4 2 6 6 4 2" xfId="20482" xr:uid="{00000000-0005-0000-0000-00009BA10000}"/>
    <cellStyle name="Финансовый 4 2 6 6 4 2 2" xfId="44437" xr:uid="{00000000-0005-0000-0000-00009CA10000}"/>
    <cellStyle name="Финансовый 4 2 6 6 4 3" xfId="32459" xr:uid="{00000000-0005-0000-0000-00009DA10000}"/>
    <cellStyle name="Финансовый 4 2 6 6 5" xfId="10287" xr:uid="{00000000-0005-0000-0000-00009EA10000}"/>
    <cellStyle name="Финансовый 4 2 6 6 5 2" xfId="22265" xr:uid="{00000000-0005-0000-0000-00009FA10000}"/>
    <cellStyle name="Финансовый 4 2 6 6 5 2 2" xfId="46220" xr:uid="{00000000-0005-0000-0000-0000A0A10000}"/>
    <cellStyle name="Финансовый 4 2 6 6 5 3" xfId="34242" xr:uid="{00000000-0005-0000-0000-0000A1A10000}"/>
    <cellStyle name="Финансовый 4 2 6 6 6" xfId="14445" xr:uid="{00000000-0005-0000-0000-0000A2A10000}"/>
    <cellStyle name="Финансовый 4 2 6 6 6 2" xfId="38400" xr:uid="{00000000-0005-0000-0000-0000A3A10000}"/>
    <cellStyle name="Финансовый 4 2 6 6 7" xfId="26423" xr:uid="{00000000-0005-0000-0000-0000A4A10000}"/>
    <cellStyle name="Финансовый 4 2 6 6 8" xfId="49556" xr:uid="{00000000-0005-0000-0000-0000A5A10000}"/>
    <cellStyle name="Финансовый 4 2 6 7" xfId="1693" xr:uid="{00000000-0005-0000-0000-0000A6A10000}"/>
    <cellStyle name="Финансовый 4 2 6 7 2" xfId="3338" xr:uid="{00000000-0005-0000-0000-0000A7A10000}"/>
    <cellStyle name="Финансовый 4 2 6 7 2 2" xfId="11086" xr:uid="{00000000-0005-0000-0000-0000A8A10000}"/>
    <cellStyle name="Финансовый 4 2 6 7 2 2 2" xfId="23064" xr:uid="{00000000-0005-0000-0000-0000A9A10000}"/>
    <cellStyle name="Финансовый 4 2 6 7 2 2 2 2" xfId="47019" xr:uid="{00000000-0005-0000-0000-0000AAA10000}"/>
    <cellStyle name="Финансовый 4 2 6 7 2 2 3" xfId="35041" xr:uid="{00000000-0005-0000-0000-0000ABA10000}"/>
    <cellStyle name="Финансовый 4 2 6 7 2 3" xfId="15317" xr:uid="{00000000-0005-0000-0000-0000ACA10000}"/>
    <cellStyle name="Финансовый 4 2 6 7 2 3 2" xfId="39272" xr:uid="{00000000-0005-0000-0000-0000ADA10000}"/>
    <cellStyle name="Финансовый 4 2 6 7 2 4" xfId="27295" xr:uid="{00000000-0005-0000-0000-0000AEA10000}"/>
    <cellStyle name="Финансовый 4 2 6 7 2 5" xfId="50564" xr:uid="{00000000-0005-0000-0000-0000AFA10000}"/>
    <cellStyle name="Финансовый 4 2 6 7 3" xfId="5121" xr:uid="{00000000-0005-0000-0000-0000B0A10000}"/>
    <cellStyle name="Финансовый 4 2 6 7 3 2" xfId="17099" xr:uid="{00000000-0005-0000-0000-0000B1A10000}"/>
    <cellStyle name="Финансовый 4 2 6 7 3 2 2" xfId="41054" xr:uid="{00000000-0005-0000-0000-0000B2A10000}"/>
    <cellStyle name="Финансовый 4 2 6 7 3 3" xfId="29076" xr:uid="{00000000-0005-0000-0000-0000B3A10000}"/>
    <cellStyle name="Финансовый 4 2 6 7 4" xfId="7731" xr:uid="{00000000-0005-0000-0000-0000B4A10000}"/>
    <cellStyle name="Финансовый 4 2 6 7 4 2" xfId="19709" xr:uid="{00000000-0005-0000-0000-0000B5A10000}"/>
    <cellStyle name="Финансовый 4 2 6 7 4 2 2" xfId="43664" xr:uid="{00000000-0005-0000-0000-0000B6A10000}"/>
    <cellStyle name="Финансовый 4 2 6 7 4 3" xfId="31686" xr:uid="{00000000-0005-0000-0000-0000B7A10000}"/>
    <cellStyle name="Финансовый 4 2 6 7 5" xfId="9514" xr:uid="{00000000-0005-0000-0000-0000B8A10000}"/>
    <cellStyle name="Финансовый 4 2 6 7 5 2" xfId="21492" xr:uid="{00000000-0005-0000-0000-0000B9A10000}"/>
    <cellStyle name="Финансовый 4 2 6 7 5 2 2" xfId="45447" xr:uid="{00000000-0005-0000-0000-0000BAA10000}"/>
    <cellStyle name="Финансовый 4 2 6 7 5 3" xfId="33469" xr:uid="{00000000-0005-0000-0000-0000BBA10000}"/>
    <cellStyle name="Финансовый 4 2 6 7 6" xfId="13672" xr:uid="{00000000-0005-0000-0000-0000BCA10000}"/>
    <cellStyle name="Финансовый 4 2 6 7 6 2" xfId="37627" xr:uid="{00000000-0005-0000-0000-0000BDA10000}"/>
    <cellStyle name="Финансовый 4 2 6 7 7" xfId="25650" xr:uid="{00000000-0005-0000-0000-0000BEA10000}"/>
    <cellStyle name="Финансовый 4 2 6 7 8" xfId="48783" xr:uid="{00000000-0005-0000-0000-0000BFA10000}"/>
    <cellStyle name="Финансовый 4 2 6 8" xfId="970" xr:uid="{00000000-0005-0000-0000-0000C0A10000}"/>
    <cellStyle name="Финансовый 4 2 6 8 2" xfId="7010" xr:uid="{00000000-0005-0000-0000-0000C1A10000}"/>
    <cellStyle name="Финансовый 4 2 6 8 2 2" xfId="18988" xr:uid="{00000000-0005-0000-0000-0000C2A10000}"/>
    <cellStyle name="Финансовый 4 2 6 8 2 2 2" xfId="42943" xr:uid="{00000000-0005-0000-0000-0000C3A10000}"/>
    <cellStyle name="Финансовый 4 2 6 8 2 3" xfId="30965" xr:uid="{00000000-0005-0000-0000-0000C4A10000}"/>
    <cellStyle name="Финансовый 4 2 6 8 3" xfId="10558" xr:uid="{00000000-0005-0000-0000-0000C5A10000}"/>
    <cellStyle name="Финансовый 4 2 6 8 3 2" xfId="22536" xr:uid="{00000000-0005-0000-0000-0000C6A10000}"/>
    <cellStyle name="Финансовый 4 2 6 8 3 2 2" xfId="46491" xr:uid="{00000000-0005-0000-0000-0000C7A10000}"/>
    <cellStyle name="Финансовый 4 2 6 8 3 3" xfId="34513" xr:uid="{00000000-0005-0000-0000-0000C8A10000}"/>
    <cellStyle name="Финансовый 4 2 6 8 4" xfId="12951" xr:uid="{00000000-0005-0000-0000-0000C9A10000}"/>
    <cellStyle name="Финансовый 4 2 6 8 4 2" xfId="36906" xr:uid="{00000000-0005-0000-0000-0000CAA10000}"/>
    <cellStyle name="Финансовый 4 2 6 8 5" xfId="24929" xr:uid="{00000000-0005-0000-0000-0000CBA10000}"/>
    <cellStyle name="Финансовый 4 2 6 8 6" xfId="49835" xr:uid="{00000000-0005-0000-0000-0000CCA10000}"/>
    <cellStyle name="Финансовый 4 2 6 9" xfId="558" xr:uid="{00000000-0005-0000-0000-0000CDA10000}"/>
    <cellStyle name="Финансовый 4 2 6 9 2" xfId="6598" xr:uid="{00000000-0005-0000-0000-0000CEA10000}"/>
    <cellStyle name="Финансовый 4 2 6 9 2 2" xfId="18576" xr:uid="{00000000-0005-0000-0000-0000CFA10000}"/>
    <cellStyle name="Финансовый 4 2 6 9 2 2 2" xfId="42531" xr:uid="{00000000-0005-0000-0000-0000D0A10000}"/>
    <cellStyle name="Финансовый 4 2 6 9 2 3" xfId="30553" xr:uid="{00000000-0005-0000-0000-0000D1A10000}"/>
    <cellStyle name="Финансовый 4 2 6 9 3" xfId="12539" xr:uid="{00000000-0005-0000-0000-0000D2A10000}"/>
    <cellStyle name="Финансовый 4 2 6 9 3 2" xfId="36494" xr:uid="{00000000-0005-0000-0000-0000D3A10000}"/>
    <cellStyle name="Финансовый 4 2 6 9 4" xfId="24517" xr:uid="{00000000-0005-0000-0000-0000D4A10000}"/>
    <cellStyle name="Финансовый 4 2 7" xfId="35" xr:uid="{00000000-0005-0000-0000-0000D5A10000}"/>
    <cellStyle name="Финансовый 4 2 7 10" xfId="2647" xr:uid="{00000000-0005-0000-0000-0000D6A10000}"/>
    <cellStyle name="Финансовый 4 2 7 10 2" xfId="14626" xr:uid="{00000000-0005-0000-0000-0000D7A10000}"/>
    <cellStyle name="Финансовый 4 2 7 10 2 2" xfId="38581" xr:uid="{00000000-0005-0000-0000-0000D8A10000}"/>
    <cellStyle name="Финансовый 4 2 7 10 3" xfId="26604" xr:uid="{00000000-0005-0000-0000-0000D9A10000}"/>
    <cellStyle name="Финансовый 4 2 7 11" xfId="4290" xr:uid="{00000000-0005-0000-0000-0000DAA10000}"/>
    <cellStyle name="Финансовый 4 2 7 11 2" xfId="16269" xr:uid="{00000000-0005-0000-0000-0000DBA10000}"/>
    <cellStyle name="Финансовый 4 2 7 11 2 2" xfId="40224" xr:uid="{00000000-0005-0000-0000-0000DCA10000}"/>
    <cellStyle name="Финансовый 4 2 7 11 3" xfId="28247" xr:uid="{00000000-0005-0000-0000-0000DDA10000}"/>
    <cellStyle name="Финансовый 4 2 7 12" xfId="6078" xr:uid="{00000000-0005-0000-0000-0000DEA10000}"/>
    <cellStyle name="Финансовый 4 2 7 12 2" xfId="18056" xr:uid="{00000000-0005-0000-0000-0000DFA10000}"/>
    <cellStyle name="Финансовый 4 2 7 12 2 2" xfId="42011" xr:uid="{00000000-0005-0000-0000-0000E0A10000}"/>
    <cellStyle name="Финансовый 4 2 7 12 3" xfId="30033" xr:uid="{00000000-0005-0000-0000-0000E1A10000}"/>
    <cellStyle name="Финансовый 4 2 7 13" xfId="8685" xr:uid="{00000000-0005-0000-0000-0000E2A10000}"/>
    <cellStyle name="Финансовый 4 2 7 13 2" xfId="20663" xr:uid="{00000000-0005-0000-0000-0000E3A10000}"/>
    <cellStyle name="Финансовый 4 2 7 13 2 2" xfId="44618" xr:uid="{00000000-0005-0000-0000-0000E4A10000}"/>
    <cellStyle name="Финансовый 4 2 7 13 3" xfId="32640" xr:uid="{00000000-0005-0000-0000-0000E5A10000}"/>
    <cellStyle name="Финансовый 4 2 7 14" xfId="12019" xr:uid="{00000000-0005-0000-0000-0000E6A10000}"/>
    <cellStyle name="Финансовый 4 2 7 14 2" xfId="35974" xr:uid="{00000000-0005-0000-0000-0000E7A10000}"/>
    <cellStyle name="Финансовый 4 2 7 15" xfId="23997" xr:uid="{00000000-0005-0000-0000-0000E8A10000}"/>
    <cellStyle name="Финансовый 4 2 7 16" xfId="47955" xr:uid="{00000000-0005-0000-0000-0000E9A10000}"/>
    <cellStyle name="Финансовый 4 2 7 2" xfId="173" xr:uid="{00000000-0005-0000-0000-0000EAA10000}"/>
    <cellStyle name="Финансовый 4 2 7 2 10" xfId="8821" xr:uid="{00000000-0005-0000-0000-0000EBA10000}"/>
    <cellStyle name="Финансовый 4 2 7 2 10 2" xfId="20799" xr:uid="{00000000-0005-0000-0000-0000ECA10000}"/>
    <cellStyle name="Финансовый 4 2 7 2 10 2 2" xfId="44754" xr:uid="{00000000-0005-0000-0000-0000EDA10000}"/>
    <cellStyle name="Финансовый 4 2 7 2 10 3" xfId="32776" xr:uid="{00000000-0005-0000-0000-0000EEA10000}"/>
    <cellStyle name="Финансовый 4 2 7 2 11" xfId="12155" xr:uid="{00000000-0005-0000-0000-0000EFA10000}"/>
    <cellStyle name="Финансовый 4 2 7 2 11 2" xfId="36110" xr:uid="{00000000-0005-0000-0000-0000F0A10000}"/>
    <cellStyle name="Финансовый 4 2 7 2 12" xfId="24133" xr:uid="{00000000-0005-0000-0000-0000F1A10000}"/>
    <cellStyle name="Финансовый 4 2 7 2 13" xfId="48091" xr:uid="{00000000-0005-0000-0000-0000F2A10000}"/>
    <cellStyle name="Финансовый 4 2 7 2 2" xfId="1271" xr:uid="{00000000-0005-0000-0000-0000F3A10000}"/>
    <cellStyle name="Финансовый 4 2 7 2 2 2" xfId="2237" xr:uid="{00000000-0005-0000-0000-0000F4A10000}"/>
    <cellStyle name="Финансовый 4 2 7 2 2 2 2" xfId="3882" xr:uid="{00000000-0005-0000-0000-0000F5A10000}"/>
    <cellStyle name="Финансовый 4 2 7 2 2 2 2 2" xfId="11622" xr:uid="{00000000-0005-0000-0000-0000F6A10000}"/>
    <cellStyle name="Финансовый 4 2 7 2 2 2 2 2 2" xfId="23600" xr:uid="{00000000-0005-0000-0000-0000F7A10000}"/>
    <cellStyle name="Финансовый 4 2 7 2 2 2 2 2 2 2" xfId="47555" xr:uid="{00000000-0005-0000-0000-0000F8A10000}"/>
    <cellStyle name="Финансовый 4 2 7 2 2 2 2 2 3" xfId="35577" xr:uid="{00000000-0005-0000-0000-0000F9A10000}"/>
    <cellStyle name="Финансовый 4 2 7 2 2 2 2 3" xfId="15861" xr:uid="{00000000-0005-0000-0000-0000FAA10000}"/>
    <cellStyle name="Финансовый 4 2 7 2 2 2 2 3 2" xfId="39816" xr:uid="{00000000-0005-0000-0000-0000FBA10000}"/>
    <cellStyle name="Финансовый 4 2 7 2 2 2 2 4" xfId="27839" xr:uid="{00000000-0005-0000-0000-0000FCA10000}"/>
    <cellStyle name="Финансовый 4 2 7 2 2 2 2 5" xfId="51108" xr:uid="{00000000-0005-0000-0000-0000FDA10000}"/>
    <cellStyle name="Финансовый 4 2 7 2 2 2 3" xfId="5665" xr:uid="{00000000-0005-0000-0000-0000FEA10000}"/>
    <cellStyle name="Финансовый 4 2 7 2 2 2 3 2" xfId="17643" xr:uid="{00000000-0005-0000-0000-0000FFA10000}"/>
    <cellStyle name="Финансовый 4 2 7 2 2 2 3 2 2" xfId="41598" xr:uid="{00000000-0005-0000-0000-000000A20000}"/>
    <cellStyle name="Финансовый 4 2 7 2 2 2 3 3" xfId="29620" xr:uid="{00000000-0005-0000-0000-000001A20000}"/>
    <cellStyle name="Финансовый 4 2 7 2 2 2 4" xfId="8275" xr:uid="{00000000-0005-0000-0000-000002A20000}"/>
    <cellStyle name="Финансовый 4 2 7 2 2 2 4 2" xfId="20253" xr:uid="{00000000-0005-0000-0000-000003A20000}"/>
    <cellStyle name="Финансовый 4 2 7 2 2 2 4 2 2" xfId="44208" xr:uid="{00000000-0005-0000-0000-000004A20000}"/>
    <cellStyle name="Финансовый 4 2 7 2 2 2 4 3" xfId="32230" xr:uid="{00000000-0005-0000-0000-000005A20000}"/>
    <cellStyle name="Финансовый 4 2 7 2 2 2 5" xfId="10058" xr:uid="{00000000-0005-0000-0000-000006A20000}"/>
    <cellStyle name="Финансовый 4 2 7 2 2 2 5 2" xfId="22036" xr:uid="{00000000-0005-0000-0000-000007A20000}"/>
    <cellStyle name="Финансовый 4 2 7 2 2 2 5 2 2" xfId="45991" xr:uid="{00000000-0005-0000-0000-000008A20000}"/>
    <cellStyle name="Финансовый 4 2 7 2 2 2 5 3" xfId="34013" xr:uid="{00000000-0005-0000-0000-000009A20000}"/>
    <cellStyle name="Финансовый 4 2 7 2 2 2 6" xfId="14216" xr:uid="{00000000-0005-0000-0000-00000AA20000}"/>
    <cellStyle name="Финансовый 4 2 7 2 2 2 6 2" xfId="38171" xr:uid="{00000000-0005-0000-0000-00000BA20000}"/>
    <cellStyle name="Финансовый 4 2 7 2 2 2 7" xfId="26194" xr:uid="{00000000-0005-0000-0000-00000CA20000}"/>
    <cellStyle name="Финансовый 4 2 7 2 2 2 8" xfId="49327" xr:uid="{00000000-0005-0000-0000-00000DA20000}"/>
    <cellStyle name="Финансовый 4 2 7 2 2 3" xfId="3055" xr:uid="{00000000-0005-0000-0000-00000EA20000}"/>
    <cellStyle name="Финансовый 4 2 7 2 2 3 2" xfId="10850" xr:uid="{00000000-0005-0000-0000-00000FA20000}"/>
    <cellStyle name="Финансовый 4 2 7 2 2 3 2 2" xfId="22828" xr:uid="{00000000-0005-0000-0000-000010A20000}"/>
    <cellStyle name="Финансовый 4 2 7 2 2 3 2 2 2" xfId="46783" xr:uid="{00000000-0005-0000-0000-000011A20000}"/>
    <cellStyle name="Финансовый 4 2 7 2 2 3 2 3" xfId="34805" xr:uid="{00000000-0005-0000-0000-000012A20000}"/>
    <cellStyle name="Финансовый 4 2 7 2 2 3 3" xfId="15034" xr:uid="{00000000-0005-0000-0000-000013A20000}"/>
    <cellStyle name="Финансовый 4 2 7 2 2 3 3 2" xfId="38989" xr:uid="{00000000-0005-0000-0000-000014A20000}"/>
    <cellStyle name="Финансовый 4 2 7 2 2 3 4" xfId="27012" xr:uid="{00000000-0005-0000-0000-000015A20000}"/>
    <cellStyle name="Финансовый 4 2 7 2 2 3 5" xfId="50143" xr:uid="{00000000-0005-0000-0000-000016A20000}"/>
    <cellStyle name="Финансовый 4 2 7 2 2 4" xfId="4699" xr:uid="{00000000-0005-0000-0000-000017A20000}"/>
    <cellStyle name="Финансовый 4 2 7 2 2 4 2" xfId="16678" xr:uid="{00000000-0005-0000-0000-000018A20000}"/>
    <cellStyle name="Финансовый 4 2 7 2 2 4 2 2" xfId="40633" xr:uid="{00000000-0005-0000-0000-000019A20000}"/>
    <cellStyle name="Финансовый 4 2 7 2 2 4 3" xfId="28656" xr:uid="{00000000-0005-0000-0000-00001AA20000}"/>
    <cellStyle name="Финансовый 4 2 7 2 2 5" xfId="7311" xr:uid="{00000000-0005-0000-0000-00001BA20000}"/>
    <cellStyle name="Финансовый 4 2 7 2 2 5 2" xfId="19289" xr:uid="{00000000-0005-0000-0000-00001CA20000}"/>
    <cellStyle name="Финансовый 4 2 7 2 2 5 2 2" xfId="43244" xr:uid="{00000000-0005-0000-0000-00001DA20000}"/>
    <cellStyle name="Финансовый 4 2 7 2 2 5 3" xfId="31266" xr:uid="{00000000-0005-0000-0000-00001EA20000}"/>
    <cellStyle name="Финансовый 4 2 7 2 2 6" xfId="9093" xr:uid="{00000000-0005-0000-0000-00001FA20000}"/>
    <cellStyle name="Финансовый 4 2 7 2 2 6 2" xfId="21071" xr:uid="{00000000-0005-0000-0000-000020A20000}"/>
    <cellStyle name="Финансовый 4 2 7 2 2 6 2 2" xfId="45026" xr:uid="{00000000-0005-0000-0000-000021A20000}"/>
    <cellStyle name="Финансовый 4 2 7 2 2 6 3" xfId="33048" xr:uid="{00000000-0005-0000-0000-000022A20000}"/>
    <cellStyle name="Финансовый 4 2 7 2 2 7" xfId="13252" xr:uid="{00000000-0005-0000-0000-000023A20000}"/>
    <cellStyle name="Финансовый 4 2 7 2 2 7 2" xfId="37207" xr:uid="{00000000-0005-0000-0000-000024A20000}"/>
    <cellStyle name="Финансовый 4 2 7 2 2 8" xfId="25230" xr:uid="{00000000-0005-0000-0000-000025A20000}"/>
    <cellStyle name="Финансовый 4 2 7 2 2 9" xfId="48363" xr:uid="{00000000-0005-0000-0000-000026A20000}"/>
    <cellStyle name="Финансовый 4 2 7 2 3" xfId="1981" xr:uid="{00000000-0005-0000-0000-000027A20000}"/>
    <cellStyle name="Финансовый 4 2 7 2 3 2" xfId="3626" xr:uid="{00000000-0005-0000-0000-000028A20000}"/>
    <cellStyle name="Финансовый 4 2 7 2 3 2 2" xfId="11366" xr:uid="{00000000-0005-0000-0000-000029A20000}"/>
    <cellStyle name="Финансовый 4 2 7 2 3 2 2 2" xfId="23344" xr:uid="{00000000-0005-0000-0000-00002AA20000}"/>
    <cellStyle name="Финансовый 4 2 7 2 3 2 2 2 2" xfId="47299" xr:uid="{00000000-0005-0000-0000-00002BA20000}"/>
    <cellStyle name="Финансовый 4 2 7 2 3 2 2 3" xfId="35321" xr:uid="{00000000-0005-0000-0000-00002CA20000}"/>
    <cellStyle name="Финансовый 4 2 7 2 3 2 3" xfId="15605" xr:uid="{00000000-0005-0000-0000-00002DA20000}"/>
    <cellStyle name="Финансовый 4 2 7 2 3 2 3 2" xfId="39560" xr:uid="{00000000-0005-0000-0000-00002EA20000}"/>
    <cellStyle name="Финансовый 4 2 7 2 3 2 4" xfId="27583" xr:uid="{00000000-0005-0000-0000-00002FA20000}"/>
    <cellStyle name="Финансовый 4 2 7 2 3 2 5" xfId="50852" xr:uid="{00000000-0005-0000-0000-000030A20000}"/>
    <cellStyle name="Финансовый 4 2 7 2 3 3" xfId="5409" xr:uid="{00000000-0005-0000-0000-000031A20000}"/>
    <cellStyle name="Финансовый 4 2 7 2 3 3 2" xfId="17387" xr:uid="{00000000-0005-0000-0000-000032A20000}"/>
    <cellStyle name="Финансовый 4 2 7 2 3 3 2 2" xfId="41342" xr:uid="{00000000-0005-0000-0000-000033A20000}"/>
    <cellStyle name="Финансовый 4 2 7 2 3 3 3" xfId="29364" xr:uid="{00000000-0005-0000-0000-000034A20000}"/>
    <cellStyle name="Финансовый 4 2 7 2 3 4" xfId="8019" xr:uid="{00000000-0005-0000-0000-000035A20000}"/>
    <cellStyle name="Финансовый 4 2 7 2 3 4 2" xfId="19997" xr:uid="{00000000-0005-0000-0000-000036A20000}"/>
    <cellStyle name="Финансовый 4 2 7 2 3 4 2 2" xfId="43952" xr:uid="{00000000-0005-0000-0000-000037A20000}"/>
    <cellStyle name="Финансовый 4 2 7 2 3 4 3" xfId="31974" xr:uid="{00000000-0005-0000-0000-000038A20000}"/>
    <cellStyle name="Финансовый 4 2 7 2 3 5" xfId="9802" xr:uid="{00000000-0005-0000-0000-000039A20000}"/>
    <cellStyle name="Финансовый 4 2 7 2 3 5 2" xfId="21780" xr:uid="{00000000-0005-0000-0000-00003AA20000}"/>
    <cellStyle name="Финансовый 4 2 7 2 3 5 2 2" xfId="45735" xr:uid="{00000000-0005-0000-0000-00003BA20000}"/>
    <cellStyle name="Финансовый 4 2 7 2 3 5 3" xfId="33757" xr:uid="{00000000-0005-0000-0000-00003CA20000}"/>
    <cellStyle name="Финансовый 4 2 7 2 3 6" xfId="13960" xr:uid="{00000000-0005-0000-0000-00003DA20000}"/>
    <cellStyle name="Финансовый 4 2 7 2 3 6 2" xfId="37915" xr:uid="{00000000-0005-0000-0000-00003EA20000}"/>
    <cellStyle name="Финансовый 4 2 7 2 3 7" xfId="25938" xr:uid="{00000000-0005-0000-0000-00003FA20000}"/>
    <cellStyle name="Финансовый 4 2 7 2 3 8" xfId="49071" xr:uid="{00000000-0005-0000-0000-000040A20000}"/>
    <cellStyle name="Финансовый 4 2 7 2 4" xfId="2502" xr:uid="{00000000-0005-0000-0000-000041A20000}"/>
    <cellStyle name="Финансовый 4 2 7 2 4 2" xfId="4147" xr:uid="{00000000-0005-0000-0000-000042A20000}"/>
    <cellStyle name="Финансовый 4 2 7 2 4 2 2" xfId="11879" xr:uid="{00000000-0005-0000-0000-000043A20000}"/>
    <cellStyle name="Финансовый 4 2 7 2 4 2 2 2" xfId="23857" xr:uid="{00000000-0005-0000-0000-000044A20000}"/>
    <cellStyle name="Финансовый 4 2 7 2 4 2 2 2 2" xfId="47812" xr:uid="{00000000-0005-0000-0000-000045A20000}"/>
    <cellStyle name="Финансовый 4 2 7 2 4 2 2 3" xfId="35834" xr:uid="{00000000-0005-0000-0000-000046A20000}"/>
    <cellStyle name="Финансовый 4 2 7 2 4 2 3" xfId="16126" xr:uid="{00000000-0005-0000-0000-000047A20000}"/>
    <cellStyle name="Финансовый 4 2 7 2 4 2 3 2" xfId="40081" xr:uid="{00000000-0005-0000-0000-000048A20000}"/>
    <cellStyle name="Финансовый 4 2 7 2 4 2 4" xfId="28104" xr:uid="{00000000-0005-0000-0000-000049A20000}"/>
    <cellStyle name="Финансовый 4 2 7 2 4 2 5" xfId="51373" xr:uid="{00000000-0005-0000-0000-00004AA20000}"/>
    <cellStyle name="Финансовый 4 2 7 2 4 3" xfId="5930" xr:uid="{00000000-0005-0000-0000-00004BA20000}"/>
    <cellStyle name="Финансовый 4 2 7 2 4 3 2" xfId="17908" xr:uid="{00000000-0005-0000-0000-00004CA20000}"/>
    <cellStyle name="Финансовый 4 2 7 2 4 3 2 2" xfId="41863" xr:uid="{00000000-0005-0000-0000-00004DA20000}"/>
    <cellStyle name="Финансовый 4 2 7 2 4 3 3" xfId="29885" xr:uid="{00000000-0005-0000-0000-00004EA20000}"/>
    <cellStyle name="Финансовый 4 2 7 2 4 4" xfId="8540" xr:uid="{00000000-0005-0000-0000-00004FA20000}"/>
    <cellStyle name="Финансовый 4 2 7 2 4 4 2" xfId="20518" xr:uid="{00000000-0005-0000-0000-000050A20000}"/>
    <cellStyle name="Финансовый 4 2 7 2 4 4 2 2" xfId="44473" xr:uid="{00000000-0005-0000-0000-000051A20000}"/>
    <cellStyle name="Финансовый 4 2 7 2 4 4 3" xfId="32495" xr:uid="{00000000-0005-0000-0000-000052A20000}"/>
    <cellStyle name="Финансовый 4 2 7 2 4 5" xfId="10323" xr:uid="{00000000-0005-0000-0000-000053A20000}"/>
    <cellStyle name="Финансовый 4 2 7 2 4 5 2" xfId="22301" xr:uid="{00000000-0005-0000-0000-000054A20000}"/>
    <cellStyle name="Финансовый 4 2 7 2 4 5 2 2" xfId="46256" xr:uid="{00000000-0005-0000-0000-000055A20000}"/>
    <cellStyle name="Финансовый 4 2 7 2 4 5 3" xfId="34278" xr:uid="{00000000-0005-0000-0000-000056A20000}"/>
    <cellStyle name="Финансовый 4 2 7 2 4 6" xfId="14481" xr:uid="{00000000-0005-0000-0000-000057A20000}"/>
    <cellStyle name="Финансовый 4 2 7 2 4 6 2" xfId="38436" xr:uid="{00000000-0005-0000-0000-000058A20000}"/>
    <cellStyle name="Финансовый 4 2 7 2 4 7" xfId="26459" xr:uid="{00000000-0005-0000-0000-000059A20000}"/>
    <cellStyle name="Финансовый 4 2 7 2 4 8" xfId="49592" xr:uid="{00000000-0005-0000-0000-00005AA20000}"/>
    <cellStyle name="Финансовый 4 2 7 2 5" xfId="1006" xr:uid="{00000000-0005-0000-0000-00005BA20000}"/>
    <cellStyle name="Финансовый 4 2 7 2 5 2" xfId="7046" xr:uid="{00000000-0005-0000-0000-00005CA20000}"/>
    <cellStyle name="Финансовый 4 2 7 2 5 2 2" xfId="19024" xr:uid="{00000000-0005-0000-0000-00005DA20000}"/>
    <cellStyle name="Финансовый 4 2 7 2 5 2 2 2" xfId="42979" xr:uid="{00000000-0005-0000-0000-00005EA20000}"/>
    <cellStyle name="Финансовый 4 2 7 2 5 2 3" xfId="31001" xr:uid="{00000000-0005-0000-0000-00005FA20000}"/>
    <cellStyle name="Финансовый 4 2 7 2 5 3" xfId="10594" xr:uid="{00000000-0005-0000-0000-000060A20000}"/>
    <cellStyle name="Финансовый 4 2 7 2 5 3 2" xfId="22572" xr:uid="{00000000-0005-0000-0000-000061A20000}"/>
    <cellStyle name="Финансовый 4 2 7 2 5 3 2 2" xfId="46527" xr:uid="{00000000-0005-0000-0000-000062A20000}"/>
    <cellStyle name="Финансовый 4 2 7 2 5 3 3" xfId="34549" xr:uid="{00000000-0005-0000-0000-000063A20000}"/>
    <cellStyle name="Финансовый 4 2 7 2 5 4" xfId="12987" xr:uid="{00000000-0005-0000-0000-000064A20000}"/>
    <cellStyle name="Финансовый 4 2 7 2 5 4 2" xfId="36942" xr:uid="{00000000-0005-0000-0000-000065A20000}"/>
    <cellStyle name="Финансовый 4 2 7 2 5 5" xfId="24965" xr:uid="{00000000-0005-0000-0000-000066A20000}"/>
    <cellStyle name="Финансовый 4 2 7 2 5 6" xfId="49871" xr:uid="{00000000-0005-0000-0000-000067A20000}"/>
    <cellStyle name="Финансовый 4 2 7 2 6" xfId="594" xr:uid="{00000000-0005-0000-0000-000068A20000}"/>
    <cellStyle name="Финансовый 4 2 7 2 6 2" xfId="6634" xr:uid="{00000000-0005-0000-0000-000069A20000}"/>
    <cellStyle name="Финансовый 4 2 7 2 6 2 2" xfId="18612" xr:uid="{00000000-0005-0000-0000-00006AA20000}"/>
    <cellStyle name="Финансовый 4 2 7 2 6 2 2 2" xfId="42567" xr:uid="{00000000-0005-0000-0000-00006BA20000}"/>
    <cellStyle name="Финансовый 4 2 7 2 6 2 3" xfId="30589" xr:uid="{00000000-0005-0000-0000-00006CA20000}"/>
    <cellStyle name="Финансовый 4 2 7 2 6 3" xfId="12575" xr:uid="{00000000-0005-0000-0000-00006DA20000}"/>
    <cellStyle name="Финансовый 4 2 7 2 6 3 2" xfId="36530" xr:uid="{00000000-0005-0000-0000-00006EA20000}"/>
    <cellStyle name="Финансовый 4 2 7 2 6 4" xfId="24553" xr:uid="{00000000-0005-0000-0000-00006FA20000}"/>
    <cellStyle name="Финансовый 4 2 7 2 7" xfId="2783" xr:uid="{00000000-0005-0000-0000-000070A20000}"/>
    <cellStyle name="Финансовый 4 2 7 2 7 2" xfId="14762" xr:uid="{00000000-0005-0000-0000-000071A20000}"/>
    <cellStyle name="Финансовый 4 2 7 2 7 2 2" xfId="38717" xr:uid="{00000000-0005-0000-0000-000072A20000}"/>
    <cellStyle name="Финансовый 4 2 7 2 7 3" xfId="26740" xr:uid="{00000000-0005-0000-0000-000073A20000}"/>
    <cellStyle name="Финансовый 4 2 7 2 8" xfId="4427" xr:uid="{00000000-0005-0000-0000-000074A20000}"/>
    <cellStyle name="Финансовый 4 2 7 2 8 2" xfId="16406" xr:uid="{00000000-0005-0000-0000-000075A20000}"/>
    <cellStyle name="Финансовый 4 2 7 2 8 2 2" xfId="40361" xr:uid="{00000000-0005-0000-0000-000076A20000}"/>
    <cellStyle name="Финансовый 4 2 7 2 8 3" xfId="28384" xr:uid="{00000000-0005-0000-0000-000077A20000}"/>
    <cellStyle name="Финансовый 4 2 7 2 9" xfId="6214" xr:uid="{00000000-0005-0000-0000-000078A20000}"/>
    <cellStyle name="Финансовый 4 2 7 2 9 2" xfId="18192" xr:uid="{00000000-0005-0000-0000-000079A20000}"/>
    <cellStyle name="Финансовый 4 2 7 2 9 2 2" xfId="42147" xr:uid="{00000000-0005-0000-0000-00007AA20000}"/>
    <cellStyle name="Финансовый 4 2 7 2 9 3" xfId="30169" xr:uid="{00000000-0005-0000-0000-00007BA20000}"/>
    <cellStyle name="Финансовый 4 2 7 3" xfId="322" xr:uid="{00000000-0005-0000-0000-00007CA20000}"/>
    <cellStyle name="Финансовый 4 2 7 3 10" xfId="24281" xr:uid="{00000000-0005-0000-0000-00007DA20000}"/>
    <cellStyle name="Финансовый 4 2 7 3 11" xfId="48227" xr:uid="{00000000-0005-0000-0000-00007EA20000}"/>
    <cellStyle name="Финансовый 4 2 7 3 2" xfId="2109" xr:uid="{00000000-0005-0000-0000-00007FA20000}"/>
    <cellStyle name="Финансовый 4 2 7 3 2 2" xfId="3754" xr:uid="{00000000-0005-0000-0000-000080A20000}"/>
    <cellStyle name="Финансовый 4 2 7 3 2 2 2" xfId="11494" xr:uid="{00000000-0005-0000-0000-000081A20000}"/>
    <cellStyle name="Финансовый 4 2 7 3 2 2 2 2" xfId="23472" xr:uid="{00000000-0005-0000-0000-000082A20000}"/>
    <cellStyle name="Финансовый 4 2 7 3 2 2 2 2 2" xfId="47427" xr:uid="{00000000-0005-0000-0000-000083A20000}"/>
    <cellStyle name="Финансовый 4 2 7 3 2 2 2 3" xfId="35449" xr:uid="{00000000-0005-0000-0000-000084A20000}"/>
    <cellStyle name="Финансовый 4 2 7 3 2 2 3" xfId="15733" xr:uid="{00000000-0005-0000-0000-000085A20000}"/>
    <cellStyle name="Финансовый 4 2 7 3 2 2 3 2" xfId="39688" xr:uid="{00000000-0005-0000-0000-000086A20000}"/>
    <cellStyle name="Финансовый 4 2 7 3 2 2 4" xfId="27711" xr:uid="{00000000-0005-0000-0000-000087A20000}"/>
    <cellStyle name="Финансовый 4 2 7 3 2 2 5" xfId="50980" xr:uid="{00000000-0005-0000-0000-000088A20000}"/>
    <cellStyle name="Финансовый 4 2 7 3 2 3" xfId="5537" xr:uid="{00000000-0005-0000-0000-000089A20000}"/>
    <cellStyle name="Финансовый 4 2 7 3 2 3 2" xfId="17515" xr:uid="{00000000-0005-0000-0000-00008AA20000}"/>
    <cellStyle name="Финансовый 4 2 7 3 2 3 2 2" xfId="41470" xr:uid="{00000000-0005-0000-0000-00008BA20000}"/>
    <cellStyle name="Финансовый 4 2 7 3 2 3 3" xfId="29492" xr:uid="{00000000-0005-0000-0000-00008CA20000}"/>
    <cellStyle name="Финансовый 4 2 7 3 2 4" xfId="8147" xr:uid="{00000000-0005-0000-0000-00008DA20000}"/>
    <cellStyle name="Финансовый 4 2 7 3 2 4 2" xfId="20125" xr:uid="{00000000-0005-0000-0000-00008EA20000}"/>
    <cellStyle name="Финансовый 4 2 7 3 2 4 2 2" xfId="44080" xr:uid="{00000000-0005-0000-0000-00008FA20000}"/>
    <cellStyle name="Финансовый 4 2 7 3 2 4 3" xfId="32102" xr:uid="{00000000-0005-0000-0000-000090A20000}"/>
    <cellStyle name="Финансовый 4 2 7 3 2 5" xfId="9930" xr:uid="{00000000-0005-0000-0000-000091A20000}"/>
    <cellStyle name="Финансовый 4 2 7 3 2 5 2" xfId="21908" xr:uid="{00000000-0005-0000-0000-000092A20000}"/>
    <cellStyle name="Финансовый 4 2 7 3 2 5 2 2" xfId="45863" xr:uid="{00000000-0005-0000-0000-000093A20000}"/>
    <cellStyle name="Финансовый 4 2 7 3 2 5 3" xfId="33885" xr:uid="{00000000-0005-0000-0000-000094A20000}"/>
    <cellStyle name="Финансовый 4 2 7 3 2 6" xfId="14088" xr:uid="{00000000-0005-0000-0000-000095A20000}"/>
    <cellStyle name="Финансовый 4 2 7 3 2 6 2" xfId="38043" xr:uid="{00000000-0005-0000-0000-000096A20000}"/>
    <cellStyle name="Финансовый 4 2 7 3 2 7" xfId="26066" xr:uid="{00000000-0005-0000-0000-000097A20000}"/>
    <cellStyle name="Финансовый 4 2 7 3 2 8" xfId="49199" xr:uid="{00000000-0005-0000-0000-000098A20000}"/>
    <cellStyle name="Финансовый 4 2 7 3 3" xfId="1142" xr:uid="{00000000-0005-0000-0000-000099A20000}"/>
    <cellStyle name="Финансовый 4 2 7 3 3 2" xfId="7182" xr:uid="{00000000-0005-0000-0000-00009AA20000}"/>
    <cellStyle name="Финансовый 4 2 7 3 3 2 2" xfId="19160" xr:uid="{00000000-0005-0000-0000-00009BA20000}"/>
    <cellStyle name="Финансовый 4 2 7 3 3 2 2 2" xfId="43115" xr:uid="{00000000-0005-0000-0000-00009CA20000}"/>
    <cellStyle name="Финансовый 4 2 7 3 3 2 3" xfId="31137" xr:uid="{00000000-0005-0000-0000-00009DA20000}"/>
    <cellStyle name="Финансовый 4 2 7 3 3 3" xfId="10722" xr:uid="{00000000-0005-0000-0000-00009EA20000}"/>
    <cellStyle name="Финансовый 4 2 7 3 3 3 2" xfId="22700" xr:uid="{00000000-0005-0000-0000-00009FA20000}"/>
    <cellStyle name="Финансовый 4 2 7 3 3 3 2 2" xfId="46655" xr:uid="{00000000-0005-0000-0000-0000A0A20000}"/>
    <cellStyle name="Финансовый 4 2 7 3 3 3 3" xfId="34677" xr:uid="{00000000-0005-0000-0000-0000A1A20000}"/>
    <cellStyle name="Финансовый 4 2 7 3 3 4" xfId="13123" xr:uid="{00000000-0005-0000-0000-0000A2A20000}"/>
    <cellStyle name="Финансовый 4 2 7 3 3 4 2" xfId="37078" xr:uid="{00000000-0005-0000-0000-0000A3A20000}"/>
    <cellStyle name="Финансовый 4 2 7 3 3 5" xfId="25101" xr:uid="{00000000-0005-0000-0000-0000A4A20000}"/>
    <cellStyle name="Финансовый 4 2 7 3 3 6" xfId="50007" xr:uid="{00000000-0005-0000-0000-0000A5A20000}"/>
    <cellStyle name="Финансовый 4 2 7 3 4" xfId="742" xr:uid="{00000000-0005-0000-0000-0000A6A20000}"/>
    <cellStyle name="Финансовый 4 2 7 3 4 2" xfId="6782" xr:uid="{00000000-0005-0000-0000-0000A7A20000}"/>
    <cellStyle name="Финансовый 4 2 7 3 4 2 2" xfId="18760" xr:uid="{00000000-0005-0000-0000-0000A8A20000}"/>
    <cellStyle name="Финансовый 4 2 7 3 4 2 2 2" xfId="42715" xr:uid="{00000000-0005-0000-0000-0000A9A20000}"/>
    <cellStyle name="Финансовый 4 2 7 3 4 2 3" xfId="30737" xr:uid="{00000000-0005-0000-0000-0000AAA20000}"/>
    <cellStyle name="Финансовый 4 2 7 3 4 3" xfId="12723" xr:uid="{00000000-0005-0000-0000-0000ABA20000}"/>
    <cellStyle name="Финансовый 4 2 7 3 4 3 2" xfId="36678" xr:uid="{00000000-0005-0000-0000-0000ACA20000}"/>
    <cellStyle name="Финансовый 4 2 7 3 4 4" xfId="24701" xr:uid="{00000000-0005-0000-0000-0000ADA20000}"/>
    <cellStyle name="Финансовый 4 2 7 3 5" xfId="2919" xr:uid="{00000000-0005-0000-0000-0000AEA20000}"/>
    <cellStyle name="Финансовый 4 2 7 3 5 2" xfId="14898" xr:uid="{00000000-0005-0000-0000-0000AFA20000}"/>
    <cellStyle name="Финансовый 4 2 7 3 5 2 2" xfId="38853" xr:uid="{00000000-0005-0000-0000-0000B0A20000}"/>
    <cellStyle name="Финансовый 4 2 7 3 5 3" xfId="26876" xr:uid="{00000000-0005-0000-0000-0000B1A20000}"/>
    <cellStyle name="Финансовый 4 2 7 3 6" xfId="4563" xr:uid="{00000000-0005-0000-0000-0000B2A20000}"/>
    <cellStyle name="Финансовый 4 2 7 3 6 2" xfId="16542" xr:uid="{00000000-0005-0000-0000-0000B3A20000}"/>
    <cellStyle name="Финансовый 4 2 7 3 6 2 2" xfId="40497" xr:uid="{00000000-0005-0000-0000-0000B4A20000}"/>
    <cellStyle name="Финансовый 4 2 7 3 6 3" xfId="28520" xr:uid="{00000000-0005-0000-0000-0000B5A20000}"/>
    <cellStyle name="Финансовый 4 2 7 3 7" xfId="6362" xr:uid="{00000000-0005-0000-0000-0000B6A20000}"/>
    <cellStyle name="Финансовый 4 2 7 3 7 2" xfId="18340" xr:uid="{00000000-0005-0000-0000-0000B7A20000}"/>
    <cellStyle name="Финансовый 4 2 7 3 7 2 2" xfId="42295" xr:uid="{00000000-0005-0000-0000-0000B8A20000}"/>
    <cellStyle name="Финансовый 4 2 7 3 7 3" xfId="30317" xr:uid="{00000000-0005-0000-0000-0000B9A20000}"/>
    <cellStyle name="Финансовый 4 2 7 3 8" xfId="8957" xr:uid="{00000000-0005-0000-0000-0000BAA20000}"/>
    <cellStyle name="Финансовый 4 2 7 3 8 2" xfId="20935" xr:uid="{00000000-0005-0000-0000-0000BBA20000}"/>
    <cellStyle name="Финансовый 4 2 7 3 8 2 2" xfId="44890" xr:uid="{00000000-0005-0000-0000-0000BCA20000}"/>
    <cellStyle name="Финансовый 4 2 7 3 8 3" xfId="32912" xr:uid="{00000000-0005-0000-0000-0000BDA20000}"/>
    <cellStyle name="Финансовый 4 2 7 3 9" xfId="12303" xr:uid="{00000000-0005-0000-0000-0000BEA20000}"/>
    <cellStyle name="Финансовый 4 2 7 3 9 2" xfId="36258" xr:uid="{00000000-0005-0000-0000-0000BFA20000}"/>
    <cellStyle name="Финансовый 4 2 7 4" xfId="1476" xr:uid="{00000000-0005-0000-0000-0000C0A20000}"/>
    <cellStyle name="Финансовый 4 2 7 4 2" xfId="1845" xr:uid="{00000000-0005-0000-0000-0000C1A20000}"/>
    <cellStyle name="Финансовый 4 2 7 4 2 2" xfId="3490" xr:uid="{00000000-0005-0000-0000-0000C2A20000}"/>
    <cellStyle name="Финансовый 4 2 7 4 2 2 2" xfId="11238" xr:uid="{00000000-0005-0000-0000-0000C3A20000}"/>
    <cellStyle name="Финансовый 4 2 7 4 2 2 2 2" xfId="23216" xr:uid="{00000000-0005-0000-0000-0000C4A20000}"/>
    <cellStyle name="Финансовый 4 2 7 4 2 2 2 2 2" xfId="47171" xr:uid="{00000000-0005-0000-0000-0000C5A20000}"/>
    <cellStyle name="Финансовый 4 2 7 4 2 2 2 3" xfId="35193" xr:uid="{00000000-0005-0000-0000-0000C6A20000}"/>
    <cellStyle name="Финансовый 4 2 7 4 2 2 3" xfId="15469" xr:uid="{00000000-0005-0000-0000-0000C7A20000}"/>
    <cellStyle name="Финансовый 4 2 7 4 2 2 3 2" xfId="39424" xr:uid="{00000000-0005-0000-0000-0000C8A20000}"/>
    <cellStyle name="Финансовый 4 2 7 4 2 2 4" xfId="27447" xr:uid="{00000000-0005-0000-0000-0000C9A20000}"/>
    <cellStyle name="Финансовый 4 2 7 4 2 2 5" xfId="50716" xr:uid="{00000000-0005-0000-0000-0000CAA20000}"/>
    <cellStyle name="Финансовый 4 2 7 4 2 3" xfId="5273" xr:uid="{00000000-0005-0000-0000-0000CBA20000}"/>
    <cellStyle name="Финансовый 4 2 7 4 2 3 2" xfId="17251" xr:uid="{00000000-0005-0000-0000-0000CCA20000}"/>
    <cellStyle name="Финансовый 4 2 7 4 2 3 2 2" xfId="41206" xr:uid="{00000000-0005-0000-0000-0000CDA20000}"/>
    <cellStyle name="Финансовый 4 2 7 4 2 3 3" xfId="29228" xr:uid="{00000000-0005-0000-0000-0000CEA20000}"/>
    <cellStyle name="Финансовый 4 2 7 4 2 4" xfId="7883" xr:uid="{00000000-0005-0000-0000-0000CFA20000}"/>
    <cellStyle name="Финансовый 4 2 7 4 2 4 2" xfId="19861" xr:uid="{00000000-0005-0000-0000-0000D0A20000}"/>
    <cellStyle name="Финансовый 4 2 7 4 2 4 2 2" xfId="43816" xr:uid="{00000000-0005-0000-0000-0000D1A20000}"/>
    <cellStyle name="Финансовый 4 2 7 4 2 4 3" xfId="31838" xr:uid="{00000000-0005-0000-0000-0000D2A20000}"/>
    <cellStyle name="Финансовый 4 2 7 4 2 5" xfId="9666" xr:uid="{00000000-0005-0000-0000-0000D3A20000}"/>
    <cellStyle name="Финансовый 4 2 7 4 2 5 2" xfId="21644" xr:uid="{00000000-0005-0000-0000-0000D4A20000}"/>
    <cellStyle name="Финансовый 4 2 7 4 2 5 2 2" xfId="45599" xr:uid="{00000000-0005-0000-0000-0000D5A20000}"/>
    <cellStyle name="Финансовый 4 2 7 4 2 5 3" xfId="33621" xr:uid="{00000000-0005-0000-0000-0000D6A20000}"/>
    <cellStyle name="Финансовый 4 2 7 4 2 6" xfId="13824" xr:uid="{00000000-0005-0000-0000-0000D7A20000}"/>
    <cellStyle name="Финансовый 4 2 7 4 2 6 2" xfId="37779" xr:uid="{00000000-0005-0000-0000-0000D8A20000}"/>
    <cellStyle name="Финансовый 4 2 7 4 2 7" xfId="25802" xr:uid="{00000000-0005-0000-0000-0000D9A20000}"/>
    <cellStyle name="Финансовый 4 2 7 4 2 8" xfId="48935" xr:uid="{00000000-0005-0000-0000-0000DAA20000}"/>
    <cellStyle name="Финансовый 4 2 7 4 3" xfId="4904" xr:uid="{00000000-0005-0000-0000-0000DBA20000}"/>
    <cellStyle name="Финансовый 4 2 7 4 3 2" xfId="16882" xr:uid="{00000000-0005-0000-0000-0000DCA20000}"/>
    <cellStyle name="Финансовый 4 2 7 4 3 2 2" xfId="40837" xr:uid="{00000000-0005-0000-0000-0000DDA20000}"/>
    <cellStyle name="Финансовый 4 2 7 4 3 3" xfId="28859" xr:uid="{00000000-0005-0000-0000-0000DEA20000}"/>
    <cellStyle name="Финансовый 4 2 7 4 3 4" xfId="50347" xr:uid="{00000000-0005-0000-0000-0000DFA20000}"/>
    <cellStyle name="Финансовый 4 2 7 4 4" xfId="7514" xr:uid="{00000000-0005-0000-0000-0000E0A20000}"/>
    <cellStyle name="Финансовый 4 2 7 4 4 2" xfId="19492" xr:uid="{00000000-0005-0000-0000-0000E1A20000}"/>
    <cellStyle name="Финансовый 4 2 7 4 4 2 2" xfId="43447" xr:uid="{00000000-0005-0000-0000-0000E2A20000}"/>
    <cellStyle name="Финансовый 4 2 7 4 4 3" xfId="31469" xr:uid="{00000000-0005-0000-0000-0000E3A20000}"/>
    <cellStyle name="Финансовый 4 2 7 4 5" xfId="9297" xr:uid="{00000000-0005-0000-0000-0000E4A20000}"/>
    <cellStyle name="Финансовый 4 2 7 4 5 2" xfId="21275" xr:uid="{00000000-0005-0000-0000-0000E5A20000}"/>
    <cellStyle name="Финансовый 4 2 7 4 5 2 2" xfId="45230" xr:uid="{00000000-0005-0000-0000-0000E6A20000}"/>
    <cellStyle name="Финансовый 4 2 7 4 5 3" xfId="33252" xr:uid="{00000000-0005-0000-0000-0000E7A20000}"/>
    <cellStyle name="Финансовый 4 2 7 4 6" xfId="13455" xr:uid="{00000000-0005-0000-0000-0000E8A20000}"/>
    <cellStyle name="Финансовый 4 2 7 4 6 2" xfId="37410" xr:uid="{00000000-0005-0000-0000-0000E9A20000}"/>
    <cellStyle name="Финансовый 4 2 7 4 7" xfId="25433" xr:uid="{00000000-0005-0000-0000-0000EAA20000}"/>
    <cellStyle name="Финансовый 4 2 7 4 8" xfId="48566" xr:uid="{00000000-0005-0000-0000-0000EBA20000}"/>
    <cellStyle name="Финансовый 4 2 7 5" xfId="1729" xr:uid="{00000000-0005-0000-0000-0000ECA20000}"/>
    <cellStyle name="Финансовый 4 2 7 5 2" xfId="3374" xr:uid="{00000000-0005-0000-0000-0000EDA20000}"/>
    <cellStyle name="Финансовый 4 2 7 5 2 2" xfId="11122" xr:uid="{00000000-0005-0000-0000-0000EEA20000}"/>
    <cellStyle name="Финансовый 4 2 7 5 2 2 2" xfId="23100" xr:uid="{00000000-0005-0000-0000-0000EFA20000}"/>
    <cellStyle name="Финансовый 4 2 7 5 2 2 2 2" xfId="47055" xr:uid="{00000000-0005-0000-0000-0000F0A20000}"/>
    <cellStyle name="Финансовый 4 2 7 5 2 2 3" xfId="35077" xr:uid="{00000000-0005-0000-0000-0000F1A20000}"/>
    <cellStyle name="Финансовый 4 2 7 5 2 3" xfId="15353" xr:uid="{00000000-0005-0000-0000-0000F2A20000}"/>
    <cellStyle name="Финансовый 4 2 7 5 2 3 2" xfId="39308" xr:uid="{00000000-0005-0000-0000-0000F3A20000}"/>
    <cellStyle name="Финансовый 4 2 7 5 2 4" xfId="27331" xr:uid="{00000000-0005-0000-0000-0000F4A20000}"/>
    <cellStyle name="Финансовый 4 2 7 5 2 5" xfId="50600" xr:uid="{00000000-0005-0000-0000-0000F5A20000}"/>
    <cellStyle name="Финансовый 4 2 7 5 3" xfId="5157" xr:uid="{00000000-0005-0000-0000-0000F6A20000}"/>
    <cellStyle name="Финансовый 4 2 7 5 3 2" xfId="17135" xr:uid="{00000000-0005-0000-0000-0000F7A20000}"/>
    <cellStyle name="Финансовый 4 2 7 5 3 2 2" xfId="41090" xr:uid="{00000000-0005-0000-0000-0000F8A20000}"/>
    <cellStyle name="Финансовый 4 2 7 5 3 3" xfId="29112" xr:uid="{00000000-0005-0000-0000-0000F9A20000}"/>
    <cellStyle name="Финансовый 4 2 7 5 4" xfId="7767" xr:uid="{00000000-0005-0000-0000-0000FAA20000}"/>
    <cellStyle name="Финансовый 4 2 7 5 4 2" xfId="19745" xr:uid="{00000000-0005-0000-0000-0000FBA20000}"/>
    <cellStyle name="Финансовый 4 2 7 5 4 2 2" xfId="43700" xr:uid="{00000000-0005-0000-0000-0000FCA20000}"/>
    <cellStyle name="Финансовый 4 2 7 5 4 3" xfId="31722" xr:uid="{00000000-0005-0000-0000-0000FDA20000}"/>
    <cellStyle name="Финансовый 4 2 7 5 5" xfId="9550" xr:uid="{00000000-0005-0000-0000-0000FEA20000}"/>
    <cellStyle name="Финансовый 4 2 7 5 5 2" xfId="21528" xr:uid="{00000000-0005-0000-0000-0000FFA20000}"/>
    <cellStyle name="Финансовый 4 2 7 5 5 2 2" xfId="45483" xr:uid="{00000000-0005-0000-0000-000000A30000}"/>
    <cellStyle name="Финансовый 4 2 7 5 5 3" xfId="33505" xr:uid="{00000000-0005-0000-0000-000001A30000}"/>
    <cellStyle name="Финансовый 4 2 7 5 6" xfId="13708" xr:uid="{00000000-0005-0000-0000-000002A30000}"/>
    <cellStyle name="Финансовый 4 2 7 5 6 2" xfId="37663" xr:uid="{00000000-0005-0000-0000-000003A30000}"/>
    <cellStyle name="Финансовый 4 2 7 5 7" xfId="25686" xr:uid="{00000000-0005-0000-0000-000004A30000}"/>
    <cellStyle name="Финансовый 4 2 7 5 8" xfId="48819" xr:uid="{00000000-0005-0000-0000-000005A30000}"/>
    <cellStyle name="Финансовый 4 2 7 6" xfId="2365" xr:uid="{00000000-0005-0000-0000-000006A30000}"/>
    <cellStyle name="Финансовый 4 2 7 6 2" xfId="4010" xr:uid="{00000000-0005-0000-0000-000007A30000}"/>
    <cellStyle name="Финансовый 4 2 7 6 2 2" xfId="11750" xr:uid="{00000000-0005-0000-0000-000008A30000}"/>
    <cellStyle name="Финансовый 4 2 7 6 2 2 2" xfId="23728" xr:uid="{00000000-0005-0000-0000-000009A30000}"/>
    <cellStyle name="Финансовый 4 2 7 6 2 2 2 2" xfId="47683" xr:uid="{00000000-0005-0000-0000-00000AA30000}"/>
    <cellStyle name="Финансовый 4 2 7 6 2 2 3" xfId="35705" xr:uid="{00000000-0005-0000-0000-00000BA30000}"/>
    <cellStyle name="Финансовый 4 2 7 6 2 3" xfId="15989" xr:uid="{00000000-0005-0000-0000-00000CA30000}"/>
    <cellStyle name="Финансовый 4 2 7 6 2 3 2" xfId="39944" xr:uid="{00000000-0005-0000-0000-00000DA30000}"/>
    <cellStyle name="Финансовый 4 2 7 6 2 4" xfId="27967" xr:uid="{00000000-0005-0000-0000-00000EA30000}"/>
    <cellStyle name="Финансовый 4 2 7 6 2 5" xfId="51236" xr:uid="{00000000-0005-0000-0000-00000FA30000}"/>
    <cellStyle name="Финансовый 4 2 7 6 3" xfId="5793" xr:uid="{00000000-0005-0000-0000-000010A30000}"/>
    <cellStyle name="Финансовый 4 2 7 6 3 2" xfId="17771" xr:uid="{00000000-0005-0000-0000-000011A30000}"/>
    <cellStyle name="Финансовый 4 2 7 6 3 2 2" xfId="41726" xr:uid="{00000000-0005-0000-0000-000012A30000}"/>
    <cellStyle name="Финансовый 4 2 7 6 3 3" xfId="29748" xr:uid="{00000000-0005-0000-0000-000013A30000}"/>
    <cellStyle name="Финансовый 4 2 7 6 4" xfId="8403" xr:uid="{00000000-0005-0000-0000-000014A30000}"/>
    <cellStyle name="Финансовый 4 2 7 6 4 2" xfId="20381" xr:uid="{00000000-0005-0000-0000-000015A30000}"/>
    <cellStyle name="Финансовый 4 2 7 6 4 2 2" xfId="44336" xr:uid="{00000000-0005-0000-0000-000016A30000}"/>
    <cellStyle name="Финансовый 4 2 7 6 4 3" xfId="32358" xr:uid="{00000000-0005-0000-0000-000017A30000}"/>
    <cellStyle name="Финансовый 4 2 7 6 5" xfId="10186" xr:uid="{00000000-0005-0000-0000-000018A30000}"/>
    <cellStyle name="Финансовый 4 2 7 6 5 2" xfId="22164" xr:uid="{00000000-0005-0000-0000-000019A30000}"/>
    <cellStyle name="Финансовый 4 2 7 6 5 2 2" xfId="46119" xr:uid="{00000000-0005-0000-0000-00001AA30000}"/>
    <cellStyle name="Финансовый 4 2 7 6 5 3" xfId="34141" xr:uid="{00000000-0005-0000-0000-00001BA30000}"/>
    <cellStyle name="Финансовый 4 2 7 6 6" xfId="14344" xr:uid="{00000000-0005-0000-0000-00001CA30000}"/>
    <cellStyle name="Финансовый 4 2 7 6 6 2" xfId="38299" xr:uid="{00000000-0005-0000-0000-00001DA30000}"/>
    <cellStyle name="Финансовый 4 2 7 6 7" xfId="26322" xr:uid="{00000000-0005-0000-0000-00001EA30000}"/>
    <cellStyle name="Финансовый 4 2 7 6 8" xfId="49455" xr:uid="{00000000-0005-0000-0000-00001FA30000}"/>
    <cellStyle name="Финансовый 4 2 7 7" xfId="1592" xr:uid="{00000000-0005-0000-0000-000020A30000}"/>
    <cellStyle name="Финансовый 4 2 7 7 2" xfId="3237" xr:uid="{00000000-0005-0000-0000-000021A30000}"/>
    <cellStyle name="Финансовый 4 2 7 7 2 2" xfId="10993" xr:uid="{00000000-0005-0000-0000-000022A30000}"/>
    <cellStyle name="Финансовый 4 2 7 7 2 2 2" xfId="22971" xr:uid="{00000000-0005-0000-0000-000023A30000}"/>
    <cellStyle name="Финансовый 4 2 7 7 2 2 2 2" xfId="46926" xr:uid="{00000000-0005-0000-0000-000024A30000}"/>
    <cellStyle name="Финансовый 4 2 7 7 2 2 3" xfId="34948" xr:uid="{00000000-0005-0000-0000-000025A30000}"/>
    <cellStyle name="Финансовый 4 2 7 7 2 3" xfId="15216" xr:uid="{00000000-0005-0000-0000-000026A30000}"/>
    <cellStyle name="Финансовый 4 2 7 7 2 3 2" xfId="39171" xr:uid="{00000000-0005-0000-0000-000027A30000}"/>
    <cellStyle name="Финансовый 4 2 7 7 2 4" xfId="27194" xr:uid="{00000000-0005-0000-0000-000028A30000}"/>
    <cellStyle name="Финансовый 4 2 7 7 2 5" xfId="50463" xr:uid="{00000000-0005-0000-0000-000029A30000}"/>
    <cellStyle name="Финансовый 4 2 7 7 3" xfId="5020" xr:uid="{00000000-0005-0000-0000-00002AA30000}"/>
    <cellStyle name="Финансовый 4 2 7 7 3 2" xfId="16998" xr:uid="{00000000-0005-0000-0000-00002BA30000}"/>
    <cellStyle name="Финансовый 4 2 7 7 3 2 2" xfId="40953" xr:uid="{00000000-0005-0000-0000-00002CA30000}"/>
    <cellStyle name="Финансовый 4 2 7 7 3 3" xfId="28975" xr:uid="{00000000-0005-0000-0000-00002DA30000}"/>
    <cellStyle name="Финансовый 4 2 7 7 4" xfId="7630" xr:uid="{00000000-0005-0000-0000-00002EA30000}"/>
    <cellStyle name="Финансовый 4 2 7 7 4 2" xfId="19608" xr:uid="{00000000-0005-0000-0000-00002FA30000}"/>
    <cellStyle name="Финансовый 4 2 7 7 4 2 2" xfId="43563" xr:uid="{00000000-0005-0000-0000-000030A30000}"/>
    <cellStyle name="Финансовый 4 2 7 7 4 3" xfId="31585" xr:uid="{00000000-0005-0000-0000-000031A30000}"/>
    <cellStyle name="Финансовый 4 2 7 7 5" xfId="9413" xr:uid="{00000000-0005-0000-0000-000032A30000}"/>
    <cellStyle name="Финансовый 4 2 7 7 5 2" xfId="21391" xr:uid="{00000000-0005-0000-0000-000033A30000}"/>
    <cellStyle name="Финансовый 4 2 7 7 5 2 2" xfId="45346" xr:uid="{00000000-0005-0000-0000-000034A30000}"/>
    <cellStyle name="Финансовый 4 2 7 7 5 3" xfId="33368" xr:uid="{00000000-0005-0000-0000-000035A30000}"/>
    <cellStyle name="Финансовый 4 2 7 7 6" xfId="13571" xr:uid="{00000000-0005-0000-0000-000036A30000}"/>
    <cellStyle name="Финансовый 4 2 7 7 6 2" xfId="37526" xr:uid="{00000000-0005-0000-0000-000037A30000}"/>
    <cellStyle name="Финансовый 4 2 7 7 7" xfId="25549" xr:uid="{00000000-0005-0000-0000-000038A30000}"/>
    <cellStyle name="Финансовый 4 2 7 7 8" xfId="48682" xr:uid="{00000000-0005-0000-0000-000039A30000}"/>
    <cellStyle name="Финансовый 4 2 7 8" xfId="878" xr:uid="{00000000-0005-0000-0000-00003AA30000}"/>
    <cellStyle name="Финансовый 4 2 7 8 2" xfId="6918" xr:uid="{00000000-0005-0000-0000-00003BA30000}"/>
    <cellStyle name="Финансовый 4 2 7 8 2 2" xfId="18896" xr:uid="{00000000-0005-0000-0000-00003CA30000}"/>
    <cellStyle name="Финансовый 4 2 7 8 2 2 2" xfId="42851" xr:uid="{00000000-0005-0000-0000-00003DA30000}"/>
    <cellStyle name="Финансовый 4 2 7 8 2 3" xfId="30873" xr:uid="{00000000-0005-0000-0000-00003EA30000}"/>
    <cellStyle name="Финансовый 4 2 7 8 3" xfId="10466" xr:uid="{00000000-0005-0000-0000-00003FA30000}"/>
    <cellStyle name="Финансовый 4 2 7 8 3 2" xfId="22444" xr:uid="{00000000-0005-0000-0000-000040A30000}"/>
    <cellStyle name="Финансовый 4 2 7 8 3 2 2" xfId="46399" xr:uid="{00000000-0005-0000-0000-000041A30000}"/>
    <cellStyle name="Финансовый 4 2 7 8 3 3" xfId="34421" xr:uid="{00000000-0005-0000-0000-000042A30000}"/>
    <cellStyle name="Финансовый 4 2 7 8 4" xfId="12859" xr:uid="{00000000-0005-0000-0000-000043A30000}"/>
    <cellStyle name="Финансовый 4 2 7 8 4 2" xfId="36814" xr:uid="{00000000-0005-0000-0000-000044A30000}"/>
    <cellStyle name="Финансовый 4 2 7 8 5" xfId="24837" xr:uid="{00000000-0005-0000-0000-000045A30000}"/>
    <cellStyle name="Финансовый 4 2 7 8 6" xfId="49735" xr:uid="{00000000-0005-0000-0000-000046A30000}"/>
    <cellStyle name="Финансовый 4 2 7 9" xfId="458" xr:uid="{00000000-0005-0000-0000-000047A30000}"/>
    <cellStyle name="Финансовый 4 2 7 9 2" xfId="6498" xr:uid="{00000000-0005-0000-0000-000048A30000}"/>
    <cellStyle name="Финансовый 4 2 7 9 2 2" xfId="18476" xr:uid="{00000000-0005-0000-0000-000049A30000}"/>
    <cellStyle name="Финансовый 4 2 7 9 2 2 2" xfId="42431" xr:uid="{00000000-0005-0000-0000-00004AA30000}"/>
    <cellStyle name="Финансовый 4 2 7 9 2 3" xfId="30453" xr:uid="{00000000-0005-0000-0000-00004BA30000}"/>
    <cellStyle name="Финансовый 4 2 7 9 3" xfId="12439" xr:uid="{00000000-0005-0000-0000-00004CA30000}"/>
    <cellStyle name="Финансовый 4 2 7 9 3 2" xfId="36394" xr:uid="{00000000-0005-0000-0000-00004DA30000}"/>
    <cellStyle name="Финансовый 4 2 7 9 4" xfId="24417" xr:uid="{00000000-0005-0000-0000-00004EA30000}"/>
    <cellStyle name="Финансовый 4 2 8" xfId="23" xr:uid="{00000000-0005-0000-0000-00004FA30000}"/>
    <cellStyle name="Финансовый 4 2 8 10" xfId="2635" xr:uid="{00000000-0005-0000-0000-000050A30000}"/>
    <cellStyle name="Финансовый 4 2 8 10 2" xfId="14614" xr:uid="{00000000-0005-0000-0000-000051A30000}"/>
    <cellStyle name="Финансовый 4 2 8 10 2 2" xfId="38569" xr:uid="{00000000-0005-0000-0000-000052A30000}"/>
    <cellStyle name="Финансовый 4 2 8 10 3" xfId="26592" xr:uid="{00000000-0005-0000-0000-000053A30000}"/>
    <cellStyle name="Финансовый 4 2 8 11" xfId="4278" xr:uid="{00000000-0005-0000-0000-000054A30000}"/>
    <cellStyle name="Финансовый 4 2 8 11 2" xfId="16257" xr:uid="{00000000-0005-0000-0000-000055A30000}"/>
    <cellStyle name="Финансовый 4 2 8 11 2 2" xfId="40212" xr:uid="{00000000-0005-0000-0000-000056A30000}"/>
    <cellStyle name="Финансовый 4 2 8 11 3" xfId="28235" xr:uid="{00000000-0005-0000-0000-000057A30000}"/>
    <cellStyle name="Финансовый 4 2 8 12" xfId="6066" xr:uid="{00000000-0005-0000-0000-000058A30000}"/>
    <cellStyle name="Финансовый 4 2 8 12 2" xfId="18044" xr:uid="{00000000-0005-0000-0000-000059A30000}"/>
    <cellStyle name="Финансовый 4 2 8 12 2 2" xfId="41999" xr:uid="{00000000-0005-0000-0000-00005AA30000}"/>
    <cellStyle name="Финансовый 4 2 8 12 3" xfId="30021" xr:uid="{00000000-0005-0000-0000-00005BA30000}"/>
    <cellStyle name="Финансовый 4 2 8 13" xfId="8673" xr:uid="{00000000-0005-0000-0000-00005CA30000}"/>
    <cellStyle name="Финансовый 4 2 8 13 2" xfId="20651" xr:uid="{00000000-0005-0000-0000-00005DA30000}"/>
    <cellStyle name="Финансовый 4 2 8 13 2 2" xfId="44606" xr:uid="{00000000-0005-0000-0000-00005EA30000}"/>
    <cellStyle name="Финансовый 4 2 8 13 3" xfId="32628" xr:uid="{00000000-0005-0000-0000-00005FA30000}"/>
    <cellStyle name="Финансовый 4 2 8 14" xfId="12007" xr:uid="{00000000-0005-0000-0000-000060A30000}"/>
    <cellStyle name="Финансовый 4 2 8 14 2" xfId="35962" xr:uid="{00000000-0005-0000-0000-000061A30000}"/>
    <cellStyle name="Финансовый 4 2 8 15" xfId="23985" xr:uid="{00000000-0005-0000-0000-000062A30000}"/>
    <cellStyle name="Финансовый 4 2 8 16" xfId="47943" xr:uid="{00000000-0005-0000-0000-000063A30000}"/>
    <cellStyle name="Финансовый 4 2 8 2" xfId="161" xr:uid="{00000000-0005-0000-0000-000064A30000}"/>
    <cellStyle name="Финансовый 4 2 8 2 10" xfId="8809" xr:uid="{00000000-0005-0000-0000-000065A30000}"/>
    <cellStyle name="Финансовый 4 2 8 2 10 2" xfId="20787" xr:uid="{00000000-0005-0000-0000-000066A30000}"/>
    <cellStyle name="Финансовый 4 2 8 2 10 2 2" xfId="44742" xr:uid="{00000000-0005-0000-0000-000067A30000}"/>
    <cellStyle name="Финансовый 4 2 8 2 10 3" xfId="32764" xr:uid="{00000000-0005-0000-0000-000068A30000}"/>
    <cellStyle name="Финансовый 4 2 8 2 11" xfId="12143" xr:uid="{00000000-0005-0000-0000-000069A30000}"/>
    <cellStyle name="Финансовый 4 2 8 2 11 2" xfId="36098" xr:uid="{00000000-0005-0000-0000-00006AA30000}"/>
    <cellStyle name="Финансовый 4 2 8 2 12" xfId="24121" xr:uid="{00000000-0005-0000-0000-00006BA30000}"/>
    <cellStyle name="Финансовый 4 2 8 2 13" xfId="48079" xr:uid="{00000000-0005-0000-0000-00006CA30000}"/>
    <cellStyle name="Финансовый 4 2 8 2 2" xfId="1259" xr:uid="{00000000-0005-0000-0000-00006DA30000}"/>
    <cellStyle name="Финансовый 4 2 8 2 2 2" xfId="2225" xr:uid="{00000000-0005-0000-0000-00006EA30000}"/>
    <cellStyle name="Финансовый 4 2 8 2 2 2 2" xfId="3870" xr:uid="{00000000-0005-0000-0000-00006FA30000}"/>
    <cellStyle name="Финансовый 4 2 8 2 2 2 2 2" xfId="11610" xr:uid="{00000000-0005-0000-0000-000070A30000}"/>
    <cellStyle name="Финансовый 4 2 8 2 2 2 2 2 2" xfId="23588" xr:uid="{00000000-0005-0000-0000-000071A30000}"/>
    <cellStyle name="Финансовый 4 2 8 2 2 2 2 2 2 2" xfId="47543" xr:uid="{00000000-0005-0000-0000-000072A30000}"/>
    <cellStyle name="Финансовый 4 2 8 2 2 2 2 2 3" xfId="35565" xr:uid="{00000000-0005-0000-0000-000073A30000}"/>
    <cellStyle name="Финансовый 4 2 8 2 2 2 2 3" xfId="15849" xr:uid="{00000000-0005-0000-0000-000074A30000}"/>
    <cellStyle name="Финансовый 4 2 8 2 2 2 2 3 2" xfId="39804" xr:uid="{00000000-0005-0000-0000-000075A30000}"/>
    <cellStyle name="Финансовый 4 2 8 2 2 2 2 4" xfId="27827" xr:uid="{00000000-0005-0000-0000-000076A30000}"/>
    <cellStyle name="Финансовый 4 2 8 2 2 2 2 5" xfId="51096" xr:uid="{00000000-0005-0000-0000-000077A30000}"/>
    <cellStyle name="Финансовый 4 2 8 2 2 2 3" xfId="5653" xr:uid="{00000000-0005-0000-0000-000078A30000}"/>
    <cellStyle name="Финансовый 4 2 8 2 2 2 3 2" xfId="17631" xr:uid="{00000000-0005-0000-0000-000079A30000}"/>
    <cellStyle name="Финансовый 4 2 8 2 2 2 3 2 2" xfId="41586" xr:uid="{00000000-0005-0000-0000-00007AA30000}"/>
    <cellStyle name="Финансовый 4 2 8 2 2 2 3 3" xfId="29608" xr:uid="{00000000-0005-0000-0000-00007BA30000}"/>
    <cellStyle name="Финансовый 4 2 8 2 2 2 4" xfId="8263" xr:uid="{00000000-0005-0000-0000-00007CA30000}"/>
    <cellStyle name="Финансовый 4 2 8 2 2 2 4 2" xfId="20241" xr:uid="{00000000-0005-0000-0000-00007DA30000}"/>
    <cellStyle name="Финансовый 4 2 8 2 2 2 4 2 2" xfId="44196" xr:uid="{00000000-0005-0000-0000-00007EA30000}"/>
    <cellStyle name="Финансовый 4 2 8 2 2 2 4 3" xfId="32218" xr:uid="{00000000-0005-0000-0000-00007FA30000}"/>
    <cellStyle name="Финансовый 4 2 8 2 2 2 5" xfId="10046" xr:uid="{00000000-0005-0000-0000-000080A30000}"/>
    <cellStyle name="Финансовый 4 2 8 2 2 2 5 2" xfId="22024" xr:uid="{00000000-0005-0000-0000-000081A30000}"/>
    <cellStyle name="Финансовый 4 2 8 2 2 2 5 2 2" xfId="45979" xr:uid="{00000000-0005-0000-0000-000082A30000}"/>
    <cellStyle name="Финансовый 4 2 8 2 2 2 5 3" xfId="34001" xr:uid="{00000000-0005-0000-0000-000083A30000}"/>
    <cellStyle name="Финансовый 4 2 8 2 2 2 6" xfId="14204" xr:uid="{00000000-0005-0000-0000-000084A30000}"/>
    <cellStyle name="Финансовый 4 2 8 2 2 2 6 2" xfId="38159" xr:uid="{00000000-0005-0000-0000-000085A30000}"/>
    <cellStyle name="Финансовый 4 2 8 2 2 2 7" xfId="26182" xr:uid="{00000000-0005-0000-0000-000086A30000}"/>
    <cellStyle name="Финансовый 4 2 8 2 2 2 8" xfId="49315" xr:uid="{00000000-0005-0000-0000-000087A30000}"/>
    <cellStyle name="Финансовый 4 2 8 2 2 3" xfId="3043" xr:uid="{00000000-0005-0000-0000-000088A30000}"/>
    <cellStyle name="Финансовый 4 2 8 2 2 3 2" xfId="10838" xr:uid="{00000000-0005-0000-0000-000089A30000}"/>
    <cellStyle name="Финансовый 4 2 8 2 2 3 2 2" xfId="22816" xr:uid="{00000000-0005-0000-0000-00008AA30000}"/>
    <cellStyle name="Финансовый 4 2 8 2 2 3 2 2 2" xfId="46771" xr:uid="{00000000-0005-0000-0000-00008BA30000}"/>
    <cellStyle name="Финансовый 4 2 8 2 2 3 2 3" xfId="34793" xr:uid="{00000000-0005-0000-0000-00008CA30000}"/>
    <cellStyle name="Финансовый 4 2 8 2 2 3 3" xfId="15022" xr:uid="{00000000-0005-0000-0000-00008DA30000}"/>
    <cellStyle name="Финансовый 4 2 8 2 2 3 3 2" xfId="38977" xr:uid="{00000000-0005-0000-0000-00008EA30000}"/>
    <cellStyle name="Финансовый 4 2 8 2 2 3 4" xfId="27000" xr:uid="{00000000-0005-0000-0000-00008FA30000}"/>
    <cellStyle name="Финансовый 4 2 8 2 2 3 5" xfId="50131" xr:uid="{00000000-0005-0000-0000-000090A30000}"/>
    <cellStyle name="Финансовый 4 2 8 2 2 4" xfId="4687" xr:uid="{00000000-0005-0000-0000-000091A30000}"/>
    <cellStyle name="Финансовый 4 2 8 2 2 4 2" xfId="16666" xr:uid="{00000000-0005-0000-0000-000092A30000}"/>
    <cellStyle name="Финансовый 4 2 8 2 2 4 2 2" xfId="40621" xr:uid="{00000000-0005-0000-0000-000093A30000}"/>
    <cellStyle name="Финансовый 4 2 8 2 2 4 3" xfId="28644" xr:uid="{00000000-0005-0000-0000-000094A30000}"/>
    <cellStyle name="Финансовый 4 2 8 2 2 5" xfId="7299" xr:uid="{00000000-0005-0000-0000-000095A30000}"/>
    <cellStyle name="Финансовый 4 2 8 2 2 5 2" xfId="19277" xr:uid="{00000000-0005-0000-0000-000096A30000}"/>
    <cellStyle name="Финансовый 4 2 8 2 2 5 2 2" xfId="43232" xr:uid="{00000000-0005-0000-0000-000097A30000}"/>
    <cellStyle name="Финансовый 4 2 8 2 2 5 3" xfId="31254" xr:uid="{00000000-0005-0000-0000-000098A30000}"/>
    <cellStyle name="Финансовый 4 2 8 2 2 6" xfId="9081" xr:uid="{00000000-0005-0000-0000-000099A30000}"/>
    <cellStyle name="Финансовый 4 2 8 2 2 6 2" xfId="21059" xr:uid="{00000000-0005-0000-0000-00009AA30000}"/>
    <cellStyle name="Финансовый 4 2 8 2 2 6 2 2" xfId="45014" xr:uid="{00000000-0005-0000-0000-00009BA30000}"/>
    <cellStyle name="Финансовый 4 2 8 2 2 6 3" xfId="33036" xr:uid="{00000000-0005-0000-0000-00009CA30000}"/>
    <cellStyle name="Финансовый 4 2 8 2 2 7" xfId="13240" xr:uid="{00000000-0005-0000-0000-00009DA30000}"/>
    <cellStyle name="Финансовый 4 2 8 2 2 7 2" xfId="37195" xr:uid="{00000000-0005-0000-0000-00009EA30000}"/>
    <cellStyle name="Финансовый 4 2 8 2 2 8" xfId="25218" xr:uid="{00000000-0005-0000-0000-00009FA30000}"/>
    <cellStyle name="Финансовый 4 2 8 2 2 9" xfId="48351" xr:uid="{00000000-0005-0000-0000-0000A0A30000}"/>
    <cellStyle name="Финансовый 4 2 8 2 3" xfId="1969" xr:uid="{00000000-0005-0000-0000-0000A1A30000}"/>
    <cellStyle name="Финансовый 4 2 8 2 3 2" xfId="3614" xr:uid="{00000000-0005-0000-0000-0000A2A30000}"/>
    <cellStyle name="Финансовый 4 2 8 2 3 2 2" xfId="11354" xr:uid="{00000000-0005-0000-0000-0000A3A30000}"/>
    <cellStyle name="Финансовый 4 2 8 2 3 2 2 2" xfId="23332" xr:uid="{00000000-0005-0000-0000-0000A4A30000}"/>
    <cellStyle name="Финансовый 4 2 8 2 3 2 2 2 2" xfId="47287" xr:uid="{00000000-0005-0000-0000-0000A5A30000}"/>
    <cellStyle name="Финансовый 4 2 8 2 3 2 2 3" xfId="35309" xr:uid="{00000000-0005-0000-0000-0000A6A30000}"/>
    <cellStyle name="Финансовый 4 2 8 2 3 2 3" xfId="15593" xr:uid="{00000000-0005-0000-0000-0000A7A30000}"/>
    <cellStyle name="Финансовый 4 2 8 2 3 2 3 2" xfId="39548" xr:uid="{00000000-0005-0000-0000-0000A8A30000}"/>
    <cellStyle name="Финансовый 4 2 8 2 3 2 4" xfId="27571" xr:uid="{00000000-0005-0000-0000-0000A9A30000}"/>
    <cellStyle name="Финансовый 4 2 8 2 3 2 5" xfId="50840" xr:uid="{00000000-0005-0000-0000-0000AAA30000}"/>
    <cellStyle name="Финансовый 4 2 8 2 3 3" xfId="5397" xr:uid="{00000000-0005-0000-0000-0000ABA30000}"/>
    <cellStyle name="Финансовый 4 2 8 2 3 3 2" xfId="17375" xr:uid="{00000000-0005-0000-0000-0000ACA30000}"/>
    <cellStyle name="Финансовый 4 2 8 2 3 3 2 2" xfId="41330" xr:uid="{00000000-0005-0000-0000-0000ADA30000}"/>
    <cellStyle name="Финансовый 4 2 8 2 3 3 3" xfId="29352" xr:uid="{00000000-0005-0000-0000-0000AEA30000}"/>
    <cellStyle name="Финансовый 4 2 8 2 3 4" xfId="8007" xr:uid="{00000000-0005-0000-0000-0000AFA30000}"/>
    <cellStyle name="Финансовый 4 2 8 2 3 4 2" xfId="19985" xr:uid="{00000000-0005-0000-0000-0000B0A30000}"/>
    <cellStyle name="Финансовый 4 2 8 2 3 4 2 2" xfId="43940" xr:uid="{00000000-0005-0000-0000-0000B1A30000}"/>
    <cellStyle name="Финансовый 4 2 8 2 3 4 3" xfId="31962" xr:uid="{00000000-0005-0000-0000-0000B2A30000}"/>
    <cellStyle name="Финансовый 4 2 8 2 3 5" xfId="9790" xr:uid="{00000000-0005-0000-0000-0000B3A30000}"/>
    <cellStyle name="Финансовый 4 2 8 2 3 5 2" xfId="21768" xr:uid="{00000000-0005-0000-0000-0000B4A30000}"/>
    <cellStyle name="Финансовый 4 2 8 2 3 5 2 2" xfId="45723" xr:uid="{00000000-0005-0000-0000-0000B5A30000}"/>
    <cellStyle name="Финансовый 4 2 8 2 3 5 3" xfId="33745" xr:uid="{00000000-0005-0000-0000-0000B6A30000}"/>
    <cellStyle name="Финансовый 4 2 8 2 3 6" xfId="13948" xr:uid="{00000000-0005-0000-0000-0000B7A30000}"/>
    <cellStyle name="Финансовый 4 2 8 2 3 6 2" xfId="37903" xr:uid="{00000000-0005-0000-0000-0000B8A30000}"/>
    <cellStyle name="Финансовый 4 2 8 2 3 7" xfId="25926" xr:uid="{00000000-0005-0000-0000-0000B9A30000}"/>
    <cellStyle name="Финансовый 4 2 8 2 3 8" xfId="49059" xr:uid="{00000000-0005-0000-0000-0000BAA30000}"/>
    <cellStyle name="Финансовый 4 2 8 2 4" xfId="2490" xr:uid="{00000000-0005-0000-0000-0000BBA30000}"/>
    <cellStyle name="Финансовый 4 2 8 2 4 2" xfId="4135" xr:uid="{00000000-0005-0000-0000-0000BCA30000}"/>
    <cellStyle name="Финансовый 4 2 8 2 4 2 2" xfId="11867" xr:uid="{00000000-0005-0000-0000-0000BDA30000}"/>
    <cellStyle name="Финансовый 4 2 8 2 4 2 2 2" xfId="23845" xr:uid="{00000000-0005-0000-0000-0000BEA30000}"/>
    <cellStyle name="Финансовый 4 2 8 2 4 2 2 2 2" xfId="47800" xr:uid="{00000000-0005-0000-0000-0000BFA30000}"/>
    <cellStyle name="Финансовый 4 2 8 2 4 2 2 3" xfId="35822" xr:uid="{00000000-0005-0000-0000-0000C0A30000}"/>
    <cellStyle name="Финансовый 4 2 8 2 4 2 3" xfId="16114" xr:uid="{00000000-0005-0000-0000-0000C1A30000}"/>
    <cellStyle name="Финансовый 4 2 8 2 4 2 3 2" xfId="40069" xr:uid="{00000000-0005-0000-0000-0000C2A30000}"/>
    <cellStyle name="Финансовый 4 2 8 2 4 2 4" xfId="28092" xr:uid="{00000000-0005-0000-0000-0000C3A30000}"/>
    <cellStyle name="Финансовый 4 2 8 2 4 2 5" xfId="51361" xr:uid="{00000000-0005-0000-0000-0000C4A30000}"/>
    <cellStyle name="Финансовый 4 2 8 2 4 3" xfId="5918" xr:uid="{00000000-0005-0000-0000-0000C5A30000}"/>
    <cellStyle name="Финансовый 4 2 8 2 4 3 2" xfId="17896" xr:uid="{00000000-0005-0000-0000-0000C6A30000}"/>
    <cellStyle name="Финансовый 4 2 8 2 4 3 2 2" xfId="41851" xr:uid="{00000000-0005-0000-0000-0000C7A30000}"/>
    <cellStyle name="Финансовый 4 2 8 2 4 3 3" xfId="29873" xr:uid="{00000000-0005-0000-0000-0000C8A30000}"/>
    <cellStyle name="Финансовый 4 2 8 2 4 4" xfId="8528" xr:uid="{00000000-0005-0000-0000-0000C9A30000}"/>
    <cellStyle name="Финансовый 4 2 8 2 4 4 2" xfId="20506" xr:uid="{00000000-0005-0000-0000-0000CAA30000}"/>
    <cellStyle name="Финансовый 4 2 8 2 4 4 2 2" xfId="44461" xr:uid="{00000000-0005-0000-0000-0000CBA30000}"/>
    <cellStyle name="Финансовый 4 2 8 2 4 4 3" xfId="32483" xr:uid="{00000000-0005-0000-0000-0000CCA30000}"/>
    <cellStyle name="Финансовый 4 2 8 2 4 5" xfId="10311" xr:uid="{00000000-0005-0000-0000-0000CDA30000}"/>
    <cellStyle name="Финансовый 4 2 8 2 4 5 2" xfId="22289" xr:uid="{00000000-0005-0000-0000-0000CEA30000}"/>
    <cellStyle name="Финансовый 4 2 8 2 4 5 2 2" xfId="46244" xr:uid="{00000000-0005-0000-0000-0000CFA30000}"/>
    <cellStyle name="Финансовый 4 2 8 2 4 5 3" xfId="34266" xr:uid="{00000000-0005-0000-0000-0000D0A30000}"/>
    <cellStyle name="Финансовый 4 2 8 2 4 6" xfId="14469" xr:uid="{00000000-0005-0000-0000-0000D1A30000}"/>
    <cellStyle name="Финансовый 4 2 8 2 4 6 2" xfId="38424" xr:uid="{00000000-0005-0000-0000-0000D2A30000}"/>
    <cellStyle name="Финансовый 4 2 8 2 4 7" xfId="26447" xr:uid="{00000000-0005-0000-0000-0000D3A30000}"/>
    <cellStyle name="Финансовый 4 2 8 2 4 8" xfId="49580" xr:uid="{00000000-0005-0000-0000-0000D4A30000}"/>
    <cellStyle name="Финансовый 4 2 8 2 5" xfId="994" xr:uid="{00000000-0005-0000-0000-0000D5A30000}"/>
    <cellStyle name="Финансовый 4 2 8 2 5 2" xfId="7034" xr:uid="{00000000-0005-0000-0000-0000D6A30000}"/>
    <cellStyle name="Финансовый 4 2 8 2 5 2 2" xfId="19012" xr:uid="{00000000-0005-0000-0000-0000D7A30000}"/>
    <cellStyle name="Финансовый 4 2 8 2 5 2 2 2" xfId="42967" xr:uid="{00000000-0005-0000-0000-0000D8A30000}"/>
    <cellStyle name="Финансовый 4 2 8 2 5 2 3" xfId="30989" xr:uid="{00000000-0005-0000-0000-0000D9A30000}"/>
    <cellStyle name="Финансовый 4 2 8 2 5 3" xfId="10582" xr:uid="{00000000-0005-0000-0000-0000DAA30000}"/>
    <cellStyle name="Финансовый 4 2 8 2 5 3 2" xfId="22560" xr:uid="{00000000-0005-0000-0000-0000DBA30000}"/>
    <cellStyle name="Финансовый 4 2 8 2 5 3 2 2" xfId="46515" xr:uid="{00000000-0005-0000-0000-0000DCA30000}"/>
    <cellStyle name="Финансовый 4 2 8 2 5 3 3" xfId="34537" xr:uid="{00000000-0005-0000-0000-0000DDA30000}"/>
    <cellStyle name="Финансовый 4 2 8 2 5 4" xfId="12975" xr:uid="{00000000-0005-0000-0000-0000DEA30000}"/>
    <cellStyle name="Финансовый 4 2 8 2 5 4 2" xfId="36930" xr:uid="{00000000-0005-0000-0000-0000DFA30000}"/>
    <cellStyle name="Финансовый 4 2 8 2 5 5" xfId="24953" xr:uid="{00000000-0005-0000-0000-0000E0A30000}"/>
    <cellStyle name="Финансовый 4 2 8 2 5 6" xfId="49859" xr:uid="{00000000-0005-0000-0000-0000E1A30000}"/>
    <cellStyle name="Финансовый 4 2 8 2 6" xfId="582" xr:uid="{00000000-0005-0000-0000-0000E2A30000}"/>
    <cellStyle name="Финансовый 4 2 8 2 6 2" xfId="6622" xr:uid="{00000000-0005-0000-0000-0000E3A30000}"/>
    <cellStyle name="Финансовый 4 2 8 2 6 2 2" xfId="18600" xr:uid="{00000000-0005-0000-0000-0000E4A30000}"/>
    <cellStyle name="Финансовый 4 2 8 2 6 2 2 2" xfId="42555" xr:uid="{00000000-0005-0000-0000-0000E5A30000}"/>
    <cellStyle name="Финансовый 4 2 8 2 6 2 3" xfId="30577" xr:uid="{00000000-0005-0000-0000-0000E6A30000}"/>
    <cellStyle name="Финансовый 4 2 8 2 6 3" xfId="12563" xr:uid="{00000000-0005-0000-0000-0000E7A30000}"/>
    <cellStyle name="Финансовый 4 2 8 2 6 3 2" xfId="36518" xr:uid="{00000000-0005-0000-0000-0000E8A30000}"/>
    <cellStyle name="Финансовый 4 2 8 2 6 4" xfId="24541" xr:uid="{00000000-0005-0000-0000-0000E9A30000}"/>
    <cellStyle name="Финансовый 4 2 8 2 7" xfId="2771" xr:uid="{00000000-0005-0000-0000-0000EAA30000}"/>
    <cellStyle name="Финансовый 4 2 8 2 7 2" xfId="14750" xr:uid="{00000000-0005-0000-0000-0000EBA30000}"/>
    <cellStyle name="Финансовый 4 2 8 2 7 2 2" xfId="38705" xr:uid="{00000000-0005-0000-0000-0000ECA30000}"/>
    <cellStyle name="Финансовый 4 2 8 2 7 3" xfId="26728" xr:uid="{00000000-0005-0000-0000-0000EDA30000}"/>
    <cellStyle name="Финансовый 4 2 8 2 8" xfId="4415" xr:uid="{00000000-0005-0000-0000-0000EEA30000}"/>
    <cellStyle name="Финансовый 4 2 8 2 8 2" xfId="16394" xr:uid="{00000000-0005-0000-0000-0000EFA30000}"/>
    <cellStyle name="Финансовый 4 2 8 2 8 2 2" xfId="40349" xr:uid="{00000000-0005-0000-0000-0000F0A30000}"/>
    <cellStyle name="Финансовый 4 2 8 2 8 3" xfId="28372" xr:uid="{00000000-0005-0000-0000-0000F1A30000}"/>
    <cellStyle name="Финансовый 4 2 8 2 9" xfId="6202" xr:uid="{00000000-0005-0000-0000-0000F2A30000}"/>
    <cellStyle name="Финансовый 4 2 8 2 9 2" xfId="18180" xr:uid="{00000000-0005-0000-0000-0000F3A30000}"/>
    <cellStyle name="Финансовый 4 2 8 2 9 2 2" xfId="42135" xr:uid="{00000000-0005-0000-0000-0000F4A30000}"/>
    <cellStyle name="Финансовый 4 2 8 2 9 3" xfId="30157" xr:uid="{00000000-0005-0000-0000-0000F5A30000}"/>
    <cellStyle name="Финансовый 4 2 8 3" xfId="310" xr:uid="{00000000-0005-0000-0000-0000F6A30000}"/>
    <cellStyle name="Финансовый 4 2 8 3 10" xfId="24269" xr:uid="{00000000-0005-0000-0000-0000F7A30000}"/>
    <cellStyle name="Финансовый 4 2 8 3 11" xfId="48215" xr:uid="{00000000-0005-0000-0000-0000F8A30000}"/>
    <cellStyle name="Финансовый 4 2 8 3 2" xfId="2097" xr:uid="{00000000-0005-0000-0000-0000F9A30000}"/>
    <cellStyle name="Финансовый 4 2 8 3 2 2" xfId="3742" xr:uid="{00000000-0005-0000-0000-0000FAA30000}"/>
    <cellStyle name="Финансовый 4 2 8 3 2 2 2" xfId="11482" xr:uid="{00000000-0005-0000-0000-0000FBA30000}"/>
    <cellStyle name="Финансовый 4 2 8 3 2 2 2 2" xfId="23460" xr:uid="{00000000-0005-0000-0000-0000FCA30000}"/>
    <cellStyle name="Финансовый 4 2 8 3 2 2 2 2 2" xfId="47415" xr:uid="{00000000-0005-0000-0000-0000FDA30000}"/>
    <cellStyle name="Финансовый 4 2 8 3 2 2 2 3" xfId="35437" xr:uid="{00000000-0005-0000-0000-0000FEA30000}"/>
    <cellStyle name="Финансовый 4 2 8 3 2 2 3" xfId="15721" xr:uid="{00000000-0005-0000-0000-0000FFA30000}"/>
    <cellStyle name="Финансовый 4 2 8 3 2 2 3 2" xfId="39676" xr:uid="{00000000-0005-0000-0000-000000A40000}"/>
    <cellStyle name="Финансовый 4 2 8 3 2 2 4" xfId="27699" xr:uid="{00000000-0005-0000-0000-000001A40000}"/>
    <cellStyle name="Финансовый 4 2 8 3 2 2 5" xfId="50968" xr:uid="{00000000-0005-0000-0000-000002A40000}"/>
    <cellStyle name="Финансовый 4 2 8 3 2 3" xfId="5525" xr:uid="{00000000-0005-0000-0000-000003A40000}"/>
    <cellStyle name="Финансовый 4 2 8 3 2 3 2" xfId="17503" xr:uid="{00000000-0005-0000-0000-000004A40000}"/>
    <cellStyle name="Финансовый 4 2 8 3 2 3 2 2" xfId="41458" xr:uid="{00000000-0005-0000-0000-000005A40000}"/>
    <cellStyle name="Финансовый 4 2 8 3 2 3 3" xfId="29480" xr:uid="{00000000-0005-0000-0000-000006A40000}"/>
    <cellStyle name="Финансовый 4 2 8 3 2 4" xfId="8135" xr:uid="{00000000-0005-0000-0000-000007A40000}"/>
    <cellStyle name="Финансовый 4 2 8 3 2 4 2" xfId="20113" xr:uid="{00000000-0005-0000-0000-000008A40000}"/>
    <cellStyle name="Финансовый 4 2 8 3 2 4 2 2" xfId="44068" xr:uid="{00000000-0005-0000-0000-000009A40000}"/>
    <cellStyle name="Финансовый 4 2 8 3 2 4 3" xfId="32090" xr:uid="{00000000-0005-0000-0000-00000AA40000}"/>
    <cellStyle name="Финансовый 4 2 8 3 2 5" xfId="9918" xr:uid="{00000000-0005-0000-0000-00000BA40000}"/>
    <cellStyle name="Финансовый 4 2 8 3 2 5 2" xfId="21896" xr:uid="{00000000-0005-0000-0000-00000CA40000}"/>
    <cellStyle name="Финансовый 4 2 8 3 2 5 2 2" xfId="45851" xr:uid="{00000000-0005-0000-0000-00000DA40000}"/>
    <cellStyle name="Финансовый 4 2 8 3 2 5 3" xfId="33873" xr:uid="{00000000-0005-0000-0000-00000EA40000}"/>
    <cellStyle name="Финансовый 4 2 8 3 2 6" xfId="14076" xr:uid="{00000000-0005-0000-0000-00000FA40000}"/>
    <cellStyle name="Финансовый 4 2 8 3 2 6 2" xfId="38031" xr:uid="{00000000-0005-0000-0000-000010A40000}"/>
    <cellStyle name="Финансовый 4 2 8 3 2 7" xfId="26054" xr:uid="{00000000-0005-0000-0000-000011A40000}"/>
    <cellStyle name="Финансовый 4 2 8 3 2 8" xfId="49187" xr:uid="{00000000-0005-0000-0000-000012A40000}"/>
    <cellStyle name="Финансовый 4 2 8 3 3" xfId="1130" xr:uid="{00000000-0005-0000-0000-000013A40000}"/>
    <cellStyle name="Финансовый 4 2 8 3 3 2" xfId="7170" xr:uid="{00000000-0005-0000-0000-000014A40000}"/>
    <cellStyle name="Финансовый 4 2 8 3 3 2 2" xfId="19148" xr:uid="{00000000-0005-0000-0000-000015A40000}"/>
    <cellStyle name="Финансовый 4 2 8 3 3 2 2 2" xfId="43103" xr:uid="{00000000-0005-0000-0000-000016A40000}"/>
    <cellStyle name="Финансовый 4 2 8 3 3 2 3" xfId="31125" xr:uid="{00000000-0005-0000-0000-000017A40000}"/>
    <cellStyle name="Финансовый 4 2 8 3 3 3" xfId="10710" xr:uid="{00000000-0005-0000-0000-000018A40000}"/>
    <cellStyle name="Финансовый 4 2 8 3 3 3 2" xfId="22688" xr:uid="{00000000-0005-0000-0000-000019A40000}"/>
    <cellStyle name="Финансовый 4 2 8 3 3 3 2 2" xfId="46643" xr:uid="{00000000-0005-0000-0000-00001AA40000}"/>
    <cellStyle name="Финансовый 4 2 8 3 3 3 3" xfId="34665" xr:uid="{00000000-0005-0000-0000-00001BA40000}"/>
    <cellStyle name="Финансовый 4 2 8 3 3 4" xfId="13111" xr:uid="{00000000-0005-0000-0000-00001CA40000}"/>
    <cellStyle name="Финансовый 4 2 8 3 3 4 2" xfId="37066" xr:uid="{00000000-0005-0000-0000-00001DA40000}"/>
    <cellStyle name="Финансовый 4 2 8 3 3 5" xfId="25089" xr:uid="{00000000-0005-0000-0000-00001EA40000}"/>
    <cellStyle name="Финансовый 4 2 8 3 3 6" xfId="49995" xr:uid="{00000000-0005-0000-0000-00001FA40000}"/>
    <cellStyle name="Финансовый 4 2 8 3 4" xfId="730" xr:uid="{00000000-0005-0000-0000-000020A40000}"/>
    <cellStyle name="Финансовый 4 2 8 3 4 2" xfId="6770" xr:uid="{00000000-0005-0000-0000-000021A40000}"/>
    <cellStyle name="Финансовый 4 2 8 3 4 2 2" xfId="18748" xr:uid="{00000000-0005-0000-0000-000022A40000}"/>
    <cellStyle name="Финансовый 4 2 8 3 4 2 2 2" xfId="42703" xr:uid="{00000000-0005-0000-0000-000023A40000}"/>
    <cellStyle name="Финансовый 4 2 8 3 4 2 3" xfId="30725" xr:uid="{00000000-0005-0000-0000-000024A40000}"/>
    <cellStyle name="Финансовый 4 2 8 3 4 3" xfId="12711" xr:uid="{00000000-0005-0000-0000-000025A40000}"/>
    <cellStyle name="Финансовый 4 2 8 3 4 3 2" xfId="36666" xr:uid="{00000000-0005-0000-0000-000026A40000}"/>
    <cellStyle name="Финансовый 4 2 8 3 4 4" xfId="24689" xr:uid="{00000000-0005-0000-0000-000027A40000}"/>
    <cellStyle name="Финансовый 4 2 8 3 5" xfId="2907" xr:uid="{00000000-0005-0000-0000-000028A40000}"/>
    <cellStyle name="Финансовый 4 2 8 3 5 2" xfId="14886" xr:uid="{00000000-0005-0000-0000-000029A40000}"/>
    <cellStyle name="Финансовый 4 2 8 3 5 2 2" xfId="38841" xr:uid="{00000000-0005-0000-0000-00002AA40000}"/>
    <cellStyle name="Финансовый 4 2 8 3 5 3" xfId="26864" xr:uid="{00000000-0005-0000-0000-00002BA40000}"/>
    <cellStyle name="Финансовый 4 2 8 3 6" xfId="4551" xr:uid="{00000000-0005-0000-0000-00002CA40000}"/>
    <cellStyle name="Финансовый 4 2 8 3 6 2" xfId="16530" xr:uid="{00000000-0005-0000-0000-00002DA40000}"/>
    <cellStyle name="Финансовый 4 2 8 3 6 2 2" xfId="40485" xr:uid="{00000000-0005-0000-0000-00002EA40000}"/>
    <cellStyle name="Финансовый 4 2 8 3 6 3" xfId="28508" xr:uid="{00000000-0005-0000-0000-00002FA40000}"/>
    <cellStyle name="Финансовый 4 2 8 3 7" xfId="6350" xr:uid="{00000000-0005-0000-0000-000030A40000}"/>
    <cellStyle name="Финансовый 4 2 8 3 7 2" xfId="18328" xr:uid="{00000000-0005-0000-0000-000031A40000}"/>
    <cellStyle name="Финансовый 4 2 8 3 7 2 2" xfId="42283" xr:uid="{00000000-0005-0000-0000-000032A40000}"/>
    <cellStyle name="Финансовый 4 2 8 3 7 3" xfId="30305" xr:uid="{00000000-0005-0000-0000-000033A40000}"/>
    <cellStyle name="Финансовый 4 2 8 3 8" xfId="8945" xr:uid="{00000000-0005-0000-0000-000034A40000}"/>
    <cellStyle name="Финансовый 4 2 8 3 8 2" xfId="20923" xr:uid="{00000000-0005-0000-0000-000035A40000}"/>
    <cellStyle name="Финансовый 4 2 8 3 8 2 2" xfId="44878" xr:uid="{00000000-0005-0000-0000-000036A40000}"/>
    <cellStyle name="Финансовый 4 2 8 3 8 3" xfId="32900" xr:uid="{00000000-0005-0000-0000-000037A40000}"/>
    <cellStyle name="Финансовый 4 2 8 3 9" xfId="12291" xr:uid="{00000000-0005-0000-0000-000038A40000}"/>
    <cellStyle name="Финансовый 4 2 8 3 9 2" xfId="36246" xr:uid="{00000000-0005-0000-0000-000039A40000}"/>
    <cellStyle name="Финансовый 4 2 8 4" xfId="1496" xr:uid="{00000000-0005-0000-0000-00003AA40000}"/>
    <cellStyle name="Финансовый 4 2 8 4 2" xfId="1833" xr:uid="{00000000-0005-0000-0000-00003BA40000}"/>
    <cellStyle name="Финансовый 4 2 8 4 2 2" xfId="3478" xr:uid="{00000000-0005-0000-0000-00003CA40000}"/>
    <cellStyle name="Финансовый 4 2 8 4 2 2 2" xfId="11226" xr:uid="{00000000-0005-0000-0000-00003DA40000}"/>
    <cellStyle name="Финансовый 4 2 8 4 2 2 2 2" xfId="23204" xr:uid="{00000000-0005-0000-0000-00003EA40000}"/>
    <cellStyle name="Финансовый 4 2 8 4 2 2 2 2 2" xfId="47159" xr:uid="{00000000-0005-0000-0000-00003FA40000}"/>
    <cellStyle name="Финансовый 4 2 8 4 2 2 2 3" xfId="35181" xr:uid="{00000000-0005-0000-0000-000040A40000}"/>
    <cellStyle name="Финансовый 4 2 8 4 2 2 3" xfId="15457" xr:uid="{00000000-0005-0000-0000-000041A40000}"/>
    <cellStyle name="Финансовый 4 2 8 4 2 2 3 2" xfId="39412" xr:uid="{00000000-0005-0000-0000-000042A40000}"/>
    <cellStyle name="Финансовый 4 2 8 4 2 2 4" xfId="27435" xr:uid="{00000000-0005-0000-0000-000043A40000}"/>
    <cellStyle name="Финансовый 4 2 8 4 2 2 5" xfId="50704" xr:uid="{00000000-0005-0000-0000-000044A40000}"/>
    <cellStyle name="Финансовый 4 2 8 4 2 3" xfId="5261" xr:uid="{00000000-0005-0000-0000-000045A40000}"/>
    <cellStyle name="Финансовый 4 2 8 4 2 3 2" xfId="17239" xr:uid="{00000000-0005-0000-0000-000046A40000}"/>
    <cellStyle name="Финансовый 4 2 8 4 2 3 2 2" xfId="41194" xr:uid="{00000000-0005-0000-0000-000047A40000}"/>
    <cellStyle name="Финансовый 4 2 8 4 2 3 3" xfId="29216" xr:uid="{00000000-0005-0000-0000-000048A40000}"/>
    <cellStyle name="Финансовый 4 2 8 4 2 4" xfId="7871" xr:uid="{00000000-0005-0000-0000-000049A40000}"/>
    <cellStyle name="Финансовый 4 2 8 4 2 4 2" xfId="19849" xr:uid="{00000000-0005-0000-0000-00004AA40000}"/>
    <cellStyle name="Финансовый 4 2 8 4 2 4 2 2" xfId="43804" xr:uid="{00000000-0005-0000-0000-00004BA40000}"/>
    <cellStyle name="Финансовый 4 2 8 4 2 4 3" xfId="31826" xr:uid="{00000000-0005-0000-0000-00004CA40000}"/>
    <cellStyle name="Финансовый 4 2 8 4 2 5" xfId="9654" xr:uid="{00000000-0005-0000-0000-00004DA40000}"/>
    <cellStyle name="Финансовый 4 2 8 4 2 5 2" xfId="21632" xr:uid="{00000000-0005-0000-0000-00004EA40000}"/>
    <cellStyle name="Финансовый 4 2 8 4 2 5 2 2" xfId="45587" xr:uid="{00000000-0005-0000-0000-00004FA40000}"/>
    <cellStyle name="Финансовый 4 2 8 4 2 5 3" xfId="33609" xr:uid="{00000000-0005-0000-0000-000050A40000}"/>
    <cellStyle name="Финансовый 4 2 8 4 2 6" xfId="13812" xr:uid="{00000000-0005-0000-0000-000051A40000}"/>
    <cellStyle name="Финансовый 4 2 8 4 2 6 2" xfId="37767" xr:uid="{00000000-0005-0000-0000-000052A40000}"/>
    <cellStyle name="Финансовый 4 2 8 4 2 7" xfId="25790" xr:uid="{00000000-0005-0000-0000-000053A40000}"/>
    <cellStyle name="Финансовый 4 2 8 4 2 8" xfId="48923" xr:uid="{00000000-0005-0000-0000-000054A40000}"/>
    <cellStyle name="Финансовый 4 2 8 4 3" xfId="4924" xr:uid="{00000000-0005-0000-0000-000055A40000}"/>
    <cellStyle name="Финансовый 4 2 8 4 3 2" xfId="16902" xr:uid="{00000000-0005-0000-0000-000056A40000}"/>
    <cellStyle name="Финансовый 4 2 8 4 3 2 2" xfId="40857" xr:uid="{00000000-0005-0000-0000-000057A40000}"/>
    <cellStyle name="Финансовый 4 2 8 4 3 3" xfId="28879" xr:uid="{00000000-0005-0000-0000-000058A40000}"/>
    <cellStyle name="Финансовый 4 2 8 4 3 4" xfId="50367" xr:uid="{00000000-0005-0000-0000-000059A40000}"/>
    <cellStyle name="Финансовый 4 2 8 4 4" xfId="7534" xr:uid="{00000000-0005-0000-0000-00005AA40000}"/>
    <cellStyle name="Финансовый 4 2 8 4 4 2" xfId="19512" xr:uid="{00000000-0005-0000-0000-00005BA40000}"/>
    <cellStyle name="Финансовый 4 2 8 4 4 2 2" xfId="43467" xr:uid="{00000000-0005-0000-0000-00005CA40000}"/>
    <cellStyle name="Финансовый 4 2 8 4 4 3" xfId="31489" xr:uid="{00000000-0005-0000-0000-00005DA40000}"/>
    <cellStyle name="Финансовый 4 2 8 4 5" xfId="9317" xr:uid="{00000000-0005-0000-0000-00005EA40000}"/>
    <cellStyle name="Финансовый 4 2 8 4 5 2" xfId="21295" xr:uid="{00000000-0005-0000-0000-00005FA40000}"/>
    <cellStyle name="Финансовый 4 2 8 4 5 2 2" xfId="45250" xr:uid="{00000000-0005-0000-0000-000060A40000}"/>
    <cellStyle name="Финансовый 4 2 8 4 5 3" xfId="33272" xr:uid="{00000000-0005-0000-0000-000061A40000}"/>
    <cellStyle name="Финансовый 4 2 8 4 6" xfId="13475" xr:uid="{00000000-0005-0000-0000-000062A40000}"/>
    <cellStyle name="Финансовый 4 2 8 4 6 2" xfId="37430" xr:uid="{00000000-0005-0000-0000-000063A40000}"/>
    <cellStyle name="Финансовый 4 2 8 4 7" xfId="25453" xr:uid="{00000000-0005-0000-0000-000064A40000}"/>
    <cellStyle name="Финансовый 4 2 8 4 8" xfId="48586" xr:uid="{00000000-0005-0000-0000-000065A40000}"/>
    <cellStyle name="Финансовый 4 2 8 5" xfId="1717" xr:uid="{00000000-0005-0000-0000-000066A40000}"/>
    <cellStyle name="Финансовый 4 2 8 5 2" xfId="3362" xr:uid="{00000000-0005-0000-0000-000067A40000}"/>
    <cellStyle name="Финансовый 4 2 8 5 2 2" xfId="11110" xr:uid="{00000000-0005-0000-0000-000068A40000}"/>
    <cellStyle name="Финансовый 4 2 8 5 2 2 2" xfId="23088" xr:uid="{00000000-0005-0000-0000-000069A40000}"/>
    <cellStyle name="Финансовый 4 2 8 5 2 2 2 2" xfId="47043" xr:uid="{00000000-0005-0000-0000-00006AA40000}"/>
    <cellStyle name="Финансовый 4 2 8 5 2 2 3" xfId="35065" xr:uid="{00000000-0005-0000-0000-00006BA40000}"/>
    <cellStyle name="Финансовый 4 2 8 5 2 3" xfId="15341" xr:uid="{00000000-0005-0000-0000-00006CA40000}"/>
    <cellStyle name="Финансовый 4 2 8 5 2 3 2" xfId="39296" xr:uid="{00000000-0005-0000-0000-00006DA40000}"/>
    <cellStyle name="Финансовый 4 2 8 5 2 4" xfId="27319" xr:uid="{00000000-0005-0000-0000-00006EA40000}"/>
    <cellStyle name="Финансовый 4 2 8 5 2 5" xfId="50588" xr:uid="{00000000-0005-0000-0000-00006FA40000}"/>
    <cellStyle name="Финансовый 4 2 8 5 3" xfId="5145" xr:uid="{00000000-0005-0000-0000-000070A40000}"/>
    <cellStyle name="Финансовый 4 2 8 5 3 2" xfId="17123" xr:uid="{00000000-0005-0000-0000-000071A40000}"/>
    <cellStyle name="Финансовый 4 2 8 5 3 2 2" xfId="41078" xr:uid="{00000000-0005-0000-0000-000072A40000}"/>
    <cellStyle name="Финансовый 4 2 8 5 3 3" xfId="29100" xr:uid="{00000000-0005-0000-0000-000073A40000}"/>
    <cellStyle name="Финансовый 4 2 8 5 4" xfId="7755" xr:uid="{00000000-0005-0000-0000-000074A40000}"/>
    <cellStyle name="Финансовый 4 2 8 5 4 2" xfId="19733" xr:uid="{00000000-0005-0000-0000-000075A40000}"/>
    <cellStyle name="Финансовый 4 2 8 5 4 2 2" xfId="43688" xr:uid="{00000000-0005-0000-0000-000076A40000}"/>
    <cellStyle name="Финансовый 4 2 8 5 4 3" xfId="31710" xr:uid="{00000000-0005-0000-0000-000077A40000}"/>
    <cellStyle name="Финансовый 4 2 8 5 5" xfId="9538" xr:uid="{00000000-0005-0000-0000-000078A40000}"/>
    <cellStyle name="Финансовый 4 2 8 5 5 2" xfId="21516" xr:uid="{00000000-0005-0000-0000-000079A40000}"/>
    <cellStyle name="Финансовый 4 2 8 5 5 2 2" xfId="45471" xr:uid="{00000000-0005-0000-0000-00007AA40000}"/>
    <cellStyle name="Финансовый 4 2 8 5 5 3" xfId="33493" xr:uid="{00000000-0005-0000-0000-00007BA40000}"/>
    <cellStyle name="Финансовый 4 2 8 5 6" xfId="13696" xr:uid="{00000000-0005-0000-0000-00007CA40000}"/>
    <cellStyle name="Финансовый 4 2 8 5 6 2" xfId="37651" xr:uid="{00000000-0005-0000-0000-00007DA40000}"/>
    <cellStyle name="Финансовый 4 2 8 5 7" xfId="25674" xr:uid="{00000000-0005-0000-0000-00007EA40000}"/>
    <cellStyle name="Финансовый 4 2 8 5 8" xfId="48807" xr:uid="{00000000-0005-0000-0000-00007FA40000}"/>
    <cellStyle name="Финансовый 4 2 8 6" xfId="2353" xr:uid="{00000000-0005-0000-0000-000080A40000}"/>
    <cellStyle name="Финансовый 4 2 8 6 2" xfId="3998" xr:uid="{00000000-0005-0000-0000-000081A40000}"/>
    <cellStyle name="Финансовый 4 2 8 6 2 2" xfId="11738" xr:uid="{00000000-0005-0000-0000-000082A40000}"/>
    <cellStyle name="Финансовый 4 2 8 6 2 2 2" xfId="23716" xr:uid="{00000000-0005-0000-0000-000083A40000}"/>
    <cellStyle name="Финансовый 4 2 8 6 2 2 2 2" xfId="47671" xr:uid="{00000000-0005-0000-0000-000084A40000}"/>
    <cellStyle name="Финансовый 4 2 8 6 2 2 3" xfId="35693" xr:uid="{00000000-0005-0000-0000-000085A40000}"/>
    <cellStyle name="Финансовый 4 2 8 6 2 3" xfId="15977" xr:uid="{00000000-0005-0000-0000-000086A40000}"/>
    <cellStyle name="Финансовый 4 2 8 6 2 3 2" xfId="39932" xr:uid="{00000000-0005-0000-0000-000087A40000}"/>
    <cellStyle name="Финансовый 4 2 8 6 2 4" xfId="27955" xr:uid="{00000000-0005-0000-0000-000088A40000}"/>
    <cellStyle name="Финансовый 4 2 8 6 2 5" xfId="51224" xr:uid="{00000000-0005-0000-0000-000089A40000}"/>
    <cellStyle name="Финансовый 4 2 8 6 3" xfId="5781" xr:uid="{00000000-0005-0000-0000-00008AA40000}"/>
    <cellStyle name="Финансовый 4 2 8 6 3 2" xfId="17759" xr:uid="{00000000-0005-0000-0000-00008BA40000}"/>
    <cellStyle name="Финансовый 4 2 8 6 3 2 2" xfId="41714" xr:uid="{00000000-0005-0000-0000-00008CA40000}"/>
    <cellStyle name="Финансовый 4 2 8 6 3 3" xfId="29736" xr:uid="{00000000-0005-0000-0000-00008DA40000}"/>
    <cellStyle name="Финансовый 4 2 8 6 4" xfId="8391" xr:uid="{00000000-0005-0000-0000-00008EA40000}"/>
    <cellStyle name="Финансовый 4 2 8 6 4 2" xfId="20369" xr:uid="{00000000-0005-0000-0000-00008FA40000}"/>
    <cellStyle name="Финансовый 4 2 8 6 4 2 2" xfId="44324" xr:uid="{00000000-0005-0000-0000-000090A40000}"/>
    <cellStyle name="Финансовый 4 2 8 6 4 3" xfId="32346" xr:uid="{00000000-0005-0000-0000-000091A40000}"/>
    <cellStyle name="Финансовый 4 2 8 6 5" xfId="10174" xr:uid="{00000000-0005-0000-0000-000092A40000}"/>
    <cellStyle name="Финансовый 4 2 8 6 5 2" xfId="22152" xr:uid="{00000000-0005-0000-0000-000093A40000}"/>
    <cellStyle name="Финансовый 4 2 8 6 5 2 2" xfId="46107" xr:uid="{00000000-0005-0000-0000-000094A40000}"/>
    <cellStyle name="Финансовый 4 2 8 6 5 3" xfId="34129" xr:uid="{00000000-0005-0000-0000-000095A40000}"/>
    <cellStyle name="Финансовый 4 2 8 6 6" xfId="14332" xr:uid="{00000000-0005-0000-0000-000096A40000}"/>
    <cellStyle name="Финансовый 4 2 8 6 6 2" xfId="38287" xr:uid="{00000000-0005-0000-0000-000097A40000}"/>
    <cellStyle name="Финансовый 4 2 8 6 7" xfId="26310" xr:uid="{00000000-0005-0000-0000-000098A40000}"/>
    <cellStyle name="Финансовый 4 2 8 6 8" xfId="49443" xr:uid="{00000000-0005-0000-0000-000099A40000}"/>
    <cellStyle name="Финансовый 4 2 8 7" xfId="1580" xr:uid="{00000000-0005-0000-0000-00009AA40000}"/>
    <cellStyle name="Финансовый 4 2 8 7 2" xfId="3225" xr:uid="{00000000-0005-0000-0000-00009BA40000}"/>
    <cellStyle name="Финансовый 4 2 8 7 2 2" xfId="10981" xr:uid="{00000000-0005-0000-0000-00009CA40000}"/>
    <cellStyle name="Финансовый 4 2 8 7 2 2 2" xfId="22959" xr:uid="{00000000-0005-0000-0000-00009DA40000}"/>
    <cellStyle name="Финансовый 4 2 8 7 2 2 2 2" xfId="46914" xr:uid="{00000000-0005-0000-0000-00009EA40000}"/>
    <cellStyle name="Финансовый 4 2 8 7 2 2 3" xfId="34936" xr:uid="{00000000-0005-0000-0000-00009FA40000}"/>
    <cellStyle name="Финансовый 4 2 8 7 2 3" xfId="15204" xr:uid="{00000000-0005-0000-0000-0000A0A40000}"/>
    <cellStyle name="Финансовый 4 2 8 7 2 3 2" xfId="39159" xr:uid="{00000000-0005-0000-0000-0000A1A40000}"/>
    <cellStyle name="Финансовый 4 2 8 7 2 4" xfId="27182" xr:uid="{00000000-0005-0000-0000-0000A2A40000}"/>
    <cellStyle name="Финансовый 4 2 8 7 2 5" xfId="50451" xr:uid="{00000000-0005-0000-0000-0000A3A40000}"/>
    <cellStyle name="Финансовый 4 2 8 7 3" xfId="5008" xr:uid="{00000000-0005-0000-0000-0000A4A40000}"/>
    <cellStyle name="Финансовый 4 2 8 7 3 2" xfId="16986" xr:uid="{00000000-0005-0000-0000-0000A5A40000}"/>
    <cellStyle name="Финансовый 4 2 8 7 3 2 2" xfId="40941" xr:uid="{00000000-0005-0000-0000-0000A6A40000}"/>
    <cellStyle name="Финансовый 4 2 8 7 3 3" xfId="28963" xr:uid="{00000000-0005-0000-0000-0000A7A40000}"/>
    <cellStyle name="Финансовый 4 2 8 7 4" xfId="7618" xr:uid="{00000000-0005-0000-0000-0000A8A40000}"/>
    <cellStyle name="Финансовый 4 2 8 7 4 2" xfId="19596" xr:uid="{00000000-0005-0000-0000-0000A9A40000}"/>
    <cellStyle name="Финансовый 4 2 8 7 4 2 2" xfId="43551" xr:uid="{00000000-0005-0000-0000-0000AAA40000}"/>
    <cellStyle name="Финансовый 4 2 8 7 4 3" xfId="31573" xr:uid="{00000000-0005-0000-0000-0000ABA40000}"/>
    <cellStyle name="Финансовый 4 2 8 7 5" xfId="9401" xr:uid="{00000000-0005-0000-0000-0000ACA40000}"/>
    <cellStyle name="Финансовый 4 2 8 7 5 2" xfId="21379" xr:uid="{00000000-0005-0000-0000-0000ADA40000}"/>
    <cellStyle name="Финансовый 4 2 8 7 5 2 2" xfId="45334" xr:uid="{00000000-0005-0000-0000-0000AEA40000}"/>
    <cellStyle name="Финансовый 4 2 8 7 5 3" xfId="33356" xr:uid="{00000000-0005-0000-0000-0000AFA40000}"/>
    <cellStyle name="Финансовый 4 2 8 7 6" xfId="13559" xr:uid="{00000000-0005-0000-0000-0000B0A40000}"/>
    <cellStyle name="Финансовый 4 2 8 7 6 2" xfId="37514" xr:uid="{00000000-0005-0000-0000-0000B1A40000}"/>
    <cellStyle name="Финансовый 4 2 8 7 7" xfId="25537" xr:uid="{00000000-0005-0000-0000-0000B2A40000}"/>
    <cellStyle name="Финансовый 4 2 8 7 8" xfId="48670" xr:uid="{00000000-0005-0000-0000-0000B3A40000}"/>
    <cellStyle name="Финансовый 4 2 8 8" xfId="866" xr:uid="{00000000-0005-0000-0000-0000B4A40000}"/>
    <cellStyle name="Финансовый 4 2 8 8 2" xfId="6906" xr:uid="{00000000-0005-0000-0000-0000B5A40000}"/>
    <cellStyle name="Финансовый 4 2 8 8 2 2" xfId="18884" xr:uid="{00000000-0005-0000-0000-0000B6A40000}"/>
    <cellStyle name="Финансовый 4 2 8 8 2 2 2" xfId="42839" xr:uid="{00000000-0005-0000-0000-0000B7A40000}"/>
    <cellStyle name="Финансовый 4 2 8 8 2 3" xfId="30861" xr:uid="{00000000-0005-0000-0000-0000B8A40000}"/>
    <cellStyle name="Финансовый 4 2 8 8 3" xfId="10454" xr:uid="{00000000-0005-0000-0000-0000B9A40000}"/>
    <cellStyle name="Финансовый 4 2 8 8 3 2" xfId="22432" xr:uid="{00000000-0005-0000-0000-0000BAA40000}"/>
    <cellStyle name="Финансовый 4 2 8 8 3 2 2" xfId="46387" xr:uid="{00000000-0005-0000-0000-0000BBA40000}"/>
    <cellStyle name="Финансовый 4 2 8 8 3 3" xfId="34409" xr:uid="{00000000-0005-0000-0000-0000BCA40000}"/>
    <cellStyle name="Финансовый 4 2 8 8 4" xfId="12847" xr:uid="{00000000-0005-0000-0000-0000BDA40000}"/>
    <cellStyle name="Финансовый 4 2 8 8 4 2" xfId="36802" xr:uid="{00000000-0005-0000-0000-0000BEA40000}"/>
    <cellStyle name="Финансовый 4 2 8 8 5" xfId="24825" xr:uid="{00000000-0005-0000-0000-0000BFA40000}"/>
    <cellStyle name="Финансовый 4 2 8 8 6" xfId="49723" xr:uid="{00000000-0005-0000-0000-0000C0A40000}"/>
    <cellStyle name="Финансовый 4 2 8 9" xfId="446" xr:uid="{00000000-0005-0000-0000-0000C1A40000}"/>
    <cellStyle name="Финансовый 4 2 8 9 2" xfId="6486" xr:uid="{00000000-0005-0000-0000-0000C2A40000}"/>
    <cellStyle name="Финансовый 4 2 8 9 2 2" xfId="18464" xr:uid="{00000000-0005-0000-0000-0000C3A40000}"/>
    <cellStyle name="Финансовый 4 2 8 9 2 2 2" xfId="42419" xr:uid="{00000000-0005-0000-0000-0000C4A40000}"/>
    <cellStyle name="Финансовый 4 2 8 9 2 3" xfId="30441" xr:uid="{00000000-0005-0000-0000-0000C5A40000}"/>
    <cellStyle name="Финансовый 4 2 8 9 3" xfId="12427" xr:uid="{00000000-0005-0000-0000-0000C6A40000}"/>
    <cellStyle name="Финансовый 4 2 8 9 3 2" xfId="36382" xr:uid="{00000000-0005-0000-0000-0000C7A40000}"/>
    <cellStyle name="Финансовый 4 2 8 9 4" xfId="24405" xr:uid="{00000000-0005-0000-0000-0000C8A40000}"/>
    <cellStyle name="Финансовый 4 2 9" xfId="149" xr:uid="{00000000-0005-0000-0000-0000C9A40000}"/>
    <cellStyle name="Финансовый 4 2 9 10" xfId="8797" xr:uid="{00000000-0005-0000-0000-0000CAA40000}"/>
    <cellStyle name="Финансовый 4 2 9 10 2" xfId="20775" xr:uid="{00000000-0005-0000-0000-0000CBA40000}"/>
    <cellStyle name="Финансовый 4 2 9 10 2 2" xfId="44730" xr:uid="{00000000-0005-0000-0000-0000CCA40000}"/>
    <cellStyle name="Финансовый 4 2 9 10 3" xfId="32752" xr:uid="{00000000-0005-0000-0000-0000CDA40000}"/>
    <cellStyle name="Финансовый 4 2 9 11" xfId="12131" xr:uid="{00000000-0005-0000-0000-0000CEA40000}"/>
    <cellStyle name="Финансовый 4 2 9 11 2" xfId="36086" xr:uid="{00000000-0005-0000-0000-0000CFA40000}"/>
    <cellStyle name="Финансовый 4 2 9 12" xfId="24109" xr:uid="{00000000-0005-0000-0000-0000D0A40000}"/>
    <cellStyle name="Финансовый 4 2 9 13" xfId="48067" xr:uid="{00000000-0005-0000-0000-0000D1A40000}"/>
    <cellStyle name="Финансовый 4 2 9 2" xfId="1247" xr:uid="{00000000-0005-0000-0000-0000D2A40000}"/>
    <cellStyle name="Финансовый 4 2 9 2 2" xfId="2213" xr:uid="{00000000-0005-0000-0000-0000D3A40000}"/>
    <cellStyle name="Финансовый 4 2 9 2 2 2" xfId="3858" xr:uid="{00000000-0005-0000-0000-0000D4A40000}"/>
    <cellStyle name="Финансовый 4 2 9 2 2 2 2" xfId="11598" xr:uid="{00000000-0005-0000-0000-0000D5A40000}"/>
    <cellStyle name="Финансовый 4 2 9 2 2 2 2 2" xfId="23576" xr:uid="{00000000-0005-0000-0000-0000D6A40000}"/>
    <cellStyle name="Финансовый 4 2 9 2 2 2 2 2 2" xfId="47531" xr:uid="{00000000-0005-0000-0000-0000D7A40000}"/>
    <cellStyle name="Финансовый 4 2 9 2 2 2 2 3" xfId="35553" xr:uid="{00000000-0005-0000-0000-0000D8A40000}"/>
    <cellStyle name="Финансовый 4 2 9 2 2 2 3" xfId="15837" xr:uid="{00000000-0005-0000-0000-0000D9A40000}"/>
    <cellStyle name="Финансовый 4 2 9 2 2 2 3 2" xfId="39792" xr:uid="{00000000-0005-0000-0000-0000DAA40000}"/>
    <cellStyle name="Финансовый 4 2 9 2 2 2 4" xfId="27815" xr:uid="{00000000-0005-0000-0000-0000DBA40000}"/>
    <cellStyle name="Финансовый 4 2 9 2 2 2 5" xfId="51084" xr:uid="{00000000-0005-0000-0000-0000DCA40000}"/>
    <cellStyle name="Финансовый 4 2 9 2 2 3" xfId="5641" xr:uid="{00000000-0005-0000-0000-0000DDA40000}"/>
    <cellStyle name="Финансовый 4 2 9 2 2 3 2" xfId="17619" xr:uid="{00000000-0005-0000-0000-0000DEA40000}"/>
    <cellStyle name="Финансовый 4 2 9 2 2 3 2 2" xfId="41574" xr:uid="{00000000-0005-0000-0000-0000DFA40000}"/>
    <cellStyle name="Финансовый 4 2 9 2 2 3 3" xfId="29596" xr:uid="{00000000-0005-0000-0000-0000E0A40000}"/>
    <cellStyle name="Финансовый 4 2 9 2 2 4" xfId="8251" xr:uid="{00000000-0005-0000-0000-0000E1A40000}"/>
    <cellStyle name="Финансовый 4 2 9 2 2 4 2" xfId="20229" xr:uid="{00000000-0005-0000-0000-0000E2A40000}"/>
    <cellStyle name="Финансовый 4 2 9 2 2 4 2 2" xfId="44184" xr:uid="{00000000-0005-0000-0000-0000E3A40000}"/>
    <cellStyle name="Финансовый 4 2 9 2 2 4 3" xfId="32206" xr:uid="{00000000-0005-0000-0000-0000E4A40000}"/>
    <cellStyle name="Финансовый 4 2 9 2 2 5" xfId="10034" xr:uid="{00000000-0005-0000-0000-0000E5A40000}"/>
    <cellStyle name="Финансовый 4 2 9 2 2 5 2" xfId="22012" xr:uid="{00000000-0005-0000-0000-0000E6A40000}"/>
    <cellStyle name="Финансовый 4 2 9 2 2 5 2 2" xfId="45967" xr:uid="{00000000-0005-0000-0000-0000E7A40000}"/>
    <cellStyle name="Финансовый 4 2 9 2 2 5 3" xfId="33989" xr:uid="{00000000-0005-0000-0000-0000E8A40000}"/>
    <cellStyle name="Финансовый 4 2 9 2 2 6" xfId="14192" xr:uid="{00000000-0005-0000-0000-0000E9A40000}"/>
    <cellStyle name="Финансовый 4 2 9 2 2 6 2" xfId="38147" xr:uid="{00000000-0005-0000-0000-0000EAA40000}"/>
    <cellStyle name="Финансовый 4 2 9 2 2 7" xfId="26170" xr:uid="{00000000-0005-0000-0000-0000EBA40000}"/>
    <cellStyle name="Финансовый 4 2 9 2 2 8" xfId="49303" xr:uid="{00000000-0005-0000-0000-0000ECA40000}"/>
    <cellStyle name="Финансовый 4 2 9 2 3" xfId="3031" xr:uid="{00000000-0005-0000-0000-0000EDA40000}"/>
    <cellStyle name="Финансовый 4 2 9 2 3 2" xfId="10826" xr:uid="{00000000-0005-0000-0000-0000EEA40000}"/>
    <cellStyle name="Финансовый 4 2 9 2 3 2 2" xfId="22804" xr:uid="{00000000-0005-0000-0000-0000EFA40000}"/>
    <cellStyle name="Финансовый 4 2 9 2 3 2 2 2" xfId="46759" xr:uid="{00000000-0005-0000-0000-0000F0A40000}"/>
    <cellStyle name="Финансовый 4 2 9 2 3 2 3" xfId="34781" xr:uid="{00000000-0005-0000-0000-0000F1A40000}"/>
    <cellStyle name="Финансовый 4 2 9 2 3 3" xfId="15010" xr:uid="{00000000-0005-0000-0000-0000F2A40000}"/>
    <cellStyle name="Финансовый 4 2 9 2 3 3 2" xfId="38965" xr:uid="{00000000-0005-0000-0000-0000F3A40000}"/>
    <cellStyle name="Финансовый 4 2 9 2 3 4" xfId="26988" xr:uid="{00000000-0005-0000-0000-0000F4A40000}"/>
    <cellStyle name="Финансовый 4 2 9 2 3 5" xfId="50119" xr:uid="{00000000-0005-0000-0000-0000F5A40000}"/>
    <cellStyle name="Финансовый 4 2 9 2 4" xfId="4675" xr:uid="{00000000-0005-0000-0000-0000F6A40000}"/>
    <cellStyle name="Финансовый 4 2 9 2 4 2" xfId="16654" xr:uid="{00000000-0005-0000-0000-0000F7A40000}"/>
    <cellStyle name="Финансовый 4 2 9 2 4 2 2" xfId="40609" xr:uid="{00000000-0005-0000-0000-0000F8A40000}"/>
    <cellStyle name="Финансовый 4 2 9 2 4 3" xfId="28632" xr:uid="{00000000-0005-0000-0000-0000F9A40000}"/>
    <cellStyle name="Финансовый 4 2 9 2 5" xfId="7287" xr:uid="{00000000-0005-0000-0000-0000FAA40000}"/>
    <cellStyle name="Финансовый 4 2 9 2 5 2" xfId="19265" xr:uid="{00000000-0005-0000-0000-0000FBA40000}"/>
    <cellStyle name="Финансовый 4 2 9 2 5 2 2" xfId="43220" xr:uid="{00000000-0005-0000-0000-0000FCA40000}"/>
    <cellStyle name="Финансовый 4 2 9 2 5 3" xfId="31242" xr:uid="{00000000-0005-0000-0000-0000FDA40000}"/>
    <cellStyle name="Финансовый 4 2 9 2 6" xfId="9069" xr:uid="{00000000-0005-0000-0000-0000FEA40000}"/>
    <cellStyle name="Финансовый 4 2 9 2 6 2" xfId="21047" xr:uid="{00000000-0005-0000-0000-0000FFA40000}"/>
    <cellStyle name="Финансовый 4 2 9 2 6 2 2" xfId="45002" xr:uid="{00000000-0005-0000-0000-000000A50000}"/>
    <cellStyle name="Финансовый 4 2 9 2 6 3" xfId="33024" xr:uid="{00000000-0005-0000-0000-000001A50000}"/>
    <cellStyle name="Финансовый 4 2 9 2 7" xfId="13228" xr:uid="{00000000-0005-0000-0000-000002A50000}"/>
    <cellStyle name="Финансовый 4 2 9 2 7 2" xfId="37183" xr:uid="{00000000-0005-0000-0000-000003A50000}"/>
    <cellStyle name="Финансовый 4 2 9 2 8" xfId="25206" xr:uid="{00000000-0005-0000-0000-000004A50000}"/>
    <cellStyle name="Финансовый 4 2 9 2 9" xfId="48339" xr:uid="{00000000-0005-0000-0000-000005A50000}"/>
    <cellStyle name="Финансовый 4 2 9 3" xfId="1957" xr:uid="{00000000-0005-0000-0000-000006A50000}"/>
    <cellStyle name="Финансовый 4 2 9 3 2" xfId="3602" xr:uid="{00000000-0005-0000-0000-000007A50000}"/>
    <cellStyle name="Финансовый 4 2 9 3 2 2" xfId="11342" xr:uid="{00000000-0005-0000-0000-000008A50000}"/>
    <cellStyle name="Финансовый 4 2 9 3 2 2 2" xfId="23320" xr:uid="{00000000-0005-0000-0000-000009A50000}"/>
    <cellStyle name="Финансовый 4 2 9 3 2 2 2 2" xfId="47275" xr:uid="{00000000-0005-0000-0000-00000AA50000}"/>
    <cellStyle name="Финансовый 4 2 9 3 2 2 3" xfId="35297" xr:uid="{00000000-0005-0000-0000-00000BA50000}"/>
    <cellStyle name="Финансовый 4 2 9 3 2 3" xfId="15581" xr:uid="{00000000-0005-0000-0000-00000CA50000}"/>
    <cellStyle name="Финансовый 4 2 9 3 2 3 2" xfId="39536" xr:uid="{00000000-0005-0000-0000-00000DA50000}"/>
    <cellStyle name="Финансовый 4 2 9 3 2 4" xfId="27559" xr:uid="{00000000-0005-0000-0000-00000EA50000}"/>
    <cellStyle name="Финансовый 4 2 9 3 2 5" xfId="50828" xr:uid="{00000000-0005-0000-0000-00000FA50000}"/>
    <cellStyle name="Финансовый 4 2 9 3 3" xfId="5385" xr:uid="{00000000-0005-0000-0000-000010A50000}"/>
    <cellStyle name="Финансовый 4 2 9 3 3 2" xfId="17363" xr:uid="{00000000-0005-0000-0000-000011A50000}"/>
    <cellStyle name="Финансовый 4 2 9 3 3 2 2" xfId="41318" xr:uid="{00000000-0005-0000-0000-000012A50000}"/>
    <cellStyle name="Финансовый 4 2 9 3 3 3" xfId="29340" xr:uid="{00000000-0005-0000-0000-000013A50000}"/>
    <cellStyle name="Финансовый 4 2 9 3 4" xfId="7995" xr:uid="{00000000-0005-0000-0000-000014A50000}"/>
    <cellStyle name="Финансовый 4 2 9 3 4 2" xfId="19973" xr:uid="{00000000-0005-0000-0000-000015A50000}"/>
    <cellStyle name="Финансовый 4 2 9 3 4 2 2" xfId="43928" xr:uid="{00000000-0005-0000-0000-000016A50000}"/>
    <cellStyle name="Финансовый 4 2 9 3 4 3" xfId="31950" xr:uid="{00000000-0005-0000-0000-000017A50000}"/>
    <cellStyle name="Финансовый 4 2 9 3 5" xfId="9778" xr:uid="{00000000-0005-0000-0000-000018A50000}"/>
    <cellStyle name="Финансовый 4 2 9 3 5 2" xfId="21756" xr:uid="{00000000-0005-0000-0000-000019A50000}"/>
    <cellStyle name="Финансовый 4 2 9 3 5 2 2" xfId="45711" xr:uid="{00000000-0005-0000-0000-00001AA50000}"/>
    <cellStyle name="Финансовый 4 2 9 3 5 3" xfId="33733" xr:uid="{00000000-0005-0000-0000-00001BA50000}"/>
    <cellStyle name="Финансовый 4 2 9 3 6" xfId="13936" xr:uid="{00000000-0005-0000-0000-00001CA50000}"/>
    <cellStyle name="Финансовый 4 2 9 3 6 2" xfId="37891" xr:uid="{00000000-0005-0000-0000-00001DA50000}"/>
    <cellStyle name="Финансовый 4 2 9 3 7" xfId="25914" xr:uid="{00000000-0005-0000-0000-00001EA50000}"/>
    <cellStyle name="Финансовый 4 2 9 3 8" xfId="49047" xr:uid="{00000000-0005-0000-0000-00001FA50000}"/>
    <cellStyle name="Финансовый 4 2 9 4" xfId="2478" xr:uid="{00000000-0005-0000-0000-000020A50000}"/>
    <cellStyle name="Финансовый 4 2 9 4 2" xfId="4123" xr:uid="{00000000-0005-0000-0000-000021A50000}"/>
    <cellStyle name="Финансовый 4 2 9 4 2 2" xfId="11855" xr:uid="{00000000-0005-0000-0000-000022A50000}"/>
    <cellStyle name="Финансовый 4 2 9 4 2 2 2" xfId="23833" xr:uid="{00000000-0005-0000-0000-000023A50000}"/>
    <cellStyle name="Финансовый 4 2 9 4 2 2 2 2" xfId="47788" xr:uid="{00000000-0005-0000-0000-000024A50000}"/>
    <cellStyle name="Финансовый 4 2 9 4 2 2 3" xfId="35810" xr:uid="{00000000-0005-0000-0000-000025A50000}"/>
    <cellStyle name="Финансовый 4 2 9 4 2 3" xfId="16102" xr:uid="{00000000-0005-0000-0000-000026A50000}"/>
    <cellStyle name="Финансовый 4 2 9 4 2 3 2" xfId="40057" xr:uid="{00000000-0005-0000-0000-000027A50000}"/>
    <cellStyle name="Финансовый 4 2 9 4 2 4" xfId="28080" xr:uid="{00000000-0005-0000-0000-000028A50000}"/>
    <cellStyle name="Финансовый 4 2 9 4 2 5" xfId="51349" xr:uid="{00000000-0005-0000-0000-000029A50000}"/>
    <cellStyle name="Финансовый 4 2 9 4 3" xfId="5906" xr:uid="{00000000-0005-0000-0000-00002AA50000}"/>
    <cellStyle name="Финансовый 4 2 9 4 3 2" xfId="17884" xr:uid="{00000000-0005-0000-0000-00002BA50000}"/>
    <cellStyle name="Финансовый 4 2 9 4 3 2 2" xfId="41839" xr:uid="{00000000-0005-0000-0000-00002CA50000}"/>
    <cellStyle name="Финансовый 4 2 9 4 3 3" xfId="29861" xr:uid="{00000000-0005-0000-0000-00002DA50000}"/>
    <cellStyle name="Финансовый 4 2 9 4 4" xfId="8516" xr:uid="{00000000-0005-0000-0000-00002EA50000}"/>
    <cellStyle name="Финансовый 4 2 9 4 4 2" xfId="20494" xr:uid="{00000000-0005-0000-0000-00002FA50000}"/>
    <cellStyle name="Финансовый 4 2 9 4 4 2 2" xfId="44449" xr:uid="{00000000-0005-0000-0000-000030A50000}"/>
    <cellStyle name="Финансовый 4 2 9 4 4 3" xfId="32471" xr:uid="{00000000-0005-0000-0000-000031A50000}"/>
    <cellStyle name="Финансовый 4 2 9 4 5" xfId="10299" xr:uid="{00000000-0005-0000-0000-000032A50000}"/>
    <cellStyle name="Финансовый 4 2 9 4 5 2" xfId="22277" xr:uid="{00000000-0005-0000-0000-000033A50000}"/>
    <cellStyle name="Финансовый 4 2 9 4 5 2 2" xfId="46232" xr:uid="{00000000-0005-0000-0000-000034A50000}"/>
    <cellStyle name="Финансовый 4 2 9 4 5 3" xfId="34254" xr:uid="{00000000-0005-0000-0000-000035A50000}"/>
    <cellStyle name="Финансовый 4 2 9 4 6" xfId="14457" xr:uid="{00000000-0005-0000-0000-000036A50000}"/>
    <cellStyle name="Финансовый 4 2 9 4 6 2" xfId="38412" xr:uid="{00000000-0005-0000-0000-000037A50000}"/>
    <cellStyle name="Финансовый 4 2 9 4 7" xfId="26435" xr:uid="{00000000-0005-0000-0000-000038A50000}"/>
    <cellStyle name="Финансовый 4 2 9 4 8" xfId="49568" xr:uid="{00000000-0005-0000-0000-000039A50000}"/>
    <cellStyle name="Финансовый 4 2 9 5" xfId="982" xr:uid="{00000000-0005-0000-0000-00003AA50000}"/>
    <cellStyle name="Финансовый 4 2 9 5 2" xfId="7022" xr:uid="{00000000-0005-0000-0000-00003BA50000}"/>
    <cellStyle name="Финансовый 4 2 9 5 2 2" xfId="19000" xr:uid="{00000000-0005-0000-0000-00003CA50000}"/>
    <cellStyle name="Финансовый 4 2 9 5 2 2 2" xfId="42955" xr:uid="{00000000-0005-0000-0000-00003DA50000}"/>
    <cellStyle name="Финансовый 4 2 9 5 2 3" xfId="30977" xr:uid="{00000000-0005-0000-0000-00003EA50000}"/>
    <cellStyle name="Финансовый 4 2 9 5 3" xfId="10570" xr:uid="{00000000-0005-0000-0000-00003FA50000}"/>
    <cellStyle name="Финансовый 4 2 9 5 3 2" xfId="22548" xr:uid="{00000000-0005-0000-0000-000040A50000}"/>
    <cellStyle name="Финансовый 4 2 9 5 3 2 2" xfId="46503" xr:uid="{00000000-0005-0000-0000-000041A50000}"/>
    <cellStyle name="Финансовый 4 2 9 5 3 3" xfId="34525" xr:uid="{00000000-0005-0000-0000-000042A50000}"/>
    <cellStyle name="Финансовый 4 2 9 5 4" xfId="12963" xr:uid="{00000000-0005-0000-0000-000043A50000}"/>
    <cellStyle name="Финансовый 4 2 9 5 4 2" xfId="36918" xr:uid="{00000000-0005-0000-0000-000044A50000}"/>
    <cellStyle name="Финансовый 4 2 9 5 5" xfId="24941" xr:uid="{00000000-0005-0000-0000-000045A50000}"/>
    <cellStyle name="Финансовый 4 2 9 5 6" xfId="49847" xr:uid="{00000000-0005-0000-0000-000046A50000}"/>
    <cellStyle name="Финансовый 4 2 9 6" xfId="570" xr:uid="{00000000-0005-0000-0000-000047A50000}"/>
    <cellStyle name="Финансовый 4 2 9 6 2" xfId="6610" xr:uid="{00000000-0005-0000-0000-000048A50000}"/>
    <cellStyle name="Финансовый 4 2 9 6 2 2" xfId="18588" xr:uid="{00000000-0005-0000-0000-000049A50000}"/>
    <cellStyle name="Финансовый 4 2 9 6 2 2 2" xfId="42543" xr:uid="{00000000-0005-0000-0000-00004AA50000}"/>
    <cellStyle name="Финансовый 4 2 9 6 2 3" xfId="30565" xr:uid="{00000000-0005-0000-0000-00004BA50000}"/>
    <cellStyle name="Финансовый 4 2 9 6 3" xfId="12551" xr:uid="{00000000-0005-0000-0000-00004CA50000}"/>
    <cellStyle name="Финансовый 4 2 9 6 3 2" xfId="36506" xr:uid="{00000000-0005-0000-0000-00004DA50000}"/>
    <cellStyle name="Финансовый 4 2 9 6 4" xfId="24529" xr:uid="{00000000-0005-0000-0000-00004EA50000}"/>
    <cellStyle name="Финансовый 4 2 9 7" xfId="2759" xr:uid="{00000000-0005-0000-0000-00004FA50000}"/>
    <cellStyle name="Финансовый 4 2 9 7 2" xfId="14738" xr:uid="{00000000-0005-0000-0000-000050A50000}"/>
    <cellStyle name="Финансовый 4 2 9 7 2 2" xfId="38693" xr:uid="{00000000-0005-0000-0000-000051A50000}"/>
    <cellStyle name="Финансовый 4 2 9 7 3" xfId="26716" xr:uid="{00000000-0005-0000-0000-000052A50000}"/>
    <cellStyle name="Финансовый 4 2 9 8" xfId="4403" xr:uid="{00000000-0005-0000-0000-000053A50000}"/>
    <cellStyle name="Финансовый 4 2 9 8 2" xfId="16382" xr:uid="{00000000-0005-0000-0000-000054A50000}"/>
    <cellStyle name="Финансовый 4 2 9 8 2 2" xfId="40337" xr:uid="{00000000-0005-0000-0000-000055A50000}"/>
    <cellStyle name="Финансовый 4 2 9 8 3" xfId="28360" xr:uid="{00000000-0005-0000-0000-000056A50000}"/>
    <cellStyle name="Финансовый 4 2 9 9" xfId="6190" xr:uid="{00000000-0005-0000-0000-000057A50000}"/>
    <cellStyle name="Финансовый 4 2 9 9 2" xfId="18168" xr:uid="{00000000-0005-0000-0000-000058A50000}"/>
    <cellStyle name="Финансовый 4 2 9 9 2 2" xfId="42123" xr:uid="{00000000-0005-0000-0000-000059A50000}"/>
    <cellStyle name="Финансовый 4 2 9 9 3" xfId="30145" xr:uid="{00000000-0005-0000-0000-00005AA50000}"/>
    <cellStyle name="Финансовый 4 20" xfId="2617" xr:uid="{00000000-0005-0000-0000-00005BA50000}"/>
    <cellStyle name="Финансовый 4 20 2" xfId="14596" xr:uid="{00000000-0005-0000-0000-00005CA50000}"/>
    <cellStyle name="Финансовый 4 20 2 2" xfId="38551" xr:uid="{00000000-0005-0000-0000-00005DA50000}"/>
    <cellStyle name="Финансовый 4 20 3" xfId="26574" xr:uid="{00000000-0005-0000-0000-00005EA50000}"/>
    <cellStyle name="Финансовый 4 21" xfId="4260" xr:uid="{00000000-0005-0000-0000-00005FA50000}"/>
    <cellStyle name="Финансовый 4 21 2" xfId="16239" xr:uid="{00000000-0005-0000-0000-000060A50000}"/>
    <cellStyle name="Финансовый 4 21 2 2" xfId="40194" xr:uid="{00000000-0005-0000-0000-000061A50000}"/>
    <cellStyle name="Финансовый 4 21 3" xfId="28217" xr:uid="{00000000-0005-0000-0000-000062A50000}"/>
    <cellStyle name="Финансовый 4 22" xfId="6048" xr:uid="{00000000-0005-0000-0000-000063A50000}"/>
    <cellStyle name="Финансовый 4 22 2" xfId="18026" xr:uid="{00000000-0005-0000-0000-000064A50000}"/>
    <cellStyle name="Финансовый 4 22 2 2" xfId="41981" xr:uid="{00000000-0005-0000-0000-000065A50000}"/>
    <cellStyle name="Финансовый 4 22 3" xfId="30003" xr:uid="{00000000-0005-0000-0000-000066A50000}"/>
    <cellStyle name="Финансовый 4 23" xfId="8655" xr:uid="{00000000-0005-0000-0000-000067A50000}"/>
    <cellStyle name="Финансовый 4 23 2" xfId="20633" xr:uid="{00000000-0005-0000-0000-000068A50000}"/>
    <cellStyle name="Финансовый 4 23 2 2" xfId="44588" xr:uid="{00000000-0005-0000-0000-000069A50000}"/>
    <cellStyle name="Финансовый 4 23 3" xfId="32610" xr:uid="{00000000-0005-0000-0000-00006AA50000}"/>
    <cellStyle name="Финансовый 4 24" xfId="11989" xr:uid="{00000000-0005-0000-0000-00006BA50000}"/>
    <cellStyle name="Финансовый 4 24 2" xfId="35944" xr:uid="{00000000-0005-0000-0000-00006CA50000}"/>
    <cellStyle name="Финансовый 4 25" xfId="23967" xr:uid="{00000000-0005-0000-0000-00006DA50000}"/>
    <cellStyle name="Финансовый 4 26" xfId="47925" xr:uid="{00000000-0005-0000-0000-00006EA50000}"/>
    <cellStyle name="Финансовый 4 3" xfId="41" xr:uid="{00000000-0005-0000-0000-00006FA50000}"/>
    <cellStyle name="Финансовый 4 3 10" xfId="884" xr:uid="{00000000-0005-0000-0000-000070A50000}"/>
    <cellStyle name="Финансовый 4 3 10 2" xfId="6924" xr:uid="{00000000-0005-0000-0000-000071A50000}"/>
    <cellStyle name="Финансовый 4 3 10 2 2" xfId="18902" xr:uid="{00000000-0005-0000-0000-000072A50000}"/>
    <cellStyle name="Финансовый 4 3 10 2 2 2" xfId="42857" xr:uid="{00000000-0005-0000-0000-000073A50000}"/>
    <cellStyle name="Финансовый 4 3 10 2 3" xfId="30879" xr:uid="{00000000-0005-0000-0000-000074A50000}"/>
    <cellStyle name="Финансовый 4 3 10 3" xfId="10472" xr:uid="{00000000-0005-0000-0000-000075A50000}"/>
    <cellStyle name="Финансовый 4 3 10 3 2" xfId="22450" xr:uid="{00000000-0005-0000-0000-000076A50000}"/>
    <cellStyle name="Финансовый 4 3 10 3 2 2" xfId="46405" xr:uid="{00000000-0005-0000-0000-000077A50000}"/>
    <cellStyle name="Финансовый 4 3 10 3 3" xfId="34427" xr:uid="{00000000-0005-0000-0000-000078A50000}"/>
    <cellStyle name="Финансовый 4 3 10 4" xfId="12865" xr:uid="{00000000-0005-0000-0000-000079A50000}"/>
    <cellStyle name="Финансовый 4 3 10 4 2" xfId="36820" xr:uid="{00000000-0005-0000-0000-00007AA50000}"/>
    <cellStyle name="Финансовый 4 3 10 5" xfId="24843" xr:uid="{00000000-0005-0000-0000-00007BA50000}"/>
    <cellStyle name="Финансовый 4 3 10 6" xfId="49741" xr:uid="{00000000-0005-0000-0000-00007CA50000}"/>
    <cellStyle name="Финансовый 4 3 11" xfId="464" xr:uid="{00000000-0005-0000-0000-00007DA50000}"/>
    <cellStyle name="Финансовый 4 3 11 2" xfId="6504" xr:uid="{00000000-0005-0000-0000-00007EA50000}"/>
    <cellStyle name="Финансовый 4 3 11 2 2" xfId="18482" xr:uid="{00000000-0005-0000-0000-00007FA50000}"/>
    <cellStyle name="Финансовый 4 3 11 2 2 2" xfId="42437" xr:uid="{00000000-0005-0000-0000-000080A50000}"/>
    <cellStyle name="Финансовый 4 3 11 2 3" xfId="30459" xr:uid="{00000000-0005-0000-0000-000081A50000}"/>
    <cellStyle name="Финансовый 4 3 11 3" xfId="12445" xr:uid="{00000000-0005-0000-0000-000082A50000}"/>
    <cellStyle name="Финансовый 4 3 11 3 2" xfId="36400" xr:uid="{00000000-0005-0000-0000-000083A50000}"/>
    <cellStyle name="Финансовый 4 3 11 4" xfId="24423" xr:uid="{00000000-0005-0000-0000-000084A50000}"/>
    <cellStyle name="Финансовый 4 3 12" xfId="2653" xr:uid="{00000000-0005-0000-0000-000085A50000}"/>
    <cellStyle name="Финансовый 4 3 12 2" xfId="14632" xr:uid="{00000000-0005-0000-0000-000086A50000}"/>
    <cellStyle name="Финансовый 4 3 12 2 2" xfId="38587" xr:uid="{00000000-0005-0000-0000-000087A50000}"/>
    <cellStyle name="Финансовый 4 3 12 3" xfId="26610" xr:uid="{00000000-0005-0000-0000-000088A50000}"/>
    <cellStyle name="Финансовый 4 3 13" xfId="4296" xr:uid="{00000000-0005-0000-0000-000089A50000}"/>
    <cellStyle name="Финансовый 4 3 13 2" xfId="16275" xr:uid="{00000000-0005-0000-0000-00008AA50000}"/>
    <cellStyle name="Финансовый 4 3 13 2 2" xfId="40230" xr:uid="{00000000-0005-0000-0000-00008BA50000}"/>
    <cellStyle name="Финансовый 4 3 13 3" xfId="28253" xr:uid="{00000000-0005-0000-0000-00008CA50000}"/>
    <cellStyle name="Финансовый 4 3 14" xfId="6084" xr:uid="{00000000-0005-0000-0000-00008DA50000}"/>
    <cellStyle name="Финансовый 4 3 14 2" xfId="18062" xr:uid="{00000000-0005-0000-0000-00008EA50000}"/>
    <cellStyle name="Финансовый 4 3 14 2 2" xfId="42017" xr:uid="{00000000-0005-0000-0000-00008FA50000}"/>
    <cellStyle name="Финансовый 4 3 14 3" xfId="30039" xr:uid="{00000000-0005-0000-0000-000090A50000}"/>
    <cellStyle name="Финансовый 4 3 15" xfId="8691" xr:uid="{00000000-0005-0000-0000-000091A50000}"/>
    <cellStyle name="Финансовый 4 3 15 2" xfId="20669" xr:uid="{00000000-0005-0000-0000-000092A50000}"/>
    <cellStyle name="Финансовый 4 3 15 2 2" xfId="44624" xr:uid="{00000000-0005-0000-0000-000093A50000}"/>
    <cellStyle name="Финансовый 4 3 15 3" xfId="32646" xr:uid="{00000000-0005-0000-0000-000094A50000}"/>
    <cellStyle name="Финансовый 4 3 16" xfId="12025" xr:uid="{00000000-0005-0000-0000-000095A50000}"/>
    <cellStyle name="Финансовый 4 3 16 2" xfId="35980" xr:uid="{00000000-0005-0000-0000-000096A50000}"/>
    <cellStyle name="Финансовый 4 3 17" xfId="24003" xr:uid="{00000000-0005-0000-0000-000097A50000}"/>
    <cellStyle name="Финансовый 4 3 18" xfId="47961" xr:uid="{00000000-0005-0000-0000-000098A50000}"/>
    <cellStyle name="Финансовый 4 3 2" xfId="123" xr:uid="{00000000-0005-0000-0000-000099A50000}"/>
    <cellStyle name="Финансовый 4 3 2 10" xfId="2733" xr:uid="{00000000-0005-0000-0000-00009AA50000}"/>
    <cellStyle name="Финансовый 4 3 2 10 2" xfId="14712" xr:uid="{00000000-0005-0000-0000-00009BA50000}"/>
    <cellStyle name="Финансовый 4 3 2 10 2 2" xfId="38667" xr:uid="{00000000-0005-0000-0000-00009CA50000}"/>
    <cellStyle name="Финансовый 4 3 2 10 3" xfId="26690" xr:uid="{00000000-0005-0000-0000-00009DA50000}"/>
    <cellStyle name="Финансовый 4 3 2 11" xfId="4377" xr:uid="{00000000-0005-0000-0000-00009EA50000}"/>
    <cellStyle name="Финансовый 4 3 2 11 2" xfId="16356" xr:uid="{00000000-0005-0000-0000-00009FA50000}"/>
    <cellStyle name="Финансовый 4 3 2 11 2 2" xfId="40311" xr:uid="{00000000-0005-0000-0000-0000A0A50000}"/>
    <cellStyle name="Финансовый 4 3 2 11 3" xfId="28334" xr:uid="{00000000-0005-0000-0000-0000A1A50000}"/>
    <cellStyle name="Финансовый 4 3 2 12" xfId="6164" xr:uid="{00000000-0005-0000-0000-0000A2A50000}"/>
    <cellStyle name="Финансовый 4 3 2 12 2" xfId="18142" xr:uid="{00000000-0005-0000-0000-0000A3A50000}"/>
    <cellStyle name="Финансовый 4 3 2 12 2 2" xfId="42097" xr:uid="{00000000-0005-0000-0000-0000A4A50000}"/>
    <cellStyle name="Финансовый 4 3 2 12 3" xfId="30119" xr:uid="{00000000-0005-0000-0000-0000A5A50000}"/>
    <cellStyle name="Финансовый 4 3 2 13" xfId="8771" xr:uid="{00000000-0005-0000-0000-0000A6A50000}"/>
    <cellStyle name="Финансовый 4 3 2 13 2" xfId="20749" xr:uid="{00000000-0005-0000-0000-0000A7A50000}"/>
    <cellStyle name="Финансовый 4 3 2 13 2 2" xfId="44704" xr:uid="{00000000-0005-0000-0000-0000A8A50000}"/>
    <cellStyle name="Финансовый 4 3 2 13 3" xfId="32726" xr:uid="{00000000-0005-0000-0000-0000A9A50000}"/>
    <cellStyle name="Финансовый 4 3 2 14" xfId="12105" xr:uid="{00000000-0005-0000-0000-0000AAA50000}"/>
    <cellStyle name="Финансовый 4 3 2 14 2" xfId="36060" xr:uid="{00000000-0005-0000-0000-0000ABA50000}"/>
    <cellStyle name="Финансовый 4 3 2 15" xfId="24083" xr:uid="{00000000-0005-0000-0000-0000ACA50000}"/>
    <cellStyle name="Финансовый 4 3 2 16" xfId="48041" xr:uid="{00000000-0005-0000-0000-0000ADA50000}"/>
    <cellStyle name="Финансовый 4 3 2 2" xfId="259" xr:uid="{00000000-0005-0000-0000-0000AEA50000}"/>
    <cellStyle name="Финансовый 4 3 2 2 10" xfId="8907" xr:uid="{00000000-0005-0000-0000-0000AFA50000}"/>
    <cellStyle name="Финансовый 4 3 2 2 10 2" xfId="20885" xr:uid="{00000000-0005-0000-0000-0000B0A50000}"/>
    <cellStyle name="Финансовый 4 3 2 2 10 2 2" xfId="44840" xr:uid="{00000000-0005-0000-0000-0000B1A50000}"/>
    <cellStyle name="Финансовый 4 3 2 2 10 3" xfId="32862" xr:uid="{00000000-0005-0000-0000-0000B2A50000}"/>
    <cellStyle name="Финансовый 4 3 2 2 11" xfId="12241" xr:uid="{00000000-0005-0000-0000-0000B3A50000}"/>
    <cellStyle name="Финансовый 4 3 2 2 11 2" xfId="36196" xr:uid="{00000000-0005-0000-0000-0000B4A50000}"/>
    <cellStyle name="Финансовый 4 3 2 2 12" xfId="24219" xr:uid="{00000000-0005-0000-0000-0000B5A50000}"/>
    <cellStyle name="Финансовый 4 3 2 2 13" xfId="48177" xr:uid="{00000000-0005-0000-0000-0000B6A50000}"/>
    <cellStyle name="Финансовый 4 3 2 2 2" xfId="1357" xr:uid="{00000000-0005-0000-0000-0000B7A50000}"/>
    <cellStyle name="Финансовый 4 3 2 2 2 2" xfId="2315" xr:uid="{00000000-0005-0000-0000-0000B8A50000}"/>
    <cellStyle name="Финансовый 4 3 2 2 2 2 2" xfId="3960" xr:uid="{00000000-0005-0000-0000-0000B9A50000}"/>
    <cellStyle name="Финансовый 4 3 2 2 2 2 2 2" xfId="11700" xr:uid="{00000000-0005-0000-0000-0000BAA50000}"/>
    <cellStyle name="Финансовый 4 3 2 2 2 2 2 2 2" xfId="23678" xr:uid="{00000000-0005-0000-0000-0000BBA50000}"/>
    <cellStyle name="Финансовый 4 3 2 2 2 2 2 2 2 2" xfId="47633" xr:uid="{00000000-0005-0000-0000-0000BCA50000}"/>
    <cellStyle name="Финансовый 4 3 2 2 2 2 2 2 3" xfId="35655" xr:uid="{00000000-0005-0000-0000-0000BDA50000}"/>
    <cellStyle name="Финансовый 4 3 2 2 2 2 2 3" xfId="15939" xr:uid="{00000000-0005-0000-0000-0000BEA50000}"/>
    <cellStyle name="Финансовый 4 3 2 2 2 2 2 3 2" xfId="39894" xr:uid="{00000000-0005-0000-0000-0000BFA50000}"/>
    <cellStyle name="Финансовый 4 3 2 2 2 2 2 4" xfId="27917" xr:uid="{00000000-0005-0000-0000-0000C0A50000}"/>
    <cellStyle name="Финансовый 4 3 2 2 2 2 2 5" xfId="51186" xr:uid="{00000000-0005-0000-0000-0000C1A50000}"/>
    <cellStyle name="Финансовый 4 3 2 2 2 2 3" xfId="5743" xr:uid="{00000000-0005-0000-0000-0000C2A50000}"/>
    <cellStyle name="Финансовый 4 3 2 2 2 2 3 2" xfId="17721" xr:uid="{00000000-0005-0000-0000-0000C3A50000}"/>
    <cellStyle name="Финансовый 4 3 2 2 2 2 3 2 2" xfId="41676" xr:uid="{00000000-0005-0000-0000-0000C4A50000}"/>
    <cellStyle name="Финансовый 4 3 2 2 2 2 3 3" xfId="29698" xr:uid="{00000000-0005-0000-0000-0000C5A50000}"/>
    <cellStyle name="Финансовый 4 3 2 2 2 2 4" xfId="8353" xr:uid="{00000000-0005-0000-0000-0000C6A50000}"/>
    <cellStyle name="Финансовый 4 3 2 2 2 2 4 2" xfId="20331" xr:uid="{00000000-0005-0000-0000-0000C7A50000}"/>
    <cellStyle name="Финансовый 4 3 2 2 2 2 4 2 2" xfId="44286" xr:uid="{00000000-0005-0000-0000-0000C8A50000}"/>
    <cellStyle name="Финансовый 4 3 2 2 2 2 4 3" xfId="32308" xr:uid="{00000000-0005-0000-0000-0000C9A50000}"/>
    <cellStyle name="Финансовый 4 3 2 2 2 2 5" xfId="10136" xr:uid="{00000000-0005-0000-0000-0000CAA50000}"/>
    <cellStyle name="Финансовый 4 3 2 2 2 2 5 2" xfId="22114" xr:uid="{00000000-0005-0000-0000-0000CBA50000}"/>
    <cellStyle name="Финансовый 4 3 2 2 2 2 5 2 2" xfId="46069" xr:uid="{00000000-0005-0000-0000-0000CCA50000}"/>
    <cellStyle name="Финансовый 4 3 2 2 2 2 5 3" xfId="34091" xr:uid="{00000000-0005-0000-0000-0000CDA50000}"/>
    <cellStyle name="Финансовый 4 3 2 2 2 2 6" xfId="14294" xr:uid="{00000000-0005-0000-0000-0000CEA50000}"/>
    <cellStyle name="Финансовый 4 3 2 2 2 2 6 2" xfId="38249" xr:uid="{00000000-0005-0000-0000-0000CFA50000}"/>
    <cellStyle name="Финансовый 4 3 2 2 2 2 7" xfId="26272" xr:uid="{00000000-0005-0000-0000-0000D0A50000}"/>
    <cellStyle name="Финансовый 4 3 2 2 2 2 8" xfId="49405" xr:uid="{00000000-0005-0000-0000-0000D1A50000}"/>
    <cellStyle name="Финансовый 4 3 2 2 2 3" xfId="3141" xr:uid="{00000000-0005-0000-0000-0000D2A50000}"/>
    <cellStyle name="Финансовый 4 3 2 2 2 3 2" xfId="10928" xr:uid="{00000000-0005-0000-0000-0000D3A50000}"/>
    <cellStyle name="Финансовый 4 3 2 2 2 3 2 2" xfId="22906" xr:uid="{00000000-0005-0000-0000-0000D4A50000}"/>
    <cellStyle name="Финансовый 4 3 2 2 2 3 2 2 2" xfId="46861" xr:uid="{00000000-0005-0000-0000-0000D5A50000}"/>
    <cellStyle name="Финансовый 4 3 2 2 2 3 2 3" xfId="34883" xr:uid="{00000000-0005-0000-0000-0000D6A50000}"/>
    <cellStyle name="Финансовый 4 3 2 2 2 3 3" xfId="15120" xr:uid="{00000000-0005-0000-0000-0000D7A50000}"/>
    <cellStyle name="Финансовый 4 3 2 2 2 3 3 2" xfId="39075" xr:uid="{00000000-0005-0000-0000-0000D8A50000}"/>
    <cellStyle name="Финансовый 4 3 2 2 2 3 4" xfId="27098" xr:uid="{00000000-0005-0000-0000-0000D9A50000}"/>
    <cellStyle name="Финансовый 4 3 2 2 2 3 5" xfId="50229" xr:uid="{00000000-0005-0000-0000-0000DAA50000}"/>
    <cellStyle name="Финансовый 4 3 2 2 2 4" xfId="4785" xr:uid="{00000000-0005-0000-0000-0000DBA50000}"/>
    <cellStyle name="Финансовый 4 3 2 2 2 4 2" xfId="16764" xr:uid="{00000000-0005-0000-0000-0000DCA50000}"/>
    <cellStyle name="Финансовый 4 3 2 2 2 4 2 2" xfId="40719" xr:uid="{00000000-0005-0000-0000-0000DDA50000}"/>
    <cellStyle name="Финансовый 4 3 2 2 2 4 3" xfId="28742" xr:uid="{00000000-0005-0000-0000-0000DEA50000}"/>
    <cellStyle name="Финансовый 4 3 2 2 2 5" xfId="7397" xr:uid="{00000000-0005-0000-0000-0000DFA50000}"/>
    <cellStyle name="Финансовый 4 3 2 2 2 5 2" xfId="19375" xr:uid="{00000000-0005-0000-0000-0000E0A50000}"/>
    <cellStyle name="Финансовый 4 3 2 2 2 5 2 2" xfId="43330" xr:uid="{00000000-0005-0000-0000-0000E1A50000}"/>
    <cellStyle name="Финансовый 4 3 2 2 2 5 3" xfId="31352" xr:uid="{00000000-0005-0000-0000-0000E2A50000}"/>
    <cellStyle name="Финансовый 4 3 2 2 2 6" xfId="9179" xr:uid="{00000000-0005-0000-0000-0000E3A50000}"/>
    <cellStyle name="Финансовый 4 3 2 2 2 6 2" xfId="21157" xr:uid="{00000000-0005-0000-0000-0000E4A50000}"/>
    <cellStyle name="Финансовый 4 3 2 2 2 6 2 2" xfId="45112" xr:uid="{00000000-0005-0000-0000-0000E5A50000}"/>
    <cellStyle name="Финансовый 4 3 2 2 2 6 3" xfId="33134" xr:uid="{00000000-0005-0000-0000-0000E6A50000}"/>
    <cellStyle name="Финансовый 4 3 2 2 2 7" xfId="13338" xr:uid="{00000000-0005-0000-0000-0000E7A50000}"/>
    <cellStyle name="Финансовый 4 3 2 2 2 7 2" xfId="37293" xr:uid="{00000000-0005-0000-0000-0000E8A50000}"/>
    <cellStyle name="Финансовый 4 3 2 2 2 8" xfId="25316" xr:uid="{00000000-0005-0000-0000-0000E9A50000}"/>
    <cellStyle name="Финансовый 4 3 2 2 2 9" xfId="48449" xr:uid="{00000000-0005-0000-0000-0000EAA50000}"/>
    <cellStyle name="Финансовый 4 3 2 2 3" xfId="2059" xr:uid="{00000000-0005-0000-0000-0000EBA50000}"/>
    <cellStyle name="Финансовый 4 3 2 2 3 2" xfId="3704" xr:uid="{00000000-0005-0000-0000-0000ECA50000}"/>
    <cellStyle name="Финансовый 4 3 2 2 3 2 2" xfId="11444" xr:uid="{00000000-0005-0000-0000-0000EDA50000}"/>
    <cellStyle name="Финансовый 4 3 2 2 3 2 2 2" xfId="23422" xr:uid="{00000000-0005-0000-0000-0000EEA50000}"/>
    <cellStyle name="Финансовый 4 3 2 2 3 2 2 2 2" xfId="47377" xr:uid="{00000000-0005-0000-0000-0000EFA50000}"/>
    <cellStyle name="Финансовый 4 3 2 2 3 2 2 3" xfId="35399" xr:uid="{00000000-0005-0000-0000-0000F0A50000}"/>
    <cellStyle name="Финансовый 4 3 2 2 3 2 3" xfId="15683" xr:uid="{00000000-0005-0000-0000-0000F1A50000}"/>
    <cellStyle name="Финансовый 4 3 2 2 3 2 3 2" xfId="39638" xr:uid="{00000000-0005-0000-0000-0000F2A50000}"/>
    <cellStyle name="Финансовый 4 3 2 2 3 2 4" xfId="27661" xr:uid="{00000000-0005-0000-0000-0000F3A50000}"/>
    <cellStyle name="Финансовый 4 3 2 2 3 2 5" xfId="50930" xr:uid="{00000000-0005-0000-0000-0000F4A50000}"/>
    <cellStyle name="Финансовый 4 3 2 2 3 3" xfId="5487" xr:uid="{00000000-0005-0000-0000-0000F5A50000}"/>
    <cellStyle name="Финансовый 4 3 2 2 3 3 2" xfId="17465" xr:uid="{00000000-0005-0000-0000-0000F6A50000}"/>
    <cellStyle name="Финансовый 4 3 2 2 3 3 2 2" xfId="41420" xr:uid="{00000000-0005-0000-0000-0000F7A50000}"/>
    <cellStyle name="Финансовый 4 3 2 2 3 3 3" xfId="29442" xr:uid="{00000000-0005-0000-0000-0000F8A50000}"/>
    <cellStyle name="Финансовый 4 3 2 2 3 4" xfId="8097" xr:uid="{00000000-0005-0000-0000-0000F9A50000}"/>
    <cellStyle name="Финансовый 4 3 2 2 3 4 2" xfId="20075" xr:uid="{00000000-0005-0000-0000-0000FAA50000}"/>
    <cellStyle name="Финансовый 4 3 2 2 3 4 2 2" xfId="44030" xr:uid="{00000000-0005-0000-0000-0000FBA50000}"/>
    <cellStyle name="Финансовый 4 3 2 2 3 4 3" xfId="32052" xr:uid="{00000000-0005-0000-0000-0000FCA50000}"/>
    <cellStyle name="Финансовый 4 3 2 2 3 5" xfId="9880" xr:uid="{00000000-0005-0000-0000-0000FDA50000}"/>
    <cellStyle name="Финансовый 4 3 2 2 3 5 2" xfId="21858" xr:uid="{00000000-0005-0000-0000-0000FEA50000}"/>
    <cellStyle name="Финансовый 4 3 2 2 3 5 2 2" xfId="45813" xr:uid="{00000000-0005-0000-0000-0000FFA50000}"/>
    <cellStyle name="Финансовый 4 3 2 2 3 5 3" xfId="33835" xr:uid="{00000000-0005-0000-0000-000000A60000}"/>
    <cellStyle name="Финансовый 4 3 2 2 3 6" xfId="14038" xr:uid="{00000000-0005-0000-0000-000001A60000}"/>
    <cellStyle name="Финансовый 4 3 2 2 3 6 2" xfId="37993" xr:uid="{00000000-0005-0000-0000-000002A60000}"/>
    <cellStyle name="Финансовый 4 3 2 2 3 7" xfId="26016" xr:uid="{00000000-0005-0000-0000-000003A60000}"/>
    <cellStyle name="Финансовый 4 3 2 2 3 8" xfId="49149" xr:uid="{00000000-0005-0000-0000-000004A60000}"/>
    <cellStyle name="Финансовый 4 3 2 2 4" xfId="2588" xr:uid="{00000000-0005-0000-0000-000005A60000}"/>
    <cellStyle name="Финансовый 4 3 2 2 4 2" xfId="4233" xr:uid="{00000000-0005-0000-0000-000006A60000}"/>
    <cellStyle name="Финансовый 4 3 2 2 4 2 2" xfId="11957" xr:uid="{00000000-0005-0000-0000-000007A60000}"/>
    <cellStyle name="Финансовый 4 3 2 2 4 2 2 2" xfId="23935" xr:uid="{00000000-0005-0000-0000-000008A60000}"/>
    <cellStyle name="Финансовый 4 3 2 2 4 2 2 2 2" xfId="47890" xr:uid="{00000000-0005-0000-0000-000009A60000}"/>
    <cellStyle name="Финансовый 4 3 2 2 4 2 2 3" xfId="35912" xr:uid="{00000000-0005-0000-0000-00000AA60000}"/>
    <cellStyle name="Финансовый 4 3 2 2 4 2 3" xfId="16212" xr:uid="{00000000-0005-0000-0000-00000BA60000}"/>
    <cellStyle name="Финансовый 4 3 2 2 4 2 3 2" xfId="40167" xr:uid="{00000000-0005-0000-0000-00000CA60000}"/>
    <cellStyle name="Финансовый 4 3 2 2 4 2 4" xfId="28190" xr:uid="{00000000-0005-0000-0000-00000DA60000}"/>
    <cellStyle name="Финансовый 4 3 2 2 4 2 5" xfId="51459" xr:uid="{00000000-0005-0000-0000-00000EA60000}"/>
    <cellStyle name="Финансовый 4 3 2 2 4 3" xfId="6016" xr:uid="{00000000-0005-0000-0000-00000FA60000}"/>
    <cellStyle name="Финансовый 4 3 2 2 4 3 2" xfId="17994" xr:uid="{00000000-0005-0000-0000-000010A60000}"/>
    <cellStyle name="Финансовый 4 3 2 2 4 3 2 2" xfId="41949" xr:uid="{00000000-0005-0000-0000-000011A60000}"/>
    <cellStyle name="Финансовый 4 3 2 2 4 3 3" xfId="29971" xr:uid="{00000000-0005-0000-0000-000012A60000}"/>
    <cellStyle name="Финансовый 4 3 2 2 4 4" xfId="8626" xr:uid="{00000000-0005-0000-0000-000013A60000}"/>
    <cellStyle name="Финансовый 4 3 2 2 4 4 2" xfId="20604" xr:uid="{00000000-0005-0000-0000-000014A60000}"/>
    <cellStyle name="Финансовый 4 3 2 2 4 4 2 2" xfId="44559" xr:uid="{00000000-0005-0000-0000-000015A60000}"/>
    <cellStyle name="Финансовый 4 3 2 2 4 4 3" xfId="32581" xr:uid="{00000000-0005-0000-0000-000016A60000}"/>
    <cellStyle name="Финансовый 4 3 2 2 4 5" xfId="10409" xr:uid="{00000000-0005-0000-0000-000017A60000}"/>
    <cellStyle name="Финансовый 4 3 2 2 4 5 2" xfId="22387" xr:uid="{00000000-0005-0000-0000-000018A60000}"/>
    <cellStyle name="Финансовый 4 3 2 2 4 5 2 2" xfId="46342" xr:uid="{00000000-0005-0000-0000-000019A60000}"/>
    <cellStyle name="Финансовый 4 3 2 2 4 5 3" xfId="34364" xr:uid="{00000000-0005-0000-0000-00001AA60000}"/>
    <cellStyle name="Финансовый 4 3 2 2 4 6" xfId="14567" xr:uid="{00000000-0005-0000-0000-00001BA60000}"/>
    <cellStyle name="Финансовый 4 3 2 2 4 6 2" xfId="38522" xr:uid="{00000000-0005-0000-0000-00001CA60000}"/>
    <cellStyle name="Финансовый 4 3 2 2 4 7" xfId="26545" xr:uid="{00000000-0005-0000-0000-00001DA60000}"/>
    <cellStyle name="Финансовый 4 3 2 2 4 8" xfId="49678" xr:uid="{00000000-0005-0000-0000-00001EA60000}"/>
    <cellStyle name="Финансовый 4 3 2 2 5" xfId="1092" xr:uid="{00000000-0005-0000-0000-00001FA60000}"/>
    <cellStyle name="Финансовый 4 3 2 2 5 2" xfId="7132" xr:uid="{00000000-0005-0000-0000-000020A60000}"/>
    <cellStyle name="Финансовый 4 3 2 2 5 2 2" xfId="19110" xr:uid="{00000000-0005-0000-0000-000021A60000}"/>
    <cellStyle name="Финансовый 4 3 2 2 5 2 2 2" xfId="43065" xr:uid="{00000000-0005-0000-0000-000022A60000}"/>
    <cellStyle name="Финансовый 4 3 2 2 5 2 3" xfId="31087" xr:uid="{00000000-0005-0000-0000-000023A60000}"/>
    <cellStyle name="Финансовый 4 3 2 2 5 3" xfId="10672" xr:uid="{00000000-0005-0000-0000-000024A60000}"/>
    <cellStyle name="Финансовый 4 3 2 2 5 3 2" xfId="22650" xr:uid="{00000000-0005-0000-0000-000025A60000}"/>
    <cellStyle name="Финансовый 4 3 2 2 5 3 2 2" xfId="46605" xr:uid="{00000000-0005-0000-0000-000026A60000}"/>
    <cellStyle name="Финансовый 4 3 2 2 5 3 3" xfId="34627" xr:uid="{00000000-0005-0000-0000-000027A60000}"/>
    <cellStyle name="Финансовый 4 3 2 2 5 4" xfId="13073" xr:uid="{00000000-0005-0000-0000-000028A60000}"/>
    <cellStyle name="Финансовый 4 3 2 2 5 4 2" xfId="37028" xr:uid="{00000000-0005-0000-0000-000029A60000}"/>
    <cellStyle name="Финансовый 4 3 2 2 5 5" xfId="25051" xr:uid="{00000000-0005-0000-0000-00002AA60000}"/>
    <cellStyle name="Финансовый 4 3 2 2 5 6" xfId="49957" xr:uid="{00000000-0005-0000-0000-00002BA60000}"/>
    <cellStyle name="Финансовый 4 3 2 2 6" xfId="680" xr:uid="{00000000-0005-0000-0000-00002CA60000}"/>
    <cellStyle name="Финансовый 4 3 2 2 6 2" xfId="6720" xr:uid="{00000000-0005-0000-0000-00002DA60000}"/>
    <cellStyle name="Финансовый 4 3 2 2 6 2 2" xfId="18698" xr:uid="{00000000-0005-0000-0000-00002EA60000}"/>
    <cellStyle name="Финансовый 4 3 2 2 6 2 2 2" xfId="42653" xr:uid="{00000000-0005-0000-0000-00002FA60000}"/>
    <cellStyle name="Финансовый 4 3 2 2 6 2 3" xfId="30675" xr:uid="{00000000-0005-0000-0000-000030A60000}"/>
    <cellStyle name="Финансовый 4 3 2 2 6 3" xfId="12661" xr:uid="{00000000-0005-0000-0000-000031A60000}"/>
    <cellStyle name="Финансовый 4 3 2 2 6 3 2" xfId="36616" xr:uid="{00000000-0005-0000-0000-000032A60000}"/>
    <cellStyle name="Финансовый 4 3 2 2 6 4" xfId="24639" xr:uid="{00000000-0005-0000-0000-000033A60000}"/>
    <cellStyle name="Финансовый 4 3 2 2 7" xfId="2869" xr:uid="{00000000-0005-0000-0000-000034A60000}"/>
    <cellStyle name="Финансовый 4 3 2 2 7 2" xfId="14848" xr:uid="{00000000-0005-0000-0000-000035A60000}"/>
    <cellStyle name="Финансовый 4 3 2 2 7 2 2" xfId="38803" xr:uid="{00000000-0005-0000-0000-000036A60000}"/>
    <cellStyle name="Финансовый 4 3 2 2 7 3" xfId="26826" xr:uid="{00000000-0005-0000-0000-000037A60000}"/>
    <cellStyle name="Финансовый 4 3 2 2 8" xfId="4513" xr:uid="{00000000-0005-0000-0000-000038A60000}"/>
    <cellStyle name="Финансовый 4 3 2 2 8 2" xfId="16492" xr:uid="{00000000-0005-0000-0000-000039A60000}"/>
    <cellStyle name="Финансовый 4 3 2 2 8 2 2" xfId="40447" xr:uid="{00000000-0005-0000-0000-00003AA60000}"/>
    <cellStyle name="Финансовый 4 3 2 2 8 3" xfId="28470" xr:uid="{00000000-0005-0000-0000-00003BA60000}"/>
    <cellStyle name="Финансовый 4 3 2 2 9" xfId="6300" xr:uid="{00000000-0005-0000-0000-00003CA60000}"/>
    <cellStyle name="Финансовый 4 3 2 2 9 2" xfId="18278" xr:uid="{00000000-0005-0000-0000-00003DA60000}"/>
    <cellStyle name="Финансовый 4 3 2 2 9 2 2" xfId="42233" xr:uid="{00000000-0005-0000-0000-00003EA60000}"/>
    <cellStyle name="Финансовый 4 3 2 2 9 3" xfId="30255" xr:uid="{00000000-0005-0000-0000-00003FA60000}"/>
    <cellStyle name="Финансовый 4 3 2 3" xfId="408" xr:uid="{00000000-0005-0000-0000-000040A60000}"/>
    <cellStyle name="Финансовый 4 3 2 3 10" xfId="24367" xr:uid="{00000000-0005-0000-0000-000041A60000}"/>
    <cellStyle name="Финансовый 4 3 2 3 11" xfId="48313" xr:uid="{00000000-0005-0000-0000-000042A60000}"/>
    <cellStyle name="Финансовый 4 3 2 3 2" xfId="2187" xr:uid="{00000000-0005-0000-0000-000043A60000}"/>
    <cellStyle name="Финансовый 4 3 2 3 2 2" xfId="3832" xr:uid="{00000000-0005-0000-0000-000044A60000}"/>
    <cellStyle name="Финансовый 4 3 2 3 2 2 2" xfId="11572" xr:uid="{00000000-0005-0000-0000-000045A60000}"/>
    <cellStyle name="Финансовый 4 3 2 3 2 2 2 2" xfId="23550" xr:uid="{00000000-0005-0000-0000-000046A60000}"/>
    <cellStyle name="Финансовый 4 3 2 3 2 2 2 2 2" xfId="47505" xr:uid="{00000000-0005-0000-0000-000047A60000}"/>
    <cellStyle name="Финансовый 4 3 2 3 2 2 2 3" xfId="35527" xr:uid="{00000000-0005-0000-0000-000048A60000}"/>
    <cellStyle name="Финансовый 4 3 2 3 2 2 3" xfId="15811" xr:uid="{00000000-0005-0000-0000-000049A60000}"/>
    <cellStyle name="Финансовый 4 3 2 3 2 2 3 2" xfId="39766" xr:uid="{00000000-0005-0000-0000-00004AA60000}"/>
    <cellStyle name="Финансовый 4 3 2 3 2 2 4" xfId="27789" xr:uid="{00000000-0005-0000-0000-00004BA60000}"/>
    <cellStyle name="Финансовый 4 3 2 3 2 2 5" xfId="51058" xr:uid="{00000000-0005-0000-0000-00004CA60000}"/>
    <cellStyle name="Финансовый 4 3 2 3 2 3" xfId="5615" xr:uid="{00000000-0005-0000-0000-00004DA60000}"/>
    <cellStyle name="Финансовый 4 3 2 3 2 3 2" xfId="17593" xr:uid="{00000000-0005-0000-0000-00004EA60000}"/>
    <cellStyle name="Финансовый 4 3 2 3 2 3 2 2" xfId="41548" xr:uid="{00000000-0005-0000-0000-00004FA60000}"/>
    <cellStyle name="Финансовый 4 3 2 3 2 3 3" xfId="29570" xr:uid="{00000000-0005-0000-0000-000050A60000}"/>
    <cellStyle name="Финансовый 4 3 2 3 2 4" xfId="8225" xr:uid="{00000000-0005-0000-0000-000051A60000}"/>
    <cellStyle name="Финансовый 4 3 2 3 2 4 2" xfId="20203" xr:uid="{00000000-0005-0000-0000-000052A60000}"/>
    <cellStyle name="Финансовый 4 3 2 3 2 4 2 2" xfId="44158" xr:uid="{00000000-0005-0000-0000-000053A60000}"/>
    <cellStyle name="Финансовый 4 3 2 3 2 4 3" xfId="32180" xr:uid="{00000000-0005-0000-0000-000054A60000}"/>
    <cellStyle name="Финансовый 4 3 2 3 2 5" xfId="10008" xr:uid="{00000000-0005-0000-0000-000055A60000}"/>
    <cellStyle name="Финансовый 4 3 2 3 2 5 2" xfId="21986" xr:uid="{00000000-0005-0000-0000-000056A60000}"/>
    <cellStyle name="Финансовый 4 3 2 3 2 5 2 2" xfId="45941" xr:uid="{00000000-0005-0000-0000-000057A60000}"/>
    <cellStyle name="Финансовый 4 3 2 3 2 5 3" xfId="33963" xr:uid="{00000000-0005-0000-0000-000058A60000}"/>
    <cellStyle name="Финансовый 4 3 2 3 2 6" xfId="14166" xr:uid="{00000000-0005-0000-0000-000059A60000}"/>
    <cellStyle name="Финансовый 4 3 2 3 2 6 2" xfId="38121" xr:uid="{00000000-0005-0000-0000-00005AA60000}"/>
    <cellStyle name="Финансовый 4 3 2 3 2 7" xfId="26144" xr:uid="{00000000-0005-0000-0000-00005BA60000}"/>
    <cellStyle name="Финансовый 4 3 2 3 2 8" xfId="49277" xr:uid="{00000000-0005-0000-0000-00005CA60000}"/>
    <cellStyle name="Финансовый 4 3 2 3 3" xfId="1221" xr:uid="{00000000-0005-0000-0000-00005DA60000}"/>
    <cellStyle name="Финансовый 4 3 2 3 3 2" xfId="7261" xr:uid="{00000000-0005-0000-0000-00005EA60000}"/>
    <cellStyle name="Финансовый 4 3 2 3 3 2 2" xfId="19239" xr:uid="{00000000-0005-0000-0000-00005FA60000}"/>
    <cellStyle name="Финансовый 4 3 2 3 3 2 2 2" xfId="43194" xr:uid="{00000000-0005-0000-0000-000060A60000}"/>
    <cellStyle name="Финансовый 4 3 2 3 3 2 3" xfId="31216" xr:uid="{00000000-0005-0000-0000-000061A60000}"/>
    <cellStyle name="Финансовый 4 3 2 3 3 3" xfId="10800" xr:uid="{00000000-0005-0000-0000-000062A60000}"/>
    <cellStyle name="Финансовый 4 3 2 3 3 3 2" xfId="22778" xr:uid="{00000000-0005-0000-0000-000063A60000}"/>
    <cellStyle name="Финансовый 4 3 2 3 3 3 2 2" xfId="46733" xr:uid="{00000000-0005-0000-0000-000064A60000}"/>
    <cellStyle name="Финансовый 4 3 2 3 3 3 3" xfId="34755" xr:uid="{00000000-0005-0000-0000-000065A60000}"/>
    <cellStyle name="Финансовый 4 3 2 3 3 4" xfId="13202" xr:uid="{00000000-0005-0000-0000-000066A60000}"/>
    <cellStyle name="Финансовый 4 3 2 3 3 4 2" xfId="37157" xr:uid="{00000000-0005-0000-0000-000067A60000}"/>
    <cellStyle name="Финансовый 4 3 2 3 3 5" xfId="25180" xr:uid="{00000000-0005-0000-0000-000068A60000}"/>
    <cellStyle name="Финансовый 4 3 2 3 3 6" xfId="50093" xr:uid="{00000000-0005-0000-0000-000069A60000}"/>
    <cellStyle name="Финансовый 4 3 2 3 4" xfId="828" xr:uid="{00000000-0005-0000-0000-00006AA60000}"/>
    <cellStyle name="Финансовый 4 3 2 3 4 2" xfId="6868" xr:uid="{00000000-0005-0000-0000-00006BA60000}"/>
    <cellStyle name="Финансовый 4 3 2 3 4 2 2" xfId="18846" xr:uid="{00000000-0005-0000-0000-00006CA60000}"/>
    <cellStyle name="Финансовый 4 3 2 3 4 2 2 2" xfId="42801" xr:uid="{00000000-0005-0000-0000-00006DA60000}"/>
    <cellStyle name="Финансовый 4 3 2 3 4 2 3" xfId="30823" xr:uid="{00000000-0005-0000-0000-00006EA60000}"/>
    <cellStyle name="Финансовый 4 3 2 3 4 3" xfId="12809" xr:uid="{00000000-0005-0000-0000-00006FA60000}"/>
    <cellStyle name="Финансовый 4 3 2 3 4 3 2" xfId="36764" xr:uid="{00000000-0005-0000-0000-000070A60000}"/>
    <cellStyle name="Финансовый 4 3 2 3 4 4" xfId="24787" xr:uid="{00000000-0005-0000-0000-000071A60000}"/>
    <cellStyle name="Финансовый 4 3 2 3 5" xfId="3005" xr:uid="{00000000-0005-0000-0000-000072A60000}"/>
    <cellStyle name="Финансовый 4 3 2 3 5 2" xfId="14984" xr:uid="{00000000-0005-0000-0000-000073A60000}"/>
    <cellStyle name="Финансовый 4 3 2 3 5 2 2" xfId="38939" xr:uid="{00000000-0005-0000-0000-000074A60000}"/>
    <cellStyle name="Финансовый 4 3 2 3 5 3" xfId="26962" xr:uid="{00000000-0005-0000-0000-000075A60000}"/>
    <cellStyle name="Финансовый 4 3 2 3 6" xfId="4649" xr:uid="{00000000-0005-0000-0000-000076A60000}"/>
    <cellStyle name="Финансовый 4 3 2 3 6 2" xfId="16628" xr:uid="{00000000-0005-0000-0000-000077A60000}"/>
    <cellStyle name="Финансовый 4 3 2 3 6 2 2" xfId="40583" xr:uid="{00000000-0005-0000-0000-000078A60000}"/>
    <cellStyle name="Финансовый 4 3 2 3 6 3" xfId="28606" xr:uid="{00000000-0005-0000-0000-000079A60000}"/>
    <cellStyle name="Финансовый 4 3 2 3 7" xfId="6448" xr:uid="{00000000-0005-0000-0000-00007AA60000}"/>
    <cellStyle name="Финансовый 4 3 2 3 7 2" xfId="18426" xr:uid="{00000000-0005-0000-0000-00007BA60000}"/>
    <cellStyle name="Финансовый 4 3 2 3 7 2 2" xfId="42381" xr:uid="{00000000-0005-0000-0000-00007CA60000}"/>
    <cellStyle name="Финансовый 4 3 2 3 7 3" xfId="30403" xr:uid="{00000000-0005-0000-0000-00007DA60000}"/>
    <cellStyle name="Финансовый 4 3 2 3 8" xfId="9043" xr:uid="{00000000-0005-0000-0000-00007EA60000}"/>
    <cellStyle name="Финансовый 4 3 2 3 8 2" xfId="21021" xr:uid="{00000000-0005-0000-0000-00007FA60000}"/>
    <cellStyle name="Финансовый 4 3 2 3 8 2 2" xfId="44976" xr:uid="{00000000-0005-0000-0000-000080A60000}"/>
    <cellStyle name="Финансовый 4 3 2 3 8 3" xfId="32998" xr:uid="{00000000-0005-0000-0000-000081A60000}"/>
    <cellStyle name="Финансовый 4 3 2 3 9" xfId="12389" xr:uid="{00000000-0005-0000-0000-000082A60000}"/>
    <cellStyle name="Финансовый 4 3 2 3 9 2" xfId="36344" xr:uid="{00000000-0005-0000-0000-000083A60000}"/>
    <cellStyle name="Финансовый 4 3 2 4" xfId="1539" xr:uid="{00000000-0005-0000-0000-000084A60000}"/>
    <cellStyle name="Финансовый 4 3 2 4 2" xfId="1931" xr:uid="{00000000-0005-0000-0000-000085A60000}"/>
    <cellStyle name="Финансовый 4 3 2 4 2 2" xfId="3576" xr:uid="{00000000-0005-0000-0000-000086A60000}"/>
    <cellStyle name="Финансовый 4 3 2 4 2 2 2" xfId="11316" xr:uid="{00000000-0005-0000-0000-000087A60000}"/>
    <cellStyle name="Финансовый 4 3 2 4 2 2 2 2" xfId="23294" xr:uid="{00000000-0005-0000-0000-000088A60000}"/>
    <cellStyle name="Финансовый 4 3 2 4 2 2 2 2 2" xfId="47249" xr:uid="{00000000-0005-0000-0000-000089A60000}"/>
    <cellStyle name="Финансовый 4 3 2 4 2 2 2 3" xfId="35271" xr:uid="{00000000-0005-0000-0000-00008AA60000}"/>
    <cellStyle name="Финансовый 4 3 2 4 2 2 3" xfId="15555" xr:uid="{00000000-0005-0000-0000-00008BA60000}"/>
    <cellStyle name="Финансовый 4 3 2 4 2 2 3 2" xfId="39510" xr:uid="{00000000-0005-0000-0000-00008CA60000}"/>
    <cellStyle name="Финансовый 4 3 2 4 2 2 4" xfId="27533" xr:uid="{00000000-0005-0000-0000-00008DA60000}"/>
    <cellStyle name="Финансовый 4 3 2 4 2 2 5" xfId="50802" xr:uid="{00000000-0005-0000-0000-00008EA60000}"/>
    <cellStyle name="Финансовый 4 3 2 4 2 3" xfId="5359" xr:uid="{00000000-0005-0000-0000-00008FA60000}"/>
    <cellStyle name="Финансовый 4 3 2 4 2 3 2" xfId="17337" xr:uid="{00000000-0005-0000-0000-000090A60000}"/>
    <cellStyle name="Финансовый 4 3 2 4 2 3 2 2" xfId="41292" xr:uid="{00000000-0005-0000-0000-000091A60000}"/>
    <cellStyle name="Финансовый 4 3 2 4 2 3 3" xfId="29314" xr:uid="{00000000-0005-0000-0000-000092A60000}"/>
    <cellStyle name="Финансовый 4 3 2 4 2 4" xfId="7969" xr:uid="{00000000-0005-0000-0000-000093A60000}"/>
    <cellStyle name="Финансовый 4 3 2 4 2 4 2" xfId="19947" xr:uid="{00000000-0005-0000-0000-000094A60000}"/>
    <cellStyle name="Финансовый 4 3 2 4 2 4 2 2" xfId="43902" xr:uid="{00000000-0005-0000-0000-000095A60000}"/>
    <cellStyle name="Финансовый 4 3 2 4 2 4 3" xfId="31924" xr:uid="{00000000-0005-0000-0000-000096A60000}"/>
    <cellStyle name="Финансовый 4 3 2 4 2 5" xfId="9752" xr:uid="{00000000-0005-0000-0000-000097A60000}"/>
    <cellStyle name="Финансовый 4 3 2 4 2 5 2" xfId="21730" xr:uid="{00000000-0005-0000-0000-000098A60000}"/>
    <cellStyle name="Финансовый 4 3 2 4 2 5 2 2" xfId="45685" xr:uid="{00000000-0005-0000-0000-000099A60000}"/>
    <cellStyle name="Финансовый 4 3 2 4 2 5 3" xfId="33707" xr:uid="{00000000-0005-0000-0000-00009AA60000}"/>
    <cellStyle name="Финансовый 4 3 2 4 2 6" xfId="13910" xr:uid="{00000000-0005-0000-0000-00009BA60000}"/>
    <cellStyle name="Финансовый 4 3 2 4 2 6 2" xfId="37865" xr:uid="{00000000-0005-0000-0000-00009CA60000}"/>
    <cellStyle name="Финансовый 4 3 2 4 2 7" xfId="25888" xr:uid="{00000000-0005-0000-0000-00009DA60000}"/>
    <cellStyle name="Финансовый 4 3 2 4 2 8" xfId="49021" xr:uid="{00000000-0005-0000-0000-00009EA60000}"/>
    <cellStyle name="Финансовый 4 3 2 4 3" xfId="4967" xr:uid="{00000000-0005-0000-0000-00009FA60000}"/>
    <cellStyle name="Финансовый 4 3 2 4 3 2" xfId="16945" xr:uid="{00000000-0005-0000-0000-0000A0A60000}"/>
    <cellStyle name="Финансовый 4 3 2 4 3 2 2" xfId="40900" xr:uid="{00000000-0005-0000-0000-0000A1A60000}"/>
    <cellStyle name="Финансовый 4 3 2 4 3 3" xfId="28922" xr:uid="{00000000-0005-0000-0000-0000A2A60000}"/>
    <cellStyle name="Финансовый 4 3 2 4 3 4" xfId="50410" xr:uid="{00000000-0005-0000-0000-0000A3A60000}"/>
    <cellStyle name="Финансовый 4 3 2 4 4" xfId="7577" xr:uid="{00000000-0005-0000-0000-0000A4A60000}"/>
    <cellStyle name="Финансовый 4 3 2 4 4 2" xfId="19555" xr:uid="{00000000-0005-0000-0000-0000A5A60000}"/>
    <cellStyle name="Финансовый 4 3 2 4 4 2 2" xfId="43510" xr:uid="{00000000-0005-0000-0000-0000A6A60000}"/>
    <cellStyle name="Финансовый 4 3 2 4 4 3" xfId="31532" xr:uid="{00000000-0005-0000-0000-0000A7A60000}"/>
    <cellStyle name="Финансовый 4 3 2 4 5" xfId="9360" xr:uid="{00000000-0005-0000-0000-0000A8A60000}"/>
    <cellStyle name="Финансовый 4 3 2 4 5 2" xfId="21338" xr:uid="{00000000-0005-0000-0000-0000A9A60000}"/>
    <cellStyle name="Финансовый 4 3 2 4 5 2 2" xfId="45293" xr:uid="{00000000-0005-0000-0000-0000AAA60000}"/>
    <cellStyle name="Финансовый 4 3 2 4 5 3" xfId="33315" xr:uid="{00000000-0005-0000-0000-0000ABA60000}"/>
    <cellStyle name="Финансовый 4 3 2 4 6" xfId="13518" xr:uid="{00000000-0005-0000-0000-0000ACA60000}"/>
    <cellStyle name="Финансовый 4 3 2 4 6 2" xfId="37473" xr:uid="{00000000-0005-0000-0000-0000ADA60000}"/>
    <cellStyle name="Финансовый 4 3 2 4 7" xfId="25496" xr:uid="{00000000-0005-0000-0000-0000AEA60000}"/>
    <cellStyle name="Финансовый 4 3 2 4 8" xfId="48629" xr:uid="{00000000-0005-0000-0000-0000AFA60000}"/>
    <cellStyle name="Финансовый 4 3 2 5" xfId="1807" xr:uid="{00000000-0005-0000-0000-0000B0A60000}"/>
    <cellStyle name="Финансовый 4 3 2 5 2" xfId="3452" xr:uid="{00000000-0005-0000-0000-0000B1A60000}"/>
    <cellStyle name="Финансовый 4 3 2 5 2 2" xfId="11200" xr:uid="{00000000-0005-0000-0000-0000B2A60000}"/>
    <cellStyle name="Финансовый 4 3 2 5 2 2 2" xfId="23178" xr:uid="{00000000-0005-0000-0000-0000B3A60000}"/>
    <cellStyle name="Финансовый 4 3 2 5 2 2 2 2" xfId="47133" xr:uid="{00000000-0005-0000-0000-0000B4A60000}"/>
    <cellStyle name="Финансовый 4 3 2 5 2 2 3" xfId="35155" xr:uid="{00000000-0005-0000-0000-0000B5A60000}"/>
    <cellStyle name="Финансовый 4 3 2 5 2 3" xfId="15431" xr:uid="{00000000-0005-0000-0000-0000B6A60000}"/>
    <cellStyle name="Финансовый 4 3 2 5 2 3 2" xfId="39386" xr:uid="{00000000-0005-0000-0000-0000B7A60000}"/>
    <cellStyle name="Финансовый 4 3 2 5 2 4" xfId="27409" xr:uid="{00000000-0005-0000-0000-0000B8A60000}"/>
    <cellStyle name="Финансовый 4 3 2 5 2 5" xfId="50678" xr:uid="{00000000-0005-0000-0000-0000B9A60000}"/>
    <cellStyle name="Финансовый 4 3 2 5 3" xfId="5235" xr:uid="{00000000-0005-0000-0000-0000BAA60000}"/>
    <cellStyle name="Финансовый 4 3 2 5 3 2" xfId="17213" xr:uid="{00000000-0005-0000-0000-0000BBA60000}"/>
    <cellStyle name="Финансовый 4 3 2 5 3 2 2" xfId="41168" xr:uid="{00000000-0005-0000-0000-0000BCA60000}"/>
    <cellStyle name="Финансовый 4 3 2 5 3 3" xfId="29190" xr:uid="{00000000-0005-0000-0000-0000BDA60000}"/>
    <cellStyle name="Финансовый 4 3 2 5 4" xfId="7845" xr:uid="{00000000-0005-0000-0000-0000BEA60000}"/>
    <cellStyle name="Финансовый 4 3 2 5 4 2" xfId="19823" xr:uid="{00000000-0005-0000-0000-0000BFA60000}"/>
    <cellStyle name="Финансовый 4 3 2 5 4 2 2" xfId="43778" xr:uid="{00000000-0005-0000-0000-0000C0A60000}"/>
    <cellStyle name="Финансовый 4 3 2 5 4 3" xfId="31800" xr:uid="{00000000-0005-0000-0000-0000C1A60000}"/>
    <cellStyle name="Финансовый 4 3 2 5 5" xfId="9628" xr:uid="{00000000-0005-0000-0000-0000C2A60000}"/>
    <cellStyle name="Финансовый 4 3 2 5 5 2" xfId="21606" xr:uid="{00000000-0005-0000-0000-0000C3A60000}"/>
    <cellStyle name="Финансовый 4 3 2 5 5 2 2" xfId="45561" xr:uid="{00000000-0005-0000-0000-0000C4A60000}"/>
    <cellStyle name="Финансовый 4 3 2 5 5 3" xfId="33583" xr:uid="{00000000-0005-0000-0000-0000C5A60000}"/>
    <cellStyle name="Финансовый 4 3 2 5 6" xfId="13786" xr:uid="{00000000-0005-0000-0000-0000C6A60000}"/>
    <cellStyle name="Финансовый 4 3 2 5 6 2" xfId="37741" xr:uid="{00000000-0005-0000-0000-0000C7A60000}"/>
    <cellStyle name="Финансовый 4 3 2 5 7" xfId="25764" xr:uid="{00000000-0005-0000-0000-0000C8A60000}"/>
    <cellStyle name="Финансовый 4 3 2 5 8" xfId="48897" xr:uid="{00000000-0005-0000-0000-0000C9A60000}"/>
    <cellStyle name="Финансовый 4 3 2 6" xfId="2452" xr:uid="{00000000-0005-0000-0000-0000CAA60000}"/>
    <cellStyle name="Финансовый 4 3 2 6 2" xfId="4097" xr:uid="{00000000-0005-0000-0000-0000CBA60000}"/>
    <cellStyle name="Финансовый 4 3 2 6 2 2" xfId="11829" xr:uid="{00000000-0005-0000-0000-0000CCA60000}"/>
    <cellStyle name="Финансовый 4 3 2 6 2 2 2" xfId="23807" xr:uid="{00000000-0005-0000-0000-0000CDA60000}"/>
    <cellStyle name="Финансовый 4 3 2 6 2 2 2 2" xfId="47762" xr:uid="{00000000-0005-0000-0000-0000CEA60000}"/>
    <cellStyle name="Финансовый 4 3 2 6 2 2 3" xfId="35784" xr:uid="{00000000-0005-0000-0000-0000CFA60000}"/>
    <cellStyle name="Финансовый 4 3 2 6 2 3" xfId="16076" xr:uid="{00000000-0005-0000-0000-0000D0A60000}"/>
    <cellStyle name="Финансовый 4 3 2 6 2 3 2" xfId="40031" xr:uid="{00000000-0005-0000-0000-0000D1A60000}"/>
    <cellStyle name="Финансовый 4 3 2 6 2 4" xfId="28054" xr:uid="{00000000-0005-0000-0000-0000D2A60000}"/>
    <cellStyle name="Финансовый 4 3 2 6 2 5" xfId="51323" xr:uid="{00000000-0005-0000-0000-0000D3A60000}"/>
    <cellStyle name="Финансовый 4 3 2 6 3" xfId="5880" xr:uid="{00000000-0005-0000-0000-0000D4A60000}"/>
    <cellStyle name="Финансовый 4 3 2 6 3 2" xfId="17858" xr:uid="{00000000-0005-0000-0000-0000D5A60000}"/>
    <cellStyle name="Финансовый 4 3 2 6 3 2 2" xfId="41813" xr:uid="{00000000-0005-0000-0000-0000D6A60000}"/>
    <cellStyle name="Финансовый 4 3 2 6 3 3" xfId="29835" xr:uid="{00000000-0005-0000-0000-0000D7A60000}"/>
    <cellStyle name="Финансовый 4 3 2 6 4" xfId="8490" xr:uid="{00000000-0005-0000-0000-0000D8A60000}"/>
    <cellStyle name="Финансовый 4 3 2 6 4 2" xfId="20468" xr:uid="{00000000-0005-0000-0000-0000D9A60000}"/>
    <cellStyle name="Финансовый 4 3 2 6 4 2 2" xfId="44423" xr:uid="{00000000-0005-0000-0000-0000DAA60000}"/>
    <cellStyle name="Финансовый 4 3 2 6 4 3" xfId="32445" xr:uid="{00000000-0005-0000-0000-0000DBA60000}"/>
    <cellStyle name="Финансовый 4 3 2 6 5" xfId="10273" xr:uid="{00000000-0005-0000-0000-0000DCA60000}"/>
    <cellStyle name="Финансовый 4 3 2 6 5 2" xfId="22251" xr:uid="{00000000-0005-0000-0000-0000DDA60000}"/>
    <cellStyle name="Финансовый 4 3 2 6 5 2 2" xfId="46206" xr:uid="{00000000-0005-0000-0000-0000DEA60000}"/>
    <cellStyle name="Финансовый 4 3 2 6 5 3" xfId="34228" xr:uid="{00000000-0005-0000-0000-0000DFA60000}"/>
    <cellStyle name="Финансовый 4 3 2 6 6" xfId="14431" xr:uid="{00000000-0005-0000-0000-0000E0A60000}"/>
    <cellStyle name="Финансовый 4 3 2 6 6 2" xfId="38386" xr:uid="{00000000-0005-0000-0000-0000E1A60000}"/>
    <cellStyle name="Финансовый 4 3 2 6 7" xfId="26409" xr:uid="{00000000-0005-0000-0000-0000E2A60000}"/>
    <cellStyle name="Финансовый 4 3 2 6 8" xfId="49542" xr:uid="{00000000-0005-0000-0000-0000E3A60000}"/>
    <cellStyle name="Финансовый 4 3 2 7" xfId="1679" xr:uid="{00000000-0005-0000-0000-0000E4A60000}"/>
    <cellStyle name="Финансовый 4 3 2 7 2" xfId="3324" xr:uid="{00000000-0005-0000-0000-0000E5A60000}"/>
    <cellStyle name="Финансовый 4 3 2 7 2 2" xfId="11072" xr:uid="{00000000-0005-0000-0000-0000E6A60000}"/>
    <cellStyle name="Финансовый 4 3 2 7 2 2 2" xfId="23050" xr:uid="{00000000-0005-0000-0000-0000E7A60000}"/>
    <cellStyle name="Финансовый 4 3 2 7 2 2 2 2" xfId="47005" xr:uid="{00000000-0005-0000-0000-0000E8A60000}"/>
    <cellStyle name="Финансовый 4 3 2 7 2 2 3" xfId="35027" xr:uid="{00000000-0005-0000-0000-0000E9A60000}"/>
    <cellStyle name="Финансовый 4 3 2 7 2 3" xfId="15303" xr:uid="{00000000-0005-0000-0000-0000EAA60000}"/>
    <cellStyle name="Финансовый 4 3 2 7 2 3 2" xfId="39258" xr:uid="{00000000-0005-0000-0000-0000EBA60000}"/>
    <cellStyle name="Финансовый 4 3 2 7 2 4" xfId="27281" xr:uid="{00000000-0005-0000-0000-0000ECA60000}"/>
    <cellStyle name="Финансовый 4 3 2 7 2 5" xfId="50550" xr:uid="{00000000-0005-0000-0000-0000EDA60000}"/>
    <cellStyle name="Финансовый 4 3 2 7 3" xfId="5107" xr:uid="{00000000-0005-0000-0000-0000EEA60000}"/>
    <cellStyle name="Финансовый 4 3 2 7 3 2" xfId="17085" xr:uid="{00000000-0005-0000-0000-0000EFA60000}"/>
    <cellStyle name="Финансовый 4 3 2 7 3 2 2" xfId="41040" xr:uid="{00000000-0005-0000-0000-0000F0A60000}"/>
    <cellStyle name="Финансовый 4 3 2 7 3 3" xfId="29062" xr:uid="{00000000-0005-0000-0000-0000F1A60000}"/>
    <cellStyle name="Финансовый 4 3 2 7 4" xfId="7717" xr:uid="{00000000-0005-0000-0000-0000F2A60000}"/>
    <cellStyle name="Финансовый 4 3 2 7 4 2" xfId="19695" xr:uid="{00000000-0005-0000-0000-0000F3A60000}"/>
    <cellStyle name="Финансовый 4 3 2 7 4 2 2" xfId="43650" xr:uid="{00000000-0005-0000-0000-0000F4A60000}"/>
    <cellStyle name="Финансовый 4 3 2 7 4 3" xfId="31672" xr:uid="{00000000-0005-0000-0000-0000F5A60000}"/>
    <cellStyle name="Финансовый 4 3 2 7 5" xfId="9500" xr:uid="{00000000-0005-0000-0000-0000F6A60000}"/>
    <cellStyle name="Финансовый 4 3 2 7 5 2" xfId="21478" xr:uid="{00000000-0005-0000-0000-0000F7A60000}"/>
    <cellStyle name="Финансовый 4 3 2 7 5 2 2" xfId="45433" xr:uid="{00000000-0005-0000-0000-0000F8A60000}"/>
    <cellStyle name="Финансовый 4 3 2 7 5 3" xfId="33455" xr:uid="{00000000-0005-0000-0000-0000F9A60000}"/>
    <cellStyle name="Финансовый 4 3 2 7 6" xfId="13658" xr:uid="{00000000-0005-0000-0000-0000FAA60000}"/>
    <cellStyle name="Финансовый 4 3 2 7 6 2" xfId="37613" xr:uid="{00000000-0005-0000-0000-0000FBA60000}"/>
    <cellStyle name="Финансовый 4 3 2 7 7" xfId="25636" xr:uid="{00000000-0005-0000-0000-0000FCA60000}"/>
    <cellStyle name="Финансовый 4 3 2 7 8" xfId="48769" xr:uid="{00000000-0005-0000-0000-0000FDA60000}"/>
    <cellStyle name="Финансовый 4 3 2 8" xfId="956" xr:uid="{00000000-0005-0000-0000-0000FEA60000}"/>
    <cellStyle name="Финансовый 4 3 2 8 2" xfId="6996" xr:uid="{00000000-0005-0000-0000-0000FFA60000}"/>
    <cellStyle name="Финансовый 4 3 2 8 2 2" xfId="18974" xr:uid="{00000000-0005-0000-0000-000000A70000}"/>
    <cellStyle name="Финансовый 4 3 2 8 2 2 2" xfId="42929" xr:uid="{00000000-0005-0000-0000-000001A70000}"/>
    <cellStyle name="Финансовый 4 3 2 8 2 3" xfId="30951" xr:uid="{00000000-0005-0000-0000-000002A70000}"/>
    <cellStyle name="Финансовый 4 3 2 8 3" xfId="10544" xr:uid="{00000000-0005-0000-0000-000003A70000}"/>
    <cellStyle name="Финансовый 4 3 2 8 3 2" xfId="22522" xr:uid="{00000000-0005-0000-0000-000004A70000}"/>
    <cellStyle name="Финансовый 4 3 2 8 3 2 2" xfId="46477" xr:uid="{00000000-0005-0000-0000-000005A70000}"/>
    <cellStyle name="Финансовый 4 3 2 8 3 3" xfId="34499" xr:uid="{00000000-0005-0000-0000-000006A70000}"/>
    <cellStyle name="Финансовый 4 3 2 8 4" xfId="12937" xr:uid="{00000000-0005-0000-0000-000007A70000}"/>
    <cellStyle name="Финансовый 4 3 2 8 4 2" xfId="36892" xr:uid="{00000000-0005-0000-0000-000008A70000}"/>
    <cellStyle name="Финансовый 4 3 2 8 5" xfId="24915" xr:uid="{00000000-0005-0000-0000-000009A70000}"/>
    <cellStyle name="Финансовый 4 3 2 8 6" xfId="49821" xr:uid="{00000000-0005-0000-0000-00000AA70000}"/>
    <cellStyle name="Финансовый 4 3 2 9" xfId="544" xr:uid="{00000000-0005-0000-0000-00000BA70000}"/>
    <cellStyle name="Финансовый 4 3 2 9 2" xfId="6584" xr:uid="{00000000-0005-0000-0000-00000CA70000}"/>
    <cellStyle name="Финансовый 4 3 2 9 2 2" xfId="18562" xr:uid="{00000000-0005-0000-0000-00000DA70000}"/>
    <cellStyle name="Финансовый 4 3 2 9 2 2 2" xfId="42517" xr:uid="{00000000-0005-0000-0000-00000EA70000}"/>
    <cellStyle name="Финансовый 4 3 2 9 2 3" xfId="30539" xr:uid="{00000000-0005-0000-0000-00000FA70000}"/>
    <cellStyle name="Финансовый 4 3 2 9 3" xfId="12525" xr:uid="{00000000-0005-0000-0000-000010A70000}"/>
    <cellStyle name="Финансовый 4 3 2 9 3 2" xfId="36480" xr:uid="{00000000-0005-0000-0000-000011A70000}"/>
    <cellStyle name="Финансовый 4 3 2 9 4" xfId="24503" xr:uid="{00000000-0005-0000-0000-000012A70000}"/>
    <cellStyle name="Финансовый 4 3 3" xfId="87" xr:uid="{00000000-0005-0000-0000-000013A70000}"/>
    <cellStyle name="Финансовый 4 3 3 10" xfId="2697" xr:uid="{00000000-0005-0000-0000-000014A70000}"/>
    <cellStyle name="Финансовый 4 3 3 10 2" xfId="14676" xr:uid="{00000000-0005-0000-0000-000015A70000}"/>
    <cellStyle name="Финансовый 4 3 3 10 2 2" xfId="38631" xr:uid="{00000000-0005-0000-0000-000016A70000}"/>
    <cellStyle name="Финансовый 4 3 3 10 3" xfId="26654" xr:uid="{00000000-0005-0000-0000-000017A70000}"/>
    <cellStyle name="Финансовый 4 3 3 11" xfId="4341" xr:uid="{00000000-0005-0000-0000-000018A70000}"/>
    <cellStyle name="Финансовый 4 3 3 11 2" xfId="16320" xr:uid="{00000000-0005-0000-0000-000019A70000}"/>
    <cellStyle name="Финансовый 4 3 3 11 2 2" xfId="40275" xr:uid="{00000000-0005-0000-0000-00001AA70000}"/>
    <cellStyle name="Финансовый 4 3 3 11 3" xfId="28298" xr:uid="{00000000-0005-0000-0000-00001BA70000}"/>
    <cellStyle name="Финансовый 4 3 3 12" xfId="6128" xr:uid="{00000000-0005-0000-0000-00001CA70000}"/>
    <cellStyle name="Финансовый 4 3 3 12 2" xfId="18106" xr:uid="{00000000-0005-0000-0000-00001DA70000}"/>
    <cellStyle name="Финансовый 4 3 3 12 2 2" xfId="42061" xr:uid="{00000000-0005-0000-0000-00001EA70000}"/>
    <cellStyle name="Финансовый 4 3 3 12 3" xfId="30083" xr:uid="{00000000-0005-0000-0000-00001FA70000}"/>
    <cellStyle name="Финансовый 4 3 3 13" xfId="8735" xr:uid="{00000000-0005-0000-0000-000020A70000}"/>
    <cellStyle name="Финансовый 4 3 3 13 2" xfId="20713" xr:uid="{00000000-0005-0000-0000-000021A70000}"/>
    <cellStyle name="Финансовый 4 3 3 13 2 2" xfId="44668" xr:uid="{00000000-0005-0000-0000-000022A70000}"/>
    <cellStyle name="Финансовый 4 3 3 13 3" xfId="32690" xr:uid="{00000000-0005-0000-0000-000023A70000}"/>
    <cellStyle name="Финансовый 4 3 3 14" xfId="12069" xr:uid="{00000000-0005-0000-0000-000024A70000}"/>
    <cellStyle name="Финансовый 4 3 3 14 2" xfId="36024" xr:uid="{00000000-0005-0000-0000-000025A70000}"/>
    <cellStyle name="Финансовый 4 3 3 15" xfId="24047" xr:uid="{00000000-0005-0000-0000-000026A70000}"/>
    <cellStyle name="Финансовый 4 3 3 16" xfId="48005" xr:uid="{00000000-0005-0000-0000-000027A70000}"/>
    <cellStyle name="Финансовый 4 3 3 2" xfId="223" xr:uid="{00000000-0005-0000-0000-000028A70000}"/>
    <cellStyle name="Финансовый 4 3 3 2 10" xfId="8871" xr:uid="{00000000-0005-0000-0000-000029A70000}"/>
    <cellStyle name="Финансовый 4 3 3 2 10 2" xfId="20849" xr:uid="{00000000-0005-0000-0000-00002AA70000}"/>
    <cellStyle name="Финансовый 4 3 3 2 10 2 2" xfId="44804" xr:uid="{00000000-0005-0000-0000-00002BA70000}"/>
    <cellStyle name="Финансовый 4 3 3 2 10 3" xfId="32826" xr:uid="{00000000-0005-0000-0000-00002CA70000}"/>
    <cellStyle name="Финансовый 4 3 3 2 11" xfId="12205" xr:uid="{00000000-0005-0000-0000-00002DA70000}"/>
    <cellStyle name="Финансовый 4 3 3 2 11 2" xfId="36160" xr:uid="{00000000-0005-0000-0000-00002EA70000}"/>
    <cellStyle name="Финансовый 4 3 3 2 12" xfId="24183" xr:uid="{00000000-0005-0000-0000-00002FA70000}"/>
    <cellStyle name="Финансовый 4 3 3 2 13" xfId="48141" xr:uid="{00000000-0005-0000-0000-000030A70000}"/>
    <cellStyle name="Финансовый 4 3 3 2 2" xfId="1321" xr:uid="{00000000-0005-0000-0000-000031A70000}"/>
    <cellStyle name="Финансовый 4 3 3 2 2 2" xfId="2279" xr:uid="{00000000-0005-0000-0000-000032A70000}"/>
    <cellStyle name="Финансовый 4 3 3 2 2 2 2" xfId="3924" xr:uid="{00000000-0005-0000-0000-000033A70000}"/>
    <cellStyle name="Финансовый 4 3 3 2 2 2 2 2" xfId="11664" xr:uid="{00000000-0005-0000-0000-000034A70000}"/>
    <cellStyle name="Финансовый 4 3 3 2 2 2 2 2 2" xfId="23642" xr:uid="{00000000-0005-0000-0000-000035A70000}"/>
    <cellStyle name="Финансовый 4 3 3 2 2 2 2 2 2 2" xfId="47597" xr:uid="{00000000-0005-0000-0000-000036A70000}"/>
    <cellStyle name="Финансовый 4 3 3 2 2 2 2 2 3" xfId="35619" xr:uid="{00000000-0005-0000-0000-000037A70000}"/>
    <cellStyle name="Финансовый 4 3 3 2 2 2 2 3" xfId="15903" xr:uid="{00000000-0005-0000-0000-000038A70000}"/>
    <cellStyle name="Финансовый 4 3 3 2 2 2 2 3 2" xfId="39858" xr:uid="{00000000-0005-0000-0000-000039A70000}"/>
    <cellStyle name="Финансовый 4 3 3 2 2 2 2 4" xfId="27881" xr:uid="{00000000-0005-0000-0000-00003AA70000}"/>
    <cellStyle name="Финансовый 4 3 3 2 2 2 2 5" xfId="51150" xr:uid="{00000000-0005-0000-0000-00003BA70000}"/>
    <cellStyle name="Финансовый 4 3 3 2 2 2 3" xfId="5707" xr:uid="{00000000-0005-0000-0000-00003CA70000}"/>
    <cellStyle name="Финансовый 4 3 3 2 2 2 3 2" xfId="17685" xr:uid="{00000000-0005-0000-0000-00003DA70000}"/>
    <cellStyle name="Финансовый 4 3 3 2 2 2 3 2 2" xfId="41640" xr:uid="{00000000-0005-0000-0000-00003EA70000}"/>
    <cellStyle name="Финансовый 4 3 3 2 2 2 3 3" xfId="29662" xr:uid="{00000000-0005-0000-0000-00003FA70000}"/>
    <cellStyle name="Финансовый 4 3 3 2 2 2 4" xfId="8317" xr:uid="{00000000-0005-0000-0000-000040A70000}"/>
    <cellStyle name="Финансовый 4 3 3 2 2 2 4 2" xfId="20295" xr:uid="{00000000-0005-0000-0000-000041A70000}"/>
    <cellStyle name="Финансовый 4 3 3 2 2 2 4 2 2" xfId="44250" xr:uid="{00000000-0005-0000-0000-000042A70000}"/>
    <cellStyle name="Финансовый 4 3 3 2 2 2 4 3" xfId="32272" xr:uid="{00000000-0005-0000-0000-000043A70000}"/>
    <cellStyle name="Финансовый 4 3 3 2 2 2 5" xfId="10100" xr:uid="{00000000-0005-0000-0000-000044A70000}"/>
    <cellStyle name="Финансовый 4 3 3 2 2 2 5 2" xfId="22078" xr:uid="{00000000-0005-0000-0000-000045A70000}"/>
    <cellStyle name="Финансовый 4 3 3 2 2 2 5 2 2" xfId="46033" xr:uid="{00000000-0005-0000-0000-000046A70000}"/>
    <cellStyle name="Финансовый 4 3 3 2 2 2 5 3" xfId="34055" xr:uid="{00000000-0005-0000-0000-000047A70000}"/>
    <cellStyle name="Финансовый 4 3 3 2 2 2 6" xfId="14258" xr:uid="{00000000-0005-0000-0000-000048A70000}"/>
    <cellStyle name="Финансовый 4 3 3 2 2 2 6 2" xfId="38213" xr:uid="{00000000-0005-0000-0000-000049A70000}"/>
    <cellStyle name="Финансовый 4 3 3 2 2 2 7" xfId="26236" xr:uid="{00000000-0005-0000-0000-00004AA70000}"/>
    <cellStyle name="Финансовый 4 3 3 2 2 2 8" xfId="49369" xr:uid="{00000000-0005-0000-0000-00004BA70000}"/>
    <cellStyle name="Финансовый 4 3 3 2 2 3" xfId="3105" xr:uid="{00000000-0005-0000-0000-00004CA70000}"/>
    <cellStyle name="Финансовый 4 3 3 2 2 3 2" xfId="10892" xr:uid="{00000000-0005-0000-0000-00004DA70000}"/>
    <cellStyle name="Финансовый 4 3 3 2 2 3 2 2" xfId="22870" xr:uid="{00000000-0005-0000-0000-00004EA70000}"/>
    <cellStyle name="Финансовый 4 3 3 2 2 3 2 2 2" xfId="46825" xr:uid="{00000000-0005-0000-0000-00004FA70000}"/>
    <cellStyle name="Финансовый 4 3 3 2 2 3 2 3" xfId="34847" xr:uid="{00000000-0005-0000-0000-000050A70000}"/>
    <cellStyle name="Финансовый 4 3 3 2 2 3 3" xfId="15084" xr:uid="{00000000-0005-0000-0000-000051A70000}"/>
    <cellStyle name="Финансовый 4 3 3 2 2 3 3 2" xfId="39039" xr:uid="{00000000-0005-0000-0000-000052A70000}"/>
    <cellStyle name="Финансовый 4 3 3 2 2 3 4" xfId="27062" xr:uid="{00000000-0005-0000-0000-000053A70000}"/>
    <cellStyle name="Финансовый 4 3 3 2 2 3 5" xfId="50193" xr:uid="{00000000-0005-0000-0000-000054A70000}"/>
    <cellStyle name="Финансовый 4 3 3 2 2 4" xfId="4749" xr:uid="{00000000-0005-0000-0000-000055A70000}"/>
    <cellStyle name="Финансовый 4 3 3 2 2 4 2" xfId="16728" xr:uid="{00000000-0005-0000-0000-000056A70000}"/>
    <cellStyle name="Финансовый 4 3 3 2 2 4 2 2" xfId="40683" xr:uid="{00000000-0005-0000-0000-000057A70000}"/>
    <cellStyle name="Финансовый 4 3 3 2 2 4 3" xfId="28706" xr:uid="{00000000-0005-0000-0000-000058A70000}"/>
    <cellStyle name="Финансовый 4 3 3 2 2 5" xfId="7361" xr:uid="{00000000-0005-0000-0000-000059A70000}"/>
    <cellStyle name="Финансовый 4 3 3 2 2 5 2" xfId="19339" xr:uid="{00000000-0005-0000-0000-00005AA70000}"/>
    <cellStyle name="Финансовый 4 3 3 2 2 5 2 2" xfId="43294" xr:uid="{00000000-0005-0000-0000-00005BA70000}"/>
    <cellStyle name="Финансовый 4 3 3 2 2 5 3" xfId="31316" xr:uid="{00000000-0005-0000-0000-00005CA70000}"/>
    <cellStyle name="Финансовый 4 3 3 2 2 6" xfId="9143" xr:uid="{00000000-0005-0000-0000-00005DA70000}"/>
    <cellStyle name="Финансовый 4 3 3 2 2 6 2" xfId="21121" xr:uid="{00000000-0005-0000-0000-00005EA70000}"/>
    <cellStyle name="Финансовый 4 3 3 2 2 6 2 2" xfId="45076" xr:uid="{00000000-0005-0000-0000-00005FA70000}"/>
    <cellStyle name="Финансовый 4 3 3 2 2 6 3" xfId="33098" xr:uid="{00000000-0005-0000-0000-000060A70000}"/>
    <cellStyle name="Финансовый 4 3 3 2 2 7" xfId="13302" xr:uid="{00000000-0005-0000-0000-000061A70000}"/>
    <cellStyle name="Финансовый 4 3 3 2 2 7 2" xfId="37257" xr:uid="{00000000-0005-0000-0000-000062A70000}"/>
    <cellStyle name="Финансовый 4 3 3 2 2 8" xfId="25280" xr:uid="{00000000-0005-0000-0000-000063A70000}"/>
    <cellStyle name="Финансовый 4 3 3 2 2 9" xfId="48413" xr:uid="{00000000-0005-0000-0000-000064A70000}"/>
    <cellStyle name="Финансовый 4 3 3 2 3" xfId="2023" xr:uid="{00000000-0005-0000-0000-000065A70000}"/>
    <cellStyle name="Финансовый 4 3 3 2 3 2" xfId="3668" xr:uid="{00000000-0005-0000-0000-000066A70000}"/>
    <cellStyle name="Финансовый 4 3 3 2 3 2 2" xfId="11408" xr:uid="{00000000-0005-0000-0000-000067A70000}"/>
    <cellStyle name="Финансовый 4 3 3 2 3 2 2 2" xfId="23386" xr:uid="{00000000-0005-0000-0000-000068A70000}"/>
    <cellStyle name="Финансовый 4 3 3 2 3 2 2 2 2" xfId="47341" xr:uid="{00000000-0005-0000-0000-000069A70000}"/>
    <cellStyle name="Финансовый 4 3 3 2 3 2 2 3" xfId="35363" xr:uid="{00000000-0005-0000-0000-00006AA70000}"/>
    <cellStyle name="Финансовый 4 3 3 2 3 2 3" xfId="15647" xr:uid="{00000000-0005-0000-0000-00006BA70000}"/>
    <cellStyle name="Финансовый 4 3 3 2 3 2 3 2" xfId="39602" xr:uid="{00000000-0005-0000-0000-00006CA70000}"/>
    <cellStyle name="Финансовый 4 3 3 2 3 2 4" xfId="27625" xr:uid="{00000000-0005-0000-0000-00006DA70000}"/>
    <cellStyle name="Финансовый 4 3 3 2 3 2 5" xfId="50894" xr:uid="{00000000-0005-0000-0000-00006EA70000}"/>
    <cellStyle name="Финансовый 4 3 3 2 3 3" xfId="5451" xr:uid="{00000000-0005-0000-0000-00006FA70000}"/>
    <cellStyle name="Финансовый 4 3 3 2 3 3 2" xfId="17429" xr:uid="{00000000-0005-0000-0000-000070A70000}"/>
    <cellStyle name="Финансовый 4 3 3 2 3 3 2 2" xfId="41384" xr:uid="{00000000-0005-0000-0000-000071A70000}"/>
    <cellStyle name="Финансовый 4 3 3 2 3 3 3" xfId="29406" xr:uid="{00000000-0005-0000-0000-000072A70000}"/>
    <cellStyle name="Финансовый 4 3 3 2 3 4" xfId="8061" xr:uid="{00000000-0005-0000-0000-000073A70000}"/>
    <cellStyle name="Финансовый 4 3 3 2 3 4 2" xfId="20039" xr:uid="{00000000-0005-0000-0000-000074A70000}"/>
    <cellStyle name="Финансовый 4 3 3 2 3 4 2 2" xfId="43994" xr:uid="{00000000-0005-0000-0000-000075A70000}"/>
    <cellStyle name="Финансовый 4 3 3 2 3 4 3" xfId="32016" xr:uid="{00000000-0005-0000-0000-000076A70000}"/>
    <cellStyle name="Финансовый 4 3 3 2 3 5" xfId="9844" xr:uid="{00000000-0005-0000-0000-000077A70000}"/>
    <cellStyle name="Финансовый 4 3 3 2 3 5 2" xfId="21822" xr:uid="{00000000-0005-0000-0000-000078A70000}"/>
    <cellStyle name="Финансовый 4 3 3 2 3 5 2 2" xfId="45777" xr:uid="{00000000-0005-0000-0000-000079A70000}"/>
    <cellStyle name="Финансовый 4 3 3 2 3 5 3" xfId="33799" xr:uid="{00000000-0005-0000-0000-00007AA70000}"/>
    <cellStyle name="Финансовый 4 3 3 2 3 6" xfId="14002" xr:uid="{00000000-0005-0000-0000-00007BA70000}"/>
    <cellStyle name="Финансовый 4 3 3 2 3 6 2" xfId="37957" xr:uid="{00000000-0005-0000-0000-00007CA70000}"/>
    <cellStyle name="Финансовый 4 3 3 2 3 7" xfId="25980" xr:uid="{00000000-0005-0000-0000-00007DA70000}"/>
    <cellStyle name="Финансовый 4 3 3 2 3 8" xfId="49113" xr:uid="{00000000-0005-0000-0000-00007EA70000}"/>
    <cellStyle name="Финансовый 4 3 3 2 4" xfId="2552" xr:uid="{00000000-0005-0000-0000-00007FA70000}"/>
    <cellStyle name="Финансовый 4 3 3 2 4 2" xfId="4197" xr:uid="{00000000-0005-0000-0000-000080A70000}"/>
    <cellStyle name="Финансовый 4 3 3 2 4 2 2" xfId="11921" xr:uid="{00000000-0005-0000-0000-000081A70000}"/>
    <cellStyle name="Финансовый 4 3 3 2 4 2 2 2" xfId="23899" xr:uid="{00000000-0005-0000-0000-000082A70000}"/>
    <cellStyle name="Финансовый 4 3 3 2 4 2 2 2 2" xfId="47854" xr:uid="{00000000-0005-0000-0000-000083A70000}"/>
    <cellStyle name="Финансовый 4 3 3 2 4 2 2 3" xfId="35876" xr:uid="{00000000-0005-0000-0000-000084A70000}"/>
    <cellStyle name="Финансовый 4 3 3 2 4 2 3" xfId="16176" xr:uid="{00000000-0005-0000-0000-000085A70000}"/>
    <cellStyle name="Финансовый 4 3 3 2 4 2 3 2" xfId="40131" xr:uid="{00000000-0005-0000-0000-000086A70000}"/>
    <cellStyle name="Финансовый 4 3 3 2 4 2 4" xfId="28154" xr:uid="{00000000-0005-0000-0000-000087A70000}"/>
    <cellStyle name="Финансовый 4 3 3 2 4 2 5" xfId="51423" xr:uid="{00000000-0005-0000-0000-000088A70000}"/>
    <cellStyle name="Финансовый 4 3 3 2 4 3" xfId="5980" xr:uid="{00000000-0005-0000-0000-000089A70000}"/>
    <cellStyle name="Финансовый 4 3 3 2 4 3 2" xfId="17958" xr:uid="{00000000-0005-0000-0000-00008AA70000}"/>
    <cellStyle name="Финансовый 4 3 3 2 4 3 2 2" xfId="41913" xr:uid="{00000000-0005-0000-0000-00008BA70000}"/>
    <cellStyle name="Финансовый 4 3 3 2 4 3 3" xfId="29935" xr:uid="{00000000-0005-0000-0000-00008CA70000}"/>
    <cellStyle name="Финансовый 4 3 3 2 4 4" xfId="8590" xr:uid="{00000000-0005-0000-0000-00008DA70000}"/>
    <cellStyle name="Финансовый 4 3 3 2 4 4 2" xfId="20568" xr:uid="{00000000-0005-0000-0000-00008EA70000}"/>
    <cellStyle name="Финансовый 4 3 3 2 4 4 2 2" xfId="44523" xr:uid="{00000000-0005-0000-0000-00008FA70000}"/>
    <cellStyle name="Финансовый 4 3 3 2 4 4 3" xfId="32545" xr:uid="{00000000-0005-0000-0000-000090A70000}"/>
    <cellStyle name="Финансовый 4 3 3 2 4 5" xfId="10373" xr:uid="{00000000-0005-0000-0000-000091A70000}"/>
    <cellStyle name="Финансовый 4 3 3 2 4 5 2" xfId="22351" xr:uid="{00000000-0005-0000-0000-000092A70000}"/>
    <cellStyle name="Финансовый 4 3 3 2 4 5 2 2" xfId="46306" xr:uid="{00000000-0005-0000-0000-000093A70000}"/>
    <cellStyle name="Финансовый 4 3 3 2 4 5 3" xfId="34328" xr:uid="{00000000-0005-0000-0000-000094A70000}"/>
    <cellStyle name="Финансовый 4 3 3 2 4 6" xfId="14531" xr:uid="{00000000-0005-0000-0000-000095A70000}"/>
    <cellStyle name="Финансовый 4 3 3 2 4 6 2" xfId="38486" xr:uid="{00000000-0005-0000-0000-000096A70000}"/>
    <cellStyle name="Финансовый 4 3 3 2 4 7" xfId="26509" xr:uid="{00000000-0005-0000-0000-000097A70000}"/>
    <cellStyle name="Финансовый 4 3 3 2 4 8" xfId="49642" xr:uid="{00000000-0005-0000-0000-000098A70000}"/>
    <cellStyle name="Финансовый 4 3 3 2 5" xfId="1056" xr:uid="{00000000-0005-0000-0000-000099A70000}"/>
    <cellStyle name="Финансовый 4 3 3 2 5 2" xfId="7096" xr:uid="{00000000-0005-0000-0000-00009AA70000}"/>
    <cellStyle name="Финансовый 4 3 3 2 5 2 2" xfId="19074" xr:uid="{00000000-0005-0000-0000-00009BA70000}"/>
    <cellStyle name="Финансовый 4 3 3 2 5 2 2 2" xfId="43029" xr:uid="{00000000-0005-0000-0000-00009CA70000}"/>
    <cellStyle name="Финансовый 4 3 3 2 5 2 3" xfId="31051" xr:uid="{00000000-0005-0000-0000-00009DA70000}"/>
    <cellStyle name="Финансовый 4 3 3 2 5 3" xfId="10636" xr:uid="{00000000-0005-0000-0000-00009EA70000}"/>
    <cellStyle name="Финансовый 4 3 3 2 5 3 2" xfId="22614" xr:uid="{00000000-0005-0000-0000-00009FA70000}"/>
    <cellStyle name="Финансовый 4 3 3 2 5 3 2 2" xfId="46569" xr:uid="{00000000-0005-0000-0000-0000A0A70000}"/>
    <cellStyle name="Финансовый 4 3 3 2 5 3 3" xfId="34591" xr:uid="{00000000-0005-0000-0000-0000A1A70000}"/>
    <cellStyle name="Финансовый 4 3 3 2 5 4" xfId="13037" xr:uid="{00000000-0005-0000-0000-0000A2A70000}"/>
    <cellStyle name="Финансовый 4 3 3 2 5 4 2" xfId="36992" xr:uid="{00000000-0005-0000-0000-0000A3A70000}"/>
    <cellStyle name="Финансовый 4 3 3 2 5 5" xfId="25015" xr:uid="{00000000-0005-0000-0000-0000A4A70000}"/>
    <cellStyle name="Финансовый 4 3 3 2 5 6" xfId="49921" xr:uid="{00000000-0005-0000-0000-0000A5A70000}"/>
    <cellStyle name="Финансовый 4 3 3 2 6" xfId="644" xr:uid="{00000000-0005-0000-0000-0000A6A70000}"/>
    <cellStyle name="Финансовый 4 3 3 2 6 2" xfId="6684" xr:uid="{00000000-0005-0000-0000-0000A7A70000}"/>
    <cellStyle name="Финансовый 4 3 3 2 6 2 2" xfId="18662" xr:uid="{00000000-0005-0000-0000-0000A8A70000}"/>
    <cellStyle name="Финансовый 4 3 3 2 6 2 2 2" xfId="42617" xr:uid="{00000000-0005-0000-0000-0000A9A70000}"/>
    <cellStyle name="Финансовый 4 3 3 2 6 2 3" xfId="30639" xr:uid="{00000000-0005-0000-0000-0000AAA70000}"/>
    <cellStyle name="Финансовый 4 3 3 2 6 3" xfId="12625" xr:uid="{00000000-0005-0000-0000-0000ABA70000}"/>
    <cellStyle name="Финансовый 4 3 3 2 6 3 2" xfId="36580" xr:uid="{00000000-0005-0000-0000-0000ACA70000}"/>
    <cellStyle name="Финансовый 4 3 3 2 6 4" xfId="24603" xr:uid="{00000000-0005-0000-0000-0000ADA70000}"/>
    <cellStyle name="Финансовый 4 3 3 2 7" xfId="2833" xr:uid="{00000000-0005-0000-0000-0000AEA70000}"/>
    <cellStyle name="Финансовый 4 3 3 2 7 2" xfId="14812" xr:uid="{00000000-0005-0000-0000-0000AFA70000}"/>
    <cellStyle name="Финансовый 4 3 3 2 7 2 2" xfId="38767" xr:uid="{00000000-0005-0000-0000-0000B0A70000}"/>
    <cellStyle name="Финансовый 4 3 3 2 7 3" xfId="26790" xr:uid="{00000000-0005-0000-0000-0000B1A70000}"/>
    <cellStyle name="Финансовый 4 3 3 2 8" xfId="4477" xr:uid="{00000000-0005-0000-0000-0000B2A70000}"/>
    <cellStyle name="Финансовый 4 3 3 2 8 2" xfId="16456" xr:uid="{00000000-0005-0000-0000-0000B3A70000}"/>
    <cellStyle name="Финансовый 4 3 3 2 8 2 2" xfId="40411" xr:uid="{00000000-0005-0000-0000-0000B4A70000}"/>
    <cellStyle name="Финансовый 4 3 3 2 8 3" xfId="28434" xr:uid="{00000000-0005-0000-0000-0000B5A70000}"/>
    <cellStyle name="Финансовый 4 3 3 2 9" xfId="6264" xr:uid="{00000000-0005-0000-0000-0000B6A70000}"/>
    <cellStyle name="Финансовый 4 3 3 2 9 2" xfId="18242" xr:uid="{00000000-0005-0000-0000-0000B7A70000}"/>
    <cellStyle name="Финансовый 4 3 3 2 9 2 2" xfId="42197" xr:uid="{00000000-0005-0000-0000-0000B8A70000}"/>
    <cellStyle name="Финансовый 4 3 3 2 9 3" xfId="30219" xr:uid="{00000000-0005-0000-0000-0000B9A70000}"/>
    <cellStyle name="Финансовый 4 3 3 3" xfId="372" xr:uid="{00000000-0005-0000-0000-0000BAA70000}"/>
    <cellStyle name="Финансовый 4 3 3 3 10" xfId="24331" xr:uid="{00000000-0005-0000-0000-0000BBA70000}"/>
    <cellStyle name="Финансовый 4 3 3 3 11" xfId="48277" xr:uid="{00000000-0005-0000-0000-0000BCA70000}"/>
    <cellStyle name="Финансовый 4 3 3 3 2" xfId="2151" xr:uid="{00000000-0005-0000-0000-0000BDA70000}"/>
    <cellStyle name="Финансовый 4 3 3 3 2 2" xfId="3796" xr:uid="{00000000-0005-0000-0000-0000BEA70000}"/>
    <cellStyle name="Финансовый 4 3 3 3 2 2 2" xfId="11536" xr:uid="{00000000-0005-0000-0000-0000BFA70000}"/>
    <cellStyle name="Финансовый 4 3 3 3 2 2 2 2" xfId="23514" xr:uid="{00000000-0005-0000-0000-0000C0A70000}"/>
    <cellStyle name="Финансовый 4 3 3 3 2 2 2 2 2" xfId="47469" xr:uid="{00000000-0005-0000-0000-0000C1A70000}"/>
    <cellStyle name="Финансовый 4 3 3 3 2 2 2 3" xfId="35491" xr:uid="{00000000-0005-0000-0000-0000C2A70000}"/>
    <cellStyle name="Финансовый 4 3 3 3 2 2 3" xfId="15775" xr:uid="{00000000-0005-0000-0000-0000C3A70000}"/>
    <cellStyle name="Финансовый 4 3 3 3 2 2 3 2" xfId="39730" xr:uid="{00000000-0005-0000-0000-0000C4A70000}"/>
    <cellStyle name="Финансовый 4 3 3 3 2 2 4" xfId="27753" xr:uid="{00000000-0005-0000-0000-0000C5A70000}"/>
    <cellStyle name="Финансовый 4 3 3 3 2 2 5" xfId="51022" xr:uid="{00000000-0005-0000-0000-0000C6A70000}"/>
    <cellStyle name="Финансовый 4 3 3 3 2 3" xfId="5579" xr:uid="{00000000-0005-0000-0000-0000C7A70000}"/>
    <cellStyle name="Финансовый 4 3 3 3 2 3 2" xfId="17557" xr:uid="{00000000-0005-0000-0000-0000C8A70000}"/>
    <cellStyle name="Финансовый 4 3 3 3 2 3 2 2" xfId="41512" xr:uid="{00000000-0005-0000-0000-0000C9A70000}"/>
    <cellStyle name="Финансовый 4 3 3 3 2 3 3" xfId="29534" xr:uid="{00000000-0005-0000-0000-0000CAA70000}"/>
    <cellStyle name="Финансовый 4 3 3 3 2 4" xfId="8189" xr:uid="{00000000-0005-0000-0000-0000CBA70000}"/>
    <cellStyle name="Финансовый 4 3 3 3 2 4 2" xfId="20167" xr:uid="{00000000-0005-0000-0000-0000CCA70000}"/>
    <cellStyle name="Финансовый 4 3 3 3 2 4 2 2" xfId="44122" xr:uid="{00000000-0005-0000-0000-0000CDA70000}"/>
    <cellStyle name="Финансовый 4 3 3 3 2 4 3" xfId="32144" xr:uid="{00000000-0005-0000-0000-0000CEA70000}"/>
    <cellStyle name="Финансовый 4 3 3 3 2 5" xfId="9972" xr:uid="{00000000-0005-0000-0000-0000CFA70000}"/>
    <cellStyle name="Финансовый 4 3 3 3 2 5 2" xfId="21950" xr:uid="{00000000-0005-0000-0000-0000D0A70000}"/>
    <cellStyle name="Финансовый 4 3 3 3 2 5 2 2" xfId="45905" xr:uid="{00000000-0005-0000-0000-0000D1A70000}"/>
    <cellStyle name="Финансовый 4 3 3 3 2 5 3" xfId="33927" xr:uid="{00000000-0005-0000-0000-0000D2A70000}"/>
    <cellStyle name="Финансовый 4 3 3 3 2 6" xfId="14130" xr:uid="{00000000-0005-0000-0000-0000D3A70000}"/>
    <cellStyle name="Финансовый 4 3 3 3 2 6 2" xfId="38085" xr:uid="{00000000-0005-0000-0000-0000D4A70000}"/>
    <cellStyle name="Финансовый 4 3 3 3 2 7" xfId="26108" xr:uid="{00000000-0005-0000-0000-0000D5A70000}"/>
    <cellStyle name="Финансовый 4 3 3 3 2 8" xfId="49241" xr:uid="{00000000-0005-0000-0000-0000D6A70000}"/>
    <cellStyle name="Финансовый 4 3 3 3 3" xfId="1185" xr:uid="{00000000-0005-0000-0000-0000D7A70000}"/>
    <cellStyle name="Финансовый 4 3 3 3 3 2" xfId="7225" xr:uid="{00000000-0005-0000-0000-0000D8A70000}"/>
    <cellStyle name="Финансовый 4 3 3 3 3 2 2" xfId="19203" xr:uid="{00000000-0005-0000-0000-0000D9A70000}"/>
    <cellStyle name="Финансовый 4 3 3 3 3 2 2 2" xfId="43158" xr:uid="{00000000-0005-0000-0000-0000DAA70000}"/>
    <cellStyle name="Финансовый 4 3 3 3 3 2 3" xfId="31180" xr:uid="{00000000-0005-0000-0000-0000DBA70000}"/>
    <cellStyle name="Финансовый 4 3 3 3 3 3" xfId="10764" xr:uid="{00000000-0005-0000-0000-0000DCA70000}"/>
    <cellStyle name="Финансовый 4 3 3 3 3 3 2" xfId="22742" xr:uid="{00000000-0005-0000-0000-0000DDA70000}"/>
    <cellStyle name="Финансовый 4 3 3 3 3 3 2 2" xfId="46697" xr:uid="{00000000-0005-0000-0000-0000DEA70000}"/>
    <cellStyle name="Финансовый 4 3 3 3 3 3 3" xfId="34719" xr:uid="{00000000-0005-0000-0000-0000DFA70000}"/>
    <cellStyle name="Финансовый 4 3 3 3 3 4" xfId="13166" xr:uid="{00000000-0005-0000-0000-0000E0A70000}"/>
    <cellStyle name="Финансовый 4 3 3 3 3 4 2" xfId="37121" xr:uid="{00000000-0005-0000-0000-0000E1A70000}"/>
    <cellStyle name="Финансовый 4 3 3 3 3 5" xfId="25144" xr:uid="{00000000-0005-0000-0000-0000E2A70000}"/>
    <cellStyle name="Финансовый 4 3 3 3 3 6" xfId="50057" xr:uid="{00000000-0005-0000-0000-0000E3A70000}"/>
    <cellStyle name="Финансовый 4 3 3 3 4" xfId="792" xr:uid="{00000000-0005-0000-0000-0000E4A70000}"/>
    <cellStyle name="Финансовый 4 3 3 3 4 2" xfId="6832" xr:uid="{00000000-0005-0000-0000-0000E5A70000}"/>
    <cellStyle name="Финансовый 4 3 3 3 4 2 2" xfId="18810" xr:uid="{00000000-0005-0000-0000-0000E6A70000}"/>
    <cellStyle name="Финансовый 4 3 3 3 4 2 2 2" xfId="42765" xr:uid="{00000000-0005-0000-0000-0000E7A70000}"/>
    <cellStyle name="Финансовый 4 3 3 3 4 2 3" xfId="30787" xr:uid="{00000000-0005-0000-0000-0000E8A70000}"/>
    <cellStyle name="Финансовый 4 3 3 3 4 3" xfId="12773" xr:uid="{00000000-0005-0000-0000-0000E9A70000}"/>
    <cellStyle name="Финансовый 4 3 3 3 4 3 2" xfId="36728" xr:uid="{00000000-0005-0000-0000-0000EAA70000}"/>
    <cellStyle name="Финансовый 4 3 3 3 4 4" xfId="24751" xr:uid="{00000000-0005-0000-0000-0000EBA70000}"/>
    <cellStyle name="Финансовый 4 3 3 3 5" xfId="2969" xr:uid="{00000000-0005-0000-0000-0000ECA70000}"/>
    <cellStyle name="Финансовый 4 3 3 3 5 2" xfId="14948" xr:uid="{00000000-0005-0000-0000-0000EDA70000}"/>
    <cellStyle name="Финансовый 4 3 3 3 5 2 2" xfId="38903" xr:uid="{00000000-0005-0000-0000-0000EEA70000}"/>
    <cellStyle name="Финансовый 4 3 3 3 5 3" xfId="26926" xr:uid="{00000000-0005-0000-0000-0000EFA70000}"/>
    <cellStyle name="Финансовый 4 3 3 3 6" xfId="4613" xr:uid="{00000000-0005-0000-0000-0000F0A70000}"/>
    <cellStyle name="Финансовый 4 3 3 3 6 2" xfId="16592" xr:uid="{00000000-0005-0000-0000-0000F1A70000}"/>
    <cellStyle name="Финансовый 4 3 3 3 6 2 2" xfId="40547" xr:uid="{00000000-0005-0000-0000-0000F2A70000}"/>
    <cellStyle name="Финансовый 4 3 3 3 6 3" xfId="28570" xr:uid="{00000000-0005-0000-0000-0000F3A70000}"/>
    <cellStyle name="Финансовый 4 3 3 3 7" xfId="6412" xr:uid="{00000000-0005-0000-0000-0000F4A70000}"/>
    <cellStyle name="Финансовый 4 3 3 3 7 2" xfId="18390" xr:uid="{00000000-0005-0000-0000-0000F5A70000}"/>
    <cellStyle name="Финансовый 4 3 3 3 7 2 2" xfId="42345" xr:uid="{00000000-0005-0000-0000-0000F6A70000}"/>
    <cellStyle name="Финансовый 4 3 3 3 7 3" xfId="30367" xr:uid="{00000000-0005-0000-0000-0000F7A70000}"/>
    <cellStyle name="Финансовый 4 3 3 3 8" xfId="9007" xr:uid="{00000000-0005-0000-0000-0000F8A70000}"/>
    <cellStyle name="Финансовый 4 3 3 3 8 2" xfId="20985" xr:uid="{00000000-0005-0000-0000-0000F9A70000}"/>
    <cellStyle name="Финансовый 4 3 3 3 8 2 2" xfId="44940" xr:uid="{00000000-0005-0000-0000-0000FAA70000}"/>
    <cellStyle name="Финансовый 4 3 3 3 8 3" xfId="32962" xr:uid="{00000000-0005-0000-0000-0000FBA70000}"/>
    <cellStyle name="Финансовый 4 3 3 3 9" xfId="12353" xr:uid="{00000000-0005-0000-0000-0000FCA70000}"/>
    <cellStyle name="Финансовый 4 3 3 3 9 2" xfId="36308" xr:uid="{00000000-0005-0000-0000-0000FDA70000}"/>
    <cellStyle name="Финансовый 4 3 3 4" xfId="1540" xr:uid="{00000000-0005-0000-0000-0000FEA70000}"/>
    <cellStyle name="Финансовый 4 3 3 4 2" xfId="1895" xr:uid="{00000000-0005-0000-0000-0000FFA70000}"/>
    <cellStyle name="Финансовый 4 3 3 4 2 2" xfId="3540" xr:uid="{00000000-0005-0000-0000-000000A80000}"/>
    <cellStyle name="Финансовый 4 3 3 4 2 2 2" xfId="11280" xr:uid="{00000000-0005-0000-0000-000001A80000}"/>
    <cellStyle name="Финансовый 4 3 3 4 2 2 2 2" xfId="23258" xr:uid="{00000000-0005-0000-0000-000002A80000}"/>
    <cellStyle name="Финансовый 4 3 3 4 2 2 2 2 2" xfId="47213" xr:uid="{00000000-0005-0000-0000-000003A80000}"/>
    <cellStyle name="Финансовый 4 3 3 4 2 2 2 3" xfId="35235" xr:uid="{00000000-0005-0000-0000-000004A80000}"/>
    <cellStyle name="Финансовый 4 3 3 4 2 2 3" xfId="15519" xr:uid="{00000000-0005-0000-0000-000005A80000}"/>
    <cellStyle name="Финансовый 4 3 3 4 2 2 3 2" xfId="39474" xr:uid="{00000000-0005-0000-0000-000006A80000}"/>
    <cellStyle name="Финансовый 4 3 3 4 2 2 4" xfId="27497" xr:uid="{00000000-0005-0000-0000-000007A80000}"/>
    <cellStyle name="Финансовый 4 3 3 4 2 2 5" xfId="50766" xr:uid="{00000000-0005-0000-0000-000008A80000}"/>
    <cellStyle name="Финансовый 4 3 3 4 2 3" xfId="5323" xr:uid="{00000000-0005-0000-0000-000009A80000}"/>
    <cellStyle name="Финансовый 4 3 3 4 2 3 2" xfId="17301" xr:uid="{00000000-0005-0000-0000-00000AA80000}"/>
    <cellStyle name="Финансовый 4 3 3 4 2 3 2 2" xfId="41256" xr:uid="{00000000-0005-0000-0000-00000BA80000}"/>
    <cellStyle name="Финансовый 4 3 3 4 2 3 3" xfId="29278" xr:uid="{00000000-0005-0000-0000-00000CA80000}"/>
    <cellStyle name="Финансовый 4 3 3 4 2 4" xfId="7933" xr:uid="{00000000-0005-0000-0000-00000DA80000}"/>
    <cellStyle name="Финансовый 4 3 3 4 2 4 2" xfId="19911" xr:uid="{00000000-0005-0000-0000-00000EA80000}"/>
    <cellStyle name="Финансовый 4 3 3 4 2 4 2 2" xfId="43866" xr:uid="{00000000-0005-0000-0000-00000FA80000}"/>
    <cellStyle name="Финансовый 4 3 3 4 2 4 3" xfId="31888" xr:uid="{00000000-0005-0000-0000-000010A80000}"/>
    <cellStyle name="Финансовый 4 3 3 4 2 5" xfId="9716" xr:uid="{00000000-0005-0000-0000-000011A80000}"/>
    <cellStyle name="Финансовый 4 3 3 4 2 5 2" xfId="21694" xr:uid="{00000000-0005-0000-0000-000012A80000}"/>
    <cellStyle name="Финансовый 4 3 3 4 2 5 2 2" xfId="45649" xr:uid="{00000000-0005-0000-0000-000013A80000}"/>
    <cellStyle name="Финансовый 4 3 3 4 2 5 3" xfId="33671" xr:uid="{00000000-0005-0000-0000-000014A80000}"/>
    <cellStyle name="Финансовый 4 3 3 4 2 6" xfId="13874" xr:uid="{00000000-0005-0000-0000-000015A80000}"/>
    <cellStyle name="Финансовый 4 3 3 4 2 6 2" xfId="37829" xr:uid="{00000000-0005-0000-0000-000016A80000}"/>
    <cellStyle name="Финансовый 4 3 3 4 2 7" xfId="25852" xr:uid="{00000000-0005-0000-0000-000017A80000}"/>
    <cellStyle name="Финансовый 4 3 3 4 2 8" xfId="48985" xr:uid="{00000000-0005-0000-0000-000018A80000}"/>
    <cellStyle name="Финансовый 4 3 3 4 3" xfId="4968" xr:uid="{00000000-0005-0000-0000-000019A80000}"/>
    <cellStyle name="Финансовый 4 3 3 4 3 2" xfId="16946" xr:uid="{00000000-0005-0000-0000-00001AA80000}"/>
    <cellStyle name="Финансовый 4 3 3 4 3 2 2" xfId="40901" xr:uid="{00000000-0005-0000-0000-00001BA80000}"/>
    <cellStyle name="Финансовый 4 3 3 4 3 3" xfId="28923" xr:uid="{00000000-0005-0000-0000-00001CA80000}"/>
    <cellStyle name="Финансовый 4 3 3 4 3 4" xfId="50411" xr:uid="{00000000-0005-0000-0000-00001DA80000}"/>
    <cellStyle name="Финансовый 4 3 3 4 4" xfId="7578" xr:uid="{00000000-0005-0000-0000-00001EA80000}"/>
    <cellStyle name="Финансовый 4 3 3 4 4 2" xfId="19556" xr:uid="{00000000-0005-0000-0000-00001FA80000}"/>
    <cellStyle name="Финансовый 4 3 3 4 4 2 2" xfId="43511" xr:uid="{00000000-0005-0000-0000-000020A80000}"/>
    <cellStyle name="Финансовый 4 3 3 4 4 3" xfId="31533" xr:uid="{00000000-0005-0000-0000-000021A80000}"/>
    <cellStyle name="Финансовый 4 3 3 4 5" xfId="9361" xr:uid="{00000000-0005-0000-0000-000022A80000}"/>
    <cellStyle name="Финансовый 4 3 3 4 5 2" xfId="21339" xr:uid="{00000000-0005-0000-0000-000023A80000}"/>
    <cellStyle name="Финансовый 4 3 3 4 5 2 2" xfId="45294" xr:uid="{00000000-0005-0000-0000-000024A80000}"/>
    <cellStyle name="Финансовый 4 3 3 4 5 3" xfId="33316" xr:uid="{00000000-0005-0000-0000-000025A80000}"/>
    <cellStyle name="Финансовый 4 3 3 4 6" xfId="13519" xr:uid="{00000000-0005-0000-0000-000026A80000}"/>
    <cellStyle name="Финансовый 4 3 3 4 6 2" xfId="37474" xr:uid="{00000000-0005-0000-0000-000027A80000}"/>
    <cellStyle name="Финансовый 4 3 3 4 7" xfId="25497" xr:uid="{00000000-0005-0000-0000-000028A80000}"/>
    <cellStyle name="Финансовый 4 3 3 4 8" xfId="48630" xr:uid="{00000000-0005-0000-0000-000029A80000}"/>
    <cellStyle name="Финансовый 4 3 3 5" xfId="1771" xr:uid="{00000000-0005-0000-0000-00002AA80000}"/>
    <cellStyle name="Финансовый 4 3 3 5 2" xfId="3416" xr:uid="{00000000-0005-0000-0000-00002BA80000}"/>
    <cellStyle name="Финансовый 4 3 3 5 2 2" xfId="11164" xr:uid="{00000000-0005-0000-0000-00002CA80000}"/>
    <cellStyle name="Финансовый 4 3 3 5 2 2 2" xfId="23142" xr:uid="{00000000-0005-0000-0000-00002DA80000}"/>
    <cellStyle name="Финансовый 4 3 3 5 2 2 2 2" xfId="47097" xr:uid="{00000000-0005-0000-0000-00002EA80000}"/>
    <cellStyle name="Финансовый 4 3 3 5 2 2 3" xfId="35119" xr:uid="{00000000-0005-0000-0000-00002FA80000}"/>
    <cellStyle name="Финансовый 4 3 3 5 2 3" xfId="15395" xr:uid="{00000000-0005-0000-0000-000030A80000}"/>
    <cellStyle name="Финансовый 4 3 3 5 2 3 2" xfId="39350" xr:uid="{00000000-0005-0000-0000-000031A80000}"/>
    <cellStyle name="Финансовый 4 3 3 5 2 4" xfId="27373" xr:uid="{00000000-0005-0000-0000-000032A80000}"/>
    <cellStyle name="Финансовый 4 3 3 5 2 5" xfId="50642" xr:uid="{00000000-0005-0000-0000-000033A80000}"/>
    <cellStyle name="Финансовый 4 3 3 5 3" xfId="5199" xr:uid="{00000000-0005-0000-0000-000034A80000}"/>
    <cellStyle name="Финансовый 4 3 3 5 3 2" xfId="17177" xr:uid="{00000000-0005-0000-0000-000035A80000}"/>
    <cellStyle name="Финансовый 4 3 3 5 3 2 2" xfId="41132" xr:uid="{00000000-0005-0000-0000-000036A80000}"/>
    <cellStyle name="Финансовый 4 3 3 5 3 3" xfId="29154" xr:uid="{00000000-0005-0000-0000-000037A80000}"/>
    <cellStyle name="Финансовый 4 3 3 5 4" xfId="7809" xr:uid="{00000000-0005-0000-0000-000038A80000}"/>
    <cellStyle name="Финансовый 4 3 3 5 4 2" xfId="19787" xr:uid="{00000000-0005-0000-0000-000039A80000}"/>
    <cellStyle name="Финансовый 4 3 3 5 4 2 2" xfId="43742" xr:uid="{00000000-0005-0000-0000-00003AA80000}"/>
    <cellStyle name="Финансовый 4 3 3 5 4 3" xfId="31764" xr:uid="{00000000-0005-0000-0000-00003BA80000}"/>
    <cellStyle name="Финансовый 4 3 3 5 5" xfId="9592" xr:uid="{00000000-0005-0000-0000-00003CA80000}"/>
    <cellStyle name="Финансовый 4 3 3 5 5 2" xfId="21570" xr:uid="{00000000-0005-0000-0000-00003DA80000}"/>
    <cellStyle name="Финансовый 4 3 3 5 5 2 2" xfId="45525" xr:uid="{00000000-0005-0000-0000-00003EA80000}"/>
    <cellStyle name="Финансовый 4 3 3 5 5 3" xfId="33547" xr:uid="{00000000-0005-0000-0000-00003FA80000}"/>
    <cellStyle name="Финансовый 4 3 3 5 6" xfId="13750" xr:uid="{00000000-0005-0000-0000-000040A80000}"/>
    <cellStyle name="Финансовый 4 3 3 5 6 2" xfId="37705" xr:uid="{00000000-0005-0000-0000-000041A80000}"/>
    <cellStyle name="Финансовый 4 3 3 5 7" xfId="25728" xr:uid="{00000000-0005-0000-0000-000042A80000}"/>
    <cellStyle name="Финансовый 4 3 3 5 8" xfId="48861" xr:uid="{00000000-0005-0000-0000-000043A80000}"/>
    <cellStyle name="Финансовый 4 3 3 6" xfId="2416" xr:uid="{00000000-0005-0000-0000-000044A80000}"/>
    <cellStyle name="Финансовый 4 3 3 6 2" xfId="4061" xr:uid="{00000000-0005-0000-0000-000045A80000}"/>
    <cellStyle name="Финансовый 4 3 3 6 2 2" xfId="11793" xr:uid="{00000000-0005-0000-0000-000046A80000}"/>
    <cellStyle name="Финансовый 4 3 3 6 2 2 2" xfId="23771" xr:uid="{00000000-0005-0000-0000-000047A80000}"/>
    <cellStyle name="Финансовый 4 3 3 6 2 2 2 2" xfId="47726" xr:uid="{00000000-0005-0000-0000-000048A80000}"/>
    <cellStyle name="Финансовый 4 3 3 6 2 2 3" xfId="35748" xr:uid="{00000000-0005-0000-0000-000049A80000}"/>
    <cellStyle name="Финансовый 4 3 3 6 2 3" xfId="16040" xr:uid="{00000000-0005-0000-0000-00004AA80000}"/>
    <cellStyle name="Финансовый 4 3 3 6 2 3 2" xfId="39995" xr:uid="{00000000-0005-0000-0000-00004BA80000}"/>
    <cellStyle name="Финансовый 4 3 3 6 2 4" xfId="28018" xr:uid="{00000000-0005-0000-0000-00004CA80000}"/>
    <cellStyle name="Финансовый 4 3 3 6 2 5" xfId="51287" xr:uid="{00000000-0005-0000-0000-00004DA80000}"/>
    <cellStyle name="Финансовый 4 3 3 6 3" xfId="5844" xr:uid="{00000000-0005-0000-0000-00004EA80000}"/>
    <cellStyle name="Финансовый 4 3 3 6 3 2" xfId="17822" xr:uid="{00000000-0005-0000-0000-00004FA80000}"/>
    <cellStyle name="Финансовый 4 3 3 6 3 2 2" xfId="41777" xr:uid="{00000000-0005-0000-0000-000050A80000}"/>
    <cellStyle name="Финансовый 4 3 3 6 3 3" xfId="29799" xr:uid="{00000000-0005-0000-0000-000051A80000}"/>
    <cellStyle name="Финансовый 4 3 3 6 4" xfId="8454" xr:uid="{00000000-0005-0000-0000-000052A80000}"/>
    <cellStyle name="Финансовый 4 3 3 6 4 2" xfId="20432" xr:uid="{00000000-0005-0000-0000-000053A80000}"/>
    <cellStyle name="Финансовый 4 3 3 6 4 2 2" xfId="44387" xr:uid="{00000000-0005-0000-0000-000054A80000}"/>
    <cellStyle name="Финансовый 4 3 3 6 4 3" xfId="32409" xr:uid="{00000000-0005-0000-0000-000055A80000}"/>
    <cellStyle name="Финансовый 4 3 3 6 5" xfId="10237" xr:uid="{00000000-0005-0000-0000-000056A80000}"/>
    <cellStyle name="Финансовый 4 3 3 6 5 2" xfId="22215" xr:uid="{00000000-0005-0000-0000-000057A80000}"/>
    <cellStyle name="Финансовый 4 3 3 6 5 2 2" xfId="46170" xr:uid="{00000000-0005-0000-0000-000058A80000}"/>
    <cellStyle name="Финансовый 4 3 3 6 5 3" xfId="34192" xr:uid="{00000000-0005-0000-0000-000059A80000}"/>
    <cellStyle name="Финансовый 4 3 3 6 6" xfId="14395" xr:uid="{00000000-0005-0000-0000-00005AA80000}"/>
    <cellStyle name="Финансовый 4 3 3 6 6 2" xfId="38350" xr:uid="{00000000-0005-0000-0000-00005BA80000}"/>
    <cellStyle name="Финансовый 4 3 3 6 7" xfId="26373" xr:uid="{00000000-0005-0000-0000-00005CA80000}"/>
    <cellStyle name="Финансовый 4 3 3 6 8" xfId="49506" xr:uid="{00000000-0005-0000-0000-00005DA80000}"/>
    <cellStyle name="Финансовый 4 3 3 7" xfId="1643" xr:uid="{00000000-0005-0000-0000-00005EA80000}"/>
    <cellStyle name="Финансовый 4 3 3 7 2" xfId="3288" xr:uid="{00000000-0005-0000-0000-00005FA80000}"/>
    <cellStyle name="Финансовый 4 3 3 7 2 2" xfId="11036" xr:uid="{00000000-0005-0000-0000-000060A80000}"/>
    <cellStyle name="Финансовый 4 3 3 7 2 2 2" xfId="23014" xr:uid="{00000000-0005-0000-0000-000061A80000}"/>
    <cellStyle name="Финансовый 4 3 3 7 2 2 2 2" xfId="46969" xr:uid="{00000000-0005-0000-0000-000062A80000}"/>
    <cellStyle name="Финансовый 4 3 3 7 2 2 3" xfId="34991" xr:uid="{00000000-0005-0000-0000-000063A80000}"/>
    <cellStyle name="Финансовый 4 3 3 7 2 3" xfId="15267" xr:uid="{00000000-0005-0000-0000-000064A80000}"/>
    <cellStyle name="Финансовый 4 3 3 7 2 3 2" xfId="39222" xr:uid="{00000000-0005-0000-0000-000065A80000}"/>
    <cellStyle name="Финансовый 4 3 3 7 2 4" xfId="27245" xr:uid="{00000000-0005-0000-0000-000066A80000}"/>
    <cellStyle name="Финансовый 4 3 3 7 2 5" xfId="50514" xr:uid="{00000000-0005-0000-0000-000067A80000}"/>
    <cellStyle name="Финансовый 4 3 3 7 3" xfId="5071" xr:uid="{00000000-0005-0000-0000-000068A80000}"/>
    <cellStyle name="Финансовый 4 3 3 7 3 2" xfId="17049" xr:uid="{00000000-0005-0000-0000-000069A80000}"/>
    <cellStyle name="Финансовый 4 3 3 7 3 2 2" xfId="41004" xr:uid="{00000000-0005-0000-0000-00006AA80000}"/>
    <cellStyle name="Финансовый 4 3 3 7 3 3" xfId="29026" xr:uid="{00000000-0005-0000-0000-00006BA80000}"/>
    <cellStyle name="Финансовый 4 3 3 7 4" xfId="7681" xr:uid="{00000000-0005-0000-0000-00006CA80000}"/>
    <cellStyle name="Финансовый 4 3 3 7 4 2" xfId="19659" xr:uid="{00000000-0005-0000-0000-00006DA80000}"/>
    <cellStyle name="Финансовый 4 3 3 7 4 2 2" xfId="43614" xr:uid="{00000000-0005-0000-0000-00006EA80000}"/>
    <cellStyle name="Финансовый 4 3 3 7 4 3" xfId="31636" xr:uid="{00000000-0005-0000-0000-00006FA80000}"/>
    <cellStyle name="Финансовый 4 3 3 7 5" xfId="9464" xr:uid="{00000000-0005-0000-0000-000070A80000}"/>
    <cellStyle name="Финансовый 4 3 3 7 5 2" xfId="21442" xr:uid="{00000000-0005-0000-0000-000071A80000}"/>
    <cellStyle name="Финансовый 4 3 3 7 5 2 2" xfId="45397" xr:uid="{00000000-0005-0000-0000-000072A80000}"/>
    <cellStyle name="Финансовый 4 3 3 7 5 3" xfId="33419" xr:uid="{00000000-0005-0000-0000-000073A80000}"/>
    <cellStyle name="Финансовый 4 3 3 7 6" xfId="13622" xr:uid="{00000000-0005-0000-0000-000074A80000}"/>
    <cellStyle name="Финансовый 4 3 3 7 6 2" xfId="37577" xr:uid="{00000000-0005-0000-0000-000075A80000}"/>
    <cellStyle name="Финансовый 4 3 3 7 7" xfId="25600" xr:uid="{00000000-0005-0000-0000-000076A80000}"/>
    <cellStyle name="Финансовый 4 3 3 7 8" xfId="48733" xr:uid="{00000000-0005-0000-0000-000077A80000}"/>
    <cellStyle name="Финансовый 4 3 3 8" xfId="920" xr:uid="{00000000-0005-0000-0000-000078A80000}"/>
    <cellStyle name="Финансовый 4 3 3 8 2" xfId="6960" xr:uid="{00000000-0005-0000-0000-000079A80000}"/>
    <cellStyle name="Финансовый 4 3 3 8 2 2" xfId="18938" xr:uid="{00000000-0005-0000-0000-00007AA80000}"/>
    <cellStyle name="Финансовый 4 3 3 8 2 2 2" xfId="42893" xr:uid="{00000000-0005-0000-0000-00007BA80000}"/>
    <cellStyle name="Финансовый 4 3 3 8 2 3" xfId="30915" xr:uid="{00000000-0005-0000-0000-00007CA80000}"/>
    <cellStyle name="Финансовый 4 3 3 8 3" xfId="10508" xr:uid="{00000000-0005-0000-0000-00007DA80000}"/>
    <cellStyle name="Финансовый 4 3 3 8 3 2" xfId="22486" xr:uid="{00000000-0005-0000-0000-00007EA80000}"/>
    <cellStyle name="Финансовый 4 3 3 8 3 2 2" xfId="46441" xr:uid="{00000000-0005-0000-0000-00007FA80000}"/>
    <cellStyle name="Финансовый 4 3 3 8 3 3" xfId="34463" xr:uid="{00000000-0005-0000-0000-000080A80000}"/>
    <cellStyle name="Финансовый 4 3 3 8 4" xfId="12901" xr:uid="{00000000-0005-0000-0000-000081A80000}"/>
    <cellStyle name="Финансовый 4 3 3 8 4 2" xfId="36856" xr:uid="{00000000-0005-0000-0000-000082A80000}"/>
    <cellStyle name="Финансовый 4 3 3 8 5" xfId="24879" xr:uid="{00000000-0005-0000-0000-000083A80000}"/>
    <cellStyle name="Финансовый 4 3 3 8 6" xfId="49785" xr:uid="{00000000-0005-0000-0000-000084A80000}"/>
    <cellStyle name="Финансовый 4 3 3 9" xfId="508" xr:uid="{00000000-0005-0000-0000-000085A80000}"/>
    <cellStyle name="Финансовый 4 3 3 9 2" xfId="6548" xr:uid="{00000000-0005-0000-0000-000086A80000}"/>
    <cellStyle name="Финансовый 4 3 3 9 2 2" xfId="18526" xr:uid="{00000000-0005-0000-0000-000087A80000}"/>
    <cellStyle name="Финансовый 4 3 3 9 2 2 2" xfId="42481" xr:uid="{00000000-0005-0000-0000-000088A80000}"/>
    <cellStyle name="Финансовый 4 3 3 9 2 3" xfId="30503" xr:uid="{00000000-0005-0000-0000-000089A80000}"/>
    <cellStyle name="Финансовый 4 3 3 9 3" xfId="12489" xr:uid="{00000000-0005-0000-0000-00008AA80000}"/>
    <cellStyle name="Финансовый 4 3 3 9 3 2" xfId="36444" xr:uid="{00000000-0005-0000-0000-00008BA80000}"/>
    <cellStyle name="Финансовый 4 3 3 9 4" xfId="24467" xr:uid="{00000000-0005-0000-0000-00008CA80000}"/>
    <cellStyle name="Финансовый 4 3 4" xfId="179" xr:uid="{00000000-0005-0000-0000-00008DA80000}"/>
    <cellStyle name="Финансовый 4 3 4 10" xfId="8827" xr:uid="{00000000-0005-0000-0000-00008EA80000}"/>
    <cellStyle name="Финансовый 4 3 4 10 2" xfId="20805" xr:uid="{00000000-0005-0000-0000-00008FA80000}"/>
    <cellStyle name="Финансовый 4 3 4 10 2 2" xfId="44760" xr:uid="{00000000-0005-0000-0000-000090A80000}"/>
    <cellStyle name="Финансовый 4 3 4 10 3" xfId="32782" xr:uid="{00000000-0005-0000-0000-000091A80000}"/>
    <cellStyle name="Финансовый 4 3 4 11" xfId="12161" xr:uid="{00000000-0005-0000-0000-000092A80000}"/>
    <cellStyle name="Финансовый 4 3 4 11 2" xfId="36116" xr:uid="{00000000-0005-0000-0000-000093A80000}"/>
    <cellStyle name="Финансовый 4 3 4 12" xfId="24139" xr:uid="{00000000-0005-0000-0000-000094A80000}"/>
    <cellStyle name="Финансовый 4 3 4 13" xfId="48097" xr:uid="{00000000-0005-0000-0000-000095A80000}"/>
    <cellStyle name="Финансовый 4 3 4 2" xfId="1277" xr:uid="{00000000-0005-0000-0000-000096A80000}"/>
    <cellStyle name="Финансовый 4 3 4 2 2" xfId="2243" xr:uid="{00000000-0005-0000-0000-000097A80000}"/>
    <cellStyle name="Финансовый 4 3 4 2 2 2" xfId="3888" xr:uid="{00000000-0005-0000-0000-000098A80000}"/>
    <cellStyle name="Финансовый 4 3 4 2 2 2 2" xfId="11628" xr:uid="{00000000-0005-0000-0000-000099A80000}"/>
    <cellStyle name="Финансовый 4 3 4 2 2 2 2 2" xfId="23606" xr:uid="{00000000-0005-0000-0000-00009AA80000}"/>
    <cellStyle name="Финансовый 4 3 4 2 2 2 2 2 2" xfId="47561" xr:uid="{00000000-0005-0000-0000-00009BA80000}"/>
    <cellStyle name="Финансовый 4 3 4 2 2 2 2 3" xfId="35583" xr:uid="{00000000-0005-0000-0000-00009CA80000}"/>
    <cellStyle name="Финансовый 4 3 4 2 2 2 3" xfId="15867" xr:uid="{00000000-0005-0000-0000-00009DA80000}"/>
    <cellStyle name="Финансовый 4 3 4 2 2 2 3 2" xfId="39822" xr:uid="{00000000-0005-0000-0000-00009EA80000}"/>
    <cellStyle name="Финансовый 4 3 4 2 2 2 4" xfId="27845" xr:uid="{00000000-0005-0000-0000-00009FA80000}"/>
    <cellStyle name="Финансовый 4 3 4 2 2 2 5" xfId="51114" xr:uid="{00000000-0005-0000-0000-0000A0A80000}"/>
    <cellStyle name="Финансовый 4 3 4 2 2 3" xfId="5671" xr:uid="{00000000-0005-0000-0000-0000A1A80000}"/>
    <cellStyle name="Финансовый 4 3 4 2 2 3 2" xfId="17649" xr:uid="{00000000-0005-0000-0000-0000A2A80000}"/>
    <cellStyle name="Финансовый 4 3 4 2 2 3 2 2" xfId="41604" xr:uid="{00000000-0005-0000-0000-0000A3A80000}"/>
    <cellStyle name="Финансовый 4 3 4 2 2 3 3" xfId="29626" xr:uid="{00000000-0005-0000-0000-0000A4A80000}"/>
    <cellStyle name="Финансовый 4 3 4 2 2 4" xfId="8281" xr:uid="{00000000-0005-0000-0000-0000A5A80000}"/>
    <cellStyle name="Финансовый 4 3 4 2 2 4 2" xfId="20259" xr:uid="{00000000-0005-0000-0000-0000A6A80000}"/>
    <cellStyle name="Финансовый 4 3 4 2 2 4 2 2" xfId="44214" xr:uid="{00000000-0005-0000-0000-0000A7A80000}"/>
    <cellStyle name="Финансовый 4 3 4 2 2 4 3" xfId="32236" xr:uid="{00000000-0005-0000-0000-0000A8A80000}"/>
    <cellStyle name="Финансовый 4 3 4 2 2 5" xfId="10064" xr:uid="{00000000-0005-0000-0000-0000A9A80000}"/>
    <cellStyle name="Финансовый 4 3 4 2 2 5 2" xfId="22042" xr:uid="{00000000-0005-0000-0000-0000AAA80000}"/>
    <cellStyle name="Финансовый 4 3 4 2 2 5 2 2" xfId="45997" xr:uid="{00000000-0005-0000-0000-0000ABA80000}"/>
    <cellStyle name="Финансовый 4 3 4 2 2 5 3" xfId="34019" xr:uid="{00000000-0005-0000-0000-0000ACA80000}"/>
    <cellStyle name="Финансовый 4 3 4 2 2 6" xfId="14222" xr:uid="{00000000-0005-0000-0000-0000ADA80000}"/>
    <cellStyle name="Финансовый 4 3 4 2 2 6 2" xfId="38177" xr:uid="{00000000-0005-0000-0000-0000AEA80000}"/>
    <cellStyle name="Финансовый 4 3 4 2 2 7" xfId="26200" xr:uid="{00000000-0005-0000-0000-0000AFA80000}"/>
    <cellStyle name="Финансовый 4 3 4 2 2 8" xfId="49333" xr:uid="{00000000-0005-0000-0000-0000B0A80000}"/>
    <cellStyle name="Финансовый 4 3 4 2 3" xfId="3061" xr:uid="{00000000-0005-0000-0000-0000B1A80000}"/>
    <cellStyle name="Финансовый 4 3 4 2 3 2" xfId="10856" xr:uid="{00000000-0005-0000-0000-0000B2A80000}"/>
    <cellStyle name="Финансовый 4 3 4 2 3 2 2" xfId="22834" xr:uid="{00000000-0005-0000-0000-0000B3A80000}"/>
    <cellStyle name="Финансовый 4 3 4 2 3 2 2 2" xfId="46789" xr:uid="{00000000-0005-0000-0000-0000B4A80000}"/>
    <cellStyle name="Финансовый 4 3 4 2 3 2 3" xfId="34811" xr:uid="{00000000-0005-0000-0000-0000B5A80000}"/>
    <cellStyle name="Финансовый 4 3 4 2 3 3" xfId="15040" xr:uid="{00000000-0005-0000-0000-0000B6A80000}"/>
    <cellStyle name="Финансовый 4 3 4 2 3 3 2" xfId="38995" xr:uid="{00000000-0005-0000-0000-0000B7A80000}"/>
    <cellStyle name="Финансовый 4 3 4 2 3 4" xfId="27018" xr:uid="{00000000-0005-0000-0000-0000B8A80000}"/>
    <cellStyle name="Финансовый 4 3 4 2 3 5" xfId="50149" xr:uid="{00000000-0005-0000-0000-0000B9A80000}"/>
    <cellStyle name="Финансовый 4 3 4 2 4" xfId="4705" xr:uid="{00000000-0005-0000-0000-0000BAA80000}"/>
    <cellStyle name="Финансовый 4 3 4 2 4 2" xfId="16684" xr:uid="{00000000-0005-0000-0000-0000BBA80000}"/>
    <cellStyle name="Финансовый 4 3 4 2 4 2 2" xfId="40639" xr:uid="{00000000-0005-0000-0000-0000BCA80000}"/>
    <cellStyle name="Финансовый 4 3 4 2 4 3" xfId="28662" xr:uid="{00000000-0005-0000-0000-0000BDA80000}"/>
    <cellStyle name="Финансовый 4 3 4 2 5" xfId="7317" xr:uid="{00000000-0005-0000-0000-0000BEA80000}"/>
    <cellStyle name="Финансовый 4 3 4 2 5 2" xfId="19295" xr:uid="{00000000-0005-0000-0000-0000BFA80000}"/>
    <cellStyle name="Финансовый 4 3 4 2 5 2 2" xfId="43250" xr:uid="{00000000-0005-0000-0000-0000C0A80000}"/>
    <cellStyle name="Финансовый 4 3 4 2 5 3" xfId="31272" xr:uid="{00000000-0005-0000-0000-0000C1A80000}"/>
    <cellStyle name="Финансовый 4 3 4 2 6" xfId="9099" xr:uid="{00000000-0005-0000-0000-0000C2A80000}"/>
    <cellStyle name="Финансовый 4 3 4 2 6 2" xfId="21077" xr:uid="{00000000-0005-0000-0000-0000C3A80000}"/>
    <cellStyle name="Финансовый 4 3 4 2 6 2 2" xfId="45032" xr:uid="{00000000-0005-0000-0000-0000C4A80000}"/>
    <cellStyle name="Финансовый 4 3 4 2 6 3" xfId="33054" xr:uid="{00000000-0005-0000-0000-0000C5A80000}"/>
    <cellStyle name="Финансовый 4 3 4 2 7" xfId="13258" xr:uid="{00000000-0005-0000-0000-0000C6A80000}"/>
    <cellStyle name="Финансовый 4 3 4 2 7 2" xfId="37213" xr:uid="{00000000-0005-0000-0000-0000C7A80000}"/>
    <cellStyle name="Финансовый 4 3 4 2 8" xfId="25236" xr:uid="{00000000-0005-0000-0000-0000C8A80000}"/>
    <cellStyle name="Финансовый 4 3 4 2 9" xfId="48369" xr:uid="{00000000-0005-0000-0000-0000C9A80000}"/>
    <cellStyle name="Финансовый 4 3 4 3" xfId="1987" xr:uid="{00000000-0005-0000-0000-0000CAA80000}"/>
    <cellStyle name="Финансовый 4 3 4 3 2" xfId="3632" xr:uid="{00000000-0005-0000-0000-0000CBA80000}"/>
    <cellStyle name="Финансовый 4 3 4 3 2 2" xfId="11372" xr:uid="{00000000-0005-0000-0000-0000CCA80000}"/>
    <cellStyle name="Финансовый 4 3 4 3 2 2 2" xfId="23350" xr:uid="{00000000-0005-0000-0000-0000CDA80000}"/>
    <cellStyle name="Финансовый 4 3 4 3 2 2 2 2" xfId="47305" xr:uid="{00000000-0005-0000-0000-0000CEA80000}"/>
    <cellStyle name="Финансовый 4 3 4 3 2 2 3" xfId="35327" xr:uid="{00000000-0005-0000-0000-0000CFA80000}"/>
    <cellStyle name="Финансовый 4 3 4 3 2 3" xfId="15611" xr:uid="{00000000-0005-0000-0000-0000D0A80000}"/>
    <cellStyle name="Финансовый 4 3 4 3 2 3 2" xfId="39566" xr:uid="{00000000-0005-0000-0000-0000D1A80000}"/>
    <cellStyle name="Финансовый 4 3 4 3 2 4" xfId="27589" xr:uid="{00000000-0005-0000-0000-0000D2A80000}"/>
    <cellStyle name="Финансовый 4 3 4 3 2 5" xfId="50858" xr:uid="{00000000-0005-0000-0000-0000D3A80000}"/>
    <cellStyle name="Финансовый 4 3 4 3 3" xfId="5415" xr:uid="{00000000-0005-0000-0000-0000D4A80000}"/>
    <cellStyle name="Финансовый 4 3 4 3 3 2" xfId="17393" xr:uid="{00000000-0005-0000-0000-0000D5A80000}"/>
    <cellStyle name="Финансовый 4 3 4 3 3 2 2" xfId="41348" xr:uid="{00000000-0005-0000-0000-0000D6A80000}"/>
    <cellStyle name="Финансовый 4 3 4 3 3 3" xfId="29370" xr:uid="{00000000-0005-0000-0000-0000D7A80000}"/>
    <cellStyle name="Финансовый 4 3 4 3 4" xfId="8025" xr:uid="{00000000-0005-0000-0000-0000D8A80000}"/>
    <cellStyle name="Финансовый 4 3 4 3 4 2" xfId="20003" xr:uid="{00000000-0005-0000-0000-0000D9A80000}"/>
    <cellStyle name="Финансовый 4 3 4 3 4 2 2" xfId="43958" xr:uid="{00000000-0005-0000-0000-0000DAA80000}"/>
    <cellStyle name="Финансовый 4 3 4 3 4 3" xfId="31980" xr:uid="{00000000-0005-0000-0000-0000DBA80000}"/>
    <cellStyle name="Финансовый 4 3 4 3 5" xfId="9808" xr:uid="{00000000-0005-0000-0000-0000DCA80000}"/>
    <cellStyle name="Финансовый 4 3 4 3 5 2" xfId="21786" xr:uid="{00000000-0005-0000-0000-0000DDA80000}"/>
    <cellStyle name="Финансовый 4 3 4 3 5 2 2" xfId="45741" xr:uid="{00000000-0005-0000-0000-0000DEA80000}"/>
    <cellStyle name="Финансовый 4 3 4 3 5 3" xfId="33763" xr:uid="{00000000-0005-0000-0000-0000DFA80000}"/>
    <cellStyle name="Финансовый 4 3 4 3 6" xfId="13966" xr:uid="{00000000-0005-0000-0000-0000E0A80000}"/>
    <cellStyle name="Финансовый 4 3 4 3 6 2" xfId="37921" xr:uid="{00000000-0005-0000-0000-0000E1A80000}"/>
    <cellStyle name="Финансовый 4 3 4 3 7" xfId="25944" xr:uid="{00000000-0005-0000-0000-0000E2A80000}"/>
    <cellStyle name="Финансовый 4 3 4 3 8" xfId="49077" xr:uid="{00000000-0005-0000-0000-0000E3A80000}"/>
    <cellStyle name="Финансовый 4 3 4 4" xfId="2508" xr:uid="{00000000-0005-0000-0000-0000E4A80000}"/>
    <cellStyle name="Финансовый 4 3 4 4 2" xfId="4153" xr:uid="{00000000-0005-0000-0000-0000E5A80000}"/>
    <cellStyle name="Финансовый 4 3 4 4 2 2" xfId="11885" xr:uid="{00000000-0005-0000-0000-0000E6A80000}"/>
    <cellStyle name="Финансовый 4 3 4 4 2 2 2" xfId="23863" xr:uid="{00000000-0005-0000-0000-0000E7A80000}"/>
    <cellStyle name="Финансовый 4 3 4 4 2 2 2 2" xfId="47818" xr:uid="{00000000-0005-0000-0000-0000E8A80000}"/>
    <cellStyle name="Финансовый 4 3 4 4 2 2 3" xfId="35840" xr:uid="{00000000-0005-0000-0000-0000E9A80000}"/>
    <cellStyle name="Финансовый 4 3 4 4 2 3" xfId="16132" xr:uid="{00000000-0005-0000-0000-0000EAA80000}"/>
    <cellStyle name="Финансовый 4 3 4 4 2 3 2" xfId="40087" xr:uid="{00000000-0005-0000-0000-0000EBA80000}"/>
    <cellStyle name="Финансовый 4 3 4 4 2 4" xfId="28110" xr:uid="{00000000-0005-0000-0000-0000ECA80000}"/>
    <cellStyle name="Финансовый 4 3 4 4 2 5" xfId="51379" xr:uid="{00000000-0005-0000-0000-0000EDA80000}"/>
    <cellStyle name="Финансовый 4 3 4 4 3" xfId="5936" xr:uid="{00000000-0005-0000-0000-0000EEA80000}"/>
    <cellStyle name="Финансовый 4 3 4 4 3 2" xfId="17914" xr:uid="{00000000-0005-0000-0000-0000EFA80000}"/>
    <cellStyle name="Финансовый 4 3 4 4 3 2 2" xfId="41869" xr:uid="{00000000-0005-0000-0000-0000F0A80000}"/>
    <cellStyle name="Финансовый 4 3 4 4 3 3" xfId="29891" xr:uid="{00000000-0005-0000-0000-0000F1A80000}"/>
    <cellStyle name="Финансовый 4 3 4 4 4" xfId="8546" xr:uid="{00000000-0005-0000-0000-0000F2A80000}"/>
    <cellStyle name="Финансовый 4 3 4 4 4 2" xfId="20524" xr:uid="{00000000-0005-0000-0000-0000F3A80000}"/>
    <cellStyle name="Финансовый 4 3 4 4 4 2 2" xfId="44479" xr:uid="{00000000-0005-0000-0000-0000F4A80000}"/>
    <cellStyle name="Финансовый 4 3 4 4 4 3" xfId="32501" xr:uid="{00000000-0005-0000-0000-0000F5A80000}"/>
    <cellStyle name="Финансовый 4 3 4 4 5" xfId="10329" xr:uid="{00000000-0005-0000-0000-0000F6A80000}"/>
    <cellStyle name="Финансовый 4 3 4 4 5 2" xfId="22307" xr:uid="{00000000-0005-0000-0000-0000F7A80000}"/>
    <cellStyle name="Финансовый 4 3 4 4 5 2 2" xfId="46262" xr:uid="{00000000-0005-0000-0000-0000F8A80000}"/>
    <cellStyle name="Финансовый 4 3 4 4 5 3" xfId="34284" xr:uid="{00000000-0005-0000-0000-0000F9A80000}"/>
    <cellStyle name="Финансовый 4 3 4 4 6" xfId="14487" xr:uid="{00000000-0005-0000-0000-0000FAA80000}"/>
    <cellStyle name="Финансовый 4 3 4 4 6 2" xfId="38442" xr:uid="{00000000-0005-0000-0000-0000FBA80000}"/>
    <cellStyle name="Финансовый 4 3 4 4 7" xfId="26465" xr:uid="{00000000-0005-0000-0000-0000FCA80000}"/>
    <cellStyle name="Финансовый 4 3 4 4 8" xfId="49598" xr:uid="{00000000-0005-0000-0000-0000FDA80000}"/>
    <cellStyle name="Финансовый 4 3 4 5" xfId="1012" xr:uid="{00000000-0005-0000-0000-0000FEA80000}"/>
    <cellStyle name="Финансовый 4 3 4 5 2" xfId="7052" xr:uid="{00000000-0005-0000-0000-0000FFA80000}"/>
    <cellStyle name="Финансовый 4 3 4 5 2 2" xfId="19030" xr:uid="{00000000-0005-0000-0000-000000A90000}"/>
    <cellStyle name="Финансовый 4 3 4 5 2 2 2" xfId="42985" xr:uid="{00000000-0005-0000-0000-000001A90000}"/>
    <cellStyle name="Финансовый 4 3 4 5 2 3" xfId="31007" xr:uid="{00000000-0005-0000-0000-000002A90000}"/>
    <cellStyle name="Финансовый 4 3 4 5 3" xfId="10600" xr:uid="{00000000-0005-0000-0000-000003A90000}"/>
    <cellStyle name="Финансовый 4 3 4 5 3 2" xfId="22578" xr:uid="{00000000-0005-0000-0000-000004A90000}"/>
    <cellStyle name="Финансовый 4 3 4 5 3 2 2" xfId="46533" xr:uid="{00000000-0005-0000-0000-000005A90000}"/>
    <cellStyle name="Финансовый 4 3 4 5 3 3" xfId="34555" xr:uid="{00000000-0005-0000-0000-000006A90000}"/>
    <cellStyle name="Финансовый 4 3 4 5 4" xfId="12993" xr:uid="{00000000-0005-0000-0000-000007A90000}"/>
    <cellStyle name="Финансовый 4 3 4 5 4 2" xfId="36948" xr:uid="{00000000-0005-0000-0000-000008A90000}"/>
    <cellStyle name="Финансовый 4 3 4 5 5" xfId="24971" xr:uid="{00000000-0005-0000-0000-000009A90000}"/>
    <cellStyle name="Финансовый 4 3 4 5 6" xfId="49877" xr:uid="{00000000-0005-0000-0000-00000AA90000}"/>
    <cellStyle name="Финансовый 4 3 4 6" xfId="600" xr:uid="{00000000-0005-0000-0000-00000BA90000}"/>
    <cellStyle name="Финансовый 4 3 4 6 2" xfId="6640" xr:uid="{00000000-0005-0000-0000-00000CA90000}"/>
    <cellStyle name="Финансовый 4 3 4 6 2 2" xfId="18618" xr:uid="{00000000-0005-0000-0000-00000DA90000}"/>
    <cellStyle name="Финансовый 4 3 4 6 2 2 2" xfId="42573" xr:uid="{00000000-0005-0000-0000-00000EA90000}"/>
    <cellStyle name="Финансовый 4 3 4 6 2 3" xfId="30595" xr:uid="{00000000-0005-0000-0000-00000FA90000}"/>
    <cellStyle name="Финансовый 4 3 4 6 3" xfId="12581" xr:uid="{00000000-0005-0000-0000-000010A90000}"/>
    <cellStyle name="Финансовый 4 3 4 6 3 2" xfId="36536" xr:uid="{00000000-0005-0000-0000-000011A90000}"/>
    <cellStyle name="Финансовый 4 3 4 6 4" xfId="24559" xr:uid="{00000000-0005-0000-0000-000012A90000}"/>
    <cellStyle name="Финансовый 4 3 4 7" xfId="2789" xr:uid="{00000000-0005-0000-0000-000013A90000}"/>
    <cellStyle name="Финансовый 4 3 4 7 2" xfId="14768" xr:uid="{00000000-0005-0000-0000-000014A90000}"/>
    <cellStyle name="Финансовый 4 3 4 7 2 2" xfId="38723" xr:uid="{00000000-0005-0000-0000-000015A90000}"/>
    <cellStyle name="Финансовый 4 3 4 7 3" xfId="26746" xr:uid="{00000000-0005-0000-0000-000016A90000}"/>
    <cellStyle name="Финансовый 4 3 4 8" xfId="4433" xr:uid="{00000000-0005-0000-0000-000017A90000}"/>
    <cellStyle name="Финансовый 4 3 4 8 2" xfId="16412" xr:uid="{00000000-0005-0000-0000-000018A90000}"/>
    <cellStyle name="Финансовый 4 3 4 8 2 2" xfId="40367" xr:uid="{00000000-0005-0000-0000-000019A90000}"/>
    <cellStyle name="Финансовый 4 3 4 8 3" xfId="28390" xr:uid="{00000000-0005-0000-0000-00001AA90000}"/>
    <cellStyle name="Финансовый 4 3 4 9" xfId="6220" xr:uid="{00000000-0005-0000-0000-00001BA90000}"/>
    <cellStyle name="Финансовый 4 3 4 9 2" xfId="18198" xr:uid="{00000000-0005-0000-0000-00001CA90000}"/>
    <cellStyle name="Финансовый 4 3 4 9 2 2" xfId="42153" xr:uid="{00000000-0005-0000-0000-00001DA90000}"/>
    <cellStyle name="Финансовый 4 3 4 9 3" xfId="30175" xr:uid="{00000000-0005-0000-0000-00001EA90000}"/>
    <cellStyle name="Финансовый 4 3 5" xfId="328" xr:uid="{00000000-0005-0000-0000-00001FA90000}"/>
    <cellStyle name="Финансовый 4 3 5 10" xfId="24287" xr:uid="{00000000-0005-0000-0000-000020A90000}"/>
    <cellStyle name="Финансовый 4 3 5 11" xfId="48233" xr:uid="{00000000-0005-0000-0000-000021A90000}"/>
    <cellStyle name="Финансовый 4 3 5 2" xfId="2115" xr:uid="{00000000-0005-0000-0000-000022A90000}"/>
    <cellStyle name="Финансовый 4 3 5 2 2" xfId="3760" xr:uid="{00000000-0005-0000-0000-000023A90000}"/>
    <cellStyle name="Финансовый 4 3 5 2 2 2" xfId="11500" xr:uid="{00000000-0005-0000-0000-000024A90000}"/>
    <cellStyle name="Финансовый 4 3 5 2 2 2 2" xfId="23478" xr:uid="{00000000-0005-0000-0000-000025A90000}"/>
    <cellStyle name="Финансовый 4 3 5 2 2 2 2 2" xfId="47433" xr:uid="{00000000-0005-0000-0000-000026A90000}"/>
    <cellStyle name="Финансовый 4 3 5 2 2 2 3" xfId="35455" xr:uid="{00000000-0005-0000-0000-000027A90000}"/>
    <cellStyle name="Финансовый 4 3 5 2 2 3" xfId="15739" xr:uid="{00000000-0005-0000-0000-000028A90000}"/>
    <cellStyle name="Финансовый 4 3 5 2 2 3 2" xfId="39694" xr:uid="{00000000-0005-0000-0000-000029A90000}"/>
    <cellStyle name="Финансовый 4 3 5 2 2 4" xfId="27717" xr:uid="{00000000-0005-0000-0000-00002AA90000}"/>
    <cellStyle name="Финансовый 4 3 5 2 2 5" xfId="50986" xr:uid="{00000000-0005-0000-0000-00002BA90000}"/>
    <cellStyle name="Финансовый 4 3 5 2 3" xfId="5543" xr:uid="{00000000-0005-0000-0000-00002CA90000}"/>
    <cellStyle name="Финансовый 4 3 5 2 3 2" xfId="17521" xr:uid="{00000000-0005-0000-0000-00002DA90000}"/>
    <cellStyle name="Финансовый 4 3 5 2 3 2 2" xfId="41476" xr:uid="{00000000-0005-0000-0000-00002EA90000}"/>
    <cellStyle name="Финансовый 4 3 5 2 3 3" xfId="29498" xr:uid="{00000000-0005-0000-0000-00002FA90000}"/>
    <cellStyle name="Финансовый 4 3 5 2 4" xfId="8153" xr:uid="{00000000-0005-0000-0000-000030A90000}"/>
    <cellStyle name="Финансовый 4 3 5 2 4 2" xfId="20131" xr:uid="{00000000-0005-0000-0000-000031A90000}"/>
    <cellStyle name="Финансовый 4 3 5 2 4 2 2" xfId="44086" xr:uid="{00000000-0005-0000-0000-000032A90000}"/>
    <cellStyle name="Финансовый 4 3 5 2 4 3" xfId="32108" xr:uid="{00000000-0005-0000-0000-000033A90000}"/>
    <cellStyle name="Финансовый 4 3 5 2 5" xfId="9936" xr:uid="{00000000-0005-0000-0000-000034A90000}"/>
    <cellStyle name="Финансовый 4 3 5 2 5 2" xfId="21914" xr:uid="{00000000-0005-0000-0000-000035A90000}"/>
    <cellStyle name="Финансовый 4 3 5 2 5 2 2" xfId="45869" xr:uid="{00000000-0005-0000-0000-000036A90000}"/>
    <cellStyle name="Финансовый 4 3 5 2 5 3" xfId="33891" xr:uid="{00000000-0005-0000-0000-000037A90000}"/>
    <cellStyle name="Финансовый 4 3 5 2 6" xfId="14094" xr:uid="{00000000-0005-0000-0000-000038A90000}"/>
    <cellStyle name="Финансовый 4 3 5 2 6 2" xfId="38049" xr:uid="{00000000-0005-0000-0000-000039A90000}"/>
    <cellStyle name="Финансовый 4 3 5 2 7" xfId="26072" xr:uid="{00000000-0005-0000-0000-00003AA90000}"/>
    <cellStyle name="Финансовый 4 3 5 2 8" xfId="49205" xr:uid="{00000000-0005-0000-0000-00003BA90000}"/>
    <cellStyle name="Финансовый 4 3 5 3" xfId="1148" xr:uid="{00000000-0005-0000-0000-00003CA90000}"/>
    <cellStyle name="Финансовый 4 3 5 3 2" xfId="7188" xr:uid="{00000000-0005-0000-0000-00003DA90000}"/>
    <cellStyle name="Финансовый 4 3 5 3 2 2" xfId="19166" xr:uid="{00000000-0005-0000-0000-00003EA90000}"/>
    <cellStyle name="Финансовый 4 3 5 3 2 2 2" xfId="43121" xr:uid="{00000000-0005-0000-0000-00003FA90000}"/>
    <cellStyle name="Финансовый 4 3 5 3 2 3" xfId="31143" xr:uid="{00000000-0005-0000-0000-000040A90000}"/>
    <cellStyle name="Финансовый 4 3 5 3 3" xfId="10728" xr:uid="{00000000-0005-0000-0000-000041A90000}"/>
    <cellStyle name="Финансовый 4 3 5 3 3 2" xfId="22706" xr:uid="{00000000-0005-0000-0000-000042A90000}"/>
    <cellStyle name="Финансовый 4 3 5 3 3 2 2" xfId="46661" xr:uid="{00000000-0005-0000-0000-000043A90000}"/>
    <cellStyle name="Финансовый 4 3 5 3 3 3" xfId="34683" xr:uid="{00000000-0005-0000-0000-000044A90000}"/>
    <cellStyle name="Финансовый 4 3 5 3 4" xfId="13129" xr:uid="{00000000-0005-0000-0000-000045A90000}"/>
    <cellStyle name="Финансовый 4 3 5 3 4 2" xfId="37084" xr:uid="{00000000-0005-0000-0000-000046A90000}"/>
    <cellStyle name="Финансовый 4 3 5 3 5" xfId="25107" xr:uid="{00000000-0005-0000-0000-000047A90000}"/>
    <cellStyle name="Финансовый 4 3 5 3 6" xfId="50013" xr:uid="{00000000-0005-0000-0000-000048A90000}"/>
    <cellStyle name="Финансовый 4 3 5 4" xfId="748" xr:uid="{00000000-0005-0000-0000-000049A90000}"/>
    <cellStyle name="Финансовый 4 3 5 4 2" xfId="6788" xr:uid="{00000000-0005-0000-0000-00004AA90000}"/>
    <cellStyle name="Финансовый 4 3 5 4 2 2" xfId="18766" xr:uid="{00000000-0005-0000-0000-00004BA90000}"/>
    <cellStyle name="Финансовый 4 3 5 4 2 2 2" xfId="42721" xr:uid="{00000000-0005-0000-0000-00004CA90000}"/>
    <cellStyle name="Финансовый 4 3 5 4 2 3" xfId="30743" xr:uid="{00000000-0005-0000-0000-00004DA90000}"/>
    <cellStyle name="Финансовый 4 3 5 4 3" xfId="12729" xr:uid="{00000000-0005-0000-0000-00004EA90000}"/>
    <cellStyle name="Финансовый 4 3 5 4 3 2" xfId="36684" xr:uid="{00000000-0005-0000-0000-00004FA90000}"/>
    <cellStyle name="Финансовый 4 3 5 4 4" xfId="24707" xr:uid="{00000000-0005-0000-0000-000050A90000}"/>
    <cellStyle name="Финансовый 4 3 5 5" xfId="2925" xr:uid="{00000000-0005-0000-0000-000051A90000}"/>
    <cellStyle name="Финансовый 4 3 5 5 2" xfId="14904" xr:uid="{00000000-0005-0000-0000-000052A90000}"/>
    <cellStyle name="Финансовый 4 3 5 5 2 2" xfId="38859" xr:uid="{00000000-0005-0000-0000-000053A90000}"/>
    <cellStyle name="Финансовый 4 3 5 5 3" xfId="26882" xr:uid="{00000000-0005-0000-0000-000054A90000}"/>
    <cellStyle name="Финансовый 4 3 5 6" xfId="4569" xr:uid="{00000000-0005-0000-0000-000055A90000}"/>
    <cellStyle name="Финансовый 4 3 5 6 2" xfId="16548" xr:uid="{00000000-0005-0000-0000-000056A90000}"/>
    <cellStyle name="Финансовый 4 3 5 6 2 2" xfId="40503" xr:uid="{00000000-0005-0000-0000-000057A90000}"/>
    <cellStyle name="Финансовый 4 3 5 6 3" xfId="28526" xr:uid="{00000000-0005-0000-0000-000058A90000}"/>
    <cellStyle name="Финансовый 4 3 5 7" xfId="6368" xr:uid="{00000000-0005-0000-0000-000059A90000}"/>
    <cellStyle name="Финансовый 4 3 5 7 2" xfId="18346" xr:uid="{00000000-0005-0000-0000-00005AA90000}"/>
    <cellStyle name="Финансовый 4 3 5 7 2 2" xfId="42301" xr:uid="{00000000-0005-0000-0000-00005BA90000}"/>
    <cellStyle name="Финансовый 4 3 5 7 3" xfId="30323" xr:uid="{00000000-0005-0000-0000-00005CA90000}"/>
    <cellStyle name="Финансовый 4 3 5 8" xfId="8963" xr:uid="{00000000-0005-0000-0000-00005DA90000}"/>
    <cellStyle name="Финансовый 4 3 5 8 2" xfId="20941" xr:uid="{00000000-0005-0000-0000-00005EA90000}"/>
    <cellStyle name="Финансовый 4 3 5 8 2 2" xfId="44896" xr:uid="{00000000-0005-0000-0000-00005FA90000}"/>
    <cellStyle name="Финансовый 4 3 5 8 3" xfId="32918" xr:uid="{00000000-0005-0000-0000-000060A90000}"/>
    <cellStyle name="Финансовый 4 3 5 9" xfId="12309" xr:uid="{00000000-0005-0000-0000-000061A90000}"/>
    <cellStyle name="Финансовый 4 3 5 9 2" xfId="36264" xr:uid="{00000000-0005-0000-0000-000062A90000}"/>
    <cellStyle name="Финансовый 4 3 6" xfId="1432" xr:uid="{00000000-0005-0000-0000-000063A90000}"/>
    <cellStyle name="Финансовый 4 3 6 2" xfId="1851" xr:uid="{00000000-0005-0000-0000-000064A90000}"/>
    <cellStyle name="Финансовый 4 3 6 2 2" xfId="3496" xr:uid="{00000000-0005-0000-0000-000065A90000}"/>
    <cellStyle name="Финансовый 4 3 6 2 2 2" xfId="11244" xr:uid="{00000000-0005-0000-0000-000066A90000}"/>
    <cellStyle name="Финансовый 4 3 6 2 2 2 2" xfId="23222" xr:uid="{00000000-0005-0000-0000-000067A90000}"/>
    <cellStyle name="Финансовый 4 3 6 2 2 2 2 2" xfId="47177" xr:uid="{00000000-0005-0000-0000-000068A90000}"/>
    <cellStyle name="Финансовый 4 3 6 2 2 2 3" xfId="35199" xr:uid="{00000000-0005-0000-0000-000069A90000}"/>
    <cellStyle name="Финансовый 4 3 6 2 2 3" xfId="15475" xr:uid="{00000000-0005-0000-0000-00006AA90000}"/>
    <cellStyle name="Финансовый 4 3 6 2 2 3 2" xfId="39430" xr:uid="{00000000-0005-0000-0000-00006BA90000}"/>
    <cellStyle name="Финансовый 4 3 6 2 2 4" xfId="27453" xr:uid="{00000000-0005-0000-0000-00006CA90000}"/>
    <cellStyle name="Финансовый 4 3 6 2 2 5" xfId="50722" xr:uid="{00000000-0005-0000-0000-00006DA90000}"/>
    <cellStyle name="Финансовый 4 3 6 2 3" xfId="5279" xr:uid="{00000000-0005-0000-0000-00006EA90000}"/>
    <cellStyle name="Финансовый 4 3 6 2 3 2" xfId="17257" xr:uid="{00000000-0005-0000-0000-00006FA90000}"/>
    <cellStyle name="Финансовый 4 3 6 2 3 2 2" xfId="41212" xr:uid="{00000000-0005-0000-0000-000070A90000}"/>
    <cellStyle name="Финансовый 4 3 6 2 3 3" xfId="29234" xr:uid="{00000000-0005-0000-0000-000071A90000}"/>
    <cellStyle name="Финансовый 4 3 6 2 4" xfId="7889" xr:uid="{00000000-0005-0000-0000-000072A90000}"/>
    <cellStyle name="Финансовый 4 3 6 2 4 2" xfId="19867" xr:uid="{00000000-0005-0000-0000-000073A90000}"/>
    <cellStyle name="Финансовый 4 3 6 2 4 2 2" xfId="43822" xr:uid="{00000000-0005-0000-0000-000074A90000}"/>
    <cellStyle name="Финансовый 4 3 6 2 4 3" xfId="31844" xr:uid="{00000000-0005-0000-0000-000075A90000}"/>
    <cellStyle name="Финансовый 4 3 6 2 5" xfId="9672" xr:uid="{00000000-0005-0000-0000-000076A90000}"/>
    <cellStyle name="Финансовый 4 3 6 2 5 2" xfId="21650" xr:uid="{00000000-0005-0000-0000-000077A90000}"/>
    <cellStyle name="Финансовый 4 3 6 2 5 2 2" xfId="45605" xr:uid="{00000000-0005-0000-0000-000078A90000}"/>
    <cellStyle name="Финансовый 4 3 6 2 5 3" xfId="33627" xr:uid="{00000000-0005-0000-0000-000079A90000}"/>
    <cellStyle name="Финансовый 4 3 6 2 6" xfId="13830" xr:uid="{00000000-0005-0000-0000-00007AA90000}"/>
    <cellStyle name="Финансовый 4 3 6 2 6 2" xfId="37785" xr:uid="{00000000-0005-0000-0000-00007BA90000}"/>
    <cellStyle name="Финансовый 4 3 6 2 7" xfId="25808" xr:uid="{00000000-0005-0000-0000-00007CA90000}"/>
    <cellStyle name="Финансовый 4 3 6 2 8" xfId="48941" xr:uid="{00000000-0005-0000-0000-00007DA90000}"/>
    <cellStyle name="Финансовый 4 3 6 3" xfId="4860" xr:uid="{00000000-0005-0000-0000-00007EA90000}"/>
    <cellStyle name="Финансовый 4 3 6 3 2" xfId="16839" xr:uid="{00000000-0005-0000-0000-00007FA90000}"/>
    <cellStyle name="Финансовый 4 3 6 3 2 2" xfId="40794" xr:uid="{00000000-0005-0000-0000-000080A90000}"/>
    <cellStyle name="Финансовый 4 3 6 3 3" xfId="28816" xr:uid="{00000000-0005-0000-0000-000081A90000}"/>
    <cellStyle name="Финансовый 4 3 6 3 4" xfId="50304" xr:uid="{00000000-0005-0000-0000-000082A90000}"/>
    <cellStyle name="Финансовый 4 3 6 4" xfId="7471" xr:uid="{00000000-0005-0000-0000-000083A90000}"/>
    <cellStyle name="Финансовый 4 3 6 4 2" xfId="19449" xr:uid="{00000000-0005-0000-0000-000084A90000}"/>
    <cellStyle name="Финансовый 4 3 6 4 2 2" xfId="43404" xr:uid="{00000000-0005-0000-0000-000085A90000}"/>
    <cellStyle name="Финансовый 4 3 6 4 3" xfId="31426" xr:uid="{00000000-0005-0000-0000-000086A90000}"/>
    <cellStyle name="Финансовый 4 3 6 5" xfId="9254" xr:uid="{00000000-0005-0000-0000-000087A90000}"/>
    <cellStyle name="Финансовый 4 3 6 5 2" xfId="21232" xr:uid="{00000000-0005-0000-0000-000088A90000}"/>
    <cellStyle name="Финансовый 4 3 6 5 2 2" xfId="45187" xr:uid="{00000000-0005-0000-0000-000089A90000}"/>
    <cellStyle name="Финансовый 4 3 6 5 3" xfId="33209" xr:uid="{00000000-0005-0000-0000-00008AA90000}"/>
    <cellStyle name="Финансовый 4 3 6 6" xfId="13412" xr:uid="{00000000-0005-0000-0000-00008BA90000}"/>
    <cellStyle name="Финансовый 4 3 6 6 2" xfId="37367" xr:uid="{00000000-0005-0000-0000-00008CA90000}"/>
    <cellStyle name="Финансовый 4 3 6 7" xfId="25390" xr:uid="{00000000-0005-0000-0000-00008DA90000}"/>
    <cellStyle name="Финансовый 4 3 6 8" xfId="48523" xr:uid="{00000000-0005-0000-0000-00008EA90000}"/>
    <cellStyle name="Финансовый 4 3 7" xfId="1735" xr:uid="{00000000-0005-0000-0000-00008FA90000}"/>
    <cellStyle name="Финансовый 4 3 7 2" xfId="3380" xr:uid="{00000000-0005-0000-0000-000090A90000}"/>
    <cellStyle name="Финансовый 4 3 7 2 2" xfId="11128" xr:uid="{00000000-0005-0000-0000-000091A90000}"/>
    <cellStyle name="Финансовый 4 3 7 2 2 2" xfId="23106" xr:uid="{00000000-0005-0000-0000-000092A90000}"/>
    <cellStyle name="Финансовый 4 3 7 2 2 2 2" xfId="47061" xr:uid="{00000000-0005-0000-0000-000093A90000}"/>
    <cellStyle name="Финансовый 4 3 7 2 2 3" xfId="35083" xr:uid="{00000000-0005-0000-0000-000094A90000}"/>
    <cellStyle name="Финансовый 4 3 7 2 3" xfId="15359" xr:uid="{00000000-0005-0000-0000-000095A90000}"/>
    <cellStyle name="Финансовый 4 3 7 2 3 2" xfId="39314" xr:uid="{00000000-0005-0000-0000-000096A90000}"/>
    <cellStyle name="Финансовый 4 3 7 2 4" xfId="27337" xr:uid="{00000000-0005-0000-0000-000097A90000}"/>
    <cellStyle name="Финансовый 4 3 7 2 5" xfId="50606" xr:uid="{00000000-0005-0000-0000-000098A90000}"/>
    <cellStyle name="Финансовый 4 3 7 3" xfId="5163" xr:uid="{00000000-0005-0000-0000-000099A90000}"/>
    <cellStyle name="Финансовый 4 3 7 3 2" xfId="17141" xr:uid="{00000000-0005-0000-0000-00009AA90000}"/>
    <cellStyle name="Финансовый 4 3 7 3 2 2" xfId="41096" xr:uid="{00000000-0005-0000-0000-00009BA90000}"/>
    <cellStyle name="Финансовый 4 3 7 3 3" xfId="29118" xr:uid="{00000000-0005-0000-0000-00009CA90000}"/>
    <cellStyle name="Финансовый 4 3 7 4" xfId="7773" xr:uid="{00000000-0005-0000-0000-00009DA90000}"/>
    <cellStyle name="Финансовый 4 3 7 4 2" xfId="19751" xr:uid="{00000000-0005-0000-0000-00009EA90000}"/>
    <cellStyle name="Финансовый 4 3 7 4 2 2" xfId="43706" xr:uid="{00000000-0005-0000-0000-00009FA90000}"/>
    <cellStyle name="Финансовый 4 3 7 4 3" xfId="31728" xr:uid="{00000000-0005-0000-0000-0000A0A90000}"/>
    <cellStyle name="Финансовый 4 3 7 5" xfId="9556" xr:uid="{00000000-0005-0000-0000-0000A1A90000}"/>
    <cellStyle name="Финансовый 4 3 7 5 2" xfId="21534" xr:uid="{00000000-0005-0000-0000-0000A2A90000}"/>
    <cellStyle name="Финансовый 4 3 7 5 2 2" xfId="45489" xr:uid="{00000000-0005-0000-0000-0000A3A90000}"/>
    <cellStyle name="Финансовый 4 3 7 5 3" xfId="33511" xr:uid="{00000000-0005-0000-0000-0000A4A90000}"/>
    <cellStyle name="Финансовый 4 3 7 6" xfId="13714" xr:uid="{00000000-0005-0000-0000-0000A5A90000}"/>
    <cellStyle name="Финансовый 4 3 7 6 2" xfId="37669" xr:uid="{00000000-0005-0000-0000-0000A6A90000}"/>
    <cellStyle name="Финансовый 4 3 7 7" xfId="25692" xr:uid="{00000000-0005-0000-0000-0000A7A90000}"/>
    <cellStyle name="Финансовый 4 3 7 8" xfId="48825" xr:uid="{00000000-0005-0000-0000-0000A8A90000}"/>
    <cellStyle name="Финансовый 4 3 8" xfId="2371" xr:uid="{00000000-0005-0000-0000-0000A9A90000}"/>
    <cellStyle name="Финансовый 4 3 8 2" xfId="4016" xr:uid="{00000000-0005-0000-0000-0000AAA90000}"/>
    <cellStyle name="Финансовый 4 3 8 2 2" xfId="11756" xr:uid="{00000000-0005-0000-0000-0000ABA90000}"/>
    <cellStyle name="Финансовый 4 3 8 2 2 2" xfId="23734" xr:uid="{00000000-0005-0000-0000-0000ACA90000}"/>
    <cellStyle name="Финансовый 4 3 8 2 2 2 2" xfId="47689" xr:uid="{00000000-0005-0000-0000-0000ADA90000}"/>
    <cellStyle name="Финансовый 4 3 8 2 2 3" xfId="35711" xr:uid="{00000000-0005-0000-0000-0000AEA90000}"/>
    <cellStyle name="Финансовый 4 3 8 2 3" xfId="15995" xr:uid="{00000000-0005-0000-0000-0000AFA90000}"/>
    <cellStyle name="Финансовый 4 3 8 2 3 2" xfId="39950" xr:uid="{00000000-0005-0000-0000-0000B0A90000}"/>
    <cellStyle name="Финансовый 4 3 8 2 4" xfId="27973" xr:uid="{00000000-0005-0000-0000-0000B1A90000}"/>
    <cellStyle name="Финансовый 4 3 8 2 5" xfId="51242" xr:uid="{00000000-0005-0000-0000-0000B2A90000}"/>
    <cellStyle name="Финансовый 4 3 8 3" xfId="5799" xr:uid="{00000000-0005-0000-0000-0000B3A90000}"/>
    <cellStyle name="Финансовый 4 3 8 3 2" xfId="17777" xr:uid="{00000000-0005-0000-0000-0000B4A90000}"/>
    <cellStyle name="Финансовый 4 3 8 3 2 2" xfId="41732" xr:uid="{00000000-0005-0000-0000-0000B5A90000}"/>
    <cellStyle name="Финансовый 4 3 8 3 3" xfId="29754" xr:uid="{00000000-0005-0000-0000-0000B6A90000}"/>
    <cellStyle name="Финансовый 4 3 8 4" xfId="8409" xr:uid="{00000000-0005-0000-0000-0000B7A90000}"/>
    <cellStyle name="Финансовый 4 3 8 4 2" xfId="20387" xr:uid="{00000000-0005-0000-0000-0000B8A90000}"/>
    <cellStyle name="Финансовый 4 3 8 4 2 2" xfId="44342" xr:uid="{00000000-0005-0000-0000-0000B9A90000}"/>
    <cellStyle name="Финансовый 4 3 8 4 3" xfId="32364" xr:uid="{00000000-0005-0000-0000-0000BAA90000}"/>
    <cellStyle name="Финансовый 4 3 8 5" xfId="10192" xr:uid="{00000000-0005-0000-0000-0000BBA90000}"/>
    <cellStyle name="Финансовый 4 3 8 5 2" xfId="22170" xr:uid="{00000000-0005-0000-0000-0000BCA90000}"/>
    <cellStyle name="Финансовый 4 3 8 5 2 2" xfId="46125" xr:uid="{00000000-0005-0000-0000-0000BDA90000}"/>
    <cellStyle name="Финансовый 4 3 8 5 3" xfId="34147" xr:uid="{00000000-0005-0000-0000-0000BEA90000}"/>
    <cellStyle name="Финансовый 4 3 8 6" xfId="14350" xr:uid="{00000000-0005-0000-0000-0000BFA90000}"/>
    <cellStyle name="Финансовый 4 3 8 6 2" xfId="38305" xr:uid="{00000000-0005-0000-0000-0000C0A90000}"/>
    <cellStyle name="Финансовый 4 3 8 7" xfId="26328" xr:uid="{00000000-0005-0000-0000-0000C1A90000}"/>
    <cellStyle name="Финансовый 4 3 8 8" xfId="49461" xr:uid="{00000000-0005-0000-0000-0000C2A90000}"/>
    <cellStyle name="Финансовый 4 3 9" xfId="1598" xr:uid="{00000000-0005-0000-0000-0000C3A90000}"/>
    <cellStyle name="Финансовый 4 3 9 2" xfId="3243" xr:uid="{00000000-0005-0000-0000-0000C4A90000}"/>
    <cellStyle name="Финансовый 4 3 9 2 2" xfId="10999" xr:uid="{00000000-0005-0000-0000-0000C5A90000}"/>
    <cellStyle name="Финансовый 4 3 9 2 2 2" xfId="22977" xr:uid="{00000000-0005-0000-0000-0000C6A90000}"/>
    <cellStyle name="Финансовый 4 3 9 2 2 2 2" xfId="46932" xr:uid="{00000000-0005-0000-0000-0000C7A90000}"/>
    <cellStyle name="Финансовый 4 3 9 2 2 3" xfId="34954" xr:uid="{00000000-0005-0000-0000-0000C8A90000}"/>
    <cellStyle name="Финансовый 4 3 9 2 3" xfId="15222" xr:uid="{00000000-0005-0000-0000-0000C9A90000}"/>
    <cellStyle name="Финансовый 4 3 9 2 3 2" xfId="39177" xr:uid="{00000000-0005-0000-0000-0000CAA90000}"/>
    <cellStyle name="Финансовый 4 3 9 2 4" xfId="27200" xr:uid="{00000000-0005-0000-0000-0000CBA90000}"/>
    <cellStyle name="Финансовый 4 3 9 2 5" xfId="50469" xr:uid="{00000000-0005-0000-0000-0000CCA90000}"/>
    <cellStyle name="Финансовый 4 3 9 3" xfId="5026" xr:uid="{00000000-0005-0000-0000-0000CDA90000}"/>
    <cellStyle name="Финансовый 4 3 9 3 2" xfId="17004" xr:uid="{00000000-0005-0000-0000-0000CEA90000}"/>
    <cellStyle name="Финансовый 4 3 9 3 2 2" xfId="40959" xr:uid="{00000000-0005-0000-0000-0000CFA90000}"/>
    <cellStyle name="Финансовый 4 3 9 3 3" xfId="28981" xr:uid="{00000000-0005-0000-0000-0000D0A90000}"/>
    <cellStyle name="Финансовый 4 3 9 4" xfId="7636" xr:uid="{00000000-0005-0000-0000-0000D1A90000}"/>
    <cellStyle name="Финансовый 4 3 9 4 2" xfId="19614" xr:uid="{00000000-0005-0000-0000-0000D2A90000}"/>
    <cellStyle name="Финансовый 4 3 9 4 2 2" xfId="43569" xr:uid="{00000000-0005-0000-0000-0000D3A90000}"/>
    <cellStyle name="Финансовый 4 3 9 4 3" xfId="31591" xr:uid="{00000000-0005-0000-0000-0000D4A90000}"/>
    <cellStyle name="Финансовый 4 3 9 5" xfId="9419" xr:uid="{00000000-0005-0000-0000-0000D5A90000}"/>
    <cellStyle name="Финансовый 4 3 9 5 2" xfId="21397" xr:uid="{00000000-0005-0000-0000-0000D6A90000}"/>
    <cellStyle name="Финансовый 4 3 9 5 2 2" xfId="45352" xr:uid="{00000000-0005-0000-0000-0000D7A90000}"/>
    <cellStyle name="Финансовый 4 3 9 5 3" xfId="33374" xr:uid="{00000000-0005-0000-0000-0000D8A90000}"/>
    <cellStyle name="Финансовый 4 3 9 6" xfId="13577" xr:uid="{00000000-0005-0000-0000-0000D9A90000}"/>
    <cellStyle name="Финансовый 4 3 9 6 2" xfId="37532" xr:uid="{00000000-0005-0000-0000-0000DAA90000}"/>
    <cellStyle name="Финансовый 4 3 9 7" xfId="25555" xr:uid="{00000000-0005-0000-0000-0000DBA90000}"/>
    <cellStyle name="Финансовый 4 3 9 8" xfId="48688" xr:uid="{00000000-0005-0000-0000-0000DCA90000}"/>
    <cellStyle name="Финансовый 4 4" xfId="93" xr:uid="{00000000-0005-0000-0000-0000DDA90000}"/>
    <cellStyle name="Финансовый 4 4 10" xfId="2703" xr:uid="{00000000-0005-0000-0000-0000DEA90000}"/>
    <cellStyle name="Финансовый 4 4 10 2" xfId="14682" xr:uid="{00000000-0005-0000-0000-0000DFA90000}"/>
    <cellStyle name="Финансовый 4 4 10 2 2" xfId="38637" xr:uid="{00000000-0005-0000-0000-0000E0A90000}"/>
    <cellStyle name="Финансовый 4 4 10 3" xfId="26660" xr:uid="{00000000-0005-0000-0000-0000E1A90000}"/>
    <cellStyle name="Финансовый 4 4 11" xfId="4347" xr:uid="{00000000-0005-0000-0000-0000E2A90000}"/>
    <cellStyle name="Финансовый 4 4 11 2" xfId="16326" xr:uid="{00000000-0005-0000-0000-0000E3A90000}"/>
    <cellStyle name="Финансовый 4 4 11 2 2" xfId="40281" xr:uid="{00000000-0005-0000-0000-0000E4A90000}"/>
    <cellStyle name="Финансовый 4 4 11 3" xfId="28304" xr:uid="{00000000-0005-0000-0000-0000E5A90000}"/>
    <cellStyle name="Финансовый 4 4 12" xfId="6134" xr:uid="{00000000-0005-0000-0000-0000E6A90000}"/>
    <cellStyle name="Финансовый 4 4 12 2" xfId="18112" xr:uid="{00000000-0005-0000-0000-0000E7A90000}"/>
    <cellStyle name="Финансовый 4 4 12 2 2" xfId="42067" xr:uid="{00000000-0005-0000-0000-0000E8A90000}"/>
    <cellStyle name="Финансовый 4 4 12 3" xfId="30089" xr:uid="{00000000-0005-0000-0000-0000E9A90000}"/>
    <cellStyle name="Финансовый 4 4 13" xfId="8741" xr:uid="{00000000-0005-0000-0000-0000EAA90000}"/>
    <cellStyle name="Финансовый 4 4 13 2" xfId="20719" xr:uid="{00000000-0005-0000-0000-0000EBA90000}"/>
    <cellStyle name="Финансовый 4 4 13 2 2" xfId="44674" xr:uid="{00000000-0005-0000-0000-0000ECA90000}"/>
    <cellStyle name="Финансовый 4 4 13 3" xfId="32696" xr:uid="{00000000-0005-0000-0000-0000EDA90000}"/>
    <cellStyle name="Финансовый 4 4 14" xfId="12075" xr:uid="{00000000-0005-0000-0000-0000EEA90000}"/>
    <cellStyle name="Финансовый 4 4 14 2" xfId="36030" xr:uid="{00000000-0005-0000-0000-0000EFA90000}"/>
    <cellStyle name="Финансовый 4 4 15" xfId="24053" xr:uid="{00000000-0005-0000-0000-0000F0A90000}"/>
    <cellStyle name="Финансовый 4 4 16" xfId="48011" xr:uid="{00000000-0005-0000-0000-0000F1A90000}"/>
    <cellStyle name="Финансовый 4 4 2" xfId="229" xr:uid="{00000000-0005-0000-0000-0000F2A90000}"/>
    <cellStyle name="Финансовый 4 4 2 10" xfId="8877" xr:uid="{00000000-0005-0000-0000-0000F3A90000}"/>
    <cellStyle name="Финансовый 4 4 2 10 2" xfId="20855" xr:uid="{00000000-0005-0000-0000-0000F4A90000}"/>
    <cellStyle name="Финансовый 4 4 2 10 2 2" xfId="44810" xr:uid="{00000000-0005-0000-0000-0000F5A90000}"/>
    <cellStyle name="Финансовый 4 4 2 10 3" xfId="32832" xr:uid="{00000000-0005-0000-0000-0000F6A90000}"/>
    <cellStyle name="Финансовый 4 4 2 11" xfId="12211" xr:uid="{00000000-0005-0000-0000-0000F7A90000}"/>
    <cellStyle name="Финансовый 4 4 2 11 2" xfId="36166" xr:uid="{00000000-0005-0000-0000-0000F8A90000}"/>
    <cellStyle name="Финансовый 4 4 2 12" xfId="24189" xr:uid="{00000000-0005-0000-0000-0000F9A90000}"/>
    <cellStyle name="Финансовый 4 4 2 13" xfId="48147" xr:uid="{00000000-0005-0000-0000-0000FAA90000}"/>
    <cellStyle name="Финансовый 4 4 2 2" xfId="1327" xr:uid="{00000000-0005-0000-0000-0000FBA90000}"/>
    <cellStyle name="Финансовый 4 4 2 2 2" xfId="2285" xr:uid="{00000000-0005-0000-0000-0000FCA90000}"/>
    <cellStyle name="Финансовый 4 4 2 2 2 2" xfId="3930" xr:uid="{00000000-0005-0000-0000-0000FDA90000}"/>
    <cellStyle name="Финансовый 4 4 2 2 2 2 2" xfId="11670" xr:uid="{00000000-0005-0000-0000-0000FEA90000}"/>
    <cellStyle name="Финансовый 4 4 2 2 2 2 2 2" xfId="23648" xr:uid="{00000000-0005-0000-0000-0000FFA90000}"/>
    <cellStyle name="Финансовый 4 4 2 2 2 2 2 2 2" xfId="47603" xr:uid="{00000000-0005-0000-0000-000000AA0000}"/>
    <cellStyle name="Финансовый 4 4 2 2 2 2 2 3" xfId="35625" xr:uid="{00000000-0005-0000-0000-000001AA0000}"/>
    <cellStyle name="Финансовый 4 4 2 2 2 2 3" xfId="15909" xr:uid="{00000000-0005-0000-0000-000002AA0000}"/>
    <cellStyle name="Финансовый 4 4 2 2 2 2 3 2" xfId="39864" xr:uid="{00000000-0005-0000-0000-000003AA0000}"/>
    <cellStyle name="Финансовый 4 4 2 2 2 2 4" xfId="27887" xr:uid="{00000000-0005-0000-0000-000004AA0000}"/>
    <cellStyle name="Финансовый 4 4 2 2 2 2 5" xfId="51156" xr:uid="{00000000-0005-0000-0000-000005AA0000}"/>
    <cellStyle name="Финансовый 4 4 2 2 2 3" xfId="5713" xr:uid="{00000000-0005-0000-0000-000006AA0000}"/>
    <cellStyle name="Финансовый 4 4 2 2 2 3 2" xfId="17691" xr:uid="{00000000-0005-0000-0000-000007AA0000}"/>
    <cellStyle name="Финансовый 4 4 2 2 2 3 2 2" xfId="41646" xr:uid="{00000000-0005-0000-0000-000008AA0000}"/>
    <cellStyle name="Финансовый 4 4 2 2 2 3 3" xfId="29668" xr:uid="{00000000-0005-0000-0000-000009AA0000}"/>
    <cellStyle name="Финансовый 4 4 2 2 2 4" xfId="8323" xr:uid="{00000000-0005-0000-0000-00000AAA0000}"/>
    <cellStyle name="Финансовый 4 4 2 2 2 4 2" xfId="20301" xr:uid="{00000000-0005-0000-0000-00000BAA0000}"/>
    <cellStyle name="Финансовый 4 4 2 2 2 4 2 2" xfId="44256" xr:uid="{00000000-0005-0000-0000-00000CAA0000}"/>
    <cellStyle name="Финансовый 4 4 2 2 2 4 3" xfId="32278" xr:uid="{00000000-0005-0000-0000-00000DAA0000}"/>
    <cellStyle name="Финансовый 4 4 2 2 2 5" xfId="10106" xr:uid="{00000000-0005-0000-0000-00000EAA0000}"/>
    <cellStyle name="Финансовый 4 4 2 2 2 5 2" xfId="22084" xr:uid="{00000000-0005-0000-0000-00000FAA0000}"/>
    <cellStyle name="Финансовый 4 4 2 2 2 5 2 2" xfId="46039" xr:uid="{00000000-0005-0000-0000-000010AA0000}"/>
    <cellStyle name="Финансовый 4 4 2 2 2 5 3" xfId="34061" xr:uid="{00000000-0005-0000-0000-000011AA0000}"/>
    <cellStyle name="Финансовый 4 4 2 2 2 6" xfId="14264" xr:uid="{00000000-0005-0000-0000-000012AA0000}"/>
    <cellStyle name="Финансовый 4 4 2 2 2 6 2" xfId="38219" xr:uid="{00000000-0005-0000-0000-000013AA0000}"/>
    <cellStyle name="Финансовый 4 4 2 2 2 7" xfId="26242" xr:uid="{00000000-0005-0000-0000-000014AA0000}"/>
    <cellStyle name="Финансовый 4 4 2 2 2 8" xfId="49375" xr:uid="{00000000-0005-0000-0000-000015AA0000}"/>
    <cellStyle name="Финансовый 4 4 2 2 3" xfId="3111" xr:uid="{00000000-0005-0000-0000-000016AA0000}"/>
    <cellStyle name="Финансовый 4 4 2 2 3 2" xfId="10898" xr:uid="{00000000-0005-0000-0000-000017AA0000}"/>
    <cellStyle name="Финансовый 4 4 2 2 3 2 2" xfId="22876" xr:uid="{00000000-0005-0000-0000-000018AA0000}"/>
    <cellStyle name="Финансовый 4 4 2 2 3 2 2 2" xfId="46831" xr:uid="{00000000-0005-0000-0000-000019AA0000}"/>
    <cellStyle name="Финансовый 4 4 2 2 3 2 3" xfId="34853" xr:uid="{00000000-0005-0000-0000-00001AAA0000}"/>
    <cellStyle name="Финансовый 4 4 2 2 3 3" xfId="15090" xr:uid="{00000000-0005-0000-0000-00001BAA0000}"/>
    <cellStyle name="Финансовый 4 4 2 2 3 3 2" xfId="39045" xr:uid="{00000000-0005-0000-0000-00001CAA0000}"/>
    <cellStyle name="Финансовый 4 4 2 2 3 4" xfId="27068" xr:uid="{00000000-0005-0000-0000-00001DAA0000}"/>
    <cellStyle name="Финансовый 4 4 2 2 3 5" xfId="50199" xr:uid="{00000000-0005-0000-0000-00001EAA0000}"/>
    <cellStyle name="Финансовый 4 4 2 2 4" xfId="4755" xr:uid="{00000000-0005-0000-0000-00001FAA0000}"/>
    <cellStyle name="Финансовый 4 4 2 2 4 2" xfId="16734" xr:uid="{00000000-0005-0000-0000-000020AA0000}"/>
    <cellStyle name="Финансовый 4 4 2 2 4 2 2" xfId="40689" xr:uid="{00000000-0005-0000-0000-000021AA0000}"/>
    <cellStyle name="Финансовый 4 4 2 2 4 3" xfId="28712" xr:uid="{00000000-0005-0000-0000-000022AA0000}"/>
    <cellStyle name="Финансовый 4 4 2 2 5" xfId="7367" xr:uid="{00000000-0005-0000-0000-000023AA0000}"/>
    <cellStyle name="Финансовый 4 4 2 2 5 2" xfId="19345" xr:uid="{00000000-0005-0000-0000-000024AA0000}"/>
    <cellStyle name="Финансовый 4 4 2 2 5 2 2" xfId="43300" xr:uid="{00000000-0005-0000-0000-000025AA0000}"/>
    <cellStyle name="Финансовый 4 4 2 2 5 3" xfId="31322" xr:uid="{00000000-0005-0000-0000-000026AA0000}"/>
    <cellStyle name="Финансовый 4 4 2 2 6" xfId="9149" xr:uid="{00000000-0005-0000-0000-000027AA0000}"/>
    <cellStyle name="Финансовый 4 4 2 2 6 2" xfId="21127" xr:uid="{00000000-0005-0000-0000-000028AA0000}"/>
    <cellStyle name="Финансовый 4 4 2 2 6 2 2" xfId="45082" xr:uid="{00000000-0005-0000-0000-000029AA0000}"/>
    <cellStyle name="Финансовый 4 4 2 2 6 3" xfId="33104" xr:uid="{00000000-0005-0000-0000-00002AAA0000}"/>
    <cellStyle name="Финансовый 4 4 2 2 7" xfId="13308" xr:uid="{00000000-0005-0000-0000-00002BAA0000}"/>
    <cellStyle name="Финансовый 4 4 2 2 7 2" xfId="37263" xr:uid="{00000000-0005-0000-0000-00002CAA0000}"/>
    <cellStyle name="Финансовый 4 4 2 2 8" xfId="25286" xr:uid="{00000000-0005-0000-0000-00002DAA0000}"/>
    <cellStyle name="Финансовый 4 4 2 2 9" xfId="48419" xr:uid="{00000000-0005-0000-0000-00002EAA0000}"/>
    <cellStyle name="Финансовый 4 4 2 3" xfId="2029" xr:uid="{00000000-0005-0000-0000-00002FAA0000}"/>
    <cellStyle name="Финансовый 4 4 2 3 2" xfId="3674" xr:uid="{00000000-0005-0000-0000-000030AA0000}"/>
    <cellStyle name="Финансовый 4 4 2 3 2 2" xfId="11414" xr:uid="{00000000-0005-0000-0000-000031AA0000}"/>
    <cellStyle name="Финансовый 4 4 2 3 2 2 2" xfId="23392" xr:uid="{00000000-0005-0000-0000-000032AA0000}"/>
    <cellStyle name="Финансовый 4 4 2 3 2 2 2 2" xfId="47347" xr:uid="{00000000-0005-0000-0000-000033AA0000}"/>
    <cellStyle name="Финансовый 4 4 2 3 2 2 3" xfId="35369" xr:uid="{00000000-0005-0000-0000-000034AA0000}"/>
    <cellStyle name="Финансовый 4 4 2 3 2 3" xfId="15653" xr:uid="{00000000-0005-0000-0000-000035AA0000}"/>
    <cellStyle name="Финансовый 4 4 2 3 2 3 2" xfId="39608" xr:uid="{00000000-0005-0000-0000-000036AA0000}"/>
    <cellStyle name="Финансовый 4 4 2 3 2 4" xfId="27631" xr:uid="{00000000-0005-0000-0000-000037AA0000}"/>
    <cellStyle name="Финансовый 4 4 2 3 2 5" xfId="50900" xr:uid="{00000000-0005-0000-0000-000038AA0000}"/>
    <cellStyle name="Финансовый 4 4 2 3 3" xfId="5457" xr:uid="{00000000-0005-0000-0000-000039AA0000}"/>
    <cellStyle name="Финансовый 4 4 2 3 3 2" xfId="17435" xr:uid="{00000000-0005-0000-0000-00003AAA0000}"/>
    <cellStyle name="Финансовый 4 4 2 3 3 2 2" xfId="41390" xr:uid="{00000000-0005-0000-0000-00003BAA0000}"/>
    <cellStyle name="Финансовый 4 4 2 3 3 3" xfId="29412" xr:uid="{00000000-0005-0000-0000-00003CAA0000}"/>
    <cellStyle name="Финансовый 4 4 2 3 4" xfId="8067" xr:uid="{00000000-0005-0000-0000-00003DAA0000}"/>
    <cellStyle name="Финансовый 4 4 2 3 4 2" xfId="20045" xr:uid="{00000000-0005-0000-0000-00003EAA0000}"/>
    <cellStyle name="Финансовый 4 4 2 3 4 2 2" xfId="44000" xr:uid="{00000000-0005-0000-0000-00003FAA0000}"/>
    <cellStyle name="Финансовый 4 4 2 3 4 3" xfId="32022" xr:uid="{00000000-0005-0000-0000-000040AA0000}"/>
    <cellStyle name="Финансовый 4 4 2 3 5" xfId="9850" xr:uid="{00000000-0005-0000-0000-000041AA0000}"/>
    <cellStyle name="Финансовый 4 4 2 3 5 2" xfId="21828" xr:uid="{00000000-0005-0000-0000-000042AA0000}"/>
    <cellStyle name="Финансовый 4 4 2 3 5 2 2" xfId="45783" xr:uid="{00000000-0005-0000-0000-000043AA0000}"/>
    <cellStyle name="Финансовый 4 4 2 3 5 3" xfId="33805" xr:uid="{00000000-0005-0000-0000-000044AA0000}"/>
    <cellStyle name="Финансовый 4 4 2 3 6" xfId="14008" xr:uid="{00000000-0005-0000-0000-000045AA0000}"/>
    <cellStyle name="Финансовый 4 4 2 3 6 2" xfId="37963" xr:uid="{00000000-0005-0000-0000-000046AA0000}"/>
    <cellStyle name="Финансовый 4 4 2 3 7" xfId="25986" xr:uid="{00000000-0005-0000-0000-000047AA0000}"/>
    <cellStyle name="Финансовый 4 4 2 3 8" xfId="49119" xr:uid="{00000000-0005-0000-0000-000048AA0000}"/>
    <cellStyle name="Финансовый 4 4 2 4" xfId="2558" xr:uid="{00000000-0005-0000-0000-000049AA0000}"/>
    <cellStyle name="Финансовый 4 4 2 4 2" xfId="4203" xr:uid="{00000000-0005-0000-0000-00004AAA0000}"/>
    <cellStyle name="Финансовый 4 4 2 4 2 2" xfId="11927" xr:uid="{00000000-0005-0000-0000-00004BAA0000}"/>
    <cellStyle name="Финансовый 4 4 2 4 2 2 2" xfId="23905" xr:uid="{00000000-0005-0000-0000-00004CAA0000}"/>
    <cellStyle name="Финансовый 4 4 2 4 2 2 2 2" xfId="47860" xr:uid="{00000000-0005-0000-0000-00004DAA0000}"/>
    <cellStyle name="Финансовый 4 4 2 4 2 2 3" xfId="35882" xr:uid="{00000000-0005-0000-0000-00004EAA0000}"/>
    <cellStyle name="Финансовый 4 4 2 4 2 3" xfId="16182" xr:uid="{00000000-0005-0000-0000-00004FAA0000}"/>
    <cellStyle name="Финансовый 4 4 2 4 2 3 2" xfId="40137" xr:uid="{00000000-0005-0000-0000-000050AA0000}"/>
    <cellStyle name="Финансовый 4 4 2 4 2 4" xfId="28160" xr:uid="{00000000-0005-0000-0000-000051AA0000}"/>
    <cellStyle name="Финансовый 4 4 2 4 2 5" xfId="51429" xr:uid="{00000000-0005-0000-0000-000052AA0000}"/>
    <cellStyle name="Финансовый 4 4 2 4 3" xfId="5986" xr:uid="{00000000-0005-0000-0000-000053AA0000}"/>
    <cellStyle name="Финансовый 4 4 2 4 3 2" xfId="17964" xr:uid="{00000000-0005-0000-0000-000054AA0000}"/>
    <cellStyle name="Финансовый 4 4 2 4 3 2 2" xfId="41919" xr:uid="{00000000-0005-0000-0000-000055AA0000}"/>
    <cellStyle name="Финансовый 4 4 2 4 3 3" xfId="29941" xr:uid="{00000000-0005-0000-0000-000056AA0000}"/>
    <cellStyle name="Финансовый 4 4 2 4 4" xfId="8596" xr:uid="{00000000-0005-0000-0000-000057AA0000}"/>
    <cellStyle name="Финансовый 4 4 2 4 4 2" xfId="20574" xr:uid="{00000000-0005-0000-0000-000058AA0000}"/>
    <cellStyle name="Финансовый 4 4 2 4 4 2 2" xfId="44529" xr:uid="{00000000-0005-0000-0000-000059AA0000}"/>
    <cellStyle name="Финансовый 4 4 2 4 4 3" xfId="32551" xr:uid="{00000000-0005-0000-0000-00005AAA0000}"/>
    <cellStyle name="Финансовый 4 4 2 4 5" xfId="10379" xr:uid="{00000000-0005-0000-0000-00005BAA0000}"/>
    <cellStyle name="Финансовый 4 4 2 4 5 2" xfId="22357" xr:uid="{00000000-0005-0000-0000-00005CAA0000}"/>
    <cellStyle name="Финансовый 4 4 2 4 5 2 2" xfId="46312" xr:uid="{00000000-0005-0000-0000-00005DAA0000}"/>
    <cellStyle name="Финансовый 4 4 2 4 5 3" xfId="34334" xr:uid="{00000000-0005-0000-0000-00005EAA0000}"/>
    <cellStyle name="Финансовый 4 4 2 4 6" xfId="14537" xr:uid="{00000000-0005-0000-0000-00005FAA0000}"/>
    <cellStyle name="Финансовый 4 4 2 4 6 2" xfId="38492" xr:uid="{00000000-0005-0000-0000-000060AA0000}"/>
    <cellStyle name="Финансовый 4 4 2 4 7" xfId="26515" xr:uid="{00000000-0005-0000-0000-000061AA0000}"/>
    <cellStyle name="Финансовый 4 4 2 4 8" xfId="49648" xr:uid="{00000000-0005-0000-0000-000062AA0000}"/>
    <cellStyle name="Финансовый 4 4 2 5" xfId="1062" xr:uid="{00000000-0005-0000-0000-000063AA0000}"/>
    <cellStyle name="Финансовый 4 4 2 5 2" xfId="7102" xr:uid="{00000000-0005-0000-0000-000064AA0000}"/>
    <cellStyle name="Финансовый 4 4 2 5 2 2" xfId="19080" xr:uid="{00000000-0005-0000-0000-000065AA0000}"/>
    <cellStyle name="Финансовый 4 4 2 5 2 2 2" xfId="43035" xr:uid="{00000000-0005-0000-0000-000066AA0000}"/>
    <cellStyle name="Финансовый 4 4 2 5 2 3" xfId="31057" xr:uid="{00000000-0005-0000-0000-000067AA0000}"/>
    <cellStyle name="Финансовый 4 4 2 5 3" xfId="10642" xr:uid="{00000000-0005-0000-0000-000068AA0000}"/>
    <cellStyle name="Финансовый 4 4 2 5 3 2" xfId="22620" xr:uid="{00000000-0005-0000-0000-000069AA0000}"/>
    <cellStyle name="Финансовый 4 4 2 5 3 2 2" xfId="46575" xr:uid="{00000000-0005-0000-0000-00006AAA0000}"/>
    <cellStyle name="Финансовый 4 4 2 5 3 3" xfId="34597" xr:uid="{00000000-0005-0000-0000-00006BAA0000}"/>
    <cellStyle name="Финансовый 4 4 2 5 4" xfId="13043" xr:uid="{00000000-0005-0000-0000-00006CAA0000}"/>
    <cellStyle name="Финансовый 4 4 2 5 4 2" xfId="36998" xr:uid="{00000000-0005-0000-0000-00006DAA0000}"/>
    <cellStyle name="Финансовый 4 4 2 5 5" xfId="25021" xr:uid="{00000000-0005-0000-0000-00006EAA0000}"/>
    <cellStyle name="Финансовый 4 4 2 5 6" xfId="49927" xr:uid="{00000000-0005-0000-0000-00006FAA0000}"/>
    <cellStyle name="Финансовый 4 4 2 6" xfId="650" xr:uid="{00000000-0005-0000-0000-000070AA0000}"/>
    <cellStyle name="Финансовый 4 4 2 6 2" xfId="6690" xr:uid="{00000000-0005-0000-0000-000071AA0000}"/>
    <cellStyle name="Финансовый 4 4 2 6 2 2" xfId="18668" xr:uid="{00000000-0005-0000-0000-000072AA0000}"/>
    <cellStyle name="Финансовый 4 4 2 6 2 2 2" xfId="42623" xr:uid="{00000000-0005-0000-0000-000073AA0000}"/>
    <cellStyle name="Финансовый 4 4 2 6 2 3" xfId="30645" xr:uid="{00000000-0005-0000-0000-000074AA0000}"/>
    <cellStyle name="Финансовый 4 4 2 6 3" xfId="12631" xr:uid="{00000000-0005-0000-0000-000075AA0000}"/>
    <cellStyle name="Финансовый 4 4 2 6 3 2" xfId="36586" xr:uid="{00000000-0005-0000-0000-000076AA0000}"/>
    <cellStyle name="Финансовый 4 4 2 6 4" xfId="24609" xr:uid="{00000000-0005-0000-0000-000077AA0000}"/>
    <cellStyle name="Финансовый 4 4 2 7" xfId="2839" xr:uid="{00000000-0005-0000-0000-000078AA0000}"/>
    <cellStyle name="Финансовый 4 4 2 7 2" xfId="14818" xr:uid="{00000000-0005-0000-0000-000079AA0000}"/>
    <cellStyle name="Финансовый 4 4 2 7 2 2" xfId="38773" xr:uid="{00000000-0005-0000-0000-00007AAA0000}"/>
    <cellStyle name="Финансовый 4 4 2 7 3" xfId="26796" xr:uid="{00000000-0005-0000-0000-00007BAA0000}"/>
    <cellStyle name="Финансовый 4 4 2 8" xfId="4483" xr:uid="{00000000-0005-0000-0000-00007CAA0000}"/>
    <cellStyle name="Финансовый 4 4 2 8 2" xfId="16462" xr:uid="{00000000-0005-0000-0000-00007DAA0000}"/>
    <cellStyle name="Финансовый 4 4 2 8 2 2" xfId="40417" xr:uid="{00000000-0005-0000-0000-00007EAA0000}"/>
    <cellStyle name="Финансовый 4 4 2 8 3" xfId="28440" xr:uid="{00000000-0005-0000-0000-00007FAA0000}"/>
    <cellStyle name="Финансовый 4 4 2 9" xfId="6270" xr:uid="{00000000-0005-0000-0000-000080AA0000}"/>
    <cellStyle name="Финансовый 4 4 2 9 2" xfId="18248" xr:uid="{00000000-0005-0000-0000-000081AA0000}"/>
    <cellStyle name="Финансовый 4 4 2 9 2 2" xfId="42203" xr:uid="{00000000-0005-0000-0000-000082AA0000}"/>
    <cellStyle name="Финансовый 4 4 2 9 3" xfId="30225" xr:uid="{00000000-0005-0000-0000-000083AA0000}"/>
    <cellStyle name="Финансовый 4 4 3" xfId="378" xr:uid="{00000000-0005-0000-0000-000084AA0000}"/>
    <cellStyle name="Финансовый 4 4 3 10" xfId="24337" xr:uid="{00000000-0005-0000-0000-000085AA0000}"/>
    <cellStyle name="Финансовый 4 4 3 11" xfId="48283" xr:uid="{00000000-0005-0000-0000-000086AA0000}"/>
    <cellStyle name="Финансовый 4 4 3 2" xfId="2157" xr:uid="{00000000-0005-0000-0000-000087AA0000}"/>
    <cellStyle name="Финансовый 4 4 3 2 2" xfId="3802" xr:uid="{00000000-0005-0000-0000-000088AA0000}"/>
    <cellStyle name="Финансовый 4 4 3 2 2 2" xfId="11542" xr:uid="{00000000-0005-0000-0000-000089AA0000}"/>
    <cellStyle name="Финансовый 4 4 3 2 2 2 2" xfId="23520" xr:uid="{00000000-0005-0000-0000-00008AAA0000}"/>
    <cellStyle name="Финансовый 4 4 3 2 2 2 2 2" xfId="47475" xr:uid="{00000000-0005-0000-0000-00008BAA0000}"/>
    <cellStyle name="Финансовый 4 4 3 2 2 2 3" xfId="35497" xr:uid="{00000000-0005-0000-0000-00008CAA0000}"/>
    <cellStyle name="Финансовый 4 4 3 2 2 3" xfId="15781" xr:uid="{00000000-0005-0000-0000-00008DAA0000}"/>
    <cellStyle name="Финансовый 4 4 3 2 2 3 2" xfId="39736" xr:uid="{00000000-0005-0000-0000-00008EAA0000}"/>
    <cellStyle name="Финансовый 4 4 3 2 2 4" xfId="27759" xr:uid="{00000000-0005-0000-0000-00008FAA0000}"/>
    <cellStyle name="Финансовый 4 4 3 2 2 5" xfId="51028" xr:uid="{00000000-0005-0000-0000-000090AA0000}"/>
    <cellStyle name="Финансовый 4 4 3 2 3" xfId="5585" xr:uid="{00000000-0005-0000-0000-000091AA0000}"/>
    <cellStyle name="Финансовый 4 4 3 2 3 2" xfId="17563" xr:uid="{00000000-0005-0000-0000-000092AA0000}"/>
    <cellStyle name="Финансовый 4 4 3 2 3 2 2" xfId="41518" xr:uid="{00000000-0005-0000-0000-000093AA0000}"/>
    <cellStyle name="Финансовый 4 4 3 2 3 3" xfId="29540" xr:uid="{00000000-0005-0000-0000-000094AA0000}"/>
    <cellStyle name="Финансовый 4 4 3 2 4" xfId="8195" xr:uid="{00000000-0005-0000-0000-000095AA0000}"/>
    <cellStyle name="Финансовый 4 4 3 2 4 2" xfId="20173" xr:uid="{00000000-0005-0000-0000-000096AA0000}"/>
    <cellStyle name="Финансовый 4 4 3 2 4 2 2" xfId="44128" xr:uid="{00000000-0005-0000-0000-000097AA0000}"/>
    <cellStyle name="Финансовый 4 4 3 2 4 3" xfId="32150" xr:uid="{00000000-0005-0000-0000-000098AA0000}"/>
    <cellStyle name="Финансовый 4 4 3 2 5" xfId="9978" xr:uid="{00000000-0005-0000-0000-000099AA0000}"/>
    <cellStyle name="Финансовый 4 4 3 2 5 2" xfId="21956" xr:uid="{00000000-0005-0000-0000-00009AAA0000}"/>
    <cellStyle name="Финансовый 4 4 3 2 5 2 2" xfId="45911" xr:uid="{00000000-0005-0000-0000-00009BAA0000}"/>
    <cellStyle name="Финансовый 4 4 3 2 5 3" xfId="33933" xr:uid="{00000000-0005-0000-0000-00009CAA0000}"/>
    <cellStyle name="Финансовый 4 4 3 2 6" xfId="14136" xr:uid="{00000000-0005-0000-0000-00009DAA0000}"/>
    <cellStyle name="Финансовый 4 4 3 2 6 2" xfId="38091" xr:uid="{00000000-0005-0000-0000-00009EAA0000}"/>
    <cellStyle name="Финансовый 4 4 3 2 7" xfId="26114" xr:uid="{00000000-0005-0000-0000-00009FAA0000}"/>
    <cellStyle name="Финансовый 4 4 3 2 8" xfId="49247" xr:uid="{00000000-0005-0000-0000-0000A0AA0000}"/>
    <cellStyle name="Финансовый 4 4 3 3" xfId="1191" xr:uid="{00000000-0005-0000-0000-0000A1AA0000}"/>
    <cellStyle name="Финансовый 4 4 3 3 2" xfId="7231" xr:uid="{00000000-0005-0000-0000-0000A2AA0000}"/>
    <cellStyle name="Финансовый 4 4 3 3 2 2" xfId="19209" xr:uid="{00000000-0005-0000-0000-0000A3AA0000}"/>
    <cellStyle name="Финансовый 4 4 3 3 2 2 2" xfId="43164" xr:uid="{00000000-0005-0000-0000-0000A4AA0000}"/>
    <cellStyle name="Финансовый 4 4 3 3 2 3" xfId="31186" xr:uid="{00000000-0005-0000-0000-0000A5AA0000}"/>
    <cellStyle name="Финансовый 4 4 3 3 3" xfId="10770" xr:uid="{00000000-0005-0000-0000-0000A6AA0000}"/>
    <cellStyle name="Финансовый 4 4 3 3 3 2" xfId="22748" xr:uid="{00000000-0005-0000-0000-0000A7AA0000}"/>
    <cellStyle name="Финансовый 4 4 3 3 3 2 2" xfId="46703" xr:uid="{00000000-0005-0000-0000-0000A8AA0000}"/>
    <cellStyle name="Финансовый 4 4 3 3 3 3" xfId="34725" xr:uid="{00000000-0005-0000-0000-0000A9AA0000}"/>
    <cellStyle name="Финансовый 4 4 3 3 4" xfId="13172" xr:uid="{00000000-0005-0000-0000-0000AAAA0000}"/>
    <cellStyle name="Финансовый 4 4 3 3 4 2" xfId="37127" xr:uid="{00000000-0005-0000-0000-0000ABAA0000}"/>
    <cellStyle name="Финансовый 4 4 3 3 5" xfId="25150" xr:uid="{00000000-0005-0000-0000-0000ACAA0000}"/>
    <cellStyle name="Финансовый 4 4 3 3 6" xfId="50063" xr:uid="{00000000-0005-0000-0000-0000ADAA0000}"/>
    <cellStyle name="Финансовый 4 4 3 4" xfId="798" xr:uid="{00000000-0005-0000-0000-0000AEAA0000}"/>
    <cellStyle name="Финансовый 4 4 3 4 2" xfId="6838" xr:uid="{00000000-0005-0000-0000-0000AFAA0000}"/>
    <cellStyle name="Финансовый 4 4 3 4 2 2" xfId="18816" xr:uid="{00000000-0005-0000-0000-0000B0AA0000}"/>
    <cellStyle name="Финансовый 4 4 3 4 2 2 2" xfId="42771" xr:uid="{00000000-0005-0000-0000-0000B1AA0000}"/>
    <cellStyle name="Финансовый 4 4 3 4 2 3" xfId="30793" xr:uid="{00000000-0005-0000-0000-0000B2AA0000}"/>
    <cellStyle name="Финансовый 4 4 3 4 3" xfId="12779" xr:uid="{00000000-0005-0000-0000-0000B3AA0000}"/>
    <cellStyle name="Финансовый 4 4 3 4 3 2" xfId="36734" xr:uid="{00000000-0005-0000-0000-0000B4AA0000}"/>
    <cellStyle name="Финансовый 4 4 3 4 4" xfId="24757" xr:uid="{00000000-0005-0000-0000-0000B5AA0000}"/>
    <cellStyle name="Финансовый 4 4 3 5" xfId="2975" xr:uid="{00000000-0005-0000-0000-0000B6AA0000}"/>
    <cellStyle name="Финансовый 4 4 3 5 2" xfId="14954" xr:uid="{00000000-0005-0000-0000-0000B7AA0000}"/>
    <cellStyle name="Финансовый 4 4 3 5 2 2" xfId="38909" xr:uid="{00000000-0005-0000-0000-0000B8AA0000}"/>
    <cellStyle name="Финансовый 4 4 3 5 3" xfId="26932" xr:uid="{00000000-0005-0000-0000-0000B9AA0000}"/>
    <cellStyle name="Финансовый 4 4 3 6" xfId="4619" xr:uid="{00000000-0005-0000-0000-0000BAAA0000}"/>
    <cellStyle name="Финансовый 4 4 3 6 2" xfId="16598" xr:uid="{00000000-0005-0000-0000-0000BBAA0000}"/>
    <cellStyle name="Финансовый 4 4 3 6 2 2" xfId="40553" xr:uid="{00000000-0005-0000-0000-0000BCAA0000}"/>
    <cellStyle name="Финансовый 4 4 3 6 3" xfId="28576" xr:uid="{00000000-0005-0000-0000-0000BDAA0000}"/>
    <cellStyle name="Финансовый 4 4 3 7" xfId="6418" xr:uid="{00000000-0005-0000-0000-0000BEAA0000}"/>
    <cellStyle name="Финансовый 4 4 3 7 2" xfId="18396" xr:uid="{00000000-0005-0000-0000-0000BFAA0000}"/>
    <cellStyle name="Финансовый 4 4 3 7 2 2" xfId="42351" xr:uid="{00000000-0005-0000-0000-0000C0AA0000}"/>
    <cellStyle name="Финансовый 4 4 3 7 3" xfId="30373" xr:uid="{00000000-0005-0000-0000-0000C1AA0000}"/>
    <cellStyle name="Финансовый 4 4 3 8" xfId="9013" xr:uid="{00000000-0005-0000-0000-0000C2AA0000}"/>
    <cellStyle name="Финансовый 4 4 3 8 2" xfId="20991" xr:uid="{00000000-0005-0000-0000-0000C3AA0000}"/>
    <cellStyle name="Финансовый 4 4 3 8 2 2" xfId="44946" xr:uid="{00000000-0005-0000-0000-0000C4AA0000}"/>
    <cellStyle name="Финансовый 4 4 3 8 3" xfId="32968" xr:uid="{00000000-0005-0000-0000-0000C5AA0000}"/>
    <cellStyle name="Финансовый 4 4 3 9" xfId="12359" xr:uid="{00000000-0005-0000-0000-0000C6AA0000}"/>
    <cellStyle name="Финансовый 4 4 3 9 2" xfId="36314" xr:uid="{00000000-0005-0000-0000-0000C7AA0000}"/>
    <cellStyle name="Финансовый 4 4 4" xfId="1541" xr:uid="{00000000-0005-0000-0000-0000C8AA0000}"/>
    <cellStyle name="Финансовый 4 4 4 2" xfId="1901" xr:uid="{00000000-0005-0000-0000-0000C9AA0000}"/>
    <cellStyle name="Финансовый 4 4 4 2 2" xfId="3546" xr:uid="{00000000-0005-0000-0000-0000CAAA0000}"/>
    <cellStyle name="Финансовый 4 4 4 2 2 2" xfId="11286" xr:uid="{00000000-0005-0000-0000-0000CBAA0000}"/>
    <cellStyle name="Финансовый 4 4 4 2 2 2 2" xfId="23264" xr:uid="{00000000-0005-0000-0000-0000CCAA0000}"/>
    <cellStyle name="Финансовый 4 4 4 2 2 2 2 2" xfId="47219" xr:uid="{00000000-0005-0000-0000-0000CDAA0000}"/>
    <cellStyle name="Финансовый 4 4 4 2 2 2 3" xfId="35241" xr:uid="{00000000-0005-0000-0000-0000CEAA0000}"/>
    <cellStyle name="Финансовый 4 4 4 2 2 3" xfId="15525" xr:uid="{00000000-0005-0000-0000-0000CFAA0000}"/>
    <cellStyle name="Финансовый 4 4 4 2 2 3 2" xfId="39480" xr:uid="{00000000-0005-0000-0000-0000D0AA0000}"/>
    <cellStyle name="Финансовый 4 4 4 2 2 4" xfId="27503" xr:uid="{00000000-0005-0000-0000-0000D1AA0000}"/>
    <cellStyle name="Финансовый 4 4 4 2 2 5" xfId="50772" xr:uid="{00000000-0005-0000-0000-0000D2AA0000}"/>
    <cellStyle name="Финансовый 4 4 4 2 3" xfId="5329" xr:uid="{00000000-0005-0000-0000-0000D3AA0000}"/>
    <cellStyle name="Финансовый 4 4 4 2 3 2" xfId="17307" xr:uid="{00000000-0005-0000-0000-0000D4AA0000}"/>
    <cellStyle name="Финансовый 4 4 4 2 3 2 2" xfId="41262" xr:uid="{00000000-0005-0000-0000-0000D5AA0000}"/>
    <cellStyle name="Финансовый 4 4 4 2 3 3" xfId="29284" xr:uid="{00000000-0005-0000-0000-0000D6AA0000}"/>
    <cellStyle name="Финансовый 4 4 4 2 4" xfId="7939" xr:uid="{00000000-0005-0000-0000-0000D7AA0000}"/>
    <cellStyle name="Финансовый 4 4 4 2 4 2" xfId="19917" xr:uid="{00000000-0005-0000-0000-0000D8AA0000}"/>
    <cellStyle name="Финансовый 4 4 4 2 4 2 2" xfId="43872" xr:uid="{00000000-0005-0000-0000-0000D9AA0000}"/>
    <cellStyle name="Финансовый 4 4 4 2 4 3" xfId="31894" xr:uid="{00000000-0005-0000-0000-0000DAAA0000}"/>
    <cellStyle name="Финансовый 4 4 4 2 5" xfId="9722" xr:uid="{00000000-0005-0000-0000-0000DBAA0000}"/>
    <cellStyle name="Финансовый 4 4 4 2 5 2" xfId="21700" xr:uid="{00000000-0005-0000-0000-0000DCAA0000}"/>
    <cellStyle name="Финансовый 4 4 4 2 5 2 2" xfId="45655" xr:uid="{00000000-0005-0000-0000-0000DDAA0000}"/>
    <cellStyle name="Финансовый 4 4 4 2 5 3" xfId="33677" xr:uid="{00000000-0005-0000-0000-0000DEAA0000}"/>
    <cellStyle name="Финансовый 4 4 4 2 6" xfId="13880" xr:uid="{00000000-0005-0000-0000-0000DFAA0000}"/>
    <cellStyle name="Финансовый 4 4 4 2 6 2" xfId="37835" xr:uid="{00000000-0005-0000-0000-0000E0AA0000}"/>
    <cellStyle name="Финансовый 4 4 4 2 7" xfId="25858" xr:uid="{00000000-0005-0000-0000-0000E1AA0000}"/>
    <cellStyle name="Финансовый 4 4 4 2 8" xfId="48991" xr:uid="{00000000-0005-0000-0000-0000E2AA0000}"/>
    <cellStyle name="Финансовый 4 4 4 3" xfId="4969" xr:uid="{00000000-0005-0000-0000-0000E3AA0000}"/>
    <cellStyle name="Финансовый 4 4 4 3 2" xfId="16947" xr:uid="{00000000-0005-0000-0000-0000E4AA0000}"/>
    <cellStyle name="Финансовый 4 4 4 3 2 2" xfId="40902" xr:uid="{00000000-0005-0000-0000-0000E5AA0000}"/>
    <cellStyle name="Финансовый 4 4 4 3 3" xfId="28924" xr:uid="{00000000-0005-0000-0000-0000E6AA0000}"/>
    <cellStyle name="Финансовый 4 4 4 3 4" xfId="50412" xr:uid="{00000000-0005-0000-0000-0000E7AA0000}"/>
    <cellStyle name="Финансовый 4 4 4 4" xfId="7579" xr:uid="{00000000-0005-0000-0000-0000E8AA0000}"/>
    <cellStyle name="Финансовый 4 4 4 4 2" xfId="19557" xr:uid="{00000000-0005-0000-0000-0000E9AA0000}"/>
    <cellStyle name="Финансовый 4 4 4 4 2 2" xfId="43512" xr:uid="{00000000-0005-0000-0000-0000EAAA0000}"/>
    <cellStyle name="Финансовый 4 4 4 4 3" xfId="31534" xr:uid="{00000000-0005-0000-0000-0000EBAA0000}"/>
    <cellStyle name="Финансовый 4 4 4 5" xfId="9362" xr:uid="{00000000-0005-0000-0000-0000ECAA0000}"/>
    <cellStyle name="Финансовый 4 4 4 5 2" xfId="21340" xr:uid="{00000000-0005-0000-0000-0000EDAA0000}"/>
    <cellStyle name="Финансовый 4 4 4 5 2 2" xfId="45295" xr:uid="{00000000-0005-0000-0000-0000EEAA0000}"/>
    <cellStyle name="Финансовый 4 4 4 5 3" xfId="33317" xr:uid="{00000000-0005-0000-0000-0000EFAA0000}"/>
    <cellStyle name="Финансовый 4 4 4 6" xfId="13520" xr:uid="{00000000-0005-0000-0000-0000F0AA0000}"/>
    <cellStyle name="Финансовый 4 4 4 6 2" xfId="37475" xr:uid="{00000000-0005-0000-0000-0000F1AA0000}"/>
    <cellStyle name="Финансовый 4 4 4 7" xfId="25498" xr:uid="{00000000-0005-0000-0000-0000F2AA0000}"/>
    <cellStyle name="Финансовый 4 4 4 8" xfId="48631" xr:uid="{00000000-0005-0000-0000-0000F3AA0000}"/>
    <cellStyle name="Финансовый 4 4 5" xfId="1777" xr:uid="{00000000-0005-0000-0000-0000F4AA0000}"/>
    <cellStyle name="Финансовый 4 4 5 2" xfId="3422" xr:uid="{00000000-0005-0000-0000-0000F5AA0000}"/>
    <cellStyle name="Финансовый 4 4 5 2 2" xfId="11170" xr:uid="{00000000-0005-0000-0000-0000F6AA0000}"/>
    <cellStyle name="Финансовый 4 4 5 2 2 2" xfId="23148" xr:uid="{00000000-0005-0000-0000-0000F7AA0000}"/>
    <cellStyle name="Финансовый 4 4 5 2 2 2 2" xfId="47103" xr:uid="{00000000-0005-0000-0000-0000F8AA0000}"/>
    <cellStyle name="Финансовый 4 4 5 2 2 3" xfId="35125" xr:uid="{00000000-0005-0000-0000-0000F9AA0000}"/>
    <cellStyle name="Финансовый 4 4 5 2 3" xfId="15401" xr:uid="{00000000-0005-0000-0000-0000FAAA0000}"/>
    <cellStyle name="Финансовый 4 4 5 2 3 2" xfId="39356" xr:uid="{00000000-0005-0000-0000-0000FBAA0000}"/>
    <cellStyle name="Финансовый 4 4 5 2 4" xfId="27379" xr:uid="{00000000-0005-0000-0000-0000FCAA0000}"/>
    <cellStyle name="Финансовый 4 4 5 2 5" xfId="50648" xr:uid="{00000000-0005-0000-0000-0000FDAA0000}"/>
    <cellStyle name="Финансовый 4 4 5 3" xfId="5205" xr:uid="{00000000-0005-0000-0000-0000FEAA0000}"/>
    <cellStyle name="Финансовый 4 4 5 3 2" xfId="17183" xr:uid="{00000000-0005-0000-0000-0000FFAA0000}"/>
    <cellStyle name="Финансовый 4 4 5 3 2 2" xfId="41138" xr:uid="{00000000-0005-0000-0000-000000AB0000}"/>
    <cellStyle name="Финансовый 4 4 5 3 3" xfId="29160" xr:uid="{00000000-0005-0000-0000-000001AB0000}"/>
    <cellStyle name="Финансовый 4 4 5 4" xfId="7815" xr:uid="{00000000-0005-0000-0000-000002AB0000}"/>
    <cellStyle name="Финансовый 4 4 5 4 2" xfId="19793" xr:uid="{00000000-0005-0000-0000-000003AB0000}"/>
    <cellStyle name="Финансовый 4 4 5 4 2 2" xfId="43748" xr:uid="{00000000-0005-0000-0000-000004AB0000}"/>
    <cellStyle name="Финансовый 4 4 5 4 3" xfId="31770" xr:uid="{00000000-0005-0000-0000-000005AB0000}"/>
    <cellStyle name="Финансовый 4 4 5 5" xfId="9598" xr:uid="{00000000-0005-0000-0000-000006AB0000}"/>
    <cellStyle name="Финансовый 4 4 5 5 2" xfId="21576" xr:uid="{00000000-0005-0000-0000-000007AB0000}"/>
    <cellStyle name="Финансовый 4 4 5 5 2 2" xfId="45531" xr:uid="{00000000-0005-0000-0000-000008AB0000}"/>
    <cellStyle name="Финансовый 4 4 5 5 3" xfId="33553" xr:uid="{00000000-0005-0000-0000-000009AB0000}"/>
    <cellStyle name="Финансовый 4 4 5 6" xfId="13756" xr:uid="{00000000-0005-0000-0000-00000AAB0000}"/>
    <cellStyle name="Финансовый 4 4 5 6 2" xfId="37711" xr:uid="{00000000-0005-0000-0000-00000BAB0000}"/>
    <cellStyle name="Финансовый 4 4 5 7" xfId="25734" xr:uid="{00000000-0005-0000-0000-00000CAB0000}"/>
    <cellStyle name="Финансовый 4 4 5 8" xfId="48867" xr:uid="{00000000-0005-0000-0000-00000DAB0000}"/>
    <cellStyle name="Финансовый 4 4 6" xfId="2422" xr:uid="{00000000-0005-0000-0000-00000EAB0000}"/>
    <cellStyle name="Финансовый 4 4 6 2" xfId="4067" xr:uid="{00000000-0005-0000-0000-00000FAB0000}"/>
    <cellStyle name="Финансовый 4 4 6 2 2" xfId="11799" xr:uid="{00000000-0005-0000-0000-000010AB0000}"/>
    <cellStyle name="Финансовый 4 4 6 2 2 2" xfId="23777" xr:uid="{00000000-0005-0000-0000-000011AB0000}"/>
    <cellStyle name="Финансовый 4 4 6 2 2 2 2" xfId="47732" xr:uid="{00000000-0005-0000-0000-000012AB0000}"/>
    <cellStyle name="Финансовый 4 4 6 2 2 3" xfId="35754" xr:uid="{00000000-0005-0000-0000-000013AB0000}"/>
    <cellStyle name="Финансовый 4 4 6 2 3" xfId="16046" xr:uid="{00000000-0005-0000-0000-000014AB0000}"/>
    <cellStyle name="Финансовый 4 4 6 2 3 2" xfId="40001" xr:uid="{00000000-0005-0000-0000-000015AB0000}"/>
    <cellStyle name="Финансовый 4 4 6 2 4" xfId="28024" xr:uid="{00000000-0005-0000-0000-000016AB0000}"/>
    <cellStyle name="Финансовый 4 4 6 2 5" xfId="51293" xr:uid="{00000000-0005-0000-0000-000017AB0000}"/>
    <cellStyle name="Финансовый 4 4 6 3" xfId="5850" xr:uid="{00000000-0005-0000-0000-000018AB0000}"/>
    <cellStyle name="Финансовый 4 4 6 3 2" xfId="17828" xr:uid="{00000000-0005-0000-0000-000019AB0000}"/>
    <cellStyle name="Финансовый 4 4 6 3 2 2" xfId="41783" xr:uid="{00000000-0005-0000-0000-00001AAB0000}"/>
    <cellStyle name="Финансовый 4 4 6 3 3" xfId="29805" xr:uid="{00000000-0005-0000-0000-00001BAB0000}"/>
    <cellStyle name="Финансовый 4 4 6 4" xfId="8460" xr:uid="{00000000-0005-0000-0000-00001CAB0000}"/>
    <cellStyle name="Финансовый 4 4 6 4 2" xfId="20438" xr:uid="{00000000-0005-0000-0000-00001DAB0000}"/>
    <cellStyle name="Финансовый 4 4 6 4 2 2" xfId="44393" xr:uid="{00000000-0005-0000-0000-00001EAB0000}"/>
    <cellStyle name="Финансовый 4 4 6 4 3" xfId="32415" xr:uid="{00000000-0005-0000-0000-00001FAB0000}"/>
    <cellStyle name="Финансовый 4 4 6 5" xfId="10243" xr:uid="{00000000-0005-0000-0000-000020AB0000}"/>
    <cellStyle name="Финансовый 4 4 6 5 2" xfId="22221" xr:uid="{00000000-0005-0000-0000-000021AB0000}"/>
    <cellStyle name="Финансовый 4 4 6 5 2 2" xfId="46176" xr:uid="{00000000-0005-0000-0000-000022AB0000}"/>
    <cellStyle name="Финансовый 4 4 6 5 3" xfId="34198" xr:uid="{00000000-0005-0000-0000-000023AB0000}"/>
    <cellStyle name="Финансовый 4 4 6 6" xfId="14401" xr:uid="{00000000-0005-0000-0000-000024AB0000}"/>
    <cellStyle name="Финансовый 4 4 6 6 2" xfId="38356" xr:uid="{00000000-0005-0000-0000-000025AB0000}"/>
    <cellStyle name="Финансовый 4 4 6 7" xfId="26379" xr:uid="{00000000-0005-0000-0000-000026AB0000}"/>
    <cellStyle name="Финансовый 4 4 6 8" xfId="49512" xr:uid="{00000000-0005-0000-0000-000027AB0000}"/>
    <cellStyle name="Финансовый 4 4 7" xfId="1649" xr:uid="{00000000-0005-0000-0000-000028AB0000}"/>
    <cellStyle name="Финансовый 4 4 7 2" xfId="3294" xr:uid="{00000000-0005-0000-0000-000029AB0000}"/>
    <cellStyle name="Финансовый 4 4 7 2 2" xfId="11042" xr:uid="{00000000-0005-0000-0000-00002AAB0000}"/>
    <cellStyle name="Финансовый 4 4 7 2 2 2" xfId="23020" xr:uid="{00000000-0005-0000-0000-00002BAB0000}"/>
    <cellStyle name="Финансовый 4 4 7 2 2 2 2" xfId="46975" xr:uid="{00000000-0005-0000-0000-00002CAB0000}"/>
    <cellStyle name="Финансовый 4 4 7 2 2 3" xfId="34997" xr:uid="{00000000-0005-0000-0000-00002DAB0000}"/>
    <cellStyle name="Финансовый 4 4 7 2 3" xfId="15273" xr:uid="{00000000-0005-0000-0000-00002EAB0000}"/>
    <cellStyle name="Финансовый 4 4 7 2 3 2" xfId="39228" xr:uid="{00000000-0005-0000-0000-00002FAB0000}"/>
    <cellStyle name="Финансовый 4 4 7 2 4" xfId="27251" xr:uid="{00000000-0005-0000-0000-000030AB0000}"/>
    <cellStyle name="Финансовый 4 4 7 2 5" xfId="50520" xr:uid="{00000000-0005-0000-0000-000031AB0000}"/>
    <cellStyle name="Финансовый 4 4 7 3" xfId="5077" xr:uid="{00000000-0005-0000-0000-000032AB0000}"/>
    <cellStyle name="Финансовый 4 4 7 3 2" xfId="17055" xr:uid="{00000000-0005-0000-0000-000033AB0000}"/>
    <cellStyle name="Финансовый 4 4 7 3 2 2" xfId="41010" xr:uid="{00000000-0005-0000-0000-000034AB0000}"/>
    <cellStyle name="Финансовый 4 4 7 3 3" xfId="29032" xr:uid="{00000000-0005-0000-0000-000035AB0000}"/>
    <cellStyle name="Финансовый 4 4 7 4" xfId="7687" xr:uid="{00000000-0005-0000-0000-000036AB0000}"/>
    <cellStyle name="Финансовый 4 4 7 4 2" xfId="19665" xr:uid="{00000000-0005-0000-0000-000037AB0000}"/>
    <cellStyle name="Финансовый 4 4 7 4 2 2" xfId="43620" xr:uid="{00000000-0005-0000-0000-000038AB0000}"/>
    <cellStyle name="Финансовый 4 4 7 4 3" xfId="31642" xr:uid="{00000000-0005-0000-0000-000039AB0000}"/>
    <cellStyle name="Финансовый 4 4 7 5" xfId="9470" xr:uid="{00000000-0005-0000-0000-00003AAB0000}"/>
    <cellStyle name="Финансовый 4 4 7 5 2" xfId="21448" xr:uid="{00000000-0005-0000-0000-00003BAB0000}"/>
    <cellStyle name="Финансовый 4 4 7 5 2 2" xfId="45403" xr:uid="{00000000-0005-0000-0000-00003CAB0000}"/>
    <cellStyle name="Финансовый 4 4 7 5 3" xfId="33425" xr:uid="{00000000-0005-0000-0000-00003DAB0000}"/>
    <cellStyle name="Финансовый 4 4 7 6" xfId="13628" xr:uid="{00000000-0005-0000-0000-00003EAB0000}"/>
    <cellStyle name="Финансовый 4 4 7 6 2" xfId="37583" xr:uid="{00000000-0005-0000-0000-00003FAB0000}"/>
    <cellStyle name="Финансовый 4 4 7 7" xfId="25606" xr:uid="{00000000-0005-0000-0000-000040AB0000}"/>
    <cellStyle name="Финансовый 4 4 7 8" xfId="48739" xr:uid="{00000000-0005-0000-0000-000041AB0000}"/>
    <cellStyle name="Финансовый 4 4 8" xfId="926" xr:uid="{00000000-0005-0000-0000-000042AB0000}"/>
    <cellStyle name="Финансовый 4 4 8 2" xfId="6966" xr:uid="{00000000-0005-0000-0000-000043AB0000}"/>
    <cellStyle name="Финансовый 4 4 8 2 2" xfId="18944" xr:uid="{00000000-0005-0000-0000-000044AB0000}"/>
    <cellStyle name="Финансовый 4 4 8 2 2 2" xfId="42899" xr:uid="{00000000-0005-0000-0000-000045AB0000}"/>
    <cellStyle name="Финансовый 4 4 8 2 3" xfId="30921" xr:uid="{00000000-0005-0000-0000-000046AB0000}"/>
    <cellStyle name="Финансовый 4 4 8 3" xfId="10514" xr:uid="{00000000-0005-0000-0000-000047AB0000}"/>
    <cellStyle name="Финансовый 4 4 8 3 2" xfId="22492" xr:uid="{00000000-0005-0000-0000-000048AB0000}"/>
    <cellStyle name="Финансовый 4 4 8 3 2 2" xfId="46447" xr:uid="{00000000-0005-0000-0000-000049AB0000}"/>
    <cellStyle name="Финансовый 4 4 8 3 3" xfId="34469" xr:uid="{00000000-0005-0000-0000-00004AAB0000}"/>
    <cellStyle name="Финансовый 4 4 8 4" xfId="12907" xr:uid="{00000000-0005-0000-0000-00004BAB0000}"/>
    <cellStyle name="Финансовый 4 4 8 4 2" xfId="36862" xr:uid="{00000000-0005-0000-0000-00004CAB0000}"/>
    <cellStyle name="Финансовый 4 4 8 5" xfId="24885" xr:uid="{00000000-0005-0000-0000-00004DAB0000}"/>
    <cellStyle name="Финансовый 4 4 8 6" xfId="49791" xr:uid="{00000000-0005-0000-0000-00004EAB0000}"/>
    <cellStyle name="Финансовый 4 4 9" xfId="514" xr:uid="{00000000-0005-0000-0000-00004FAB0000}"/>
    <cellStyle name="Финансовый 4 4 9 2" xfId="6554" xr:uid="{00000000-0005-0000-0000-000050AB0000}"/>
    <cellStyle name="Финансовый 4 4 9 2 2" xfId="18532" xr:uid="{00000000-0005-0000-0000-000051AB0000}"/>
    <cellStyle name="Финансовый 4 4 9 2 2 2" xfId="42487" xr:uid="{00000000-0005-0000-0000-000052AB0000}"/>
    <cellStyle name="Финансовый 4 4 9 2 3" xfId="30509" xr:uid="{00000000-0005-0000-0000-000053AB0000}"/>
    <cellStyle name="Финансовый 4 4 9 3" xfId="12495" xr:uid="{00000000-0005-0000-0000-000054AB0000}"/>
    <cellStyle name="Финансовый 4 4 9 3 2" xfId="36450" xr:uid="{00000000-0005-0000-0000-000055AB0000}"/>
    <cellStyle name="Финансовый 4 4 9 4" xfId="24473" xr:uid="{00000000-0005-0000-0000-000056AB0000}"/>
    <cellStyle name="Финансовый 4 5" xfId="99" xr:uid="{00000000-0005-0000-0000-000057AB0000}"/>
    <cellStyle name="Финансовый 4 5 10" xfId="2709" xr:uid="{00000000-0005-0000-0000-000058AB0000}"/>
    <cellStyle name="Финансовый 4 5 10 2" xfId="14688" xr:uid="{00000000-0005-0000-0000-000059AB0000}"/>
    <cellStyle name="Финансовый 4 5 10 2 2" xfId="38643" xr:uid="{00000000-0005-0000-0000-00005AAB0000}"/>
    <cellStyle name="Финансовый 4 5 10 3" xfId="26666" xr:uid="{00000000-0005-0000-0000-00005BAB0000}"/>
    <cellStyle name="Финансовый 4 5 11" xfId="4353" xr:uid="{00000000-0005-0000-0000-00005CAB0000}"/>
    <cellStyle name="Финансовый 4 5 11 2" xfId="16332" xr:uid="{00000000-0005-0000-0000-00005DAB0000}"/>
    <cellStyle name="Финансовый 4 5 11 2 2" xfId="40287" xr:uid="{00000000-0005-0000-0000-00005EAB0000}"/>
    <cellStyle name="Финансовый 4 5 11 3" xfId="28310" xr:uid="{00000000-0005-0000-0000-00005FAB0000}"/>
    <cellStyle name="Финансовый 4 5 12" xfId="6140" xr:uid="{00000000-0005-0000-0000-000060AB0000}"/>
    <cellStyle name="Финансовый 4 5 12 2" xfId="18118" xr:uid="{00000000-0005-0000-0000-000061AB0000}"/>
    <cellStyle name="Финансовый 4 5 12 2 2" xfId="42073" xr:uid="{00000000-0005-0000-0000-000062AB0000}"/>
    <cellStyle name="Финансовый 4 5 12 3" xfId="30095" xr:uid="{00000000-0005-0000-0000-000063AB0000}"/>
    <cellStyle name="Финансовый 4 5 13" xfId="8747" xr:uid="{00000000-0005-0000-0000-000064AB0000}"/>
    <cellStyle name="Финансовый 4 5 13 2" xfId="20725" xr:uid="{00000000-0005-0000-0000-000065AB0000}"/>
    <cellStyle name="Финансовый 4 5 13 2 2" xfId="44680" xr:uid="{00000000-0005-0000-0000-000066AB0000}"/>
    <cellStyle name="Финансовый 4 5 13 3" xfId="32702" xr:uid="{00000000-0005-0000-0000-000067AB0000}"/>
    <cellStyle name="Финансовый 4 5 14" xfId="12081" xr:uid="{00000000-0005-0000-0000-000068AB0000}"/>
    <cellStyle name="Финансовый 4 5 14 2" xfId="36036" xr:uid="{00000000-0005-0000-0000-000069AB0000}"/>
    <cellStyle name="Финансовый 4 5 15" xfId="24059" xr:uid="{00000000-0005-0000-0000-00006AAB0000}"/>
    <cellStyle name="Финансовый 4 5 16" xfId="48017" xr:uid="{00000000-0005-0000-0000-00006BAB0000}"/>
    <cellStyle name="Финансовый 4 5 2" xfId="235" xr:uid="{00000000-0005-0000-0000-00006CAB0000}"/>
    <cellStyle name="Финансовый 4 5 2 10" xfId="8883" xr:uid="{00000000-0005-0000-0000-00006DAB0000}"/>
    <cellStyle name="Финансовый 4 5 2 10 2" xfId="20861" xr:uid="{00000000-0005-0000-0000-00006EAB0000}"/>
    <cellStyle name="Финансовый 4 5 2 10 2 2" xfId="44816" xr:uid="{00000000-0005-0000-0000-00006FAB0000}"/>
    <cellStyle name="Финансовый 4 5 2 10 3" xfId="32838" xr:uid="{00000000-0005-0000-0000-000070AB0000}"/>
    <cellStyle name="Финансовый 4 5 2 11" xfId="12217" xr:uid="{00000000-0005-0000-0000-000071AB0000}"/>
    <cellStyle name="Финансовый 4 5 2 11 2" xfId="36172" xr:uid="{00000000-0005-0000-0000-000072AB0000}"/>
    <cellStyle name="Финансовый 4 5 2 12" xfId="24195" xr:uid="{00000000-0005-0000-0000-000073AB0000}"/>
    <cellStyle name="Финансовый 4 5 2 13" xfId="48153" xr:uid="{00000000-0005-0000-0000-000074AB0000}"/>
    <cellStyle name="Финансовый 4 5 2 2" xfId="1333" xr:uid="{00000000-0005-0000-0000-000075AB0000}"/>
    <cellStyle name="Финансовый 4 5 2 2 2" xfId="2291" xr:uid="{00000000-0005-0000-0000-000076AB0000}"/>
    <cellStyle name="Финансовый 4 5 2 2 2 2" xfId="3936" xr:uid="{00000000-0005-0000-0000-000077AB0000}"/>
    <cellStyle name="Финансовый 4 5 2 2 2 2 2" xfId="11676" xr:uid="{00000000-0005-0000-0000-000078AB0000}"/>
    <cellStyle name="Финансовый 4 5 2 2 2 2 2 2" xfId="23654" xr:uid="{00000000-0005-0000-0000-000079AB0000}"/>
    <cellStyle name="Финансовый 4 5 2 2 2 2 2 2 2" xfId="47609" xr:uid="{00000000-0005-0000-0000-00007AAB0000}"/>
    <cellStyle name="Финансовый 4 5 2 2 2 2 2 3" xfId="35631" xr:uid="{00000000-0005-0000-0000-00007BAB0000}"/>
    <cellStyle name="Финансовый 4 5 2 2 2 2 3" xfId="15915" xr:uid="{00000000-0005-0000-0000-00007CAB0000}"/>
    <cellStyle name="Финансовый 4 5 2 2 2 2 3 2" xfId="39870" xr:uid="{00000000-0005-0000-0000-00007DAB0000}"/>
    <cellStyle name="Финансовый 4 5 2 2 2 2 4" xfId="27893" xr:uid="{00000000-0005-0000-0000-00007EAB0000}"/>
    <cellStyle name="Финансовый 4 5 2 2 2 2 5" xfId="51162" xr:uid="{00000000-0005-0000-0000-00007FAB0000}"/>
    <cellStyle name="Финансовый 4 5 2 2 2 3" xfId="5719" xr:uid="{00000000-0005-0000-0000-000080AB0000}"/>
    <cellStyle name="Финансовый 4 5 2 2 2 3 2" xfId="17697" xr:uid="{00000000-0005-0000-0000-000081AB0000}"/>
    <cellStyle name="Финансовый 4 5 2 2 2 3 2 2" xfId="41652" xr:uid="{00000000-0005-0000-0000-000082AB0000}"/>
    <cellStyle name="Финансовый 4 5 2 2 2 3 3" xfId="29674" xr:uid="{00000000-0005-0000-0000-000083AB0000}"/>
    <cellStyle name="Финансовый 4 5 2 2 2 4" xfId="8329" xr:uid="{00000000-0005-0000-0000-000084AB0000}"/>
    <cellStyle name="Финансовый 4 5 2 2 2 4 2" xfId="20307" xr:uid="{00000000-0005-0000-0000-000085AB0000}"/>
    <cellStyle name="Финансовый 4 5 2 2 2 4 2 2" xfId="44262" xr:uid="{00000000-0005-0000-0000-000086AB0000}"/>
    <cellStyle name="Финансовый 4 5 2 2 2 4 3" xfId="32284" xr:uid="{00000000-0005-0000-0000-000087AB0000}"/>
    <cellStyle name="Финансовый 4 5 2 2 2 5" xfId="10112" xr:uid="{00000000-0005-0000-0000-000088AB0000}"/>
    <cellStyle name="Финансовый 4 5 2 2 2 5 2" xfId="22090" xr:uid="{00000000-0005-0000-0000-000089AB0000}"/>
    <cellStyle name="Финансовый 4 5 2 2 2 5 2 2" xfId="46045" xr:uid="{00000000-0005-0000-0000-00008AAB0000}"/>
    <cellStyle name="Финансовый 4 5 2 2 2 5 3" xfId="34067" xr:uid="{00000000-0005-0000-0000-00008BAB0000}"/>
    <cellStyle name="Финансовый 4 5 2 2 2 6" xfId="14270" xr:uid="{00000000-0005-0000-0000-00008CAB0000}"/>
    <cellStyle name="Финансовый 4 5 2 2 2 6 2" xfId="38225" xr:uid="{00000000-0005-0000-0000-00008DAB0000}"/>
    <cellStyle name="Финансовый 4 5 2 2 2 7" xfId="26248" xr:uid="{00000000-0005-0000-0000-00008EAB0000}"/>
    <cellStyle name="Финансовый 4 5 2 2 2 8" xfId="49381" xr:uid="{00000000-0005-0000-0000-00008FAB0000}"/>
    <cellStyle name="Финансовый 4 5 2 2 3" xfId="3117" xr:uid="{00000000-0005-0000-0000-000090AB0000}"/>
    <cellStyle name="Финансовый 4 5 2 2 3 2" xfId="10904" xr:uid="{00000000-0005-0000-0000-000091AB0000}"/>
    <cellStyle name="Финансовый 4 5 2 2 3 2 2" xfId="22882" xr:uid="{00000000-0005-0000-0000-000092AB0000}"/>
    <cellStyle name="Финансовый 4 5 2 2 3 2 2 2" xfId="46837" xr:uid="{00000000-0005-0000-0000-000093AB0000}"/>
    <cellStyle name="Финансовый 4 5 2 2 3 2 3" xfId="34859" xr:uid="{00000000-0005-0000-0000-000094AB0000}"/>
    <cellStyle name="Финансовый 4 5 2 2 3 3" xfId="15096" xr:uid="{00000000-0005-0000-0000-000095AB0000}"/>
    <cellStyle name="Финансовый 4 5 2 2 3 3 2" xfId="39051" xr:uid="{00000000-0005-0000-0000-000096AB0000}"/>
    <cellStyle name="Финансовый 4 5 2 2 3 4" xfId="27074" xr:uid="{00000000-0005-0000-0000-000097AB0000}"/>
    <cellStyle name="Финансовый 4 5 2 2 3 5" xfId="50205" xr:uid="{00000000-0005-0000-0000-000098AB0000}"/>
    <cellStyle name="Финансовый 4 5 2 2 4" xfId="4761" xr:uid="{00000000-0005-0000-0000-000099AB0000}"/>
    <cellStyle name="Финансовый 4 5 2 2 4 2" xfId="16740" xr:uid="{00000000-0005-0000-0000-00009AAB0000}"/>
    <cellStyle name="Финансовый 4 5 2 2 4 2 2" xfId="40695" xr:uid="{00000000-0005-0000-0000-00009BAB0000}"/>
    <cellStyle name="Финансовый 4 5 2 2 4 3" xfId="28718" xr:uid="{00000000-0005-0000-0000-00009CAB0000}"/>
    <cellStyle name="Финансовый 4 5 2 2 5" xfId="7373" xr:uid="{00000000-0005-0000-0000-00009DAB0000}"/>
    <cellStyle name="Финансовый 4 5 2 2 5 2" xfId="19351" xr:uid="{00000000-0005-0000-0000-00009EAB0000}"/>
    <cellStyle name="Финансовый 4 5 2 2 5 2 2" xfId="43306" xr:uid="{00000000-0005-0000-0000-00009FAB0000}"/>
    <cellStyle name="Финансовый 4 5 2 2 5 3" xfId="31328" xr:uid="{00000000-0005-0000-0000-0000A0AB0000}"/>
    <cellStyle name="Финансовый 4 5 2 2 6" xfId="9155" xr:uid="{00000000-0005-0000-0000-0000A1AB0000}"/>
    <cellStyle name="Финансовый 4 5 2 2 6 2" xfId="21133" xr:uid="{00000000-0005-0000-0000-0000A2AB0000}"/>
    <cellStyle name="Финансовый 4 5 2 2 6 2 2" xfId="45088" xr:uid="{00000000-0005-0000-0000-0000A3AB0000}"/>
    <cellStyle name="Финансовый 4 5 2 2 6 3" xfId="33110" xr:uid="{00000000-0005-0000-0000-0000A4AB0000}"/>
    <cellStyle name="Финансовый 4 5 2 2 7" xfId="13314" xr:uid="{00000000-0005-0000-0000-0000A5AB0000}"/>
    <cellStyle name="Финансовый 4 5 2 2 7 2" xfId="37269" xr:uid="{00000000-0005-0000-0000-0000A6AB0000}"/>
    <cellStyle name="Финансовый 4 5 2 2 8" xfId="25292" xr:uid="{00000000-0005-0000-0000-0000A7AB0000}"/>
    <cellStyle name="Финансовый 4 5 2 2 9" xfId="48425" xr:uid="{00000000-0005-0000-0000-0000A8AB0000}"/>
    <cellStyle name="Финансовый 4 5 2 3" xfId="2035" xr:uid="{00000000-0005-0000-0000-0000A9AB0000}"/>
    <cellStyle name="Финансовый 4 5 2 3 2" xfId="3680" xr:uid="{00000000-0005-0000-0000-0000AAAB0000}"/>
    <cellStyle name="Финансовый 4 5 2 3 2 2" xfId="11420" xr:uid="{00000000-0005-0000-0000-0000ABAB0000}"/>
    <cellStyle name="Финансовый 4 5 2 3 2 2 2" xfId="23398" xr:uid="{00000000-0005-0000-0000-0000ACAB0000}"/>
    <cellStyle name="Финансовый 4 5 2 3 2 2 2 2" xfId="47353" xr:uid="{00000000-0005-0000-0000-0000ADAB0000}"/>
    <cellStyle name="Финансовый 4 5 2 3 2 2 3" xfId="35375" xr:uid="{00000000-0005-0000-0000-0000AEAB0000}"/>
    <cellStyle name="Финансовый 4 5 2 3 2 3" xfId="15659" xr:uid="{00000000-0005-0000-0000-0000AFAB0000}"/>
    <cellStyle name="Финансовый 4 5 2 3 2 3 2" xfId="39614" xr:uid="{00000000-0005-0000-0000-0000B0AB0000}"/>
    <cellStyle name="Финансовый 4 5 2 3 2 4" xfId="27637" xr:uid="{00000000-0005-0000-0000-0000B1AB0000}"/>
    <cellStyle name="Финансовый 4 5 2 3 2 5" xfId="50906" xr:uid="{00000000-0005-0000-0000-0000B2AB0000}"/>
    <cellStyle name="Финансовый 4 5 2 3 3" xfId="5463" xr:uid="{00000000-0005-0000-0000-0000B3AB0000}"/>
    <cellStyle name="Финансовый 4 5 2 3 3 2" xfId="17441" xr:uid="{00000000-0005-0000-0000-0000B4AB0000}"/>
    <cellStyle name="Финансовый 4 5 2 3 3 2 2" xfId="41396" xr:uid="{00000000-0005-0000-0000-0000B5AB0000}"/>
    <cellStyle name="Финансовый 4 5 2 3 3 3" xfId="29418" xr:uid="{00000000-0005-0000-0000-0000B6AB0000}"/>
    <cellStyle name="Финансовый 4 5 2 3 4" xfId="8073" xr:uid="{00000000-0005-0000-0000-0000B7AB0000}"/>
    <cellStyle name="Финансовый 4 5 2 3 4 2" xfId="20051" xr:uid="{00000000-0005-0000-0000-0000B8AB0000}"/>
    <cellStyle name="Финансовый 4 5 2 3 4 2 2" xfId="44006" xr:uid="{00000000-0005-0000-0000-0000B9AB0000}"/>
    <cellStyle name="Финансовый 4 5 2 3 4 3" xfId="32028" xr:uid="{00000000-0005-0000-0000-0000BAAB0000}"/>
    <cellStyle name="Финансовый 4 5 2 3 5" xfId="9856" xr:uid="{00000000-0005-0000-0000-0000BBAB0000}"/>
    <cellStyle name="Финансовый 4 5 2 3 5 2" xfId="21834" xr:uid="{00000000-0005-0000-0000-0000BCAB0000}"/>
    <cellStyle name="Финансовый 4 5 2 3 5 2 2" xfId="45789" xr:uid="{00000000-0005-0000-0000-0000BDAB0000}"/>
    <cellStyle name="Финансовый 4 5 2 3 5 3" xfId="33811" xr:uid="{00000000-0005-0000-0000-0000BEAB0000}"/>
    <cellStyle name="Финансовый 4 5 2 3 6" xfId="14014" xr:uid="{00000000-0005-0000-0000-0000BFAB0000}"/>
    <cellStyle name="Финансовый 4 5 2 3 6 2" xfId="37969" xr:uid="{00000000-0005-0000-0000-0000C0AB0000}"/>
    <cellStyle name="Финансовый 4 5 2 3 7" xfId="25992" xr:uid="{00000000-0005-0000-0000-0000C1AB0000}"/>
    <cellStyle name="Финансовый 4 5 2 3 8" xfId="49125" xr:uid="{00000000-0005-0000-0000-0000C2AB0000}"/>
    <cellStyle name="Финансовый 4 5 2 4" xfId="2564" xr:uid="{00000000-0005-0000-0000-0000C3AB0000}"/>
    <cellStyle name="Финансовый 4 5 2 4 2" xfId="4209" xr:uid="{00000000-0005-0000-0000-0000C4AB0000}"/>
    <cellStyle name="Финансовый 4 5 2 4 2 2" xfId="11933" xr:uid="{00000000-0005-0000-0000-0000C5AB0000}"/>
    <cellStyle name="Финансовый 4 5 2 4 2 2 2" xfId="23911" xr:uid="{00000000-0005-0000-0000-0000C6AB0000}"/>
    <cellStyle name="Финансовый 4 5 2 4 2 2 2 2" xfId="47866" xr:uid="{00000000-0005-0000-0000-0000C7AB0000}"/>
    <cellStyle name="Финансовый 4 5 2 4 2 2 3" xfId="35888" xr:uid="{00000000-0005-0000-0000-0000C8AB0000}"/>
    <cellStyle name="Финансовый 4 5 2 4 2 3" xfId="16188" xr:uid="{00000000-0005-0000-0000-0000C9AB0000}"/>
    <cellStyle name="Финансовый 4 5 2 4 2 3 2" xfId="40143" xr:uid="{00000000-0005-0000-0000-0000CAAB0000}"/>
    <cellStyle name="Финансовый 4 5 2 4 2 4" xfId="28166" xr:uid="{00000000-0005-0000-0000-0000CBAB0000}"/>
    <cellStyle name="Финансовый 4 5 2 4 2 5" xfId="51435" xr:uid="{00000000-0005-0000-0000-0000CCAB0000}"/>
    <cellStyle name="Финансовый 4 5 2 4 3" xfId="5992" xr:uid="{00000000-0005-0000-0000-0000CDAB0000}"/>
    <cellStyle name="Финансовый 4 5 2 4 3 2" xfId="17970" xr:uid="{00000000-0005-0000-0000-0000CEAB0000}"/>
    <cellStyle name="Финансовый 4 5 2 4 3 2 2" xfId="41925" xr:uid="{00000000-0005-0000-0000-0000CFAB0000}"/>
    <cellStyle name="Финансовый 4 5 2 4 3 3" xfId="29947" xr:uid="{00000000-0005-0000-0000-0000D0AB0000}"/>
    <cellStyle name="Финансовый 4 5 2 4 4" xfId="8602" xr:uid="{00000000-0005-0000-0000-0000D1AB0000}"/>
    <cellStyle name="Финансовый 4 5 2 4 4 2" xfId="20580" xr:uid="{00000000-0005-0000-0000-0000D2AB0000}"/>
    <cellStyle name="Финансовый 4 5 2 4 4 2 2" xfId="44535" xr:uid="{00000000-0005-0000-0000-0000D3AB0000}"/>
    <cellStyle name="Финансовый 4 5 2 4 4 3" xfId="32557" xr:uid="{00000000-0005-0000-0000-0000D4AB0000}"/>
    <cellStyle name="Финансовый 4 5 2 4 5" xfId="10385" xr:uid="{00000000-0005-0000-0000-0000D5AB0000}"/>
    <cellStyle name="Финансовый 4 5 2 4 5 2" xfId="22363" xr:uid="{00000000-0005-0000-0000-0000D6AB0000}"/>
    <cellStyle name="Финансовый 4 5 2 4 5 2 2" xfId="46318" xr:uid="{00000000-0005-0000-0000-0000D7AB0000}"/>
    <cellStyle name="Финансовый 4 5 2 4 5 3" xfId="34340" xr:uid="{00000000-0005-0000-0000-0000D8AB0000}"/>
    <cellStyle name="Финансовый 4 5 2 4 6" xfId="14543" xr:uid="{00000000-0005-0000-0000-0000D9AB0000}"/>
    <cellStyle name="Финансовый 4 5 2 4 6 2" xfId="38498" xr:uid="{00000000-0005-0000-0000-0000DAAB0000}"/>
    <cellStyle name="Финансовый 4 5 2 4 7" xfId="26521" xr:uid="{00000000-0005-0000-0000-0000DBAB0000}"/>
    <cellStyle name="Финансовый 4 5 2 4 8" xfId="49654" xr:uid="{00000000-0005-0000-0000-0000DCAB0000}"/>
    <cellStyle name="Финансовый 4 5 2 5" xfId="1068" xr:uid="{00000000-0005-0000-0000-0000DDAB0000}"/>
    <cellStyle name="Финансовый 4 5 2 5 2" xfId="7108" xr:uid="{00000000-0005-0000-0000-0000DEAB0000}"/>
    <cellStyle name="Финансовый 4 5 2 5 2 2" xfId="19086" xr:uid="{00000000-0005-0000-0000-0000DFAB0000}"/>
    <cellStyle name="Финансовый 4 5 2 5 2 2 2" xfId="43041" xr:uid="{00000000-0005-0000-0000-0000E0AB0000}"/>
    <cellStyle name="Финансовый 4 5 2 5 2 3" xfId="31063" xr:uid="{00000000-0005-0000-0000-0000E1AB0000}"/>
    <cellStyle name="Финансовый 4 5 2 5 3" xfId="10648" xr:uid="{00000000-0005-0000-0000-0000E2AB0000}"/>
    <cellStyle name="Финансовый 4 5 2 5 3 2" xfId="22626" xr:uid="{00000000-0005-0000-0000-0000E3AB0000}"/>
    <cellStyle name="Финансовый 4 5 2 5 3 2 2" xfId="46581" xr:uid="{00000000-0005-0000-0000-0000E4AB0000}"/>
    <cellStyle name="Финансовый 4 5 2 5 3 3" xfId="34603" xr:uid="{00000000-0005-0000-0000-0000E5AB0000}"/>
    <cellStyle name="Финансовый 4 5 2 5 4" xfId="13049" xr:uid="{00000000-0005-0000-0000-0000E6AB0000}"/>
    <cellStyle name="Финансовый 4 5 2 5 4 2" xfId="37004" xr:uid="{00000000-0005-0000-0000-0000E7AB0000}"/>
    <cellStyle name="Финансовый 4 5 2 5 5" xfId="25027" xr:uid="{00000000-0005-0000-0000-0000E8AB0000}"/>
    <cellStyle name="Финансовый 4 5 2 5 6" xfId="49933" xr:uid="{00000000-0005-0000-0000-0000E9AB0000}"/>
    <cellStyle name="Финансовый 4 5 2 6" xfId="656" xr:uid="{00000000-0005-0000-0000-0000EAAB0000}"/>
    <cellStyle name="Финансовый 4 5 2 6 2" xfId="6696" xr:uid="{00000000-0005-0000-0000-0000EBAB0000}"/>
    <cellStyle name="Финансовый 4 5 2 6 2 2" xfId="18674" xr:uid="{00000000-0005-0000-0000-0000ECAB0000}"/>
    <cellStyle name="Финансовый 4 5 2 6 2 2 2" xfId="42629" xr:uid="{00000000-0005-0000-0000-0000EDAB0000}"/>
    <cellStyle name="Финансовый 4 5 2 6 2 3" xfId="30651" xr:uid="{00000000-0005-0000-0000-0000EEAB0000}"/>
    <cellStyle name="Финансовый 4 5 2 6 3" xfId="12637" xr:uid="{00000000-0005-0000-0000-0000EFAB0000}"/>
    <cellStyle name="Финансовый 4 5 2 6 3 2" xfId="36592" xr:uid="{00000000-0005-0000-0000-0000F0AB0000}"/>
    <cellStyle name="Финансовый 4 5 2 6 4" xfId="24615" xr:uid="{00000000-0005-0000-0000-0000F1AB0000}"/>
    <cellStyle name="Финансовый 4 5 2 7" xfId="2845" xr:uid="{00000000-0005-0000-0000-0000F2AB0000}"/>
    <cellStyle name="Финансовый 4 5 2 7 2" xfId="14824" xr:uid="{00000000-0005-0000-0000-0000F3AB0000}"/>
    <cellStyle name="Финансовый 4 5 2 7 2 2" xfId="38779" xr:uid="{00000000-0005-0000-0000-0000F4AB0000}"/>
    <cellStyle name="Финансовый 4 5 2 7 3" xfId="26802" xr:uid="{00000000-0005-0000-0000-0000F5AB0000}"/>
    <cellStyle name="Финансовый 4 5 2 8" xfId="4489" xr:uid="{00000000-0005-0000-0000-0000F6AB0000}"/>
    <cellStyle name="Финансовый 4 5 2 8 2" xfId="16468" xr:uid="{00000000-0005-0000-0000-0000F7AB0000}"/>
    <cellStyle name="Финансовый 4 5 2 8 2 2" xfId="40423" xr:uid="{00000000-0005-0000-0000-0000F8AB0000}"/>
    <cellStyle name="Финансовый 4 5 2 8 3" xfId="28446" xr:uid="{00000000-0005-0000-0000-0000F9AB0000}"/>
    <cellStyle name="Финансовый 4 5 2 9" xfId="6276" xr:uid="{00000000-0005-0000-0000-0000FAAB0000}"/>
    <cellStyle name="Финансовый 4 5 2 9 2" xfId="18254" xr:uid="{00000000-0005-0000-0000-0000FBAB0000}"/>
    <cellStyle name="Финансовый 4 5 2 9 2 2" xfId="42209" xr:uid="{00000000-0005-0000-0000-0000FCAB0000}"/>
    <cellStyle name="Финансовый 4 5 2 9 3" xfId="30231" xr:uid="{00000000-0005-0000-0000-0000FDAB0000}"/>
    <cellStyle name="Финансовый 4 5 3" xfId="384" xr:uid="{00000000-0005-0000-0000-0000FEAB0000}"/>
    <cellStyle name="Финансовый 4 5 3 10" xfId="24343" xr:uid="{00000000-0005-0000-0000-0000FFAB0000}"/>
    <cellStyle name="Финансовый 4 5 3 11" xfId="48289" xr:uid="{00000000-0005-0000-0000-000000AC0000}"/>
    <cellStyle name="Финансовый 4 5 3 2" xfId="2163" xr:uid="{00000000-0005-0000-0000-000001AC0000}"/>
    <cellStyle name="Финансовый 4 5 3 2 2" xfId="3808" xr:uid="{00000000-0005-0000-0000-000002AC0000}"/>
    <cellStyle name="Финансовый 4 5 3 2 2 2" xfId="11548" xr:uid="{00000000-0005-0000-0000-000003AC0000}"/>
    <cellStyle name="Финансовый 4 5 3 2 2 2 2" xfId="23526" xr:uid="{00000000-0005-0000-0000-000004AC0000}"/>
    <cellStyle name="Финансовый 4 5 3 2 2 2 2 2" xfId="47481" xr:uid="{00000000-0005-0000-0000-000005AC0000}"/>
    <cellStyle name="Финансовый 4 5 3 2 2 2 3" xfId="35503" xr:uid="{00000000-0005-0000-0000-000006AC0000}"/>
    <cellStyle name="Финансовый 4 5 3 2 2 3" xfId="15787" xr:uid="{00000000-0005-0000-0000-000007AC0000}"/>
    <cellStyle name="Финансовый 4 5 3 2 2 3 2" xfId="39742" xr:uid="{00000000-0005-0000-0000-000008AC0000}"/>
    <cellStyle name="Финансовый 4 5 3 2 2 4" xfId="27765" xr:uid="{00000000-0005-0000-0000-000009AC0000}"/>
    <cellStyle name="Финансовый 4 5 3 2 2 5" xfId="51034" xr:uid="{00000000-0005-0000-0000-00000AAC0000}"/>
    <cellStyle name="Финансовый 4 5 3 2 3" xfId="5591" xr:uid="{00000000-0005-0000-0000-00000BAC0000}"/>
    <cellStyle name="Финансовый 4 5 3 2 3 2" xfId="17569" xr:uid="{00000000-0005-0000-0000-00000CAC0000}"/>
    <cellStyle name="Финансовый 4 5 3 2 3 2 2" xfId="41524" xr:uid="{00000000-0005-0000-0000-00000DAC0000}"/>
    <cellStyle name="Финансовый 4 5 3 2 3 3" xfId="29546" xr:uid="{00000000-0005-0000-0000-00000EAC0000}"/>
    <cellStyle name="Финансовый 4 5 3 2 4" xfId="8201" xr:uid="{00000000-0005-0000-0000-00000FAC0000}"/>
    <cellStyle name="Финансовый 4 5 3 2 4 2" xfId="20179" xr:uid="{00000000-0005-0000-0000-000010AC0000}"/>
    <cellStyle name="Финансовый 4 5 3 2 4 2 2" xfId="44134" xr:uid="{00000000-0005-0000-0000-000011AC0000}"/>
    <cellStyle name="Финансовый 4 5 3 2 4 3" xfId="32156" xr:uid="{00000000-0005-0000-0000-000012AC0000}"/>
    <cellStyle name="Финансовый 4 5 3 2 5" xfId="9984" xr:uid="{00000000-0005-0000-0000-000013AC0000}"/>
    <cellStyle name="Финансовый 4 5 3 2 5 2" xfId="21962" xr:uid="{00000000-0005-0000-0000-000014AC0000}"/>
    <cellStyle name="Финансовый 4 5 3 2 5 2 2" xfId="45917" xr:uid="{00000000-0005-0000-0000-000015AC0000}"/>
    <cellStyle name="Финансовый 4 5 3 2 5 3" xfId="33939" xr:uid="{00000000-0005-0000-0000-000016AC0000}"/>
    <cellStyle name="Финансовый 4 5 3 2 6" xfId="14142" xr:uid="{00000000-0005-0000-0000-000017AC0000}"/>
    <cellStyle name="Финансовый 4 5 3 2 6 2" xfId="38097" xr:uid="{00000000-0005-0000-0000-000018AC0000}"/>
    <cellStyle name="Финансовый 4 5 3 2 7" xfId="26120" xr:uid="{00000000-0005-0000-0000-000019AC0000}"/>
    <cellStyle name="Финансовый 4 5 3 2 8" xfId="49253" xr:uid="{00000000-0005-0000-0000-00001AAC0000}"/>
    <cellStyle name="Финансовый 4 5 3 3" xfId="1197" xr:uid="{00000000-0005-0000-0000-00001BAC0000}"/>
    <cellStyle name="Финансовый 4 5 3 3 2" xfId="7237" xr:uid="{00000000-0005-0000-0000-00001CAC0000}"/>
    <cellStyle name="Финансовый 4 5 3 3 2 2" xfId="19215" xr:uid="{00000000-0005-0000-0000-00001DAC0000}"/>
    <cellStyle name="Финансовый 4 5 3 3 2 2 2" xfId="43170" xr:uid="{00000000-0005-0000-0000-00001EAC0000}"/>
    <cellStyle name="Финансовый 4 5 3 3 2 3" xfId="31192" xr:uid="{00000000-0005-0000-0000-00001FAC0000}"/>
    <cellStyle name="Финансовый 4 5 3 3 3" xfId="10776" xr:uid="{00000000-0005-0000-0000-000020AC0000}"/>
    <cellStyle name="Финансовый 4 5 3 3 3 2" xfId="22754" xr:uid="{00000000-0005-0000-0000-000021AC0000}"/>
    <cellStyle name="Финансовый 4 5 3 3 3 2 2" xfId="46709" xr:uid="{00000000-0005-0000-0000-000022AC0000}"/>
    <cellStyle name="Финансовый 4 5 3 3 3 3" xfId="34731" xr:uid="{00000000-0005-0000-0000-000023AC0000}"/>
    <cellStyle name="Финансовый 4 5 3 3 4" xfId="13178" xr:uid="{00000000-0005-0000-0000-000024AC0000}"/>
    <cellStyle name="Финансовый 4 5 3 3 4 2" xfId="37133" xr:uid="{00000000-0005-0000-0000-000025AC0000}"/>
    <cellStyle name="Финансовый 4 5 3 3 5" xfId="25156" xr:uid="{00000000-0005-0000-0000-000026AC0000}"/>
    <cellStyle name="Финансовый 4 5 3 3 6" xfId="50069" xr:uid="{00000000-0005-0000-0000-000027AC0000}"/>
    <cellStyle name="Финансовый 4 5 3 4" xfId="804" xr:uid="{00000000-0005-0000-0000-000028AC0000}"/>
    <cellStyle name="Финансовый 4 5 3 4 2" xfId="6844" xr:uid="{00000000-0005-0000-0000-000029AC0000}"/>
    <cellStyle name="Финансовый 4 5 3 4 2 2" xfId="18822" xr:uid="{00000000-0005-0000-0000-00002AAC0000}"/>
    <cellStyle name="Финансовый 4 5 3 4 2 2 2" xfId="42777" xr:uid="{00000000-0005-0000-0000-00002BAC0000}"/>
    <cellStyle name="Финансовый 4 5 3 4 2 3" xfId="30799" xr:uid="{00000000-0005-0000-0000-00002CAC0000}"/>
    <cellStyle name="Финансовый 4 5 3 4 3" xfId="12785" xr:uid="{00000000-0005-0000-0000-00002DAC0000}"/>
    <cellStyle name="Финансовый 4 5 3 4 3 2" xfId="36740" xr:uid="{00000000-0005-0000-0000-00002EAC0000}"/>
    <cellStyle name="Финансовый 4 5 3 4 4" xfId="24763" xr:uid="{00000000-0005-0000-0000-00002FAC0000}"/>
    <cellStyle name="Финансовый 4 5 3 5" xfId="2981" xr:uid="{00000000-0005-0000-0000-000030AC0000}"/>
    <cellStyle name="Финансовый 4 5 3 5 2" xfId="14960" xr:uid="{00000000-0005-0000-0000-000031AC0000}"/>
    <cellStyle name="Финансовый 4 5 3 5 2 2" xfId="38915" xr:uid="{00000000-0005-0000-0000-000032AC0000}"/>
    <cellStyle name="Финансовый 4 5 3 5 3" xfId="26938" xr:uid="{00000000-0005-0000-0000-000033AC0000}"/>
    <cellStyle name="Финансовый 4 5 3 6" xfId="4625" xr:uid="{00000000-0005-0000-0000-000034AC0000}"/>
    <cellStyle name="Финансовый 4 5 3 6 2" xfId="16604" xr:uid="{00000000-0005-0000-0000-000035AC0000}"/>
    <cellStyle name="Финансовый 4 5 3 6 2 2" xfId="40559" xr:uid="{00000000-0005-0000-0000-000036AC0000}"/>
    <cellStyle name="Финансовый 4 5 3 6 3" xfId="28582" xr:uid="{00000000-0005-0000-0000-000037AC0000}"/>
    <cellStyle name="Финансовый 4 5 3 7" xfId="6424" xr:uid="{00000000-0005-0000-0000-000038AC0000}"/>
    <cellStyle name="Финансовый 4 5 3 7 2" xfId="18402" xr:uid="{00000000-0005-0000-0000-000039AC0000}"/>
    <cellStyle name="Финансовый 4 5 3 7 2 2" xfId="42357" xr:uid="{00000000-0005-0000-0000-00003AAC0000}"/>
    <cellStyle name="Финансовый 4 5 3 7 3" xfId="30379" xr:uid="{00000000-0005-0000-0000-00003BAC0000}"/>
    <cellStyle name="Финансовый 4 5 3 8" xfId="9019" xr:uid="{00000000-0005-0000-0000-00003CAC0000}"/>
    <cellStyle name="Финансовый 4 5 3 8 2" xfId="20997" xr:uid="{00000000-0005-0000-0000-00003DAC0000}"/>
    <cellStyle name="Финансовый 4 5 3 8 2 2" xfId="44952" xr:uid="{00000000-0005-0000-0000-00003EAC0000}"/>
    <cellStyle name="Финансовый 4 5 3 8 3" xfId="32974" xr:uid="{00000000-0005-0000-0000-00003FAC0000}"/>
    <cellStyle name="Финансовый 4 5 3 9" xfId="12365" xr:uid="{00000000-0005-0000-0000-000040AC0000}"/>
    <cellStyle name="Финансовый 4 5 3 9 2" xfId="36320" xr:uid="{00000000-0005-0000-0000-000041AC0000}"/>
    <cellStyle name="Финансовый 4 5 4" xfId="1542" xr:uid="{00000000-0005-0000-0000-000042AC0000}"/>
    <cellStyle name="Финансовый 4 5 4 2" xfId="1907" xr:uid="{00000000-0005-0000-0000-000043AC0000}"/>
    <cellStyle name="Финансовый 4 5 4 2 2" xfId="3552" xr:uid="{00000000-0005-0000-0000-000044AC0000}"/>
    <cellStyle name="Финансовый 4 5 4 2 2 2" xfId="11292" xr:uid="{00000000-0005-0000-0000-000045AC0000}"/>
    <cellStyle name="Финансовый 4 5 4 2 2 2 2" xfId="23270" xr:uid="{00000000-0005-0000-0000-000046AC0000}"/>
    <cellStyle name="Финансовый 4 5 4 2 2 2 2 2" xfId="47225" xr:uid="{00000000-0005-0000-0000-000047AC0000}"/>
    <cellStyle name="Финансовый 4 5 4 2 2 2 3" xfId="35247" xr:uid="{00000000-0005-0000-0000-000048AC0000}"/>
    <cellStyle name="Финансовый 4 5 4 2 2 3" xfId="15531" xr:uid="{00000000-0005-0000-0000-000049AC0000}"/>
    <cellStyle name="Финансовый 4 5 4 2 2 3 2" xfId="39486" xr:uid="{00000000-0005-0000-0000-00004AAC0000}"/>
    <cellStyle name="Финансовый 4 5 4 2 2 4" xfId="27509" xr:uid="{00000000-0005-0000-0000-00004BAC0000}"/>
    <cellStyle name="Финансовый 4 5 4 2 2 5" xfId="50778" xr:uid="{00000000-0005-0000-0000-00004CAC0000}"/>
    <cellStyle name="Финансовый 4 5 4 2 3" xfId="5335" xr:uid="{00000000-0005-0000-0000-00004DAC0000}"/>
    <cellStyle name="Финансовый 4 5 4 2 3 2" xfId="17313" xr:uid="{00000000-0005-0000-0000-00004EAC0000}"/>
    <cellStyle name="Финансовый 4 5 4 2 3 2 2" xfId="41268" xr:uid="{00000000-0005-0000-0000-00004FAC0000}"/>
    <cellStyle name="Финансовый 4 5 4 2 3 3" xfId="29290" xr:uid="{00000000-0005-0000-0000-000050AC0000}"/>
    <cellStyle name="Финансовый 4 5 4 2 4" xfId="7945" xr:uid="{00000000-0005-0000-0000-000051AC0000}"/>
    <cellStyle name="Финансовый 4 5 4 2 4 2" xfId="19923" xr:uid="{00000000-0005-0000-0000-000052AC0000}"/>
    <cellStyle name="Финансовый 4 5 4 2 4 2 2" xfId="43878" xr:uid="{00000000-0005-0000-0000-000053AC0000}"/>
    <cellStyle name="Финансовый 4 5 4 2 4 3" xfId="31900" xr:uid="{00000000-0005-0000-0000-000054AC0000}"/>
    <cellStyle name="Финансовый 4 5 4 2 5" xfId="9728" xr:uid="{00000000-0005-0000-0000-000055AC0000}"/>
    <cellStyle name="Финансовый 4 5 4 2 5 2" xfId="21706" xr:uid="{00000000-0005-0000-0000-000056AC0000}"/>
    <cellStyle name="Финансовый 4 5 4 2 5 2 2" xfId="45661" xr:uid="{00000000-0005-0000-0000-000057AC0000}"/>
    <cellStyle name="Финансовый 4 5 4 2 5 3" xfId="33683" xr:uid="{00000000-0005-0000-0000-000058AC0000}"/>
    <cellStyle name="Финансовый 4 5 4 2 6" xfId="13886" xr:uid="{00000000-0005-0000-0000-000059AC0000}"/>
    <cellStyle name="Финансовый 4 5 4 2 6 2" xfId="37841" xr:uid="{00000000-0005-0000-0000-00005AAC0000}"/>
    <cellStyle name="Финансовый 4 5 4 2 7" xfId="25864" xr:uid="{00000000-0005-0000-0000-00005BAC0000}"/>
    <cellStyle name="Финансовый 4 5 4 2 8" xfId="48997" xr:uid="{00000000-0005-0000-0000-00005CAC0000}"/>
    <cellStyle name="Финансовый 4 5 4 3" xfId="4970" xr:uid="{00000000-0005-0000-0000-00005DAC0000}"/>
    <cellStyle name="Финансовый 4 5 4 3 2" xfId="16948" xr:uid="{00000000-0005-0000-0000-00005EAC0000}"/>
    <cellStyle name="Финансовый 4 5 4 3 2 2" xfId="40903" xr:uid="{00000000-0005-0000-0000-00005FAC0000}"/>
    <cellStyle name="Финансовый 4 5 4 3 3" xfId="28925" xr:uid="{00000000-0005-0000-0000-000060AC0000}"/>
    <cellStyle name="Финансовый 4 5 4 3 4" xfId="50413" xr:uid="{00000000-0005-0000-0000-000061AC0000}"/>
    <cellStyle name="Финансовый 4 5 4 4" xfId="7580" xr:uid="{00000000-0005-0000-0000-000062AC0000}"/>
    <cellStyle name="Финансовый 4 5 4 4 2" xfId="19558" xr:uid="{00000000-0005-0000-0000-000063AC0000}"/>
    <cellStyle name="Финансовый 4 5 4 4 2 2" xfId="43513" xr:uid="{00000000-0005-0000-0000-000064AC0000}"/>
    <cellStyle name="Финансовый 4 5 4 4 3" xfId="31535" xr:uid="{00000000-0005-0000-0000-000065AC0000}"/>
    <cellStyle name="Финансовый 4 5 4 5" xfId="9363" xr:uid="{00000000-0005-0000-0000-000066AC0000}"/>
    <cellStyle name="Финансовый 4 5 4 5 2" xfId="21341" xr:uid="{00000000-0005-0000-0000-000067AC0000}"/>
    <cellStyle name="Финансовый 4 5 4 5 2 2" xfId="45296" xr:uid="{00000000-0005-0000-0000-000068AC0000}"/>
    <cellStyle name="Финансовый 4 5 4 5 3" xfId="33318" xr:uid="{00000000-0005-0000-0000-000069AC0000}"/>
    <cellStyle name="Финансовый 4 5 4 6" xfId="13521" xr:uid="{00000000-0005-0000-0000-00006AAC0000}"/>
    <cellStyle name="Финансовый 4 5 4 6 2" xfId="37476" xr:uid="{00000000-0005-0000-0000-00006BAC0000}"/>
    <cellStyle name="Финансовый 4 5 4 7" xfId="25499" xr:uid="{00000000-0005-0000-0000-00006CAC0000}"/>
    <cellStyle name="Финансовый 4 5 4 8" xfId="48632" xr:uid="{00000000-0005-0000-0000-00006DAC0000}"/>
    <cellStyle name="Финансовый 4 5 5" xfId="1783" xr:uid="{00000000-0005-0000-0000-00006EAC0000}"/>
    <cellStyle name="Финансовый 4 5 5 2" xfId="3428" xr:uid="{00000000-0005-0000-0000-00006FAC0000}"/>
    <cellStyle name="Финансовый 4 5 5 2 2" xfId="11176" xr:uid="{00000000-0005-0000-0000-000070AC0000}"/>
    <cellStyle name="Финансовый 4 5 5 2 2 2" xfId="23154" xr:uid="{00000000-0005-0000-0000-000071AC0000}"/>
    <cellStyle name="Финансовый 4 5 5 2 2 2 2" xfId="47109" xr:uid="{00000000-0005-0000-0000-000072AC0000}"/>
    <cellStyle name="Финансовый 4 5 5 2 2 3" xfId="35131" xr:uid="{00000000-0005-0000-0000-000073AC0000}"/>
    <cellStyle name="Финансовый 4 5 5 2 3" xfId="15407" xr:uid="{00000000-0005-0000-0000-000074AC0000}"/>
    <cellStyle name="Финансовый 4 5 5 2 3 2" xfId="39362" xr:uid="{00000000-0005-0000-0000-000075AC0000}"/>
    <cellStyle name="Финансовый 4 5 5 2 4" xfId="27385" xr:uid="{00000000-0005-0000-0000-000076AC0000}"/>
    <cellStyle name="Финансовый 4 5 5 2 5" xfId="50654" xr:uid="{00000000-0005-0000-0000-000077AC0000}"/>
    <cellStyle name="Финансовый 4 5 5 3" xfId="5211" xr:uid="{00000000-0005-0000-0000-000078AC0000}"/>
    <cellStyle name="Финансовый 4 5 5 3 2" xfId="17189" xr:uid="{00000000-0005-0000-0000-000079AC0000}"/>
    <cellStyle name="Финансовый 4 5 5 3 2 2" xfId="41144" xr:uid="{00000000-0005-0000-0000-00007AAC0000}"/>
    <cellStyle name="Финансовый 4 5 5 3 3" xfId="29166" xr:uid="{00000000-0005-0000-0000-00007BAC0000}"/>
    <cellStyle name="Финансовый 4 5 5 4" xfId="7821" xr:uid="{00000000-0005-0000-0000-00007CAC0000}"/>
    <cellStyle name="Финансовый 4 5 5 4 2" xfId="19799" xr:uid="{00000000-0005-0000-0000-00007DAC0000}"/>
    <cellStyle name="Финансовый 4 5 5 4 2 2" xfId="43754" xr:uid="{00000000-0005-0000-0000-00007EAC0000}"/>
    <cellStyle name="Финансовый 4 5 5 4 3" xfId="31776" xr:uid="{00000000-0005-0000-0000-00007FAC0000}"/>
    <cellStyle name="Финансовый 4 5 5 5" xfId="9604" xr:uid="{00000000-0005-0000-0000-000080AC0000}"/>
    <cellStyle name="Финансовый 4 5 5 5 2" xfId="21582" xr:uid="{00000000-0005-0000-0000-000081AC0000}"/>
    <cellStyle name="Финансовый 4 5 5 5 2 2" xfId="45537" xr:uid="{00000000-0005-0000-0000-000082AC0000}"/>
    <cellStyle name="Финансовый 4 5 5 5 3" xfId="33559" xr:uid="{00000000-0005-0000-0000-000083AC0000}"/>
    <cellStyle name="Финансовый 4 5 5 6" xfId="13762" xr:uid="{00000000-0005-0000-0000-000084AC0000}"/>
    <cellStyle name="Финансовый 4 5 5 6 2" xfId="37717" xr:uid="{00000000-0005-0000-0000-000085AC0000}"/>
    <cellStyle name="Финансовый 4 5 5 7" xfId="25740" xr:uid="{00000000-0005-0000-0000-000086AC0000}"/>
    <cellStyle name="Финансовый 4 5 5 8" xfId="48873" xr:uid="{00000000-0005-0000-0000-000087AC0000}"/>
    <cellStyle name="Финансовый 4 5 6" xfId="2428" xr:uid="{00000000-0005-0000-0000-000088AC0000}"/>
    <cellStyle name="Финансовый 4 5 6 2" xfId="4073" xr:uid="{00000000-0005-0000-0000-000089AC0000}"/>
    <cellStyle name="Финансовый 4 5 6 2 2" xfId="11805" xr:uid="{00000000-0005-0000-0000-00008AAC0000}"/>
    <cellStyle name="Финансовый 4 5 6 2 2 2" xfId="23783" xr:uid="{00000000-0005-0000-0000-00008BAC0000}"/>
    <cellStyle name="Финансовый 4 5 6 2 2 2 2" xfId="47738" xr:uid="{00000000-0005-0000-0000-00008CAC0000}"/>
    <cellStyle name="Финансовый 4 5 6 2 2 3" xfId="35760" xr:uid="{00000000-0005-0000-0000-00008DAC0000}"/>
    <cellStyle name="Финансовый 4 5 6 2 3" xfId="16052" xr:uid="{00000000-0005-0000-0000-00008EAC0000}"/>
    <cellStyle name="Финансовый 4 5 6 2 3 2" xfId="40007" xr:uid="{00000000-0005-0000-0000-00008FAC0000}"/>
    <cellStyle name="Финансовый 4 5 6 2 4" xfId="28030" xr:uid="{00000000-0005-0000-0000-000090AC0000}"/>
    <cellStyle name="Финансовый 4 5 6 2 5" xfId="51299" xr:uid="{00000000-0005-0000-0000-000091AC0000}"/>
    <cellStyle name="Финансовый 4 5 6 3" xfId="5856" xr:uid="{00000000-0005-0000-0000-000092AC0000}"/>
    <cellStyle name="Финансовый 4 5 6 3 2" xfId="17834" xr:uid="{00000000-0005-0000-0000-000093AC0000}"/>
    <cellStyle name="Финансовый 4 5 6 3 2 2" xfId="41789" xr:uid="{00000000-0005-0000-0000-000094AC0000}"/>
    <cellStyle name="Финансовый 4 5 6 3 3" xfId="29811" xr:uid="{00000000-0005-0000-0000-000095AC0000}"/>
    <cellStyle name="Финансовый 4 5 6 4" xfId="8466" xr:uid="{00000000-0005-0000-0000-000096AC0000}"/>
    <cellStyle name="Финансовый 4 5 6 4 2" xfId="20444" xr:uid="{00000000-0005-0000-0000-000097AC0000}"/>
    <cellStyle name="Финансовый 4 5 6 4 2 2" xfId="44399" xr:uid="{00000000-0005-0000-0000-000098AC0000}"/>
    <cellStyle name="Финансовый 4 5 6 4 3" xfId="32421" xr:uid="{00000000-0005-0000-0000-000099AC0000}"/>
    <cellStyle name="Финансовый 4 5 6 5" xfId="10249" xr:uid="{00000000-0005-0000-0000-00009AAC0000}"/>
    <cellStyle name="Финансовый 4 5 6 5 2" xfId="22227" xr:uid="{00000000-0005-0000-0000-00009BAC0000}"/>
    <cellStyle name="Финансовый 4 5 6 5 2 2" xfId="46182" xr:uid="{00000000-0005-0000-0000-00009CAC0000}"/>
    <cellStyle name="Финансовый 4 5 6 5 3" xfId="34204" xr:uid="{00000000-0005-0000-0000-00009DAC0000}"/>
    <cellStyle name="Финансовый 4 5 6 6" xfId="14407" xr:uid="{00000000-0005-0000-0000-00009EAC0000}"/>
    <cellStyle name="Финансовый 4 5 6 6 2" xfId="38362" xr:uid="{00000000-0005-0000-0000-00009FAC0000}"/>
    <cellStyle name="Финансовый 4 5 6 7" xfId="26385" xr:uid="{00000000-0005-0000-0000-0000A0AC0000}"/>
    <cellStyle name="Финансовый 4 5 6 8" xfId="49518" xr:uid="{00000000-0005-0000-0000-0000A1AC0000}"/>
    <cellStyle name="Финансовый 4 5 7" xfId="1655" xr:uid="{00000000-0005-0000-0000-0000A2AC0000}"/>
    <cellStyle name="Финансовый 4 5 7 2" xfId="3300" xr:uid="{00000000-0005-0000-0000-0000A3AC0000}"/>
    <cellStyle name="Финансовый 4 5 7 2 2" xfId="11048" xr:uid="{00000000-0005-0000-0000-0000A4AC0000}"/>
    <cellStyle name="Финансовый 4 5 7 2 2 2" xfId="23026" xr:uid="{00000000-0005-0000-0000-0000A5AC0000}"/>
    <cellStyle name="Финансовый 4 5 7 2 2 2 2" xfId="46981" xr:uid="{00000000-0005-0000-0000-0000A6AC0000}"/>
    <cellStyle name="Финансовый 4 5 7 2 2 3" xfId="35003" xr:uid="{00000000-0005-0000-0000-0000A7AC0000}"/>
    <cellStyle name="Финансовый 4 5 7 2 3" xfId="15279" xr:uid="{00000000-0005-0000-0000-0000A8AC0000}"/>
    <cellStyle name="Финансовый 4 5 7 2 3 2" xfId="39234" xr:uid="{00000000-0005-0000-0000-0000A9AC0000}"/>
    <cellStyle name="Финансовый 4 5 7 2 4" xfId="27257" xr:uid="{00000000-0005-0000-0000-0000AAAC0000}"/>
    <cellStyle name="Финансовый 4 5 7 2 5" xfId="50526" xr:uid="{00000000-0005-0000-0000-0000ABAC0000}"/>
    <cellStyle name="Финансовый 4 5 7 3" xfId="5083" xr:uid="{00000000-0005-0000-0000-0000ACAC0000}"/>
    <cellStyle name="Финансовый 4 5 7 3 2" xfId="17061" xr:uid="{00000000-0005-0000-0000-0000ADAC0000}"/>
    <cellStyle name="Финансовый 4 5 7 3 2 2" xfId="41016" xr:uid="{00000000-0005-0000-0000-0000AEAC0000}"/>
    <cellStyle name="Финансовый 4 5 7 3 3" xfId="29038" xr:uid="{00000000-0005-0000-0000-0000AFAC0000}"/>
    <cellStyle name="Финансовый 4 5 7 4" xfId="7693" xr:uid="{00000000-0005-0000-0000-0000B0AC0000}"/>
    <cellStyle name="Финансовый 4 5 7 4 2" xfId="19671" xr:uid="{00000000-0005-0000-0000-0000B1AC0000}"/>
    <cellStyle name="Финансовый 4 5 7 4 2 2" xfId="43626" xr:uid="{00000000-0005-0000-0000-0000B2AC0000}"/>
    <cellStyle name="Финансовый 4 5 7 4 3" xfId="31648" xr:uid="{00000000-0005-0000-0000-0000B3AC0000}"/>
    <cellStyle name="Финансовый 4 5 7 5" xfId="9476" xr:uid="{00000000-0005-0000-0000-0000B4AC0000}"/>
    <cellStyle name="Финансовый 4 5 7 5 2" xfId="21454" xr:uid="{00000000-0005-0000-0000-0000B5AC0000}"/>
    <cellStyle name="Финансовый 4 5 7 5 2 2" xfId="45409" xr:uid="{00000000-0005-0000-0000-0000B6AC0000}"/>
    <cellStyle name="Финансовый 4 5 7 5 3" xfId="33431" xr:uid="{00000000-0005-0000-0000-0000B7AC0000}"/>
    <cellStyle name="Финансовый 4 5 7 6" xfId="13634" xr:uid="{00000000-0005-0000-0000-0000B8AC0000}"/>
    <cellStyle name="Финансовый 4 5 7 6 2" xfId="37589" xr:uid="{00000000-0005-0000-0000-0000B9AC0000}"/>
    <cellStyle name="Финансовый 4 5 7 7" xfId="25612" xr:uid="{00000000-0005-0000-0000-0000BAAC0000}"/>
    <cellStyle name="Финансовый 4 5 7 8" xfId="48745" xr:uid="{00000000-0005-0000-0000-0000BBAC0000}"/>
    <cellStyle name="Финансовый 4 5 8" xfId="932" xr:uid="{00000000-0005-0000-0000-0000BCAC0000}"/>
    <cellStyle name="Финансовый 4 5 8 2" xfId="6972" xr:uid="{00000000-0005-0000-0000-0000BDAC0000}"/>
    <cellStyle name="Финансовый 4 5 8 2 2" xfId="18950" xr:uid="{00000000-0005-0000-0000-0000BEAC0000}"/>
    <cellStyle name="Финансовый 4 5 8 2 2 2" xfId="42905" xr:uid="{00000000-0005-0000-0000-0000BFAC0000}"/>
    <cellStyle name="Финансовый 4 5 8 2 3" xfId="30927" xr:uid="{00000000-0005-0000-0000-0000C0AC0000}"/>
    <cellStyle name="Финансовый 4 5 8 3" xfId="10520" xr:uid="{00000000-0005-0000-0000-0000C1AC0000}"/>
    <cellStyle name="Финансовый 4 5 8 3 2" xfId="22498" xr:uid="{00000000-0005-0000-0000-0000C2AC0000}"/>
    <cellStyle name="Финансовый 4 5 8 3 2 2" xfId="46453" xr:uid="{00000000-0005-0000-0000-0000C3AC0000}"/>
    <cellStyle name="Финансовый 4 5 8 3 3" xfId="34475" xr:uid="{00000000-0005-0000-0000-0000C4AC0000}"/>
    <cellStyle name="Финансовый 4 5 8 4" xfId="12913" xr:uid="{00000000-0005-0000-0000-0000C5AC0000}"/>
    <cellStyle name="Финансовый 4 5 8 4 2" xfId="36868" xr:uid="{00000000-0005-0000-0000-0000C6AC0000}"/>
    <cellStyle name="Финансовый 4 5 8 5" xfId="24891" xr:uid="{00000000-0005-0000-0000-0000C7AC0000}"/>
    <cellStyle name="Финансовый 4 5 8 6" xfId="49797" xr:uid="{00000000-0005-0000-0000-0000C8AC0000}"/>
    <cellStyle name="Финансовый 4 5 9" xfId="520" xr:uid="{00000000-0005-0000-0000-0000C9AC0000}"/>
    <cellStyle name="Финансовый 4 5 9 2" xfId="6560" xr:uid="{00000000-0005-0000-0000-0000CAAC0000}"/>
    <cellStyle name="Финансовый 4 5 9 2 2" xfId="18538" xr:uid="{00000000-0005-0000-0000-0000CBAC0000}"/>
    <cellStyle name="Финансовый 4 5 9 2 2 2" xfId="42493" xr:uid="{00000000-0005-0000-0000-0000CCAC0000}"/>
    <cellStyle name="Финансовый 4 5 9 2 3" xfId="30515" xr:uid="{00000000-0005-0000-0000-0000CDAC0000}"/>
    <cellStyle name="Финансовый 4 5 9 3" xfId="12501" xr:uid="{00000000-0005-0000-0000-0000CEAC0000}"/>
    <cellStyle name="Финансовый 4 5 9 3 2" xfId="36456" xr:uid="{00000000-0005-0000-0000-0000CFAC0000}"/>
    <cellStyle name="Финансовый 4 5 9 4" xfId="24479" xr:uid="{00000000-0005-0000-0000-0000D0AC0000}"/>
    <cellStyle name="Финансовый 4 6" xfId="111" xr:uid="{00000000-0005-0000-0000-0000D1AC0000}"/>
    <cellStyle name="Финансовый 4 6 10" xfId="2721" xr:uid="{00000000-0005-0000-0000-0000D2AC0000}"/>
    <cellStyle name="Финансовый 4 6 10 2" xfId="14700" xr:uid="{00000000-0005-0000-0000-0000D3AC0000}"/>
    <cellStyle name="Финансовый 4 6 10 2 2" xfId="38655" xr:uid="{00000000-0005-0000-0000-0000D4AC0000}"/>
    <cellStyle name="Финансовый 4 6 10 3" xfId="26678" xr:uid="{00000000-0005-0000-0000-0000D5AC0000}"/>
    <cellStyle name="Финансовый 4 6 11" xfId="4365" xr:uid="{00000000-0005-0000-0000-0000D6AC0000}"/>
    <cellStyle name="Финансовый 4 6 11 2" xfId="16344" xr:uid="{00000000-0005-0000-0000-0000D7AC0000}"/>
    <cellStyle name="Финансовый 4 6 11 2 2" xfId="40299" xr:uid="{00000000-0005-0000-0000-0000D8AC0000}"/>
    <cellStyle name="Финансовый 4 6 11 3" xfId="28322" xr:uid="{00000000-0005-0000-0000-0000D9AC0000}"/>
    <cellStyle name="Финансовый 4 6 12" xfId="6152" xr:uid="{00000000-0005-0000-0000-0000DAAC0000}"/>
    <cellStyle name="Финансовый 4 6 12 2" xfId="18130" xr:uid="{00000000-0005-0000-0000-0000DBAC0000}"/>
    <cellStyle name="Финансовый 4 6 12 2 2" xfId="42085" xr:uid="{00000000-0005-0000-0000-0000DCAC0000}"/>
    <cellStyle name="Финансовый 4 6 12 3" xfId="30107" xr:uid="{00000000-0005-0000-0000-0000DDAC0000}"/>
    <cellStyle name="Финансовый 4 6 13" xfId="8759" xr:uid="{00000000-0005-0000-0000-0000DEAC0000}"/>
    <cellStyle name="Финансовый 4 6 13 2" xfId="20737" xr:uid="{00000000-0005-0000-0000-0000DFAC0000}"/>
    <cellStyle name="Финансовый 4 6 13 2 2" xfId="44692" xr:uid="{00000000-0005-0000-0000-0000E0AC0000}"/>
    <cellStyle name="Финансовый 4 6 13 3" xfId="32714" xr:uid="{00000000-0005-0000-0000-0000E1AC0000}"/>
    <cellStyle name="Финансовый 4 6 14" xfId="12093" xr:uid="{00000000-0005-0000-0000-0000E2AC0000}"/>
    <cellStyle name="Финансовый 4 6 14 2" xfId="36048" xr:uid="{00000000-0005-0000-0000-0000E3AC0000}"/>
    <cellStyle name="Финансовый 4 6 15" xfId="24071" xr:uid="{00000000-0005-0000-0000-0000E4AC0000}"/>
    <cellStyle name="Финансовый 4 6 16" xfId="48029" xr:uid="{00000000-0005-0000-0000-0000E5AC0000}"/>
    <cellStyle name="Финансовый 4 6 2" xfId="247" xr:uid="{00000000-0005-0000-0000-0000E6AC0000}"/>
    <cellStyle name="Финансовый 4 6 2 10" xfId="8895" xr:uid="{00000000-0005-0000-0000-0000E7AC0000}"/>
    <cellStyle name="Финансовый 4 6 2 10 2" xfId="20873" xr:uid="{00000000-0005-0000-0000-0000E8AC0000}"/>
    <cellStyle name="Финансовый 4 6 2 10 2 2" xfId="44828" xr:uid="{00000000-0005-0000-0000-0000E9AC0000}"/>
    <cellStyle name="Финансовый 4 6 2 10 3" xfId="32850" xr:uid="{00000000-0005-0000-0000-0000EAAC0000}"/>
    <cellStyle name="Финансовый 4 6 2 11" xfId="12229" xr:uid="{00000000-0005-0000-0000-0000EBAC0000}"/>
    <cellStyle name="Финансовый 4 6 2 11 2" xfId="36184" xr:uid="{00000000-0005-0000-0000-0000ECAC0000}"/>
    <cellStyle name="Финансовый 4 6 2 12" xfId="24207" xr:uid="{00000000-0005-0000-0000-0000EDAC0000}"/>
    <cellStyle name="Финансовый 4 6 2 13" xfId="48165" xr:uid="{00000000-0005-0000-0000-0000EEAC0000}"/>
    <cellStyle name="Финансовый 4 6 2 2" xfId="1345" xr:uid="{00000000-0005-0000-0000-0000EFAC0000}"/>
    <cellStyle name="Финансовый 4 6 2 2 2" xfId="2303" xr:uid="{00000000-0005-0000-0000-0000F0AC0000}"/>
    <cellStyle name="Финансовый 4 6 2 2 2 2" xfId="3948" xr:uid="{00000000-0005-0000-0000-0000F1AC0000}"/>
    <cellStyle name="Финансовый 4 6 2 2 2 2 2" xfId="11688" xr:uid="{00000000-0005-0000-0000-0000F2AC0000}"/>
    <cellStyle name="Финансовый 4 6 2 2 2 2 2 2" xfId="23666" xr:uid="{00000000-0005-0000-0000-0000F3AC0000}"/>
    <cellStyle name="Финансовый 4 6 2 2 2 2 2 2 2" xfId="47621" xr:uid="{00000000-0005-0000-0000-0000F4AC0000}"/>
    <cellStyle name="Финансовый 4 6 2 2 2 2 2 3" xfId="35643" xr:uid="{00000000-0005-0000-0000-0000F5AC0000}"/>
    <cellStyle name="Финансовый 4 6 2 2 2 2 3" xfId="15927" xr:uid="{00000000-0005-0000-0000-0000F6AC0000}"/>
    <cellStyle name="Финансовый 4 6 2 2 2 2 3 2" xfId="39882" xr:uid="{00000000-0005-0000-0000-0000F7AC0000}"/>
    <cellStyle name="Финансовый 4 6 2 2 2 2 4" xfId="27905" xr:uid="{00000000-0005-0000-0000-0000F8AC0000}"/>
    <cellStyle name="Финансовый 4 6 2 2 2 2 5" xfId="51174" xr:uid="{00000000-0005-0000-0000-0000F9AC0000}"/>
    <cellStyle name="Финансовый 4 6 2 2 2 3" xfId="5731" xr:uid="{00000000-0005-0000-0000-0000FAAC0000}"/>
    <cellStyle name="Финансовый 4 6 2 2 2 3 2" xfId="17709" xr:uid="{00000000-0005-0000-0000-0000FBAC0000}"/>
    <cellStyle name="Финансовый 4 6 2 2 2 3 2 2" xfId="41664" xr:uid="{00000000-0005-0000-0000-0000FCAC0000}"/>
    <cellStyle name="Финансовый 4 6 2 2 2 3 3" xfId="29686" xr:uid="{00000000-0005-0000-0000-0000FDAC0000}"/>
    <cellStyle name="Финансовый 4 6 2 2 2 4" xfId="8341" xr:uid="{00000000-0005-0000-0000-0000FEAC0000}"/>
    <cellStyle name="Финансовый 4 6 2 2 2 4 2" xfId="20319" xr:uid="{00000000-0005-0000-0000-0000FFAC0000}"/>
    <cellStyle name="Финансовый 4 6 2 2 2 4 2 2" xfId="44274" xr:uid="{00000000-0005-0000-0000-000000AD0000}"/>
    <cellStyle name="Финансовый 4 6 2 2 2 4 3" xfId="32296" xr:uid="{00000000-0005-0000-0000-000001AD0000}"/>
    <cellStyle name="Финансовый 4 6 2 2 2 5" xfId="10124" xr:uid="{00000000-0005-0000-0000-000002AD0000}"/>
    <cellStyle name="Финансовый 4 6 2 2 2 5 2" xfId="22102" xr:uid="{00000000-0005-0000-0000-000003AD0000}"/>
    <cellStyle name="Финансовый 4 6 2 2 2 5 2 2" xfId="46057" xr:uid="{00000000-0005-0000-0000-000004AD0000}"/>
    <cellStyle name="Финансовый 4 6 2 2 2 5 3" xfId="34079" xr:uid="{00000000-0005-0000-0000-000005AD0000}"/>
    <cellStyle name="Финансовый 4 6 2 2 2 6" xfId="14282" xr:uid="{00000000-0005-0000-0000-000006AD0000}"/>
    <cellStyle name="Финансовый 4 6 2 2 2 6 2" xfId="38237" xr:uid="{00000000-0005-0000-0000-000007AD0000}"/>
    <cellStyle name="Финансовый 4 6 2 2 2 7" xfId="26260" xr:uid="{00000000-0005-0000-0000-000008AD0000}"/>
    <cellStyle name="Финансовый 4 6 2 2 2 8" xfId="49393" xr:uid="{00000000-0005-0000-0000-000009AD0000}"/>
    <cellStyle name="Финансовый 4 6 2 2 3" xfId="3129" xr:uid="{00000000-0005-0000-0000-00000AAD0000}"/>
    <cellStyle name="Финансовый 4 6 2 2 3 2" xfId="10916" xr:uid="{00000000-0005-0000-0000-00000BAD0000}"/>
    <cellStyle name="Финансовый 4 6 2 2 3 2 2" xfId="22894" xr:uid="{00000000-0005-0000-0000-00000CAD0000}"/>
    <cellStyle name="Финансовый 4 6 2 2 3 2 2 2" xfId="46849" xr:uid="{00000000-0005-0000-0000-00000DAD0000}"/>
    <cellStyle name="Финансовый 4 6 2 2 3 2 3" xfId="34871" xr:uid="{00000000-0005-0000-0000-00000EAD0000}"/>
    <cellStyle name="Финансовый 4 6 2 2 3 3" xfId="15108" xr:uid="{00000000-0005-0000-0000-00000FAD0000}"/>
    <cellStyle name="Финансовый 4 6 2 2 3 3 2" xfId="39063" xr:uid="{00000000-0005-0000-0000-000010AD0000}"/>
    <cellStyle name="Финансовый 4 6 2 2 3 4" xfId="27086" xr:uid="{00000000-0005-0000-0000-000011AD0000}"/>
    <cellStyle name="Финансовый 4 6 2 2 3 5" xfId="50217" xr:uid="{00000000-0005-0000-0000-000012AD0000}"/>
    <cellStyle name="Финансовый 4 6 2 2 4" xfId="4773" xr:uid="{00000000-0005-0000-0000-000013AD0000}"/>
    <cellStyle name="Финансовый 4 6 2 2 4 2" xfId="16752" xr:uid="{00000000-0005-0000-0000-000014AD0000}"/>
    <cellStyle name="Финансовый 4 6 2 2 4 2 2" xfId="40707" xr:uid="{00000000-0005-0000-0000-000015AD0000}"/>
    <cellStyle name="Финансовый 4 6 2 2 4 3" xfId="28730" xr:uid="{00000000-0005-0000-0000-000016AD0000}"/>
    <cellStyle name="Финансовый 4 6 2 2 5" xfId="7385" xr:uid="{00000000-0005-0000-0000-000017AD0000}"/>
    <cellStyle name="Финансовый 4 6 2 2 5 2" xfId="19363" xr:uid="{00000000-0005-0000-0000-000018AD0000}"/>
    <cellStyle name="Финансовый 4 6 2 2 5 2 2" xfId="43318" xr:uid="{00000000-0005-0000-0000-000019AD0000}"/>
    <cellStyle name="Финансовый 4 6 2 2 5 3" xfId="31340" xr:uid="{00000000-0005-0000-0000-00001AAD0000}"/>
    <cellStyle name="Финансовый 4 6 2 2 6" xfId="9167" xr:uid="{00000000-0005-0000-0000-00001BAD0000}"/>
    <cellStyle name="Финансовый 4 6 2 2 6 2" xfId="21145" xr:uid="{00000000-0005-0000-0000-00001CAD0000}"/>
    <cellStyle name="Финансовый 4 6 2 2 6 2 2" xfId="45100" xr:uid="{00000000-0005-0000-0000-00001DAD0000}"/>
    <cellStyle name="Финансовый 4 6 2 2 6 3" xfId="33122" xr:uid="{00000000-0005-0000-0000-00001EAD0000}"/>
    <cellStyle name="Финансовый 4 6 2 2 7" xfId="13326" xr:uid="{00000000-0005-0000-0000-00001FAD0000}"/>
    <cellStyle name="Финансовый 4 6 2 2 7 2" xfId="37281" xr:uid="{00000000-0005-0000-0000-000020AD0000}"/>
    <cellStyle name="Финансовый 4 6 2 2 8" xfId="25304" xr:uid="{00000000-0005-0000-0000-000021AD0000}"/>
    <cellStyle name="Финансовый 4 6 2 2 9" xfId="48437" xr:uid="{00000000-0005-0000-0000-000022AD0000}"/>
    <cellStyle name="Финансовый 4 6 2 3" xfId="2047" xr:uid="{00000000-0005-0000-0000-000023AD0000}"/>
    <cellStyle name="Финансовый 4 6 2 3 2" xfId="3692" xr:uid="{00000000-0005-0000-0000-000024AD0000}"/>
    <cellStyle name="Финансовый 4 6 2 3 2 2" xfId="11432" xr:uid="{00000000-0005-0000-0000-000025AD0000}"/>
    <cellStyle name="Финансовый 4 6 2 3 2 2 2" xfId="23410" xr:uid="{00000000-0005-0000-0000-000026AD0000}"/>
    <cellStyle name="Финансовый 4 6 2 3 2 2 2 2" xfId="47365" xr:uid="{00000000-0005-0000-0000-000027AD0000}"/>
    <cellStyle name="Финансовый 4 6 2 3 2 2 3" xfId="35387" xr:uid="{00000000-0005-0000-0000-000028AD0000}"/>
    <cellStyle name="Финансовый 4 6 2 3 2 3" xfId="15671" xr:uid="{00000000-0005-0000-0000-000029AD0000}"/>
    <cellStyle name="Финансовый 4 6 2 3 2 3 2" xfId="39626" xr:uid="{00000000-0005-0000-0000-00002AAD0000}"/>
    <cellStyle name="Финансовый 4 6 2 3 2 4" xfId="27649" xr:uid="{00000000-0005-0000-0000-00002BAD0000}"/>
    <cellStyle name="Финансовый 4 6 2 3 2 5" xfId="50918" xr:uid="{00000000-0005-0000-0000-00002CAD0000}"/>
    <cellStyle name="Финансовый 4 6 2 3 3" xfId="5475" xr:uid="{00000000-0005-0000-0000-00002DAD0000}"/>
    <cellStyle name="Финансовый 4 6 2 3 3 2" xfId="17453" xr:uid="{00000000-0005-0000-0000-00002EAD0000}"/>
    <cellStyle name="Финансовый 4 6 2 3 3 2 2" xfId="41408" xr:uid="{00000000-0005-0000-0000-00002FAD0000}"/>
    <cellStyle name="Финансовый 4 6 2 3 3 3" xfId="29430" xr:uid="{00000000-0005-0000-0000-000030AD0000}"/>
    <cellStyle name="Финансовый 4 6 2 3 4" xfId="8085" xr:uid="{00000000-0005-0000-0000-000031AD0000}"/>
    <cellStyle name="Финансовый 4 6 2 3 4 2" xfId="20063" xr:uid="{00000000-0005-0000-0000-000032AD0000}"/>
    <cellStyle name="Финансовый 4 6 2 3 4 2 2" xfId="44018" xr:uid="{00000000-0005-0000-0000-000033AD0000}"/>
    <cellStyle name="Финансовый 4 6 2 3 4 3" xfId="32040" xr:uid="{00000000-0005-0000-0000-000034AD0000}"/>
    <cellStyle name="Финансовый 4 6 2 3 5" xfId="9868" xr:uid="{00000000-0005-0000-0000-000035AD0000}"/>
    <cellStyle name="Финансовый 4 6 2 3 5 2" xfId="21846" xr:uid="{00000000-0005-0000-0000-000036AD0000}"/>
    <cellStyle name="Финансовый 4 6 2 3 5 2 2" xfId="45801" xr:uid="{00000000-0005-0000-0000-000037AD0000}"/>
    <cellStyle name="Финансовый 4 6 2 3 5 3" xfId="33823" xr:uid="{00000000-0005-0000-0000-000038AD0000}"/>
    <cellStyle name="Финансовый 4 6 2 3 6" xfId="14026" xr:uid="{00000000-0005-0000-0000-000039AD0000}"/>
    <cellStyle name="Финансовый 4 6 2 3 6 2" xfId="37981" xr:uid="{00000000-0005-0000-0000-00003AAD0000}"/>
    <cellStyle name="Финансовый 4 6 2 3 7" xfId="26004" xr:uid="{00000000-0005-0000-0000-00003BAD0000}"/>
    <cellStyle name="Финансовый 4 6 2 3 8" xfId="49137" xr:uid="{00000000-0005-0000-0000-00003CAD0000}"/>
    <cellStyle name="Финансовый 4 6 2 4" xfId="2576" xr:uid="{00000000-0005-0000-0000-00003DAD0000}"/>
    <cellStyle name="Финансовый 4 6 2 4 2" xfId="4221" xr:uid="{00000000-0005-0000-0000-00003EAD0000}"/>
    <cellStyle name="Финансовый 4 6 2 4 2 2" xfId="11945" xr:uid="{00000000-0005-0000-0000-00003FAD0000}"/>
    <cellStyle name="Финансовый 4 6 2 4 2 2 2" xfId="23923" xr:uid="{00000000-0005-0000-0000-000040AD0000}"/>
    <cellStyle name="Финансовый 4 6 2 4 2 2 2 2" xfId="47878" xr:uid="{00000000-0005-0000-0000-000041AD0000}"/>
    <cellStyle name="Финансовый 4 6 2 4 2 2 3" xfId="35900" xr:uid="{00000000-0005-0000-0000-000042AD0000}"/>
    <cellStyle name="Финансовый 4 6 2 4 2 3" xfId="16200" xr:uid="{00000000-0005-0000-0000-000043AD0000}"/>
    <cellStyle name="Финансовый 4 6 2 4 2 3 2" xfId="40155" xr:uid="{00000000-0005-0000-0000-000044AD0000}"/>
    <cellStyle name="Финансовый 4 6 2 4 2 4" xfId="28178" xr:uid="{00000000-0005-0000-0000-000045AD0000}"/>
    <cellStyle name="Финансовый 4 6 2 4 2 5" xfId="51447" xr:uid="{00000000-0005-0000-0000-000046AD0000}"/>
    <cellStyle name="Финансовый 4 6 2 4 3" xfId="6004" xr:uid="{00000000-0005-0000-0000-000047AD0000}"/>
    <cellStyle name="Финансовый 4 6 2 4 3 2" xfId="17982" xr:uid="{00000000-0005-0000-0000-000048AD0000}"/>
    <cellStyle name="Финансовый 4 6 2 4 3 2 2" xfId="41937" xr:uid="{00000000-0005-0000-0000-000049AD0000}"/>
    <cellStyle name="Финансовый 4 6 2 4 3 3" xfId="29959" xr:uid="{00000000-0005-0000-0000-00004AAD0000}"/>
    <cellStyle name="Финансовый 4 6 2 4 4" xfId="8614" xr:uid="{00000000-0005-0000-0000-00004BAD0000}"/>
    <cellStyle name="Финансовый 4 6 2 4 4 2" xfId="20592" xr:uid="{00000000-0005-0000-0000-00004CAD0000}"/>
    <cellStyle name="Финансовый 4 6 2 4 4 2 2" xfId="44547" xr:uid="{00000000-0005-0000-0000-00004DAD0000}"/>
    <cellStyle name="Финансовый 4 6 2 4 4 3" xfId="32569" xr:uid="{00000000-0005-0000-0000-00004EAD0000}"/>
    <cellStyle name="Финансовый 4 6 2 4 5" xfId="10397" xr:uid="{00000000-0005-0000-0000-00004FAD0000}"/>
    <cellStyle name="Финансовый 4 6 2 4 5 2" xfId="22375" xr:uid="{00000000-0005-0000-0000-000050AD0000}"/>
    <cellStyle name="Финансовый 4 6 2 4 5 2 2" xfId="46330" xr:uid="{00000000-0005-0000-0000-000051AD0000}"/>
    <cellStyle name="Финансовый 4 6 2 4 5 3" xfId="34352" xr:uid="{00000000-0005-0000-0000-000052AD0000}"/>
    <cellStyle name="Финансовый 4 6 2 4 6" xfId="14555" xr:uid="{00000000-0005-0000-0000-000053AD0000}"/>
    <cellStyle name="Финансовый 4 6 2 4 6 2" xfId="38510" xr:uid="{00000000-0005-0000-0000-000054AD0000}"/>
    <cellStyle name="Финансовый 4 6 2 4 7" xfId="26533" xr:uid="{00000000-0005-0000-0000-000055AD0000}"/>
    <cellStyle name="Финансовый 4 6 2 4 8" xfId="49666" xr:uid="{00000000-0005-0000-0000-000056AD0000}"/>
    <cellStyle name="Финансовый 4 6 2 5" xfId="1080" xr:uid="{00000000-0005-0000-0000-000057AD0000}"/>
    <cellStyle name="Финансовый 4 6 2 5 2" xfId="7120" xr:uid="{00000000-0005-0000-0000-000058AD0000}"/>
    <cellStyle name="Финансовый 4 6 2 5 2 2" xfId="19098" xr:uid="{00000000-0005-0000-0000-000059AD0000}"/>
    <cellStyle name="Финансовый 4 6 2 5 2 2 2" xfId="43053" xr:uid="{00000000-0005-0000-0000-00005AAD0000}"/>
    <cellStyle name="Финансовый 4 6 2 5 2 3" xfId="31075" xr:uid="{00000000-0005-0000-0000-00005BAD0000}"/>
    <cellStyle name="Финансовый 4 6 2 5 3" xfId="10660" xr:uid="{00000000-0005-0000-0000-00005CAD0000}"/>
    <cellStyle name="Финансовый 4 6 2 5 3 2" xfId="22638" xr:uid="{00000000-0005-0000-0000-00005DAD0000}"/>
    <cellStyle name="Финансовый 4 6 2 5 3 2 2" xfId="46593" xr:uid="{00000000-0005-0000-0000-00005EAD0000}"/>
    <cellStyle name="Финансовый 4 6 2 5 3 3" xfId="34615" xr:uid="{00000000-0005-0000-0000-00005FAD0000}"/>
    <cellStyle name="Финансовый 4 6 2 5 4" xfId="13061" xr:uid="{00000000-0005-0000-0000-000060AD0000}"/>
    <cellStyle name="Финансовый 4 6 2 5 4 2" xfId="37016" xr:uid="{00000000-0005-0000-0000-000061AD0000}"/>
    <cellStyle name="Финансовый 4 6 2 5 5" xfId="25039" xr:uid="{00000000-0005-0000-0000-000062AD0000}"/>
    <cellStyle name="Финансовый 4 6 2 5 6" xfId="49945" xr:uid="{00000000-0005-0000-0000-000063AD0000}"/>
    <cellStyle name="Финансовый 4 6 2 6" xfId="668" xr:uid="{00000000-0005-0000-0000-000064AD0000}"/>
    <cellStyle name="Финансовый 4 6 2 6 2" xfId="6708" xr:uid="{00000000-0005-0000-0000-000065AD0000}"/>
    <cellStyle name="Финансовый 4 6 2 6 2 2" xfId="18686" xr:uid="{00000000-0005-0000-0000-000066AD0000}"/>
    <cellStyle name="Финансовый 4 6 2 6 2 2 2" xfId="42641" xr:uid="{00000000-0005-0000-0000-000067AD0000}"/>
    <cellStyle name="Финансовый 4 6 2 6 2 3" xfId="30663" xr:uid="{00000000-0005-0000-0000-000068AD0000}"/>
    <cellStyle name="Финансовый 4 6 2 6 3" xfId="12649" xr:uid="{00000000-0005-0000-0000-000069AD0000}"/>
    <cellStyle name="Финансовый 4 6 2 6 3 2" xfId="36604" xr:uid="{00000000-0005-0000-0000-00006AAD0000}"/>
    <cellStyle name="Финансовый 4 6 2 6 4" xfId="24627" xr:uid="{00000000-0005-0000-0000-00006BAD0000}"/>
    <cellStyle name="Финансовый 4 6 2 7" xfId="2857" xr:uid="{00000000-0005-0000-0000-00006CAD0000}"/>
    <cellStyle name="Финансовый 4 6 2 7 2" xfId="14836" xr:uid="{00000000-0005-0000-0000-00006DAD0000}"/>
    <cellStyle name="Финансовый 4 6 2 7 2 2" xfId="38791" xr:uid="{00000000-0005-0000-0000-00006EAD0000}"/>
    <cellStyle name="Финансовый 4 6 2 7 3" xfId="26814" xr:uid="{00000000-0005-0000-0000-00006FAD0000}"/>
    <cellStyle name="Финансовый 4 6 2 8" xfId="4501" xr:uid="{00000000-0005-0000-0000-000070AD0000}"/>
    <cellStyle name="Финансовый 4 6 2 8 2" xfId="16480" xr:uid="{00000000-0005-0000-0000-000071AD0000}"/>
    <cellStyle name="Финансовый 4 6 2 8 2 2" xfId="40435" xr:uid="{00000000-0005-0000-0000-000072AD0000}"/>
    <cellStyle name="Финансовый 4 6 2 8 3" xfId="28458" xr:uid="{00000000-0005-0000-0000-000073AD0000}"/>
    <cellStyle name="Финансовый 4 6 2 9" xfId="6288" xr:uid="{00000000-0005-0000-0000-000074AD0000}"/>
    <cellStyle name="Финансовый 4 6 2 9 2" xfId="18266" xr:uid="{00000000-0005-0000-0000-000075AD0000}"/>
    <cellStyle name="Финансовый 4 6 2 9 2 2" xfId="42221" xr:uid="{00000000-0005-0000-0000-000076AD0000}"/>
    <cellStyle name="Финансовый 4 6 2 9 3" xfId="30243" xr:uid="{00000000-0005-0000-0000-000077AD0000}"/>
    <cellStyle name="Финансовый 4 6 3" xfId="396" xr:uid="{00000000-0005-0000-0000-000078AD0000}"/>
    <cellStyle name="Финансовый 4 6 3 10" xfId="24355" xr:uid="{00000000-0005-0000-0000-000079AD0000}"/>
    <cellStyle name="Финансовый 4 6 3 11" xfId="48301" xr:uid="{00000000-0005-0000-0000-00007AAD0000}"/>
    <cellStyle name="Финансовый 4 6 3 2" xfId="2175" xr:uid="{00000000-0005-0000-0000-00007BAD0000}"/>
    <cellStyle name="Финансовый 4 6 3 2 2" xfId="3820" xr:uid="{00000000-0005-0000-0000-00007CAD0000}"/>
    <cellStyle name="Финансовый 4 6 3 2 2 2" xfId="11560" xr:uid="{00000000-0005-0000-0000-00007DAD0000}"/>
    <cellStyle name="Финансовый 4 6 3 2 2 2 2" xfId="23538" xr:uid="{00000000-0005-0000-0000-00007EAD0000}"/>
    <cellStyle name="Финансовый 4 6 3 2 2 2 2 2" xfId="47493" xr:uid="{00000000-0005-0000-0000-00007FAD0000}"/>
    <cellStyle name="Финансовый 4 6 3 2 2 2 3" xfId="35515" xr:uid="{00000000-0005-0000-0000-000080AD0000}"/>
    <cellStyle name="Финансовый 4 6 3 2 2 3" xfId="15799" xr:uid="{00000000-0005-0000-0000-000081AD0000}"/>
    <cellStyle name="Финансовый 4 6 3 2 2 3 2" xfId="39754" xr:uid="{00000000-0005-0000-0000-000082AD0000}"/>
    <cellStyle name="Финансовый 4 6 3 2 2 4" xfId="27777" xr:uid="{00000000-0005-0000-0000-000083AD0000}"/>
    <cellStyle name="Финансовый 4 6 3 2 2 5" xfId="51046" xr:uid="{00000000-0005-0000-0000-000084AD0000}"/>
    <cellStyle name="Финансовый 4 6 3 2 3" xfId="5603" xr:uid="{00000000-0005-0000-0000-000085AD0000}"/>
    <cellStyle name="Финансовый 4 6 3 2 3 2" xfId="17581" xr:uid="{00000000-0005-0000-0000-000086AD0000}"/>
    <cellStyle name="Финансовый 4 6 3 2 3 2 2" xfId="41536" xr:uid="{00000000-0005-0000-0000-000087AD0000}"/>
    <cellStyle name="Финансовый 4 6 3 2 3 3" xfId="29558" xr:uid="{00000000-0005-0000-0000-000088AD0000}"/>
    <cellStyle name="Финансовый 4 6 3 2 4" xfId="8213" xr:uid="{00000000-0005-0000-0000-000089AD0000}"/>
    <cellStyle name="Финансовый 4 6 3 2 4 2" xfId="20191" xr:uid="{00000000-0005-0000-0000-00008AAD0000}"/>
    <cellStyle name="Финансовый 4 6 3 2 4 2 2" xfId="44146" xr:uid="{00000000-0005-0000-0000-00008BAD0000}"/>
    <cellStyle name="Финансовый 4 6 3 2 4 3" xfId="32168" xr:uid="{00000000-0005-0000-0000-00008CAD0000}"/>
    <cellStyle name="Финансовый 4 6 3 2 5" xfId="9996" xr:uid="{00000000-0005-0000-0000-00008DAD0000}"/>
    <cellStyle name="Финансовый 4 6 3 2 5 2" xfId="21974" xr:uid="{00000000-0005-0000-0000-00008EAD0000}"/>
    <cellStyle name="Финансовый 4 6 3 2 5 2 2" xfId="45929" xr:uid="{00000000-0005-0000-0000-00008FAD0000}"/>
    <cellStyle name="Финансовый 4 6 3 2 5 3" xfId="33951" xr:uid="{00000000-0005-0000-0000-000090AD0000}"/>
    <cellStyle name="Финансовый 4 6 3 2 6" xfId="14154" xr:uid="{00000000-0005-0000-0000-000091AD0000}"/>
    <cellStyle name="Финансовый 4 6 3 2 6 2" xfId="38109" xr:uid="{00000000-0005-0000-0000-000092AD0000}"/>
    <cellStyle name="Финансовый 4 6 3 2 7" xfId="26132" xr:uid="{00000000-0005-0000-0000-000093AD0000}"/>
    <cellStyle name="Финансовый 4 6 3 2 8" xfId="49265" xr:uid="{00000000-0005-0000-0000-000094AD0000}"/>
    <cellStyle name="Финансовый 4 6 3 3" xfId="1209" xr:uid="{00000000-0005-0000-0000-000095AD0000}"/>
    <cellStyle name="Финансовый 4 6 3 3 2" xfId="7249" xr:uid="{00000000-0005-0000-0000-000096AD0000}"/>
    <cellStyle name="Финансовый 4 6 3 3 2 2" xfId="19227" xr:uid="{00000000-0005-0000-0000-000097AD0000}"/>
    <cellStyle name="Финансовый 4 6 3 3 2 2 2" xfId="43182" xr:uid="{00000000-0005-0000-0000-000098AD0000}"/>
    <cellStyle name="Финансовый 4 6 3 3 2 3" xfId="31204" xr:uid="{00000000-0005-0000-0000-000099AD0000}"/>
    <cellStyle name="Финансовый 4 6 3 3 3" xfId="10788" xr:uid="{00000000-0005-0000-0000-00009AAD0000}"/>
    <cellStyle name="Финансовый 4 6 3 3 3 2" xfId="22766" xr:uid="{00000000-0005-0000-0000-00009BAD0000}"/>
    <cellStyle name="Финансовый 4 6 3 3 3 2 2" xfId="46721" xr:uid="{00000000-0005-0000-0000-00009CAD0000}"/>
    <cellStyle name="Финансовый 4 6 3 3 3 3" xfId="34743" xr:uid="{00000000-0005-0000-0000-00009DAD0000}"/>
    <cellStyle name="Финансовый 4 6 3 3 4" xfId="13190" xr:uid="{00000000-0005-0000-0000-00009EAD0000}"/>
    <cellStyle name="Финансовый 4 6 3 3 4 2" xfId="37145" xr:uid="{00000000-0005-0000-0000-00009FAD0000}"/>
    <cellStyle name="Финансовый 4 6 3 3 5" xfId="25168" xr:uid="{00000000-0005-0000-0000-0000A0AD0000}"/>
    <cellStyle name="Финансовый 4 6 3 3 6" xfId="50081" xr:uid="{00000000-0005-0000-0000-0000A1AD0000}"/>
    <cellStyle name="Финансовый 4 6 3 4" xfId="816" xr:uid="{00000000-0005-0000-0000-0000A2AD0000}"/>
    <cellStyle name="Финансовый 4 6 3 4 2" xfId="6856" xr:uid="{00000000-0005-0000-0000-0000A3AD0000}"/>
    <cellStyle name="Финансовый 4 6 3 4 2 2" xfId="18834" xr:uid="{00000000-0005-0000-0000-0000A4AD0000}"/>
    <cellStyle name="Финансовый 4 6 3 4 2 2 2" xfId="42789" xr:uid="{00000000-0005-0000-0000-0000A5AD0000}"/>
    <cellStyle name="Финансовый 4 6 3 4 2 3" xfId="30811" xr:uid="{00000000-0005-0000-0000-0000A6AD0000}"/>
    <cellStyle name="Финансовый 4 6 3 4 3" xfId="12797" xr:uid="{00000000-0005-0000-0000-0000A7AD0000}"/>
    <cellStyle name="Финансовый 4 6 3 4 3 2" xfId="36752" xr:uid="{00000000-0005-0000-0000-0000A8AD0000}"/>
    <cellStyle name="Финансовый 4 6 3 4 4" xfId="24775" xr:uid="{00000000-0005-0000-0000-0000A9AD0000}"/>
    <cellStyle name="Финансовый 4 6 3 5" xfId="2993" xr:uid="{00000000-0005-0000-0000-0000AAAD0000}"/>
    <cellStyle name="Финансовый 4 6 3 5 2" xfId="14972" xr:uid="{00000000-0005-0000-0000-0000ABAD0000}"/>
    <cellStyle name="Финансовый 4 6 3 5 2 2" xfId="38927" xr:uid="{00000000-0005-0000-0000-0000ACAD0000}"/>
    <cellStyle name="Финансовый 4 6 3 5 3" xfId="26950" xr:uid="{00000000-0005-0000-0000-0000ADAD0000}"/>
    <cellStyle name="Финансовый 4 6 3 6" xfId="4637" xr:uid="{00000000-0005-0000-0000-0000AEAD0000}"/>
    <cellStyle name="Финансовый 4 6 3 6 2" xfId="16616" xr:uid="{00000000-0005-0000-0000-0000AFAD0000}"/>
    <cellStyle name="Финансовый 4 6 3 6 2 2" xfId="40571" xr:uid="{00000000-0005-0000-0000-0000B0AD0000}"/>
    <cellStyle name="Финансовый 4 6 3 6 3" xfId="28594" xr:uid="{00000000-0005-0000-0000-0000B1AD0000}"/>
    <cellStyle name="Финансовый 4 6 3 7" xfId="6436" xr:uid="{00000000-0005-0000-0000-0000B2AD0000}"/>
    <cellStyle name="Финансовый 4 6 3 7 2" xfId="18414" xr:uid="{00000000-0005-0000-0000-0000B3AD0000}"/>
    <cellStyle name="Финансовый 4 6 3 7 2 2" xfId="42369" xr:uid="{00000000-0005-0000-0000-0000B4AD0000}"/>
    <cellStyle name="Финансовый 4 6 3 7 3" xfId="30391" xr:uid="{00000000-0005-0000-0000-0000B5AD0000}"/>
    <cellStyle name="Финансовый 4 6 3 8" xfId="9031" xr:uid="{00000000-0005-0000-0000-0000B6AD0000}"/>
    <cellStyle name="Финансовый 4 6 3 8 2" xfId="21009" xr:uid="{00000000-0005-0000-0000-0000B7AD0000}"/>
    <cellStyle name="Финансовый 4 6 3 8 2 2" xfId="44964" xr:uid="{00000000-0005-0000-0000-0000B8AD0000}"/>
    <cellStyle name="Финансовый 4 6 3 8 3" xfId="32986" xr:uid="{00000000-0005-0000-0000-0000B9AD0000}"/>
    <cellStyle name="Финансовый 4 6 3 9" xfId="12377" xr:uid="{00000000-0005-0000-0000-0000BAAD0000}"/>
    <cellStyle name="Финансовый 4 6 3 9 2" xfId="36332" xr:uid="{00000000-0005-0000-0000-0000BBAD0000}"/>
    <cellStyle name="Финансовый 4 6 4" xfId="1478" xr:uid="{00000000-0005-0000-0000-0000BCAD0000}"/>
    <cellStyle name="Финансовый 4 6 4 2" xfId="1919" xr:uid="{00000000-0005-0000-0000-0000BDAD0000}"/>
    <cellStyle name="Финансовый 4 6 4 2 2" xfId="3564" xr:uid="{00000000-0005-0000-0000-0000BEAD0000}"/>
    <cellStyle name="Финансовый 4 6 4 2 2 2" xfId="11304" xr:uid="{00000000-0005-0000-0000-0000BFAD0000}"/>
    <cellStyle name="Финансовый 4 6 4 2 2 2 2" xfId="23282" xr:uid="{00000000-0005-0000-0000-0000C0AD0000}"/>
    <cellStyle name="Финансовый 4 6 4 2 2 2 2 2" xfId="47237" xr:uid="{00000000-0005-0000-0000-0000C1AD0000}"/>
    <cellStyle name="Финансовый 4 6 4 2 2 2 3" xfId="35259" xr:uid="{00000000-0005-0000-0000-0000C2AD0000}"/>
    <cellStyle name="Финансовый 4 6 4 2 2 3" xfId="15543" xr:uid="{00000000-0005-0000-0000-0000C3AD0000}"/>
    <cellStyle name="Финансовый 4 6 4 2 2 3 2" xfId="39498" xr:uid="{00000000-0005-0000-0000-0000C4AD0000}"/>
    <cellStyle name="Финансовый 4 6 4 2 2 4" xfId="27521" xr:uid="{00000000-0005-0000-0000-0000C5AD0000}"/>
    <cellStyle name="Финансовый 4 6 4 2 2 5" xfId="50790" xr:uid="{00000000-0005-0000-0000-0000C6AD0000}"/>
    <cellStyle name="Финансовый 4 6 4 2 3" xfId="5347" xr:uid="{00000000-0005-0000-0000-0000C7AD0000}"/>
    <cellStyle name="Финансовый 4 6 4 2 3 2" xfId="17325" xr:uid="{00000000-0005-0000-0000-0000C8AD0000}"/>
    <cellStyle name="Финансовый 4 6 4 2 3 2 2" xfId="41280" xr:uid="{00000000-0005-0000-0000-0000C9AD0000}"/>
    <cellStyle name="Финансовый 4 6 4 2 3 3" xfId="29302" xr:uid="{00000000-0005-0000-0000-0000CAAD0000}"/>
    <cellStyle name="Финансовый 4 6 4 2 4" xfId="7957" xr:uid="{00000000-0005-0000-0000-0000CBAD0000}"/>
    <cellStyle name="Финансовый 4 6 4 2 4 2" xfId="19935" xr:uid="{00000000-0005-0000-0000-0000CCAD0000}"/>
    <cellStyle name="Финансовый 4 6 4 2 4 2 2" xfId="43890" xr:uid="{00000000-0005-0000-0000-0000CDAD0000}"/>
    <cellStyle name="Финансовый 4 6 4 2 4 3" xfId="31912" xr:uid="{00000000-0005-0000-0000-0000CEAD0000}"/>
    <cellStyle name="Финансовый 4 6 4 2 5" xfId="9740" xr:uid="{00000000-0005-0000-0000-0000CFAD0000}"/>
    <cellStyle name="Финансовый 4 6 4 2 5 2" xfId="21718" xr:uid="{00000000-0005-0000-0000-0000D0AD0000}"/>
    <cellStyle name="Финансовый 4 6 4 2 5 2 2" xfId="45673" xr:uid="{00000000-0005-0000-0000-0000D1AD0000}"/>
    <cellStyle name="Финансовый 4 6 4 2 5 3" xfId="33695" xr:uid="{00000000-0005-0000-0000-0000D2AD0000}"/>
    <cellStyle name="Финансовый 4 6 4 2 6" xfId="13898" xr:uid="{00000000-0005-0000-0000-0000D3AD0000}"/>
    <cellStyle name="Финансовый 4 6 4 2 6 2" xfId="37853" xr:uid="{00000000-0005-0000-0000-0000D4AD0000}"/>
    <cellStyle name="Финансовый 4 6 4 2 7" xfId="25876" xr:uid="{00000000-0005-0000-0000-0000D5AD0000}"/>
    <cellStyle name="Финансовый 4 6 4 2 8" xfId="49009" xr:uid="{00000000-0005-0000-0000-0000D6AD0000}"/>
    <cellStyle name="Финансовый 4 6 4 3" xfId="4906" xr:uid="{00000000-0005-0000-0000-0000D7AD0000}"/>
    <cellStyle name="Финансовый 4 6 4 3 2" xfId="16884" xr:uid="{00000000-0005-0000-0000-0000D8AD0000}"/>
    <cellStyle name="Финансовый 4 6 4 3 2 2" xfId="40839" xr:uid="{00000000-0005-0000-0000-0000D9AD0000}"/>
    <cellStyle name="Финансовый 4 6 4 3 3" xfId="28861" xr:uid="{00000000-0005-0000-0000-0000DAAD0000}"/>
    <cellStyle name="Финансовый 4 6 4 3 4" xfId="50349" xr:uid="{00000000-0005-0000-0000-0000DBAD0000}"/>
    <cellStyle name="Финансовый 4 6 4 4" xfId="7516" xr:uid="{00000000-0005-0000-0000-0000DCAD0000}"/>
    <cellStyle name="Финансовый 4 6 4 4 2" xfId="19494" xr:uid="{00000000-0005-0000-0000-0000DDAD0000}"/>
    <cellStyle name="Финансовый 4 6 4 4 2 2" xfId="43449" xr:uid="{00000000-0005-0000-0000-0000DEAD0000}"/>
    <cellStyle name="Финансовый 4 6 4 4 3" xfId="31471" xr:uid="{00000000-0005-0000-0000-0000DFAD0000}"/>
    <cellStyle name="Финансовый 4 6 4 5" xfId="9299" xr:uid="{00000000-0005-0000-0000-0000E0AD0000}"/>
    <cellStyle name="Финансовый 4 6 4 5 2" xfId="21277" xr:uid="{00000000-0005-0000-0000-0000E1AD0000}"/>
    <cellStyle name="Финансовый 4 6 4 5 2 2" xfId="45232" xr:uid="{00000000-0005-0000-0000-0000E2AD0000}"/>
    <cellStyle name="Финансовый 4 6 4 5 3" xfId="33254" xr:uid="{00000000-0005-0000-0000-0000E3AD0000}"/>
    <cellStyle name="Финансовый 4 6 4 6" xfId="13457" xr:uid="{00000000-0005-0000-0000-0000E4AD0000}"/>
    <cellStyle name="Финансовый 4 6 4 6 2" xfId="37412" xr:uid="{00000000-0005-0000-0000-0000E5AD0000}"/>
    <cellStyle name="Финансовый 4 6 4 7" xfId="25435" xr:uid="{00000000-0005-0000-0000-0000E6AD0000}"/>
    <cellStyle name="Финансовый 4 6 4 8" xfId="48568" xr:uid="{00000000-0005-0000-0000-0000E7AD0000}"/>
    <cellStyle name="Финансовый 4 6 5" xfId="1795" xr:uid="{00000000-0005-0000-0000-0000E8AD0000}"/>
    <cellStyle name="Финансовый 4 6 5 2" xfId="3440" xr:uid="{00000000-0005-0000-0000-0000E9AD0000}"/>
    <cellStyle name="Финансовый 4 6 5 2 2" xfId="11188" xr:uid="{00000000-0005-0000-0000-0000EAAD0000}"/>
    <cellStyle name="Финансовый 4 6 5 2 2 2" xfId="23166" xr:uid="{00000000-0005-0000-0000-0000EBAD0000}"/>
    <cellStyle name="Финансовый 4 6 5 2 2 2 2" xfId="47121" xr:uid="{00000000-0005-0000-0000-0000ECAD0000}"/>
    <cellStyle name="Финансовый 4 6 5 2 2 3" xfId="35143" xr:uid="{00000000-0005-0000-0000-0000EDAD0000}"/>
    <cellStyle name="Финансовый 4 6 5 2 3" xfId="15419" xr:uid="{00000000-0005-0000-0000-0000EEAD0000}"/>
    <cellStyle name="Финансовый 4 6 5 2 3 2" xfId="39374" xr:uid="{00000000-0005-0000-0000-0000EFAD0000}"/>
    <cellStyle name="Финансовый 4 6 5 2 4" xfId="27397" xr:uid="{00000000-0005-0000-0000-0000F0AD0000}"/>
    <cellStyle name="Финансовый 4 6 5 2 5" xfId="50666" xr:uid="{00000000-0005-0000-0000-0000F1AD0000}"/>
    <cellStyle name="Финансовый 4 6 5 3" xfId="5223" xr:uid="{00000000-0005-0000-0000-0000F2AD0000}"/>
    <cellStyle name="Финансовый 4 6 5 3 2" xfId="17201" xr:uid="{00000000-0005-0000-0000-0000F3AD0000}"/>
    <cellStyle name="Финансовый 4 6 5 3 2 2" xfId="41156" xr:uid="{00000000-0005-0000-0000-0000F4AD0000}"/>
    <cellStyle name="Финансовый 4 6 5 3 3" xfId="29178" xr:uid="{00000000-0005-0000-0000-0000F5AD0000}"/>
    <cellStyle name="Финансовый 4 6 5 4" xfId="7833" xr:uid="{00000000-0005-0000-0000-0000F6AD0000}"/>
    <cellStyle name="Финансовый 4 6 5 4 2" xfId="19811" xr:uid="{00000000-0005-0000-0000-0000F7AD0000}"/>
    <cellStyle name="Финансовый 4 6 5 4 2 2" xfId="43766" xr:uid="{00000000-0005-0000-0000-0000F8AD0000}"/>
    <cellStyle name="Финансовый 4 6 5 4 3" xfId="31788" xr:uid="{00000000-0005-0000-0000-0000F9AD0000}"/>
    <cellStyle name="Финансовый 4 6 5 5" xfId="9616" xr:uid="{00000000-0005-0000-0000-0000FAAD0000}"/>
    <cellStyle name="Финансовый 4 6 5 5 2" xfId="21594" xr:uid="{00000000-0005-0000-0000-0000FBAD0000}"/>
    <cellStyle name="Финансовый 4 6 5 5 2 2" xfId="45549" xr:uid="{00000000-0005-0000-0000-0000FCAD0000}"/>
    <cellStyle name="Финансовый 4 6 5 5 3" xfId="33571" xr:uid="{00000000-0005-0000-0000-0000FDAD0000}"/>
    <cellStyle name="Финансовый 4 6 5 6" xfId="13774" xr:uid="{00000000-0005-0000-0000-0000FEAD0000}"/>
    <cellStyle name="Финансовый 4 6 5 6 2" xfId="37729" xr:uid="{00000000-0005-0000-0000-0000FFAD0000}"/>
    <cellStyle name="Финансовый 4 6 5 7" xfId="25752" xr:uid="{00000000-0005-0000-0000-000000AE0000}"/>
    <cellStyle name="Финансовый 4 6 5 8" xfId="48885" xr:uid="{00000000-0005-0000-0000-000001AE0000}"/>
    <cellStyle name="Финансовый 4 6 6" xfId="2440" xr:uid="{00000000-0005-0000-0000-000002AE0000}"/>
    <cellStyle name="Финансовый 4 6 6 2" xfId="4085" xr:uid="{00000000-0005-0000-0000-000003AE0000}"/>
    <cellStyle name="Финансовый 4 6 6 2 2" xfId="11817" xr:uid="{00000000-0005-0000-0000-000004AE0000}"/>
    <cellStyle name="Финансовый 4 6 6 2 2 2" xfId="23795" xr:uid="{00000000-0005-0000-0000-000005AE0000}"/>
    <cellStyle name="Финансовый 4 6 6 2 2 2 2" xfId="47750" xr:uid="{00000000-0005-0000-0000-000006AE0000}"/>
    <cellStyle name="Финансовый 4 6 6 2 2 3" xfId="35772" xr:uid="{00000000-0005-0000-0000-000007AE0000}"/>
    <cellStyle name="Финансовый 4 6 6 2 3" xfId="16064" xr:uid="{00000000-0005-0000-0000-000008AE0000}"/>
    <cellStyle name="Финансовый 4 6 6 2 3 2" xfId="40019" xr:uid="{00000000-0005-0000-0000-000009AE0000}"/>
    <cellStyle name="Финансовый 4 6 6 2 4" xfId="28042" xr:uid="{00000000-0005-0000-0000-00000AAE0000}"/>
    <cellStyle name="Финансовый 4 6 6 2 5" xfId="51311" xr:uid="{00000000-0005-0000-0000-00000BAE0000}"/>
    <cellStyle name="Финансовый 4 6 6 3" xfId="5868" xr:uid="{00000000-0005-0000-0000-00000CAE0000}"/>
    <cellStyle name="Финансовый 4 6 6 3 2" xfId="17846" xr:uid="{00000000-0005-0000-0000-00000DAE0000}"/>
    <cellStyle name="Финансовый 4 6 6 3 2 2" xfId="41801" xr:uid="{00000000-0005-0000-0000-00000EAE0000}"/>
    <cellStyle name="Финансовый 4 6 6 3 3" xfId="29823" xr:uid="{00000000-0005-0000-0000-00000FAE0000}"/>
    <cellStyle name="Финансовый 4 6 6 4" xfId="8478" xr:uid="{00000000-0005-0000-0000-000010AE0000}"/>
    <cellStyle name="Финансовый 4 6 6 4 2" xfId="20456" xr:uid="{00000000-0005-0000-0000-000011AE0000}"/>
    <cellStyle name="Финансовый 4 6 6 4 2 2" xfId="44411" xr:uid="{00000000-0005-0000-0000-000012AE0000}"/>
    <cellStyle name="Финансовый 4 6 6 4 3" xfId="32433" xr:uid="{00000000-0005-0000-0000-000013AE0000}"/>
    <cellStyle name="Финансовый 4 6 6 5" xfId="10261" xr:uid="{00000000-0005-0000-0000-000014AE0000}"/>
    <cellStyle name="Финансовый 4 6 6 5 2" xfId="22239" xr:uid="{00000000-0005-0000-0000-000015AE0000}"/>
    <cellStyle name="Финансовый 4 6 6 5 2 2" xfId="46194" xr:uid="{00000000-0005-0000-0000-000016AE0000}"/>
    <cellStyle name="Финансовый 4 6 6 5 3" xfId="34216" xr:uid="{00000000-0005-0000-0000-000017AE0000}"/>
    <cellStyle name="Финансовый 4 6 6 6" xfId="14419" xr:uid="{00000000-0005-0000-0000-000018AE0000}"/>
    <cellStyle name="Финансовый 4 6 6 6 2" xfId="38374" xr:uid="{00000000-0005-0000-0000-000019AE0000}"/>
    <cellStyle name="Финансовый 4 6 6 7" xfId="26397" xr:uid="{00000000-0005-0000-0000-00001AAE0000}"/>
    <cellStyle name="Финансовый 4 6 6 8" xfId="49530" xr:uid="{00000000-0005-0000-0000-00001BAE0000}"/>
    <cellStyle name="Финансовый 4 6 7" xfId="1667" xr:uid="{00000000-0005-0000-0000-00001CAE0000}"/>
    <cellStyle name="Финансовый 4 6 7 2" xfId="3312" xr:uid="{00000000-0005-0000-0000-00001DAE0000}"/>
    <cellStyle name="Финансовый 4 6 7 2 2" xfId="11060" xr:uid="{00000000-0005-0000-0000-00001EAE0000}"/>
    <cellStyle name="Финансовый 4 6 7 2 2 2" xfId="23038" xr:uid="{00000000-0005-0000-0000-00001FAE0000}"/>
    <cellStyle name="Финансовый 4 6 7 2 2 2 2" xfId="46993" xr:uid="{00000000-0005-0000-0000-000020AE0000}"/>
    <cellStyle name="Финансовый 4 6 7 2 2 3" xfId="35015" xr:uid="{00000000-0005-0000-0000-000021AE0000}"/>
    <cellStyle name="Финансовый 4 6 7 2 3" xfId="15291" xr:uid="{00000000-0005-0000-0000-000022AE0000}"/>
    <cellStyle name="Финансовый 4 6 7 2 3 2" xfId="39246" xr:uid="{00000000-0005-0000-0000-000023AE0000}"/>
    <cellStyle name="Финансовый 4 6 7 2 4" xfId="27269" xr:uid="{00000000-0005-0000-0000-000024AE0000}"/>
    <cellStyle name="Финансовый 4 6 7 2 5" xfId="50538" xr:uid="{00000000-0005-0000-0000-000025AE0000}"/>
    <cellStyle name="Финансовый 4 6 7 3" xfId="5095" xr:uid="{00000000-0005-0000-0000-000026AE0000}"/>
    <cellStyle name="Финансовый 4 6 7 3 2" xfId="17073" xr:uid="{00000000-0005-0000-0000-000027AE0000}"/>
    <cellStyle name="Финансовый 4 6 7 3 2 2" xfId="41028" xr:uid="{00000000-0005-0000-0000-000028AE0000}"/>
    <cellStyle name="Финансовый 4 6 7 3 3" xfId="29050" xr:uid="{00000000-0005-0000-0000-000029AE0000}"/>
    <cellStyle name="Финансовый 4 6 7 4" xfId="7705" xr:uid="{00000000-0005-0000-0000-00002AAE0000}"/>
    <cellStyle name="Финансовый 4 6 7 4 2" xfId="19683" xr:uid="{00000000-0005-0000-0000-00002BAE0000}"/>
    <cellStyle name="Финансовый 4 6 7 4 2 2" xfId="43638" xr:uid="{00000000-0005-0000-0000-00002CAE0000}"/>
    <cellStyle name="Финансовый 4 6 7 4 3" xfId="31660" xr:uid="{00000000-0005-0000-0000-00002DAE0000}"/>
    <cellStyle name="Финансовый 4 6 7 5" xfId="9488" xr:uid="{00000000-0005-0000-0000-00002EAE0000}"/>
    <cellStyle name="Финансовый 4 6 7 5 2" xfId="21466" xr:uid="{00000000-0005-0000-0000-00002FAE0000}"/>
    <cellStyle name="Финансовый 4 6 7 5 2 2" xfId="45421" xr:uid="{00000000-0005-0000-0000-000030AE0000}"/>
    <cellStyle name="Финансовый 4 6 7 5 3" xfId="33443" xr:uid="{00000000-0005-0000-0000-000031AE0000}"/>
    <cellStyle name="Финансовый 4 6 7 6" xfId="13646" xr:uid="{00000000-0005-0000-0000-000032AE0000}"/>
    <cellStyle name="Финансовый 4 6 7 6 2" xfId="37601" xr:uid="{00000000-0005-0000-0000-000033AE0000}"/>
    <cellStyle name="Финансовый 4 6 7 7" xfId="25624" xr:uid="{00000000-0005-0000-0000-000034AE0000}"/>
    <cellStyle name="Финансовый 4 6 7 8" xfId="48757" xr:uid="{00000000-0005-0000-0000-000035AE0000}"/>
    <cellStyle name="Финансовый 4 6 8" xfId="944" xr:uid="{00000000-0005-0000-0000-000036AE0000}"/>
    <cellStyle name="Финансовый 4 6 8 2" xfId="6984" xr:uid="{00000000-0005-0000-0000-000037AE0000}"/>
    <cellStyle name="Финансовый 4 6 8 2 2" xfId="18962" xr:uid="{00000000-0005-0000-0000-000038AE0000}"/>
    <cellStyle name="Финансовый 4 6 8 2 2 2" xfId="42917" xr:uid="{00000000-0005-0000-0000-000039AE0000}"/>
    <cellStyle name="Финансовый 4 6 8 2 3" xfId="30939" xr:uid="{00000000-0005-0000-0000-00003AAE0000}"/>
    <cellStyle name="Финансовый 4 6 8 3" xfId="10532" xr:uid="{00000000-0005-0000-0000-00003BAE0000}"/>
    <cellStyle name="Финансовый 4 6 8 3 2" xfId="22510" xr:uid="{00000000-0005-0000-0000-00003CAE0000}"/>
    <cellStyle name="Финансовый 4 6 8 3 2 2" xfId="46465" xr:uid="{00000000-0005-0000-0000-00003DAE0000}"/>
    <cellStyle name="Финансовый 4 6 8 3 3" xfId="34487" xr:uid="{00000000-0005-0000-0000-00003EAE0000}"/>
    <cellStyle name="Финансовый 4 6 8 4" xfId="12925" xr:uid="{00000000-0005-0000-0000-00003FAE0000}"/>
    <cellStyle name="Финансовый 4 6 8 4 2" xfId="36880" xr:uid="{00000000-0005-0000-0000-000040AE0000}"/>
    <cellStyle name="Финансовый 4 6 8 5" xfId="24903" xr:uid="{00000000-0005-0000-0000-000041AE0000}"/>
    <cellStyle name="Финансовый 4 6 8 6" xfId="49809" xr:uid="{00000000-0005-0000-0000-000042AE0000}"/>
    <cellStyle name="Финансовый 4 6 9" xfId="532" xr:uid="{00000000-0005-0000-0000-000043AE0000}"/>
    <cellStyle name="Финансовый 4 6 9 2" xfId="6572" xr:uid="{00000000-0005-0000-0000-000044AE0000}"/>
    <cellStyle name="Финансовый 4 6 9 2 2" xfId="18550" xr:uid="{00000000-0005-0000-0000-000045AE0000}"/>
    <cellStyle name="Финансовый 4 6 9 2 2 2" xfId="42505" xr:uid="{00000000-0005-0000-0000-000046AE0000}"/>
    <cellStyle name="Финансовый 4 6 9 2 3" xfId="30527" xr:uid="{00000000-0005-0000-0000-000047AE0000}"/>
    <cellStyle name="Финансовый 4 6 9 3" xfId="12513" xr:uid="{00000000-0005-0000-0000-000048AE0000}"/>
    <cellStyle name="Финансовый 4 6 9 3 2" xfId="36468" xr:uid="{00000000-0005-0000-0000-000049AE0000}"/>
    <cellStyle name="Финансовый 4 6 9 4" xfId="24491" xr:uid="{00000000-0005-0000-0000-00004AAE0000}"/>
    <cellStyle name="Финансовый 4 7" xfId="75" xr:uid="{00000000-0005-0000-0000-00004BAE0000}"/>
    <cellStyle name="Финансовый 4 7 10" xfId="2685" xr:uid="{00000000-0005-0000-0000-00004CAE0000}"/>
    <cellStyle name="Финансовый 4 7 10 2" xfId="14664" xr:uid="{00000000-0005-0000-0000-00004DAE0000}"/>
    <cellStyle name="Финансовый 4 7 10 2 2" xfId="38619" xr:uid="{00000000-0005-0000-0000-00004EAE0000}"/>
    <cellStyle name="Финансовый 4 7 10 3" xfId="26642" xr:uid="{00000000-0005-0000-0000-00004FAE0000}"/>
    <cellStyle name="Финансовый 4 7 11" xfId="4329" xr:uid="{00000000-0005-0000-0000-000050AE0000}"/>
    <cellStyle name="Финансовый 4 7 11 2" xfId="16308" xr:uid="{00000000-0005-0000-0000-000051AE0000}"/>
    <cellStyle name="Финансовый 4 7 11 2 2" xfId="40263" xr:uid="{00000000-0005-0000-0000-000052AE0000}"/>
    <cellStyle name="Финансовый 4 7 11 3" xfId="28286" xr:uid="{00000000-0005-0000-0000-000053AE0000}"/>
    <cellStyle name="Финансовый 4 7 12" xfId="6116" xr:uid="{00000000-0005-0000-0000-000054AE0000}"/>
    <cellStyle name="Финансовый 4 7 12 2" xfId="18094" xr:uid="{00000000-0005-0000-0000-000055AE0000}"/>
    <cellStyle name="Финансовый 4 7 12 2 2" xfId="42049" xr:uid="{00000000-0005-0000-0000-000056AE0000}"/>
    <cellStyle name="Финансовый 4 7 12 3" xfId="30071" xr:uid="{00000000-0005-0000-0000-000057AE0000}"/>
    <cellStyle name="Финансовый 4 7 13" xfId="8723" xr:uid="{00000000-0005-0000-0000-000058AE0000}"/>
    <cellStyle name="Финансовый 4 7 13 2" xfId="20701" xr:uid="{00000000-0005-0000-0000-000059AE0000}"/>
    <cellStyle name="Финансовый 4 7 13 2 2" xfId="44656" xr:uid="{00000000-0005-0000-0000-00005AAE0000}"/>
    <cellStyle name="Финансовый 4 7 13 3" xfId="32678" xr:uid="{00000000-0005-0000-0000-00005BAE0000}"/>
    <cellStyle name="Финансовый 4 7 14" xfId="12057" xr:uid="{00000000-0005-0000-0000-00005CAE0000}"/>
    <cellStyle name="Финансовый 4 7 14 2" xfId="36012" xr:uid="{00000000-0005-0000-0000-00005DAE0000}"/>
    <cellStyle name="Финансовый 4 7 15" xfId="24035" xr:uid="{00000000-0005-0000-0000-00005EAE0000}"/>
    <cellStyle name="Финансовый 4 7 16" xfId="47993" xr:uid="{00000000-0005-0000-0000-00005FAE0000}"/>
    <cellStyle name="Финансовый 4 7 2" xfId="211" xr:uid="{00000000-0005-0000-0000-000060AE0000}"/>
    <cellStyle name="Финансовый 4 7 2 10" xfId="8859" xr:uid="{00000000-0005-0000-0000-000061AE0000}"/>
    <cellStyle name="Финансовый 4 7 2 10 2" xfId="20837" xr:uid="{00000000-0005-0000-0000-000062AE0000}"/>
    <cellStyle name="Финансовый 4 7 2 10 2 2" xfId="44792" xr:uid="{00000000-0005-0000-0000-000063AE0000}"/>
    <cellStyle name="Финансовый 4 7 2 10 3" xfId="32814" xr:uid="{00000000-0005-0000-0000-000064AE0000}"/>
    <cellStyle name="Финансовый 4 7 2 11" xfId="12193" xr:uid="{00000000-0005-0000-0000-000065AE0000}"/>
    <cellStyle name="Финансовый 4 7 2 11 2" xfId="36148" xr:uid="{00000000-0005-0000-0000-000066AE0000}"/>
    <cellStyle name="Финансовый 4 7 2 12" xfId="24171" xr:uid="{00000000-0005-0000-0000-000067AE0000}"/>
    <cellStyle name="Финансовый 4 7 2 13" xfId="48129" xr:uid="{00000000-0005-0000-0000-000068AE0000}"/>
    <cellStyle name="Финансовый 4 7 2 2" xfId="1309" xr:uid="{00000000-0005-0000-0000-000069AE0000}"/>
    <cellStyle name="Финансовый 4 7 2 2 2" xfId="2267" xr:uid="{00000000-0005-0000-0000-00006AAE0000}"/>
    <cellStyle name="Финансовый 4 7 2 2 2 2" xfId="3912" xr:uid="{00000000-0005-0000-0000-00006BAE0000}"/>
    <cellStyle name="Финансовый 4 7 2 2 2 2 2" xfId="11652" xr:uid="{00000000-0005-0000-0000-00006CAE0000}"/>
    <cellStyle name="Финансовый 4 7 2 2 2 2 2 2" xfId="23630" xr:uid="{00000000-0005-0000-0000-00006DAE0000}"/>
    <cellStyle name="Финансовый 4 7 2 2 2 2 2 2 2" xfId="47585" xr:uid="{00000000-0005-0000-0000-00006EAE0000}"/>
    <cellStyle name="Финансовый 4 7 2 2 2 2 2 3" xfId="35607" xr:uid="{00000000-0005-0000-0000-00006FAE0000}"/>
    <cellStyle name="Финансовый 4 7 2 2 2 2 3" xfId="15891" xr:uid="{00000000-0005-0000-0000-000070AE0000}"/>
    <cellStyle name="Финансовый 4 7 2 2 2 2 3 2" xfId="39846" xr:uid="{00000000-0005-0000-0000-000071AE0000}"/>
    <cellStyle name="Финансовый 4 7 2 2 2 2 4" xfId="27869" xr:uid="{00000000-0005-0000-0000-000072AE0000}"/>
    <cellStyle name="Финансовый 4 7 2 2 2 2 5" xfId="51138" xr:uid="{00000000-0005-0000-0000-000073AE0000}"/>
    <cellStyle name="Финансовый 4 7 2 2 2 3" xfId="5695" xr:uid="{00000000-0005-0000-0000-000074AE0000}"/>
    <cellStyle name="Финансовый 4 7 2 2 2 3 2" xfId="17673" xr:uid="{00000000-0005-0000-0000-000075AE0000}"/>
    <cellStyle name="Финансовый 4 7 2 2 2 3 2 2" xfId="41628" xr:uid="{00000000-0005-0000-0000-000076AE0000}"/>
    <cellStyle name="Финансовый 4 7 2 2 2 3 3" xfId="29650" xr:uid="{00000000-0005-0000-0000-000077AE0000}"/>
    <cellStyle name="Финансовый 4 7 2 2 2 4" xfId="8305" xr:uid="{00000000-0005-0000-0000-000078AE0000}"/>
    <cellStyle name="Финансовый 4 7 2 2 2 4 2" xfId="20283" xr:uid="{00000000-0005-0000-0000-000079AE0000}"/>
    <cellStyle name="Финансовый 4 7 2 2 2 4 2 2" xfId="44238" xr:uid="{00000000-0005-0000-0000-00007AAE0000}"/>
    <cellStyle name="Финансовый 4 7 2 2 2 4 3" xfId="32260" xr:uid="{00000000-0005-0000-0000-00007BAE0000}"/>
    <cellStyle name="Финансовый 4 7 2 2 2 5" xfId="10088" xr:uid="{00000000-0005-0000-0000-00007CAE0000}"/>
    <cellStyle name="Финансовый 4 7 2 2 2 5 2" xfId="22066" xr:uid="{00000000-0005-0000-0000-00007DAE0000}"/>
    <cellStyle name="Финансовый 4 7 2 2 2 5 2 2" xfId="46021" xr:uid="{00000000-0005-0000-0000-00007EAE0000}"/>
    <cellStyle name="Финансовый 4 7 2 2 2 5 3" xfId="34043" xr:uid="{00000000-0005-0000-0000-00007FAE0000}"/>
    <cellStyle name="Финансовый 4 7 2 2 2 6" xfId="14246" xr:uid="{00000000-0005-0000-0000-000080AE0000}"/>
    <cellStyle name="Финансовый 4 7 2 2 2 6 2" xfId="38201" xr:uid="{00000000-0005-0000-0000-000081AE0000}"/>
    <cellStyle name="Финансовый 4 7 2 2 2 7" xfId="26224" xr:uid="{00000000-0005-0000-0000-000082AE0000}"/>
    <cellStyle name="Финансовый 4 7 2 2 2 8" xfId="49357" xr:uid="{00000000-0005-0000-0000-000083AE0000}"/>
    <cellStyle name="Финансовый 4 7 2 2 3" xfId="3093" xr:uid="{00000000-0005-0000-0000-000084AE0000}"/>
    <cellStyle name="Финансовый 4 7 2 2 3 2" xfId="10880" xr:uid="{00000000-0005-0000-0000-000085AE0000}"/>
    <cellStyle name="Финансовый 4 7 2 2 3 2 2" xfId="22858" xr:uid="{00000000-0005-0000-0000-000086AE0000}"/>
    <cellStyle name="Финансовый 4 7 2 2 3 2 2 2" xfId="46813" xr:uid="{00000000-0005-0000-0000-000087AE0000}"/>
    <cellStyle name="Финансовый 4 7 2 2 3 2 3" xfId="34835" xr:uid="{00000000-0005-0000-0000-000088AE0000}"/>
    <cellStyle name="Финансовый 4 7 2 2 3 3" xfId="15072" xr:uid="{00000000-0005-0000-0000-000089AE0000}"/>
    <cellStyle name="Финансовый 4 7 2 2 3 3 2" xfId="39027" xr:uid="{00000000-0005-0000-0000-00008AAE0000}"/>
    <cellStyle name="Финансовый 4 7 2 2 3 4" xfId="27050" xr:uid="{00000000-0005-0000-0000-00008BAE0000}"/>
    <cellStyle name="Финансовый 4 7 2 2 3 5" xfId="50181" xr:uid="{00000000-0005-0000-0000-00008CAE0000}"/>
    <cellStyle name="Финансовый 4 7 2 2 4" xfId="4737" xr:uid="{00000000-0005-0000-0000-00008DAE0000}"/>
    <cellStyle name="Финансовый 4 7 2 2 4 2" xfId="16716" xr:uid="{00000000-0005-0000-0000-00008EAE0000}"/>
    <cellStyle name="Финансовый 4 7 2 2 4 2 2" xfId="40671" xr:uid="{00000000-0005-0000-0000-00008FAE0000}"/>
    <cellStyle name="Финансовый 4 7 2 2 4 3" xfId="28694" xr:uid="{00000000-0005-0000-0000-000090AE0000}"/>
    <cellStyle name="Финансовый 4 7 2 2 5" xfId="7349" xr:uid="{00000000-0005-0000-0000-000091AE0000}"/>
    <cellStyle name="Финансовый 4 7 2 2 5 2" xfId="19327" xr:uid="{00000000-0005-0000-0000-000092AE0000}"/>
    <cellStyle name="Финансовый 4 7 2 2 5 2 2" xfId="43282" xr:uid="{00000000-0005-0000-0000-000093AE0000}"/>
    <cellStyle name="Финансовый 4 7 2 2 5 3" xfId="31304" xr:uid="{00000000-0005-0000-0000-000094AE0000}"/>
    <cellStyle name="Финансовый 4 7 2 2 6" xfId="9131" xr:uid="{00000000-0005-0000-0000-000095AE0000}"/>
    <cellStyle name="Финансовый 4 7 2 2 6 2" xfId="21109" xr:uid="{00000000-0005-0000-0000-000096AE0000}"/>
    <cellStyle name="Финансовый 4 7 2 2 6 2 2" xfId="45064" xr:uid="{00000000-0005-0000-0000-000097AE0000}"/>
    <cellStyle name="Финансовый 4 7 2 2 6 3" xfId="33086" xr:uid="{00000000-0005-0000-0000-000098AE0000}"/>
    <cellStyle name="Финансовый 4 7 2 2 7" xfId="13290" xr:uid="{00000000-0005-0000-0000-000099AE0000}"/>
    <cellStyle name="Финансовый 4 7 2 2 7 2" xfId="37245" xr:uid="{00000000-0005-0000-0000-00009AAE0000}"/>
    <cellStyle name="Финансовый 4 7 2 2 8" xfId="25268" xr:uid="{00000000-0005-0000-0000-00009BAE0000}"/>
    <cellStyle name="Финансовый 4 7 2 2 9" xfId="48401" xr:uid="{00000000-0005-0000-0000-00009CAE0000}"/>
    <cellStyle name="Финансовый 4 7 2 3" xfId="2011" xr:uid="{00000000-0005-0000-0000-00009DAE0000}"/>
    <cellStyle name="Финансовый 4 7 2 3 2" xfId="3656" xr:uid="{00000000-0005-0000-0000-00009EAE0000}"/>
    <cellStyle name="Финансовый 4 7 2 3 2 2" xfId="11396" xr:uid="{00000000-0005-0000-0000-00009FAE0000}"/>
    <cellStyle name="Финансовый 4 7 2 3 2 2 2" xfId="23374" xr:uid="{00000000-0005-0000-0000-0000A0AE0000}"/>
    <cellStyle name="Финансовый 4 7 2 3 2 2 2 2" xfId="47329" xr:uid="{00000000-0005-0000-0000-0000A1AE0000}"/>
    <cellStyle name="Финансовый 4 7 2 3 2 2 3" xfId="35351" xr:uid="{00000000-0005-0000-0000-0000A2AE0000}"/>
    <cellStyle name="Финансовый 4 7 2 3 2 3" xfId="15635" xr:uid="{00000000-0005-0000-0000-0000A3AE0000}"/>
    <cellStyle name="Финансовый 4 7 2 3 2 3 2" xfId="39590" xr:uid="{00000000-0005-0000-0000-0000A4AE0000}"/>
    <cellStyle name="Финансовый 4 7 2 3 2 4" xfId="27613" xr:uid="{00000000-0005-0000-0000-0000A5AE0000}"/>
    <cellStyle name="Финансовый 4 7 2 3 2 5" xfId="50882" xr:uid="{00000000-0005-0000-0000-0000A6AE0000}"/>
    <cellStyle name="Финансовый 4 7 2 3 3" xfId="5439" xr:uid="{00000000-0005-0000-0000-0000A7AE0000}"/>
    <cellStyle name="Финансовый 4 7 2 3 3 2" xfId="17417" xr:uid="{00000000-0005-0000-0000-0000A8AE0000}"/>
    <cellStyle name="Финансовый 4 7 2 3 3 2 2" xfId="41372" xr:uid="{00000000-0005-0000-0000-0000A9AE0000}"/>
    <cellStyle name="Финансовый 4 7 2 3 3 3" xfId="29394" xr:uid="{00000000-0005-0000-0000-0000AAAE0000}"/>
    <cellStyle name="Финансовый 4 7 2 3 4" xfId="8049" xr:uid="{00000000-0005-0000-0000-0000ABAE0000}"/>
    <cellStyle name="Финансовый 4 7 2 3 4 2" xfId="20027" xr:uid="{00000000-0005-0000-0000-0000ACAE0000}"/>
    <cellStyle name="Финансовый 4 7 2 3 4 2 2" xfId="43982" xr:uid="{00000000-0005-0000-0000-0000ADAE0000}"/>
    <cellStyle name="Финансовый 4 7 2 3 4 3" xfId="32004" xr:uid="{00000000-0005-0000-0000-0000AEAE0000}"/>
    <cellStyle name="Финансовый 4 7 2 3 5" xfId="9832" xr:uid="{00000000-0005-0000-0000-0000AFAE0000}"/>
    <cellStyle name="Финансовый 4 7 2 3 5 2" xfId="21810" xr:uid="{00000000-0005-0000-0000-0000B0AE0000}"/>
    <cellStyle name="Финансовый 4 7 2 3 5 2 2" xfId="45765" xr:uid="{00000000-0005-0000-0000-0000B1AE0000}"/>
    <cellStyle name="Финансовый 4 7 2 3 5 3" xfId="33787" xr:uid="{00000000-0005-0000-0000-0000B2AE0000}"/>
    <cellStyle name="Финансовый 4 7 2 3 6" xfId="13990" xr:uid="{00000000-0005-0000-0000-0000B3AE0000}"/>
    <cellStyle name="Финансовый 4 7 2 3 6 2" xfId="37945" xr:uid="{00000000-0005-0000-0000-0000B4AE0000}"/>
    <cellStyle name="Финансовый 4 7 2 3 7" xfId="25968" xr:uid="{00000000-0005-0000-0000-0000B5AE0000}"/>
    <cellStyle name="Финансовый 4 7 2 3 8" xfId="49101" xr:uid="{00000000-0005-0000-0000-0000B6AE0000}"/>
    <cellStyle name="Финансовый 4 7 2 4" xfId="2540" xr:uid="{00000000-0005-0000-0000-0000B7AE0000}"/>
    <cellStyle name="Финансовый 4 7 2 4 2" xfId="4185" xr:uid="{00000000-0005-0000-0000-0000B8AE0000}"/>
    <cellStyle name="Финансовый 4 7 2 4 2 2" xfId="11909" xr:uid="{00000000-0005-0000-0000-0000B9AE0000}"/>
    <cellStyle name="Финансовый 4 7 2 4 2 2 2" xfId="23887" xr:uid="{00000000-0005-0000-0000-0000BAAE0000}"/>
    <cellStyle name="Финансовый 4 7 2 4 2 2 2 2" xfId="47842" xr:uid="{00000000-0005-0000-0000-0000BBAE0000}"/>
    <cellStyle name="Финансовый 4 7 2 4 2 2 3" xfId="35864" xr:uid="{00000000-0005-0000-0000-0000BCAE0000}"/>
    <cellStyle name="Финансовый 4 7 2 4 2 3" xfId="16164" xr:uid="{00000000-0005-0000-0000-0000BDAE0000}"/>
    <cellStyle name="Финансовый 4 7 2 4 2 3 2" xfId="40119" xr:uid="{00000000-0005-0000-0000-0000BEAE0000}"/>
    <cellStyle name="Финансовый 4 7 2 4 2 4" xfId="28142" xr:uid="{00000000-0005-0000-0000-0000BFAE0000}"/>
    <cellStyle name="Финансовый 4 7 2 4 2 5" xfId="51411" xr:uid="{00000000-0005-0000-0000-0000C0AE0000}"/>
    <cellStyle name="Финансовый 4 7 2 4 3" xfId="5968" xr:uid="{00000000-0005-0000-0000-0000C1AE0000}"/>
    <cellStyle name="Финансовый 4 7 2 4 3 2" xfId="17946" xr:uid="{00000000-0005-0000-0000-0000C2AE0000}"/>
    <cellStyle name="Финансовый 4 7 2 4 3 2 2" xfId="41901" xr:uid="{00000000-0005-0000-0000-0000C3AE0000}"/>
    <cellStyle name="Финансовый 4 7 2 4 3 3" xfId="29923" xr:uid="{00000000-0005-0000-0000-0000C4AE0000}"/>
    <cellStyle name="Финансовый 4 7 2 4 4" xfId="8578" xr:uid="{00000000-0005-0000-0000-0000C5AE0000}"/>
    <cellStyle name="Финансовый 4 7 2 4 4 2" xfId="20556" xr:uid="{00000000-0005-0000-0000-0000C6AE0000}"/>
    <cellStyle name="Финансовый 4 7 2 4 4 2 2" xfId="44511" xr:uid="{00000000-0005-0000-0000-0000C7AE0000}"/>
    <cellStyle name="Финансовый 4 7 2 4 4 3" xfId="32533" xr:uid="{00000000-0005-0000-0000-0000C8AE0000}"/>
    <cellStyle name="Финансовый 4 7 2 4 5" xfId="10361" xr:uid="{00000000-0005-0000-0000-0000C9AE0000}"/>
    <cellStyle name="Финансовый 4 7 2 4 5 2" xfId="22339" xr:uid="{00000000-0005-0000-0000-0000CAAE0000}"/>
    <cellStyle name="Финансовый 4 7 2 4 5 2 2" xfId="46294" xr:uid="{00000000-0005-0000-0000-0000CBAE0000}"/>
    <cellStyle name="Финансовый 4 7 2 4 5 3" xfId="34316" xr:uid="{00000000-0005-0000-0000-0000CCAE0000}"/>
    <cellStyle name="Финансовый 4 7 2 4 6" xfId="14519" xr:uid="{00000000-0005-0000-0000-0000CDAE0000}"/>
    <cellStyle name="Финансовый 4 7 2 4 6 2" xfId="38474" xr:uid="{00000000-0005-0000-0000-0000CEAE0000}"/>
    <cellStyle name="Финансовый 4 7 2 4 7" xfId="26497" xr:uid="{00000000-0005-0000-0000-0000CFAE0000}"/>
    <cellStyle name="Финансовый 4 7 2 4 8" xfId="49630" xr:uid="{00000000-0005-0000-0000-0000D0AE0000}"/>
    <cellStyle name="Финансовый 4 7 2 5" xfId="1044" xr:uid="{00000000-0005-0000-0000-0000D1AE0000}"/>
    <cellStyle name="Финансовый 4 7 2 5 2" xfId="7084" xr:uid="{00000000-0005-0000-0000-0000D2AE0000}"/>
    <cellStyle name="Финансовый 4 7 2 5 2 2" xfId="19062" xr:uid="{00000000-0005-0000-0000-0000D3AE0000}"/>
    <cellStyle name="Финансовый 4 7 2 5 2 2 2" xfId="43017" xr:uid="{00000000-0005-0000-0000-0000D4AE0000}"/>
    <cellStyle name="Финансовый 4 7 2 5 2 3" xfId="31039" xr:uid="{00000000-0005-0000-0000-0000D5AE0000}"/>
    <cellStyle name="Финансовый 4 7 2 5 3" xfId="10624" xr:uid="{00000000-0005-0000-0000-0000D6AE0000}"/>
    <cellStyle name="Финансовый 4 7 2 5 3 2" xfId="22602" xr:uid="{00000000-0005-0000-0000-0000D7AE0000}"/>
    <cellStyle name="Финансовый 4 7 2 5 3 2 2" xfId="46557" xr:uid="{00000000-0005-0000-0000-0000D8AE0000}"/>
    <cellStyle name="Финансовый 4 7 2 5 3 3" xfId="34579" xr:uid="{00000000-0005-0000-0000-0000D9AE0000}"/>
    <cellStyle name="Финансовый 4 7 2 5 4" xfId="13025" xr:uid="{00000000-0005-0000-0000-0000DAAE0000}"/>
    <cellStyle name="Финансовый 4 7 2 5 4 2" xfId="36980" xr:uid="{00000000-0005-0000-0000-0000DBAE0000}"/>
    <cellStyle name="Финансовый 4 7 2 5 5" xfId="25003" xr:uid="{00000000-0005-0000-0000-0000DCAE0000}"/>
    <cellStyle name="Финансовый 4 7 2 5 6" xfId="49909" xr:uid="{00000000-0005-0000-0000-0000DDAE0000}"/>
    <cellStyle name="Финансовый 4 7 2 6" xfId="632" xr:uid="{00000000-0005-0000-0000-0000DEAE0000}"/>
    <cellStyle name="Финансовый 4 7 2 6 2" xfId="6672" xr:uid="{00000000-0005-0000-0000-0000DFAE0000}"/>
    <cellStyle name="Финансовый 4 7 2 6 2 2" xfId="18650" xr:uid="{00000000-0005-0000-0000-0000E0AE0000}"/>
    <cellStyle name="Финансовый 4 7 2 6 2 2 2" xfId="42605" xr:uid="{00000000-0005-0000-0000-0000E1AE0000}"/>
    <cellStyle name="Финансовый 4 7 2 6 2 3" xfId="30627" xr:uid="{00000000-0005-0000-0000-0000E2AE0000}"/>
    <cellStyle name="Финансовый 4 7 2 6 3" xfId="12613" xr:uid="{00000000-0005-0000-0000-0000E3AE0000}"/>
    <cellStyle name="Финансовый 4 7 2 6 3 2" xfId="36568" xr:uid="{00000000-0005-0000-0000-0000E4AE0000}"/>
    <cellStyle name="Финансовый 4 7 2 6 4" xfId="24591" xr:uid="{00000000-0005-0000-0000-0000E5AE0000}"/>
    <cellStyle name="Финансовый 4 7 2 7" xfId="2821" xr:uid="{00000000-0005-0000-0000-0000E6AE0000}"/>
    <cellStyle name="Финансовый 4 7 2 7 2" xfId="14800" xr:uid="{00000000-0005-0000-0000-0000E7AE0000}"/>
    <cellStyle name="Финансовый 4 7 2 7 2 2" xfId="38755" xr:uid="{00000000-0005-0000-0000-0000E8AE0000}"/>
    <cellStyle name="Финансовый 4 7 2 7 3" xfId="26778" xr:uid="{00000000-0005-0000-0000-0000E9AE0000}"/>
    <cellStyle name="Финансовый 4 7 2 8" xfId="4465" xr:uid="{00000000-0005-0000-0000-0000EAAE0000}"/>
    <cellStyle name="Финансовый 4 7 2 8 2" xfId="16444" xr:uid="{00000000-0005-0000-0000-0000EBAE0000}"/>
    <cellStyle name="Финансовый 4 7 2 8 2 2" xfId="40399" xr:uid="{00000000-0005-0000-0000-0000ECAE0000}"/>
    <cellStyle name="Финансовый 4 7 2 8 3" xfId="28422" xr:uid="{00000000-0005-0000-0000-0000EDAE0000}"/>
    <cellStyle name="Финансовый 4 7 2 9" xfId="6252" xr:uid="{00000000-0005-0000-0000-0000EEAE0000}"/>
    <cellStyle name="Финансовый 4 7 2 9 2" xfId="18230" xr:uid="{00000000-0005-0000-0000-0000EFAE0000}"/>
    <cellStyle name="Финансовый 4 7 2 9 2 2" xfId="42185" xr:uid="{00000000-0005-0000-0000-0000F0AE0000}"/>
    <cellStyle name="Финансовый 4 7 2 9 3" xfId="30207" xr:uid="{00000000-0005-0000-0000-0000F1AE0000}"/>
    <cellStyle name="Финансовый 4 7 3" xfId="360" xr:uid="{00000000-0005-0000-0000-0000F2AE0000}"/>
    <cellStyle name="Финансовый 4 7 3 10" xfId="24319" xr:uid="{00000000-0005-0000-0000-0000F3AE0000}"/>
    <cellStyle name="Финансовый 4 7 3 11" xfId="48265" xr:uid="{00000000-0005-0000-0000-0000F4AE0000}"/>
    <cellStyle name="Финансовый 4 7 3 2" xfId="2139" xr:uid="{00000000-0005-0000-0000-0000F5AE0000}"/>
    <cellStyle name="Финансовый 4 7 3 2 2" xfId="3784" xr:uid="{00000000-0005-0000-0000-0000F6AE0000}"/>
    <cellStyle name="Финансовый 4 7 3 2 2 2" xfId="11524" xr:uid="{00000000-0005-0000-0000-0000F7AE0000}"/>
    <cellStyle name="Финансовый 4 7 3 2 2 2 2" xfId="23502" xr:uid="{00000000-0005-0000-0000-0000F8AE0000}"/>
    <cellStyle name="Финансовый 4 7 3 2 2 2 2 2" xfId="47457" xr:uid="{00000000-0005-0000-0000-0000F9AE0000}"/>
    <cellStyle name="Финансовый 4 7 3 2 2 2 3" xfId="35479" xr:uid="{00000000-0005-0000-0000-0000FAAE0000}"/>
    <cellStyle name="Финансовый 4 7 3 2 2 3" xfId="15763" xr:uid="{00000000-0005-0000-0000-0000FBAE0000}"/>
    <cellStyle name="Финансовый 4 7 3 2 2 3 2" xfId="39718" xr:uid="{00000000-0005-0000-0000-0000FCAE0000}"/>
    <cellStyle name="Финансовый 4 7 3 2 2 4" xfId="27741" xr:uid="{00000000-0005-0000-0000-0000FDAE0000}"/>
    <cellStyle name="Финансовый 4 7 3 2 2 5" xfId="51010" xr:uid="{00000000-0005-0000-0000-0000FEAE0000}"/>
    <cellStyle name="Финансовый 4 7 3 2 3" xfId="5567" xr:uid="{00000000-0005-0000-0000-0000FFAE0000}"/>
    <cellStyle name="Финансовый 4 7 3 2 3 2" xfId="17545" xr:uid="{00000000-0005-0000-0000-000000AF0000}"/>
    <cellStyle name="Финансовый 4 7 3 2 3 2 2" xfId="41500" xr:uid="{00000000-0005-0000-0000-000001AF0000}"/>
    <cellStyle name="Финансовый 4 7 3 2 3 3" xfId="29522" xr:uid="{00000000-0005-0000-0000-000002AF0000}"/>
    <cellStyle name="Финансовый 4 7 3 2 4" xfId="8177" xr:uid="{00000000-0005-0000-0000-000003AF0000}"/>
    <cellStyle name="Финансовый 4 7 3 2 4 2" xfId="20155" xr:uid="{00000000-0005-0000-0000-000004AF0000}"/>
    <cellStyle name="Финансовый 4 7 3 2 4 2 2" xfId="44110" xr:uid="{00000000-0005-0000-0000-000005AF0000}"/>
    <cellStyle name="Финансовый 4 7 3 2 4 3" xfId="32132" xr:uid="{00000000-0005-0000-0000-000006AF0000}"/>
    <cellStyle name="Финансовый 4 7 3 2 5" xfId="9960" xr:uid="{00000000-0005-0000-0000-000007AF0000}"/>
    <cellStyle name="Финансовый 4 7 3 2 5 2" xfId="21938" xr:uid="{00000000-0005-0000-0000-000008AF0000}"/>
    <cellStyle name="Финансовый 4 7 3 2 5 2 2" xfId="45893" xr:uid="{00000000-0005-0000-0000-000009AF0000}"/>
    <cellStyle name="Финансовый 4 7 3 2 5 3" xfId="33915" xr:uid="{00000000-0005-0000-0000-00000AAF0000}"/>
    <cellStyle name="Финансовый 4 7 3 2 6" xfId="14118" xr:uid="{00000000-0005-0000-0000-00000BAF0000}"/>
    <cellStyle name="Финансовый 4 7 3 2 6 2" xfId="38073" xr:uid="{00000000-0005-0000-0000-00000CAF0000}"/>
    <cellStyle name="Финансовый 4 7 3 2 7" xfId="26096" xr:uid="{00000000-0005-0000-0000-00000DAF0000}"/>
    <cellStyle name="Финансовый 4 7 3 2 8" xfId="49229" xr:uid="{00000000-0005-0000-0000-00000EAF0000}"/>
    <cellStyle name="Финансовый 4 7 3 3" xfId="1173" xr:uid="{00000000-0005-0000-0000-00000FAF0000}"/>
    <cellStyle name="Финансовый 4 7 3 3 2" xfId="7213" xr:uid="{00000000-0005-0000-0000-000010AF0000}"/>
    <cellStyle name="Финансовый 4 7 3 3 2 2" xfId="19191" xr:uid="{00000000-0005-0000-0000-000011AF0000}"/>
    <cellStyle name="Финансовый 4 7 3 3 2 2 2" xfId="43146" xr:uid="{00000000-0005-0000-0000-000012AF0000}"/>
    <cellStyle name="Финансовый 4 7 3 3 2 3" xfId="31168" xr:uid="{00000000-0005-0000-0000-000013AF0000}"/>
    <cellStyle name="Финансовый 4 7 3 3 3" xfId="10752" xr:uid="{00000000-0005-0000-0000-000014AF0000}"/>
    <cellStyle name="Финансовый 4 7 3 3 3 2" xfId="22730" xr:uid="{00000000-0005-0000-0000-000015AF0000}"/>
    <cellStyle name="Финансовый 4 7 3 3 3 2 2" xfId="46685" xr:uid="{00000000-0005-0000-0000-000016AF0000}"/>
    <cellStyle name="Финансовый 4 7 3 3 3 3" xfId="34707" xr:uid="{00000000-0005-0000-0000-000017AF0000}"/>
    <cellStyle name="Финансовый 4 7 3 3 4" xfId="13154" xr:uid="{00000000-0005-0000-0000-000018AF0000}"/>
    <cellStyle name="Финансовый 4 7 3 3 4 2" xfId="37109" xr:uid="{00000000-0005-0000-0000-000019AF0000}"/>
    <cellStyle name="Финансовый 4 7 3 3 5" xfId="25132" xr:uid="{00000000-0005-0000-0000-00001AAF0000}"/>
    <cellStyle name="Финансовый 4 7 3 3 6" xfId="50045" xr:uid="{00000000-0005-0000-0000-00001BAF0000}"/>
    <cellStyle name="Финансовый 4 7 3 4" xfId="780" xr:uid="{00000000-0005-0000-0000-00001CAF0000}"/>
    <cellStyle name="Финансовый 4 7 3 4 2" xfId="6820" xr:uid="{00000000-0005-0000-0000-00001DAF0000}"/>
    <cellStyle name="Финансовый 4 7 3 4 2 2" xfId="18798" xr:uid="{00000000-0005-0000-0000-00001EAF0000}"/>
    <cellStyle name="Финансовый 4 7 3 4 2 2 2" xfId="42753" xr:uid="{00000000-0005-0000-0000-00001FAF0000}"/>
    <cellStyle name="Финансовый 4 7 3 4 2 3" xfId="30775" xr:uid="{00000000-0005-0000-0000-000020AF0000}"/>
    <cellStyle name="Финансовый 4 7 3 4 3" xfId="12761" xr:uid="{00000000-0005-0000-0000-000021AF0000}"/>
    <cellStyle name="Финансовый 4 7 3 4 3 2" xfId="36716" xr:uid="{00000000-0005-0000-0000-000022AF0000}"/>
    <cellStyle name="Финансовый 4 7 3 4 4" xfId="24739" xr:uid="{00000000-0005-0000-0000-000023AF0000}"/>
    <cellStyle name="Финансовый 4 7 3 5" xfId="2957" xr:uid="{00000000-0005-0000-0000-000024AF0000}"/>
    <cellStyle name="Финансовый 4 7 3 5 2" xfId="14936" xr:uid="{00000000-0005-0000-0000-000025AF0000}"/>
    <cellStyle name="Финансовый 4 7 3 5 2 2" xfId="38891" xr:uid="{00000000-0005-0000-0000-000026AF0000}"/>
    <cellStyle name="Финансовый 4 7 3 5 3" xfId="26914" xr:uid="{00000000-0005-0000-0000-000027AF0000}"/>
    <cellStyle name="Финансовый 4 7 3 6" xfId="4601" xr:uid="{00000000-0005-0000-0000-000028AF0000}"/>
    <cellStyle name="Финансовый 4 7 3 6 2" xfId="16580" xr:uid="{00000000-0005-0000-0000-000029AF0000}"/>
    <cellStyle name="Финансовый 4 7 3 6 2 2" xfId="40535" xr:uid="{00000000-0005-0000-0000-00002AAF0000}"/>
    <cellStyle name="Финансовый 4 7 3 6 3" xfId="28558" xr:uid="{00000000-0005-0000-0000-00002BAF0000}"/>
    <cellStyle name="Финансовый 4 7 3 7" xfId="6400" xr:uid="{00000000-0005-0000-0000-00002CAF0000}"/>
    <cellStyle name="Финансовый 4 7 3 7 2" xfId="18378" xr:uid="{00000000-0005-0000-0000-00002DAF0000}"/>
    <cellStyle name="Финансовый 4 7 3 7 2 2" xfId="42333" xr:uid="{00000000-0005-0000-0000-00002EAF0000}"/>
    <cellStyle name="Финансовый 4 7 3 7 3" xfId="30355" xr:uid="{00000000-0005-0000-0000-00002FAF0000}"/>
    <cellStyle name="Финансовый 4 7 3 8" xfId="8995" xr:uid="{00000000-0005-0000-0000-000030AF0000}"/>
    <cellStyle name="Финансовый 4 7 3 8 2" xfId="20973" xr:uid="{00000000-0005-0000-0000-000031AF0000}"/>
    <cellStyle name="Финансовый 4 7 3 8 2 2" xfId="44928" xr:uid="{00000000-0005-0000-0000-000032AF0000}"/>
    <cellStyle name="Финансовый 4 7 3 8 3" xfId="32950" xr:uid="{00000000-0005-0000-0000-000033AF0000}"/>
    <cellStyle name="Финансовый 4 7 3 9" xfId="12341" xr:uid="{00000000-0005-0000-0000-000034AF0000}"/>
    <cellStyle name="Финансовый 4 7 3 9 2" xfId="36296" xr:uid="{00000000-0005-0000-0000-000035AF0000}"/>
    <cellStyle name="Финансовый 4 7 4" xfId="1446" xr:uid="{00000000-0005-0000-0000-000036AF0000}"/>
    <cellStyle name="Финансовый 4 7 4 2" xfId="1883" xr:uid="{00000000-0005-0000-0000-000037AF0000}"/>
    <cellStyle name="Финансовый 4 7 4 2 2" xfId="3528" xr:uid="{00000000-0005-0000-0000-000038AF0000}"/>
    <cellStyle name="Финансовый 4 7 4 2 2 2" xfId="11268" xr:uid="{00000000-0005-0000-0000-000039AF0000}"/>
    <cellStyle name="Финансовый 4 7 4 2 2 2 2" xfId="23246" xr:uid="{00000000-0005-0000-0000-00003AAF0000}"/>
    <cellStyle name="Финансовый 4 7 4 2 2 2 2 2" xfId="47201" xr:uid="{00000000-0005-0000-0000-00003BAF0000}"/>
    <cellStyle name="Финансовый 4 7 4 2 2 2 3" xfId="35223" xr:uid="{00000000-0005-0000-0000-00003CAF0000}"/>
    <cellStyle name="Финансовый 4 7 4 2 2 3" xfId="15507" xr:uid="{00000000-0005-0000-0000-00003DAF0000}"/>
    <cellStyle name="Финансовый 4 7 4 2 2 3 2" xfId="39462" xr:uid="{00000000-0005-0000-0000-00003EAF0000}"/>
    <cellStyle name="Финансовый 4 7 4 2 2 4" xfId="27485" xr:uid="{00000000-0005-0000-0000-00003FAF0000}"/>
    <cellStyle name="Финансовый 4 7 4 2 2 5" xfId="50754" xr:uid="{00000000-0005-0000-0000-000040AF0000}"/>
    <cellStyle name="Финансовый 4 7 4 2 3" xfId="5311" xr:uid="{00000000-0005-0000-0000-000041AF0000}"/>
    <cellStyle name="Финансовый 4 7 4 2 3 2" xfId="17289" xr:uid="{00000000-0005-0000-0000-000042AF0000}"/>
    <cellStyle name="Финансовый 4 7 4 2 3 2 2" xfId="41244" xr:uid="{00000000-0005-0000-0000-000043AF0000}"/>
    <cellStyle name="Финансовый 4 7 4 2 3 3" xfId="29266" xr:uid="{00000000-0005-0000-0000-000044AF0000}"/>
    <cellStyle name="Финансовый 4 7 4 2 4" xfId="7921" xr:uid="{00000000-0005-0000-0000-000045AF0000}"/>
    <cellStyle name="Финансовый 4 7 4 2 4 2" xfId="19899" xr:uid="{00000000-0005-0000-0000-000046AF0000}"/>
    <cellStyle name="Финансовый 4 7 4 2 4 2 2" xfId="43854" xr:uid="{00000000-0005-0000-0000-000047AF0000}"/>
    <cellStyle name="Финансовый 4 7 4 2 4 3" xfId="31876" xr:uid="{00000000-0005-0000-0000-000048AF0000}"/>
    <cellStyle name="Финансовый 4 7 4 2 5" xfId="9704" xr:uid="{00000000-0005-0000-0000-000049AF0000}"/>
    <cellStyle name="Финансовый 4 7 4 2 5 2" xfId="21682" xr:uid="{00000000-0005-0000-0000-00004AAF0000}"/>
    <cellStyle name="Финансовый 4 7 4 2 5 2 2" xfId="45637" xr:uid="{00000000-0005-0000-0000-00004BAF0000}"/>
    <cellStyle name="Финансовый 4 7 4 2 5 3" xfId="33659" xr:uid="{00000000-0005-0000-0000-00004CAF0000}"/>
    <cellStyle name="Финансовый 4 7 4 2 6" xfId="13862" xr:uid="{00000000-0005-0000-0000-00004DAF0000}"/>
    <cellStyle name="Финансовый 4 7 4 2 6 2" xfId="37817" xr:uid="{00000000-0005-0000-0000-00004EAF0000}"/>
    <cellStyle name="Финансовый 4 7 4 2 7" xfId="25840" xr:uid="{00000000-0005-0000-0000-00004FAF0000}"/>
    <cellStyle name="Финансовый 4 7 4 2 8" xfId="48973" xr:uid="{00000000-0005-0000-0000-000050AF0000}"/>
    <cellStyle name="Финансовый 4 7 4 3" xfId="4874" xr:uid="{00000000-0005-0000-0000-000051AF0000}"/>
    <cellStyle name="Финансовый 4 7 4 3 2" xfId="16852" xr:uid="{00000000-0005-0000-0000-000052AF0000}"/>
    <cellStyle name="Финансовый 4 7 4 3 2 2" xfId="40807" xr:uid="{00000000-0005-0000-0000-000053AF0000}"/>
    <cellStyle name="Финансовый 4 7 4 3 3" xfId="28829" xr:uid="{00000000-0005-0000-0000-000054AF0000}"/>
    <cellStyle name="Финансовый 4 7 4 3 4" xfId="50317" xr:uid="{00000000-0005-0000-0000-000055AF0000}"/>
    <cellStyle name="Финансовый 4 7 4 4" xfId="7484" xr:uid="{00000000-0005-0000-0000-000056AF0000}"/>
    <cellStyle name="Финансовый 4 7 4 4 2" xfId="19462" xr:uid="{00000000-0005-0000-0000-000057AF0000}"/>
    <cellStyle name="Финансовый 4 7 4 4 2 2" xfId="43417" xr:uid="{00000000-0005-0000-0000-000058AF0000}"/>
    <cellStyle name="Финансовый 4 7 4 4 3" xfId="31439" xr:uid="{00000000-0005-0000-0000-000059AF0000}"/>
    <cellStyle name="Финансовый 4 7 4 5" xfId="9267" xr:uid="{00000000-0005-0000-0000-00005AAF0000}"/>
    <cellStyle name="Финансовый 4 7 4 5 2" xfId="21245" xr:uid="{00000000-0005-0000-0000-00005BAF0000}"/>
    <cellStyle name="Финансовый 4 7 4 5 2 2" xfId="45200" xr:uid="{00000000-0005-0000-0000-00005CAF0000}"/>
    <cellStyle name="Финансовый 4 7 4 5 3" xfId="33222" xr:uid="{00000000-0005-0000-0000-00005DAF0000}"/>
    <cellStyle name="Финансовый 4 7 4 6" xfId="13425" xr:uid="{00000000-0005-0000-0000-00005EAF0000}"/>
    <cellStyle name="Финансовый 4 7 4 6 2" xfId="37380" xr:uid="{00000000-0005-0000-0000-00005FAF0000}"/>
    <cellStyle name="Финансовый 4 7 4 7" xfId="25403" xr:uid="{00000000-0005-0000-0000-000060AF0000}"/>
    <cellStyle name="Финансовый 4 7 4 8" xfId="48536" xr:uid="{00000000-0005-0000-0000-000061AF0000}"/>
    <cellStyle name="Финансовый 4 7 5" xfId="1759" xr:uid="{00000000-0005-0000-0000-000062AF0000}"/>
    <cellStyle name="Финансовый 4 7 5 2" xfId="3404" xr:uid="{00000000-0005-0000-0000-000063AF0000}"/>
    <cellStyle name="Финансовый 4 7 5 2 2" xfId="11152" xr:uid="{00000000-0005-0000-0000-000064AF0000}"/>
    <cellStyle name="Финансовый 4 7 5 2 2 2" xfId="23130" xr:uid="{00000000-0005-0000-0000-000065AF0000}"/>
    <cellStyle name="Финансовый 4 7 5 2 2 2 2" xfId="47085" xr:uid="{00000000-0005-0000-0000-000066AF0000}"/>
    <cellStyle name="Финансовый 4 7 5 2 2 3" xfId="35107" xr:uid="{00000000-0005-0000-0000-000067AF0000}"/>
    <cellStyle name="Финансовый 4 7 5 2 3" xfId="15383" xr:uid="{00000000-0005-0000-0000-000068AF0000}"/>
    <cellStyle name="Финансовый 4 7 5 2 3 2" xfId="39338" xr:uid="{00000000-0005-0000-0000-000069AF0000}"/>
    <cellStyle name="Финансовый 4 7 5 2 4" xfId="27361" xr:uid="{00000000-0005-0000-0000-00006AAF0000}"/>
    <cellStyle name="Финансовый 4 7 5 2 5" xfId="50630" xr:uid="{00000000-0005-0000-0000-00006BAF0000}"/>
    <cellStyle name="Финансовый 4 7 5 3" xfId="5187" xr:uid="{00000000-0005-0000-0000-00006CAF0000}"/>
    <cellStyle name="Финансовый 4 7 5 3 2" xfId="17165" xr:uid="{00000000-0005-0000-0000-00006DAF0000}"/>
    <cellStyle name="Финансовый 4 7 5 3 2 2" xfId="41120" xr:uid="{00000000-0005-0000-0000-00006EAF0000}"/>
    <cellStyle name="Финансовый 4 7 5 3 3" xfId="29142" xr:uid="{00000000-0005-0000-0000-00006FAF0000}"/>
    <cellStyle name="Финансовый 4 7 5 4" xfId="7797" xr:uid="{00000000-0005-0000-0000-000070AF0000}"/>
    <cellStyle name="Финансовый 4 7 5 4 2" xfId="19775" xr:uid="{00000000-0005-0000-0000-000071AF0000}"/>
    <cellStyle name="Финансовый 4 7 5 4 2 2" xfId="43730" xr:uid="{00000000-0005-0000-0000-000072AF0000}"/>
    <cellStyle name="Финансовый 4 7 5 4 3" xfId="31752" xr:uid="{00000000-0005-0000-0000-000073AF0000}"/>
    <cellStyle name="Финансовый 4 7 5 5" xfId="9580" xr:uid="{00000000-0005-0000-0000-000074AF0000}"/>
    <cellStyle name="Финансовый 4 7 5 5 2" xfId="21558" xr:uid="{00000000-0005-0000-0000-000075AF0000}"/>
    <cellStyle name="Финансовый 4 7 5 5 2 2" xfId="45513" xr:uid="{00000000-0005-0000-0000-000076AF0000}"/>
    <cellStyle name="Финансовый 4 7 5 5 3" xfId="33535" xr:uid="{00000000-0005-0000-0000-000077AF0000}"/>
    <cellStyle name="Финансовый 4 7 5 6" xfId="13738" xr:uid="{00000000-0005-0000-0000-000078AF0000}"/>
    <cellStyle name="Финансовый 4 7 5 6 2" xfId="37693" xr:uid="{00000000-0005-0000-0000-000079AF0000}"/>
    <cellStyle name="Финансовый 4 7 5 7" xfId="25716" xr:uid="{00000000-0005-0000-0000-00007AAF0000}"/>
    <cellStyle name="Финансовый 4 7 5 8" xfId="48849" xr:uid="{00000000-0005-0000-0000-00007BAF0000}"/>
    <cellStyle name="Финансовый 4 7 6" xfId="2404" xr:uid="{00000000-0005-0000-0000-00007CAF0000}"/>
    <cellStyle name="Финансовый 4 7 6 2" xfId="4049" xr:uid="{00000000-0005-0000-0000-00007DAF0000}"/>
    <cellStyle name="Финансовый 4 7 6 2 2" xfId="11781" xr:uid="{00000000-0005-0000-0000-00007EAF0000}"/>
    <cellStyle name="Финансовый 4 7 6 2 2 2" xfId="23759" xr:uid="{00000000-0005-0000-0000-00007FAF0000}"/>
    <cellStyle name="Финансовый 4 7 6 2 2 2 2" xfId="47714" xr:uid="{00000000-0005-0000-0000-000080AF0000}"/>
    <cellStyle name="Финансовый 4 7 6 2 2 3" xfId="35736" xr:uid="{00000000-0005-0000-0000-000081AF0000}"/>
    <cellStyle name="Финансовый 4 7 6 2 3" xfId="16028" xr:uid="{00000000-0005-0000-0000-000082AF0000}"/>
    <cellStyle name="Финансовый 4 7 6 2 3 2" xfId="39983" xr:uid="{00000000-0005-0000-0000-000083AF0000}"/>
    <cellStyle name="Финансовый 4 7 6 2 4" xfId="28006" xr:uid="{00000000-0005-0000-0000-000084AF0000}"/>
    <cellStyle name="Финансовый 4 7 6 2 5" xfId="51275" xr:uid="{00000000-0005-0000-0000-000085AF0000}"/>
    <cellStyle name="Финансовый 4 7 6 3" xfId="5832" xr:uid="{00000000-0005-0000-0000-000086AF0000}"/>
    <cellStyle name="Финансовый 4 7 6 3 2" xfId="17810" xr:uid="{00000000-0005-0000-0000-000087AF0000}"/>
    <cellStyle name="Финансовый 4 7 6 3 2 2" xfId="41765" xr:uid="{00000000-0005-0000-0000-000088AF0000}"/>
    <cellStyle name="Финансовый 4 7 6 3 3" xfId="29787" xr:uid="{00000000-0005-0000-0000-000089AF0000}"/>
    <cellStyle name="Финансовый 4 7 6 4" xfId="8442" xr:uid="{00000000-0005-0000-0000-00008AAF0000}"/>
    <cellStyle name="Финансовый 4 7 6 4 2" xfId="20420" xr:uid="{00000000-0005-0000-0000-00008BAF0000}"/>
    <cellStyle name="Финансовый 4 7 6 4 2 2" xfId="44375" xr:uid="{00000000-0005-0000-0000-00008CAF0000}"/>
    <cellStyle name="Финансовый 4 7 6 4 3" xfId="32397" xr:uid="{00000000-0005-0000-0000-00008DAF0000}"/>
    <cellStyle name="Финансовый 4 7 6 5" xfId="10225" xr:uid="{00000000-0005-0000-0000-00008EAF0000}"/>
    <cellStyle name="Финансовый 4 7 6 5 2" xfId="22203" xr:uid="{00000000-0005-0000-0000-00008FAF0000}"/>
    <cellStyle name="Финансовый 4 7 6 5 2 2" xfId="46158" xr:uid="{00000000-0005-0000-0000-000090AF0000}"/>
    <cellStyle name="Финансовый 4 7 6 5 3" xfId="34180" xr:uid="{00000000-0005-0000-0000-000091AF0000}"/>
    <cellStyle name="Финансовый 4 7 6 6" xfId="14383" xr:uid="{00000000-0005-0000-0000-000092AF0000}"/>
    <cellStyle name="Финансовый 4 7 6 6 2" xfId="38338" xr:uid="{00000000-0005-0000-0000-000093AF0000}"/>
    <cellStyle name="Финансовый 4 7 6 7" xfId="26361" xr:uid="{00000000-0005-0000-0000-000094AF0000}"/>
    <cellStyle name="Финансовый 4 7 6 8" xfId="49494" xr:uid="{00000000-0005-0000-0000-000095AF0000}"/>
    <cellStyle name="Финансовый 4 7 7" xfId="1631" xr:uid="{00000000-0005-0000-0000-000096AF0000}"/>
    <cellStyle name="Финансовый 4 7 7 2" xfId="3276" xr:uid="{00000000-0005-0000-0000-000097AF0000}"/>
    <cellStyle name="Финансовый 4 7 7 2 2" xfId="11024" xr:uid="{00000000-0005-0000-0000-000098AF0000}"/>
    <cellStyle name="Финансовый 4 7 7 2 2 2" xfId="23002" xr:uid="{00000000-0005-0000-0000-000099AF0000}"/>
    <cellStyle name="Финансовый 4 7 7 2 2 2 2" xfId="46957" xr:uid="{00000000-0005-0000-0000-00009AAF0000}"/>
    <cellStyle name="Финансовый 4 7 7 2 2 3" xfId="34979" xr:uid="{00000000-0005-0000-0000-00009BAF0000}"/>
    <cellStyle name="Финансовый 4 7 7 2 3" xfId="15255" xr:uid="{00000000-0005-0000-0000-00009CAF0000}"/>
    <cellStyle name="Финансовый 4 7 7 2 3 2" xfId="39210" xr:uid="{00000000-0005-0000-0000-00009DAF0000}"/>
    <cellStyle name="Финансовый 4 7 7 2 4" xfId="27233" xr:uid="{00000000-0005-0000-0000-00009EAF0000}"/>
    <cellStyle name="Финансовый 4 7 7 2 5" xfId="50502" xr:uid="{00000000-0005-0000-0000-00009FAF0000}"/>
    <cellStyle name="Финансовый 4 7 7 3" xfId="5059" xr:uid="{00000000-0005-0000-0000-0000A0AF0000}"/>
    <cellStyle name="Финансовый 4 7 7 3 2" xfId="17037" xr:uid="{00000000-0005-0000-0000-0000A1AF0000}"/>
    <cellStyle name="Финансовый 4 7 7 3 2 2" xfId="40992" xr:uid="{00000000-0005-0000-0000-0000A2AF0000}"/>
    <cellStyle name="Финансовый 4 7 7 3 3" xfId="29014" xr:uid="{00000000-0005-0000-0000-0000A3AF0000}"/>
    <cellStyle name="Финансовый 4 7 7 4" xfId="7669" xr:uid="{00000000-0005-0000-0000-0000A4AF0000}"/>
    <cellStyle name="Финансовый 4 7 7 4 2" xfId="19647" xr:uid="{00000000-0005-0000-0000-0000A5AF0000}"/>
    <cellStyle name="Финансовый 4 7 7 4 2 2" xfId="43602" xr:uid="{00000000-0005-0000-0000-0000A6AF0000}"/>
    <cellStyle name="Финансовый 4 7 7 4 3" xfId="31624" xr:uid="{00000000-0005-0000-0000-0000A7AF0000}"/>
    <cellStyle name="Финансовый 4 7 7 5" xfId="9452" xr:uid="{00000000-0005-0000-0000-0000A8AF0000}"/>
    <cellStyle name="Финансовый 4 7 7 5 2" xfId="21430" xr:uid="{00000000-0005-0000-0000-0000A9AF0000}"/>
    <cellStyle name="Финансовый 4 7 7 5 2 2" xfId="45385" xr:uid="{00000000-0005-0000-0000-0000AAAF0000}"/>
    <cellStyle name="Финансовый 4 7 7 5 3" xfId="33407" xr:uid="{00000000-0005-0000-0000-0000ABAF0000}"/>
    <cellStyle name="Финансовый 4 7 7 6" xfId="13610" xr:uid="{00000000-0005-0000-0000-0000ACAF0000}"/>
    <cellStyle name="Финансовый 4 7 7 6 2" xfId="37565" xr:uid="{00000000-0005-0000-0000-0000ADAF0000}"/>
    <cellStyle name="Финансовый 4 7 7 7" xfId="25588" xr:uid="{00000000-0005-0000-0000-0000AEAF0000}"/>
    <cellStyle name="Финансовый 4 7 7 8" xfId="48721" xr:uid="{00000000-0005-0000-0000-0000AFAF0000}"/>
    <cellStyle name="Финансовый 4 7 8" xfId="908" xr:uid="{00000000-0005-0000-0000-0000B0AF0000}"/>
    <cellStyle name="Финансовый 4 7 8 2" xfId="6948" xr:uid="{00000000-0005-0000-0000-0000B1AF0000}"/>
    <cellStyle name="Финансовый 4 7 8 2 2" xfId="18926" xr:uid="{00000000-0005-0000-0000-0000B2AF0000}"/>
    <cellStyle name="Финансовый 4 7 8 2 2 2" xfId="42881" xr:uid="{00000000-0005-0000-0000-0000B3AF0000}"/>
    <cellStyle name="Финансовый 4 7 8 2 3" xfId="30903" xr:uid="{00000000-0005-0000-0000-0000B4AF0000}"/>
    <cellStyle name="Финансовый 4 7 8 3" xfId="10496" xr:uid="{00000000-0005-0000-0000-0000B5AF0000}"/>
    <cellStyle name="Финансовый 4 7 8 3 2" xfId="22474" xr:uid="{00000000-0005-0000-0000-0000B6AF0000}"/>
    <cellStyle name="Финансовый 4 7 8 3 2 2" xfId="46429" xr:uid="{00000000-0005-0000-0000-0000B7AF0000}"/>
    <cellStyle name="Финансовый 4 7 8 3 3" xfId="34451" xr:uid="{00000000-0005-0000-0000-0000B8AF0000}"/>
    <cellStyle name="Финансовый 4 7 8 4" xfId="12889" xr:uid="{00000000-0005-0000-0000-0000B9AF0000}"/>
    <cellStyle name="Финансовый 4 7 8 4 2" xfId="36844" xr:uid="{00000000-0005-0000-0000-0000BAAF0000}"/>
    <cellStyle name="Финансовый 4 7 8 5" xfId="24867" xr:uid="{00000000-0005-0000-0000-0000BBAF0000}"/>
    <cellStyle name="Финансовый 4 7 8 6" xfId="49773" xr:uid="{00000000-0005-0000-0000-0000BCAF0000}"/>
    <cellStyle name="Финансовый 4 7 9" xfId="496" xr:uid="{00000000-0005-0000-0000-0000BDAF0000}"/>
    <cellStyle name="Финансовый 4 7 9 2" xfId="6536" xr:uid="{00000000-0005-0000-0000-0000BEAF0000}"/>
    <cellStyle name="Финансовый 4 7 9 2 2" xfId="18514" xr:uid="{00000000-0005-0000-0000-0000BFAF0000}"/>
    <cellStyle name="Финансовый 4 7 9 2 2 2" xfId="42469" xr:uid="{00000000-0005-0000-0000-0000C0AF0000}"/>
    <cellStyle name="Финансовый 4 7 9 2 3" xfId="30491" xr:uid="{00000000-0005-0000-0000-0000C1AF0000}"/>
    <cellStyle name="Финансовый 4 7 9 3" xfId="12477" xr:uid="{00000000-0005-0000-0000-0000C2AF0000}"/>
    <cellStyle name="Финансовый 4 7 9 3 2" xfId="36432" xr:uid="{00000000-0005-0000-0000-0000C3AF0000}"/>
    <cellStyle name="Финансовый 4 7 9 4" xfId="24455" xr:uid="{00000000-0005-0000-0000-0000C4AF0000}"/>
    <cellStyle name="Финансовый 4 8" xfId="53" xr:uid="{00000000-0005-0000-0000-0000C5AF0000}"/>
    <cellStyle name="Финансовый 4 8 10" xfId="2665" xr:uid="{00000000-0005-0000-0000-0000C6AF0000}"/>
    <cellStyle name="Финансовый 4 8 10 2" xfId="14644" xr:uid="{00000000-0005-0000-0000-0000C7AF0000}"/>
    <cellStyle name="Финансовый 4 8 10 2 2" xfId="38599" xr:uid="{00000000-0005-0000-0000-0000C8AF0000}"/>
    <cellStyle name="Финансовый 4 8 10 3" xfId="26622" xr:uid="{00000000-0005-0000-0000-0000C9AF0000}"/>
    <cellStyle name="Финансовый 4 8 11" xfId="4308" xr:uid="{00000000-0005-0000-0000-0000CAAF0000}"/>
    <cellStyle name="Финансовый 4 8 11 2" xfId="16287" xr:uid="{00000000-0005-0000-0000-0000CBAF0000}"/>
    <cellStyle name="Финансовый 4 8 11 2 2" xfId="40242" xr:uid="{00000000-0005-0000-0000-0000CCAF0000}"/>
    <cellStyle name="Финансовый 4 8 11 3" xfId="28265" xr:uid="{00000000-0005-0000-0000-0000CDAF0000}"/>
    <cellStyle name="Финансовый 4 8 12" xfId="6096" xr:uid="{00000000-0005-0000-0000-0000CEAF0000}"/>
    <cellStyle name="Финансовый 4 8 12 2" xfId="18074" xr:uid="{00000000-0005-0000-0000-0000CFAF0000}"/>
    <cellStyle name="Финансовый 4 8 12 2 2" xfId="42029" xr:uid="{00000000-0005-0000-0000-0000D0AF0000}"/>
    <cellStyle name="Финансовый 4 8 12 3" xfId="30051" xr:uid="{00000000-0005-0000-0000-0000D1AF0000}"/>
    <cellStyle name="Финансовый 4 8 13" xfId="8703" xr:uid="{00000000-0005-0000-0000-0000D2AF0000}"/>
    <cellStyle name="Финансовый 4 8 13 2" xfId="20681" xr:uid="{00000000-0005-0000-0000-0000D3AF0000}"/>
    <cellStyle name="Финансовый 4 8 13 2 2" xfId="44636" xr:uid="{00000000-0005-0000-0000-0000D4AF0000}"/>
    <cellStyle name="Финансовый 4 8 13 3" xfId="32658" xr:uid="{00000000-0005-0000-0000-0000D5AF0000}"/>
    <cellStyle name="Финансовый 4 8 14" xfId="12037" xr:uid="{00000000-0005-0000-0000-0000D6AF0000}"/>
    <cellStyle name="Финансовый 4 8 14 2" xfId="35992" xr:uid="{00000000-0005-0000-0000-0000D7AF0000}"/>
    <cellStyle name="Финансовый 4 8 15" xfId="24015" xr:uid="{00000000-0005-0000-0000-0000D8AF0000}"/>
    <cellStyle name="Финансовый 4 8 16" xfId="47973" xr:uid="{00000000-0005-0000-0000-0000D9AF0000}"/>
    <cellStyle name="Финансовый 4 8 2" xfId="191" xr:uid="{00000000-0005-0000-0000-0000DAAF0000}"/>
    <cellStyle name="Финансовый 4 8 2 10" xfId="8839" xr:uid="{00000000-0005-0000-0000-0000DBAF0000}"/>
    <cellStyle name="Финансовый 4 8 2 10 2" xfId="20817" xr:uid="{00000000-0005-0000-0000-0000DCAF0000}"/>
    <cellStyle name="Финансовый 4 8 2 10 2 2" xfId="44772" xr:uid="{00000000-0005-0000-0000-0000DDAF0000}"/>
    <cellStyle name="Финансовый 4 8 2 10 3" xfId="32794" xr:uid="{00000000-0005-0000-0000-0000DEAF0000}"/>
    <cellStyle name="Финансовый 4 8 2 11" xfId="12173" xr:uid="{00000000-0005-0000-0000-0000DFAF0000}"/>
    <cellStyle name="Финансовый 4 8 2 11 2" xfId="36128" xr:uid="{00000000-0005-0000-0000-0000E0AF0000}"/>
    <cellStyle name="Финансовый 4 8 2 12" xfId="24151" xr:uid="{00000000-0005-0000-0000-0000E1AF0000}"/>
    <cellStyle name="Финансовый 4 8 2 13" xfId="48109" xr:uid="{00000000-0005-0000-0000-0000E2AF0000}"/>
    <cellStyle name="Финансовый 4 8 2 2" xfId="1289" xr:uid="{00000000-0005-0000-0000-0000E3AF0000}"/>
    <cellStyle name="Финансовый 4 8 2 2 2" xfId="2255" xr:uid="{00000000-0005-0000-0000-0000E4AF0000}"/>
    <cellStyle name="Финансовый 4 8 2 2 2 2" xfId="3900" xr:uid="{00000000-0005-0000-0000-0000E5AF0000}"/>
    <cellStyle name="Финансовый 4 8 2 2 2 2 2" xfId="11640" xr:uid="{00000000-0005-0000-0000-0000E6AF0000}"/>
    <cellStyle name="Финансовый 4 8 2 2 2 2 2 2" xfId="23618" xr:uid="{00000000-0005-0000-0000-0000E7AF0000}"/>
    <cellStyle name="Финансовый 4 8 2 2 2 2 2 2 2" xfId="47573" xr:uid="{00000000-0005-0000-0000-0000E8AF0000}"/>
    <cellStyle name="Финансовый 4 8 2 2 2 2 2 3" xfId="35595" xr:uid="{00000000-0005-0000-0000-0000E9AF0000}"/>
    <cellStyle name="Финансовый 4 8 2 2 2 2 3" xfId="15879" xr:uid="{00000000-0005-0000-0000-0000EAAF0000}"/>
    <cellStyle name="Финансовый 4 8 2 2 2 2 3 2" xfId="39834" xr:uid="{00000000-0005-0000-0000-0000EBAF0000}"/>
    <cellStyle name="Финансовый 4 8 2 2 2 2 4" xfId="27857" xr:uid="{00000000-0005-0000-0000-0000ECAF0000}"/>
    <cellStyle name="Финансовый 4 8 2 2 2 2 5" xfId="51126" xr:uid="{00000000-0005-0000-0000-0000EDAF0000}"/>
    <cellStyle name="Финансовый 4 8 2 2 2 3" xfId="5683" xr:uid="{00000000-0005-0000-0000-0000EEAF0000}"/>
    <cellStyle name="Финансовый 4 8 2 2 2 3 2" xfId="17661" xr:uid="{00000000-0005-0000-0000-0000EFAF0000}"/>
    <cellStyle name="Финансовый 4 8 2 2 2 3 2 2" xfId="41616" xr:uid="{00000000-0005-0000-0000-0000F0AF0000}"/>
    <cellStyle name="Финансовый 4 8 2 2 2 3 3" xfId="29638" xr:uid="{00000000-0005-0000-0000-0000F1AF0000}"/>
    <cellStyle name="Финансовый 4 8 2 2 2 4" xfId="8293" xr:uid="{00000000-0005-0000-0000-0000F2AF0000}"/>
    <cellStyle name="Финансовый 4 8 2 2 2 4 2" xfId="20271" xr:uid="{00000000-0005-0000-0000-0000F3AF0000}"/>
    <cellStyle name="Финансовый 4 8 2 2 2 4 2 2" xfId="44226" xr:uid="{00000000-0005-0000-0000-0000F4AF0000}"/>
    <cellStyle name="Финансовый 4 8 2 2 2 4 3" xfId="32248" xr:uid="{00000000-0005-0000-0000-0000F5AF0000}"/>
    <cellStyle name="Финансовый 4 8 2 2 2 5" xfId="10076" xr:uid="{00000000-0005-0000-0000-0000F6AF0000}"/>
    <cellStyle name="Финансовый 4 8 2 2 2 5 2" xfId="22054" xr:uid="{00000000-0005-0000-0000-0000F7AF0000}"/>
    <cellStyle name="Финансовый 4 8 2 2 2 5 2 2" xfId="46009" xr:uid="{00000000-0005-0000-0000-0000F8AF0000}"/>
    <cellStyle name="Финансовый 4 8 2 2 2 5 3" xfId="34031" xr:uid="{00000000-0005-0000-0000-0000F9AF0000}"/>
    <cellStyle name="Финансовый 4 8 2 2 2 6" xfId="14234" xr:uid="{00000000-0005-0000-0000-0000FAAF0000}"/>
    <cellStyle name="Финансовый 4 8 2 2 2 6 2" xfId="38189" xr:uid="{00000000-0005-0000-0000-0000FBAF0000}"/>
    <cellStyle name="Финансовый 4 8 2 2 2 7" xfId="26212" xr:uid="{00000000-0005-0000-0000-0000FCAF0000}"/>
    <cellStyle name="Финансовый 4 8 2 2 2 8" xfId="49345" xr:uid="{00000000-0005-0000-0000-0000FDAF0000}"/>
    <cellStyle name="Финансовый 4 8 2 2 3" xfId="3073" xr:uid="{00000000-0005-0000-0000-0000FEAF0000}"/>
    <cellStyle name="Финансовый 4 8 2 2 3 2" xfId="10868" xr:uid="{00000000-0005-0000-0000-0000FFAF0000}"/>
    <cellStyle name="Финансовый 4 8 2 2 3 2 2" xfId="22846" xr:uid="{00000000-0005-0000-0000-000000B00000}"/>
    <cellStyle name="Финансовый 4 8 2 2 3 2 2 2" xfId="46801" xr:uid="{00000000-0005-0000-0000-000001B00000}"/>
    <cellStyle name="Финансовый 4 8 2 2 3 2 3" xfId="34823" xr:uid="{00000000-0005-0000-0000-000002B00000}"/>
    <cellStyle name="Финансовый 4 8 2 2 3 3" xfId="15052" xr:uid="{00000000-0005-0000-0000-000003B00000}"/>
    <cellStyle name="Финансовый 4 8 2 2 3 3 2" xfId="39007" xr:uid="{00000000-0005-0000-0000-000004B00000}"/>
    <cellStyle name="Финансовый 4 8 2 2 3 4" xfId="27030" xr:uid="{00000000-0005-0000-0000-000005B00000}"/>
    <cellStyle name="Финансовый 4 8 2 2 3 5" xfId="50161" xr:uid="{00000000-0005-0000-0000-000006B00000}"/>
    <cellStyle name="Финансовый 4 8 2 2 4" xfId="4717" xr:uid="{00000000-0005-0000-0000-000007B00000}"/>
    <cellStyle name="Финансовый 4 8 2 2 4 2" xfId="16696" xr:uid="{00000000-0005-0000-0000-000008B00000}"/>
    <cellStyle name="Финансовый 4 8 2 2 4 2 2" xfId="40651" xr:uid="{00000000-0005-0000-0000-000009B00000}"/>
    <cellStyle name="Финансовый 4 8 2 2 4 3" xfId="28674" xr:uid="{00000000-0005-0000-0000-00000AB00000}"/>
    <cellStyle name="Финансовый 4 8 2 2 5" xfId="7329" xr:uid="{00000000-0005-0000-0000-00000BB00000}"/>
    <cellStyle name="Финансовый 4 8 2 2 5 2" xfId="19307" xr:uid="{00000000-0005-0000-0000-00000CB00000}"/>
    <cellStyle name="Финансовый 4 8 2 2 5 2 2" xfId="43262" xr:uid="{00000000-0005-0000-0000-00000DB00000}"/>
    <cellStyle name="Финансовый 4 8 2 2 5 3" xfId="31284" xr:uid="{00000000-0005-0000-0000-00000EB00000}"/>
    <cellStyle name="Финансовый 4 8 2 2 6" xfId="9111" xr:uid="{00000000-0005-0000-0000-00000FB00000}"/>
    <cellStyle name="Финансовый 4 8 2 2 6 2" xfId="21089" xr:uid="{00000000-0005-0000-0000-000010B00000}"/>
    <cellStyle name="Финансовый 4 8 2 2 6 2 2" xfId="45044" xr:uid="{00000000-0005-0000-0000-000011B00000}"/>
    <cellStyle name="Финансовый 4 8 2 2 6 3" xfId="33066" xr:uid="{00000000-0005-0000-0000-000012B00000}"/>
    <cellStyle name="Финансовый 4 8 2 2 7" xfId="13270" xr:uid="{00000000-0005-0000-0000-000013B00000}"/>
    <cellStyle name="Финансовый 4 8 2 2 7 2" xfId="37225" xr:uid="{00000000-0005-0000-0000-000014B00000}"/>
    <cellStyle name="Финансовый 4 8 2 2 8" xfId="25248" xr:uid="{00000000-0005-0000-0000-000015B00000}"/>
    <cellStyle name="Финансовый 4 8 2 2 9" xfId="48381" xr:uid="{00000000-0005-0000-0000-000016B00000}"/>
    <cellStyle name="Финансовый 4 8 2 3" xfId="1999" xr:uid="{00000000-0005-0000-0000-000017B00000}"/>
    <cellStyle name="Финансовый 4 8 2 3 2" xfId="3644" xr:uid="{00000000-0005-0000-0000-000018B00000}"/>
    <cellStyle name="Финансовый 4 8 2 3 2 2" xfId="11384" xr:uid="{00000000-0005-0000-0000-000019B00000}"/>
    <cellStyle name="Финансовый 4 8 2 3 2 2 2" xfId="23362" xr:uid="{00000000-0005-0000-0000-00001AB00000}"/>
    <cellStyle name="Финансовый 4 8 2 3 2 2 2 2" xfId="47317" xr:uid="{00000000-0005-0000-0000-00001BB00000}"/>
    <cellStyle name="Финансовый 4 8 2 3 2 2 3" xfId="35339" xr:uid="{00000000-0005-0000-0000-00001CB00000}"/>
    <cellStyle name="Финансовый 4 8 2 3 2 3" xfId="15623" xr:uid="{00000000-0005-0000-0000-00001DB00000}"/>
    <cellStyle name="Финансовый 4 8 2 3 2 3 2" xfId="39578" xr:uid="{00000000-0005-0000-0000-00001EB00000}"/>
    <cellStyle name="Финансовый 4 8 2 3 2 4" xfId="27601" xr:uid="{00000000-0005-0000-0000-00001FB00000}"/>
    <cellStyle name="Финансовый 4 8 2 3 2 5" xfId="50870" xr:uid="{00000000-0005-0000-0000-000020B00000}"/>
    <cellStyle name="Финансовый 4 8 2 3 3" xfId="5427" xr:uid="{00000000-0005-0000-0000-000021B00000}"/>
    <cellStyle name="Финансовый 4 8 2 3 3 2" xfId="17405" xr:uid="{00000000-0005-0000-0000-000022B00000}"/>
    <cellStyle name="Финансовый 4 8 2 3 3 2 2" xfId="41360" xr:uid="{00000000-0005-0000-0000-000023B00000}"/>
    <cellStyle name="Финансовый 4 8 2 3 3 3" xfId="29382" xr:uid="{00000000-0005-0000-0000-000024B00000}"/>
    <cellStyle name="Финансовый 4 8 2 3 4" xfId="8037" xr:uid="{00000000-0005-0000-0000-000025B00000}"/>
    <cellStyle name="Финансовый 4 8 2 3 4 2" xfId="20015" xr:uid="{00000000-0005-0000-0000-000026B00000}"/>
    <cellStyle name="Финансовый 4 8 2 3 4 2 2" xfId="43970" xr:uid="{00000000-0005-0000-0000-000027B00000}"/>
    <cellStyle name="Финансовый 4 8 2 3 4 3" xfId="31992" xr:uid="{00000000-0005-0000-0000-000028B00000}"/>
    <cellStyle name="Финансовый 4 8 2 3 5" xfId="9820" xr:uid="{00000000-0005-0000-0000-000029B00000}"/>
    <cellStyle name="Финансовый 4 8 2 3 5 2" xfId="21798" xr:uid="{00000000-0005-0000-0000-00002AB00000}"/>
    <cellStyle name="Финансовый 4 8 2 3 5 2 2" xfId="45753" xr:uid="{00000000-0005-0000-0000-00002BB00000}"/>
    <cellStyle name="Финансовый 4 8 2 3 5 3" xfId="33775" xr:uid="{00000000-0005-0000-0000-00002CB00000}"/>
    <cellStyle name="Финансовый 4 8 2 3 6" xfId="13978" xr:uid="{00000000-0005-0000-0000-00002DB00000}"/>
    <cellStyle name="Финансовый 4 8 2 3 6 2" xfId="37933" xr:uid="{00000000-0005-0000-0000-00002EB00000}"/>
    <cellStyle name="Финансовый 4 8 2 3 7" xfId="25956" xr:uid="{00000000-0005-0000-0000-00002FB00000}"/>
    <cellStyle name="Финансовый 4 8 2 3 8" xfId="49089" xr:uid="{00000000-0005-0000-0000-000030B00000}"/>
    <cellStyle name="Финансовый 4 8 2 4" xfId="2520" xr:uid="{00000000-0005-0000-0000-000031B00000}"/>
    <cellStyle name="Финансовый 4 8 2 4 2" xfId="4165" xr:uid="{00000000-0005-0000-0000-000032B00000}"/>
    <cellStyle name="Финансовый 4 8 2 4 2 2" xfId="11897" xr:uid="{00000000-0005-0000-0000-000033B00000}"/>
    <cellStyle name="Финансовый 4 8 2 4 2 2 2" xfId="23875" xr:uid="{00000000-0005-0000-0000-000034B00000}"/>
    <cellStyle name="Финансовый 4 8 2 4 2 2 2 2" xfId="47830" xr:uid="{00000000-0005-0000-0000-000035B00000}"/>
    <cellStyle name="Финансовый 4 8 2 4 2 2 3" xfId="35852" xr:uid="{00000000-0005-0000-0000-000036B00000}"/>
    <cellStyle name="Финансовый 4 8 2 4 2 3" xfId="16144" xr:uid="{00000000-0005-0000-0000-000037B00000}"/>
    <cellStyle name="Финансовый 4 8 2 4 2 3 2" xfId="40099" xr:uid="{00000000-0005-0000-0000-000038B00000}"/>
    <cellStyle name="Финансовый 4 8 2 4 2 4" xfId="28122" xr:uid="{00000000-0005-0000-0000-000039B00000}"/>
    <cellStyle name="Финансовый 4 8 2 4 2 5" xfId="51391" xr:uid="{00000000-0005-0000-0000-00003AB00000}"/>
    <cellStyle name="Финансовый 4 8 2 4 3" xfId="5948" xr:uid="{00000000-0005-0000-0000-00003BB00000}"/>
    <cellStyle name="Финансовый 4 8 2 4 3 2" xfId="17926" xr:uid="{00000000-0005-0000-0000-00003CB00000}"/>
    <cellStyle name="Финансовый 4 8 2 4 3 2 2" xfId="41881" xr:uid="{00000000-0005-0000-0000-00003DB00000}"/>
    <cellStyle name="Финансовый 4 8 2 4 3 3" xfId="29903" xr:uid="{00000000-0005-0000-0000-00003EB00000}"/>
    <cellStyle name="Финансовый 4 8 2 4 4" xfId="8558" xr:uid="{00000000-0005-0000-0000-00003FB00000}"/>
    <cellStyle name="Финансовый 4 8 2 4 4 2" xfId="20536" xr:uid="{00000000-0005-0000-0000-000040B00000}"/>
    <cellStyle name="Финансовый 4 8 2 4 4 2 2" xfId="44491" xr:uid="{00000000-0005-0000-0000-000041B00000}"/>
    <cellStyle name="Финансовый 4 8 2 4 4 3" xfId="32513" xr:uid="{00000000-0005-0000-0000-000042B00000}"/>
    <cellStyle name="Финансовый 4 8 2 4 5" xfId="10341" xr:uid="{00000000-0005-0000-0000-000043B00000}"/>
    <cellStyle name="Финансовый 4 8 2 4 5 2" xfId="22319" xr:uid="{00000000-0005-0000-0000-000044B00000}"/>
    <cellStyle name="Финансовый 4 8 2 4 5 2 2" xfId="46274" xr:uid="{00000000-0005-0000-0000-000045B00000}"/>
    <cellStyle name="Финансовый 4 8 2 4 5 3" xfId="34296" xr:uid="{00000000-0005-0000-0000-000046B00000}"/>
    <cellStyle name="Финансовый 4 8 2 4 6" xfId="14499" xr:uid="{00000000-0005-0000-0000-000047B00000}"/>
    <cellStyle name="Финансовый 4 8 2 4 6 2" xfId="38454" xr:uid="{00000000-0005-0000-0000-000048B00000}"/>
    <cellStyle name="Финансовый 4 8 2 4 7" xfId="26477" xr:uid="{00000000-0005-0000-0000-000049B00000}"/>
    <cellStyle name="Финансовый 4 8 2 4 8" xfId="49610" xr:uid="{00000000-0005-0000-0000-00004AB00000}"/>
    <cellStyle name="Финансовый 4 8 2 5" xfId="1024" xr:uid="{00000000-0005-0000-0000-00004BB00000}"/>
    <cellStyle name="Финансовый 4 8 2 5 2" xfId="7064" xr:uid="{00000000-0005-0000-0000-00004CB00000}"/>
    <cellStyle name="Финансовый 4 8 2 5 2 2" xfId="19042" xr:uid="{00000000-0005-0000-0000-00004DB00000}"/>
    <cellStyle name="Финансовый 4 8 2 5 2 2 2" xfId="42997" xr:uid="{00000000-0005-0000-0000-00004EB00000}"/>
    <cellStyle name="Финансовый 4 8 2 5 2 3" xfId="31019" xr:uid="{00000000-0005-0000-0000-00004FB00000}"/>
    <cellStyle name="Финансовый 4 8 2 5 3" xfId="10612" xr:uid="{00000000-0005-0000-0000-000050B00000}"/>
    <cellStyle name="Финансовый 4 8 2 5 3 2" xfId="22590" xr:uid="{00000000-0005-0000-0000-000051B00000}"/>
    <cellStyle name="Финансовый 4 8 2 5 3 2 2" xfId="46545" xr:uid="{00000000-0005-0000-0000-000052B00000}"/>
    <cellStyle name="Финансовый 4 8 2 5 3 3" xfId="34567" xr:uid="{00000000-0005-0000-0000-000053B00000}"/>
    <cellStyle name="Финансовый 4 8 2 5 4" xfId="13005" xr:uid="{00000000-0005-0000-0000-000054B00000}"/>
    <cellStyle name="Финансовый 4 8 2 5 4 2" xfId="36960" xr:uid="{00000000-0005-0000-0000-000055B00000}"/>
    <cellStyle name="Финансовый 4 8 2 5 5" xfId="24983" xr:uid="{00000000-0005-0000-0000-000056B00000}"/>
    <cellStyle name="Финансовый 4 8 2 5 6" xfId="49889" xr:uid="{00000000-0005-0000-0000-000057B00000}"/>
    <cellStyle name="Финансовый 4 8 2 6" xfId="612" xr:uid="{00000000-0005-0000-0000-000058B00000}"/>
    <cellStyle name="Финансовый 4 8 2 6 2" xfId="6652" xr:uid="{00000000-0005-0000-0000-000059B00000}"/>
    <cellStyle name="Финансовый 4 8 2 6 2 2" xfId="18630" xr:uid="{00000000-0005-0000-0000-00005AB00000}"/>
    <cellStyle name="Финансовый 4 8 2 6 2 2 2" xfId="42585" xr:uid="{00000000-0005-0000-0000-00005BB00000}"/>
    <cellStyle name="Финансовый 4 8 2 6 2 3" xfId="30607" xr:uid="{00000000-0005-0000-0000-00005CB00000}"/>
    <cellStyle name="Финансовый 4 8 2 6 3" xfId="12593" xr:uid="{00000000-0005-0000-0000-00005DB00000}"/>
    <cellStyle name="Финансовый 4 8 2 6 3 2" xfId="36548" xr:uid="{00000000-0005-0000-0000-00005EB00000}"/>
    <cellStyle name="Финансовый 4 8 2 6 4" xfId="24571" xr:uid="{00000000-0005-0000-0000-00005FB00000}"/>
    <cellStyle name="Финансовый 4 8 2 7" xfId="2801" xr:uid="{00000000-0005-0000-0000-000060B00000}"/>
    <cellStyle name="Финансовый 4 8 2 7 2" xfId="14780" xr:uid="{00000000-0005-0000-0000-000061B00000}"/>
    <cellStyle name="Финансовый 4 8 2 7 2 2" xfId="38735" xr:uid="{00000000-0005-0000-0000-000062B00000}"/>
    <cellStyle name="Финансовый 4 8 2 7 3" xfId="26758" xr:uid="{00000000-0005-0000-0000-000063B00000}"/>
    <cellStyle name="Финансовый 4 8 2 8" xfId="4445" xr:uid="{00000000-0005-0000-0000-000064B00000}"/>
    <cellStyle name="Финансовый 4 8 2 8 2" xfId="16424" xr:uid="{00000000-0005-0000-0000-000065B00000}"/>
    <cellStyle name="Финансовый 4 8 2 8 2 2" xfId="40379" xr:uid="{00000000-0005-0000-0000-000066B00000}"/>
    <cellStyle name="Финансовый 4 8 2 8 3" xfId="28402" xr:uid="{00000000-0005-0000-0000-000067B00000}"/>
    <cellStyle name="Финансовый 4 8 2 9" xfId="6232" xr:uid="{00000000-0005-0000-0000-000068B00000}"/>
    <cellStyle name="Финансовый 4 8 2 9 2" xfId="18210" xr:uid="{00000000-0005-0000-0000-000069B00000}"/>
    <cellStyle name="Финансовый 4 8 2 9 2 2" xfId="42165" xr:uid="{00000000-0005-0000-0000-00006AB00000}"/>
    <cellStyle name="Финансовый 4 8 2 9 3" xfId="30187" xr:uid="{00000000-0005-0000-0000-00006BB00000}"/>
    <cellStyle name="Финансовый 4 8 3" xfId="340" xr:uid="{00000000-0005-0000-0000-00006CB00000}"/>
    <cellStyle name="Финансовый 4 8 3 10" xfId="24299" xr:uid="{00000000-0005-0000-0000-00006DB00000}"/>
    <cellStyle name="Финансовый 4 8 3 11" xfId="48245" xr:uid="{00000000-0005-0000-0000-00006EB00000}"/>
    <cellStyle name="Финансовый 4 8 3 2" xfId="2127" xr:uid="{00000000-0005-0000-0000-00006FB00000}"/>
    <cellStyle name="Финансовый 4 8 3 2 2" xfId="3772" xr:uid="{00000000-0005-0000-0000-000070B00000}"/>
    <cellStyle name="Финансовый 4 8 3 2 2 2" xfId="11512" xr:uid="{00000000-0005-0000-0000-000071B00000}"/>
    <cellStyle name="Финансовый 4 8 3 2 2 2 2" xfId="23490" xr:uid="{00000000-0005-0000-0000-000072B00000}"/>
    <cellStyle name="Финансовый 4 8 3 2 2 2 2 2" xfId="47445" xr:uid="{00000000-0005-0000-0000-000073B00000}"/>
    <cellStyle name="Финансовый 4 8 3 2 2 2 3" xfId="35467" xr:uid="{00000000-0005-0000-0000-000074B00000}"/>
    <cellStyle name="Финансовый 4 8 3 2 2 3" xfId="15751" xr:uid="{00000000-0005-0000-0000-000075B00000}"/>
    <cellStyle name="Финансовый 4 8 3 2 2 3 2" xfId="39706" xr:uid="{00000000-0005-0000-0000-000076B00000}"/>
    <cellStyle name="Финансовый 4 8 3 2 2 4" xfId="27729" xr:uid="{00000000-0005-0000-0000-000077B00000}"/>
    <cellStyle name="Финансовый 4 8 3 2 2 5" xfId="50998" xr:uid="{00000000-0005-0000-0000-000078B00000}"/>
    <cellStyle name="Финансовый 4 8 3 2 3" xfId="5555" xr:uid="{00000000-0005-0000-0000-000079B00000}"/>
    <cellStyle name="Финансовый 4 8 3 2 3 2" xfId="17533" xr:uid="{00000000-0005-0000-0000-00007AB00000}"/>
    <cellStyle name="Финансовый 4 8 3 2 3 2 2" xfId="41488" xr:uid="{00000000-0005-0000-0000-00007BB00000}"/>
    <cellStyle name="Финансовый 4 8 3 2 3 3" xfId="29510" xr:uid="{00000000-0005-0000-0000-00007CB00000}"/>
    <cellStyle name="Финансовый 4 8 3 2 4" xfId="8165" xr:uid="{00000000-0005-0000-0000-00007DB00000}"/>
    <cellStyle name="Финансовый 4 8 3 2 4 2" xfId="20143" xr:uid="{00000000-0005-0000-0000-00007EB00000}"/>
    <cellStyle name="Финансовый 4 8 3 2 4 2 2" xfId="44098" xr:uid="{00000000-0005-0000-0000-00007FB00000}"/>
    <cellStyle name="Финансовый 4 8 3 2 4 3" xfId="32120" xr:uid="{00000000-0005-0000-0000-000080B00000}"/>
    <cellStyle name="Финансовый 4 8 3 2 5" xfId="9948" xr:uid="{00000000-0005-0000-0000-000081B00000}"/>
    <cellStyle name="Финансовый 4 8 3 2 5 2" xfId="21926" xr:uid="{00000000-0005-0000-0000-000082B00000}"/>
    <cellStyle name="Финансовый 4 8 3 2 5 2 2" xfId="45881" xr:uid="{00000000-0005-0000-0000-000083B00000}"/>
    <cellStyle name="Финансовый 4 8 3 2 5 3" xfId="33903" xr:uid="{00000000-0005-0000-0000-000084B00000}"/>
    <cellStyle name="Финансовый 4 8 3 2 6" xfId="14106" xr:uid="{00000000-0005-0000-0000-000085B00000}"/>
    <cellStyle name="Финансовый 4 8 3 2 6 2" xfId="38061" xr:uid="{00000000-0005-0000-0000-000086B00000}"/>
    <cellStyle name="Финансовый 4 8 3 2 7" xfId="26084" xr:uid="{00000000-0005-0000-0000-000087B00000}"/>
    <cellStyle name="Финансовый 4 8 3 2 8" xfId="49217" xr:uid="{00000000-0005-0000-0000-000088B00000}"/>
    <cellStyle name="Финансовый 4 8 3 3" xfId="1160" xr:uid="{00000000-0005-0000-0000-000089B00000}"/>
    <cellStyle name="Финансовый 4 8 3 3 2" xfId="7200" xr:uid="{00000000-0005-0000-0000-00008AB00000}"/>
    <cellStyle name="Финансовый 4 8 3 3 2 2" xfId="19178" xr:uid="{00000000-0005-0000-0000-00008BB00000}"/>
    <cellStyle name="Финансовый 4 8 3 3 2 2 2" xfId="43133" xr:uid="{00000000-0005-0000-0000-00008CB00000}"/>
    <cellStyle name="Финансовый 4 8 3 3 2 3" xfId="31155" xr:uid="{00000000-0005-0000-0000-00008DB00000}"/>
    <cellStyle name="Финансовый 4 8 3 3 3" xfId="10740" xr:uid="{00000000-0005-0000-0000-00008EB00000}"/>
    <cellStyle name="Финансовый 4 8 3 3 3 2" xfId="22718" xr:uid="{00000000-0005-0000-0000-00008FB00000}"/>
    <cellStyle name="Финансовый 4 8 3 3 3 2 2" xfId="46673" xr:uid="{00000000-0005-0000-0000-000090B00000}"/>
    <cellStyle name="Финансовый 4 8 3 3 3 3" xfId="34695" xr:uid="{00000000-0005-0000-0000-000091B00000}"/>
    <cellStyle name="Финансовый 4 8 3 3 4" xfId="13141" xr:uid="{00000000-0005-0000-0000-000092B00000}"/>
    <cellStyle name="Финансовый 4 8 3 3 4 2" xfId="37096" xr:uid="{00000000-0005-0000-0000-000093B00000}"/>
    <cellStyle name="Финансовый 4 8 3 3 5" xfId="25119" xr:uid="{00000000-0005-0000-0000-000094B00000}"/>
    <cellStyle name="Финансовый 4 8 3 3 6" xfId="50025" xr:uid="{00000000-0005-0000-0000-000095B00000}"/>
    <cellStyle name="Финансовый 4 8 3 4" xfId="760" xr:uid="{00000000-0005-0000-0000-000096B00000}"/>
    <cellStyle name="Финансовый 4 8 3 4 2" xfId="6800" xr:uid="{00000000-0005-0000-0000-000097B00000}"/>
    <cellStyle name="Финансовый 4 8 3 4 2 2" xfId="18778" xr:uid="{00000000-0005-0000-0000-000098B00000}"/>
    <cellStyle name="Финансовый 4 8 3 4 2 2 2" xfId="42733" xr:uid="{00000000-0005-0000-0000-000099B00000}"/>
    <cellStyle name="Финансовый 4 8 3 4 2 3" xfId="30755" xr:uid="{00000000-0005-0000-0000-00009AB00000}"/>
    <cellStyle name="Финансовый 4 8 3 4 3" xfId="12741" xr:uid="{00000000-0005-0000-0000-00009BB00000}"/>
    <cellStyle name="Финансовый 4 8 3 4 3 2" xfId="36696" xr:uid="{00000000-0005-0000-0000-00009CB00000}"/>
    <cellStyle name="Финансовый 4 8 3 4 4" xfId="24719" xr:uid="{00000000-0005-0000-0000-00009DB00000}"/>
    <cellStyle name="Финансовый 4 8 3 5" xfId="2937" xr:uid="{00000000-0005-0000-0000-00009EB00000}"/>
    <cellStyle name="Финансовый 4 8 3 5 2" xfId="14916" xr:uid="{00000000-0005-0000-0000-00009FB00000}"/>
    <cellStyle name="Финансовый 4 8 3 5 2 2" xfId="38871" xr:uid="{00000000-0005-0000-0000-0000A0B00000}"/>
    <cellStyle name="Финансовый 4 8 3 5 3" xfId="26894" xr:uid="{00000000-0005-0000-0000-0000A1B00000}"/>
    <cellStyle name="Финансовый 4 8 3 6" xfId="4581" xr:uid="{00000000-0005-0000-0000-0000A2B00000}"/>
    <cellStyle name="Финансовый 4 8 3 6 2" xfId="16560" xr:uid="{00000000-0005-0000-0000-0000A3B00000}"/>
    <cellStyle name="Финансовый 4 8 3 6 2 2" xfId="40515" xr:uid="{00000000-0005-0000-0000-0000A4B00000}"/>
    <cellStyle name="Финансовый 4 8 3 6 3" xfId="28538" xr:uid="{00000000-0005-0000-0000-0000A5B00000}"/>
    <cellStyle name="Финансовый 4 8 3 7" xfId="6380" xr:uid="{00000000-0005-0000-0000-0000A6B00000}"/>
    <cellStyle name="Финансовый 4 8 3 7 2" xfId="18358" xr:uid="{00000000-0005-0000-0000-0000A7B00000}"/>
    <cellStyle name="Финансовый 4 8 3 7 2 2" xfId="42313" xr:uid="{00000000-0005-0000-0000-0000A8B00000}"/>
    <cellStyle name="Финансовый 4 8 3 7 3" xfId="30335" xr:uid="{00000000-0005-0000-0000-0000A9B00000}"/>
    <cellStyle name="Финансовый 4 8 3 8" xfId="8975" xr:uid="{00000000-0005-0000-0000-0000AAB00000}"/>
    <cellStyle name="Финансовый 4 8 3 8 2" xfId="20953" xr:uid="{00000000-0005-0000-0000-0000ABB00000}"/>
    <cellStyle name="Финансовый 4 8 3 8 2 2" xfId="44908" xr:uid="{00000000-0005-0000-0000-0000ACB00000}"/>
    <cellStyle name="Финансовый 4 8 3 8 3" xfId="32930" xr:uid="{00000000-0005-0000-0000-0000ADB00000}"/>
    <cellStyle name="Финансовый 4 8 3 9" xfId="12321" xr:uid="{00000000-0005-0000-0000-0000AEB00000}"/>
    <cellStyle name="Финансовый 4 8 3 9 2" xfId="36276" xr:uid="{00000000-0005-0000-0000-0000AFB00000}"/>
    <cellStyle name="Финансовый 4 8 4" xfId="1433" xr:uid="{00000000-0005-0000-0000-0000B0B00000}"/>
    <cellStyle name="Финансовый 4 8 4 2" xfId="1863" xr:uid="{00000000-0005-0000-0000-0000B1B00000}"/>
    <cellStyle name="Финансовый 4 8 4 2 2" xfId="3508" xr:uid="{00000000-0005-0000-0000-0000B2B00000}"/>
    <cellStyle name="Финансовый 4 8 4 2 2 2" xfId="11256" xr:uid="{00000000-0005-0000-0000-0000B3B00000}"/>
    <cellStyle name="Финансовый 4 8 4 2 2 2 2" xfId="23234" xr:uid="{00000000-0005-0000-0000-0000B4B00000}"/>
    <cellStyle name="Финансовый 4 8 4 2 2 2 2 2" xfId="47189" xr:uid="{00000000-0005-0000-0000-0000B5B00000}"/>
    <cellStyle name="Финансовый 4 8 4 2 2 2 3" xfId="35211" xr:uid="{00000000-0005-0000-0000-0000B6B00000}"/>
    <cellStyle name="Финансовый 4 8 4 2 2 3" xfId="15487" xr:uid="{00000000-0005-0000-0000-0000B7B00000}"/>
    <cellStyle name="Финансовый 4 8 4 2 2 3 2" xfId="39442" xr:uid="{00000000-0005-0000-0000-0000B8B00000}"/>
    <cellStyle name="Финансовый 4 8 4 2 2 4" xfId="27465" xr:uid="{00000000-0005-0000-0000-0000B9B00000}"/>
    <cellStyle name="Финансовый 4 8 4 2 2 5" xfId="50734" xr:uid="{00000000-0005-0000-0000-0000BAB00000}"/>
    <cellStyle name="Финансовый 4 8 4 2 3" xfId="5291" xr:uid="{00000000-0005-0000-0000-0000BBB00000}"/>
    <cellStyle name="Финансовый 4 8 4 2 3 2" xfId="17269" xr:uid="{00000000-0005-0000-0000-0000BCB00000}"/>
    <cellStyle name="Финансовый 4 8 4 2 3 2 2" xfId="41224" xr:uid="{00000000-0005-0000-0000-0000BDB00000}"/>
    <cellStyle name="Финансовый 4 8 4 2 3 3" xfId="29246" xr:uid="{00000000-0005-0000-0000-0000BEB00000}"/>
    <cellStyle name="Финансовый 4 8 4 2 4" xfId="7901" xr:uid="{00000000-0005-0000-0000-0000BFB00000}"/>
    <cellStyle name="Финансовый 4 8 4 2 4 2" xfId="19879" xr:uid="{00000000-0005-0000-0000-0000C0B00000}"/>
    <cellStyle name="Финансовый 4 8 4 2 4 2 2" xfId="43834" xr:uid="{00000000-0005-0000-0000-0000C1B00000}"/>
    <cellStyle name="Финансовый 4 8 4 2 4 3" xfId="31856" xr:uid="{00000000-0005-0000-0000-0000C2B00000}"/>
    <cellStyle name="Финансовый 4 8 4 2 5" xfId="9684" xr:uid="{00000000-0005-0000-0000-0000C3B00000}"/>
    <cellStyle name="Финансовый 4 8 4 2 5 2" xfId="21662" xr:uid="{00000000-0005-0000-0000-0000C4B00000}"/>
    <cellStyle name="Финансовый 4 8 4 2 5 2 2" xfId="45617" xr:uid="{00000000-0005-0000-0000-0000C5B00000}"/>
    <cellStyle name="Финансовый 4 8 4 2 5 3" xfId="33639" xr:uid="{00000000-0005-0000-0000-0000C6B00000}"/>
    <cellStyle name="Финансовый 4 8 4 2 6" xfId="13842" xr:uid="{00000000-0005-0000-0000-0000C7B00000}"/>
    <cellStyle name="Финансовый 4 8 4 2 6 2" xfId="37797" xr:uid="{00000000-0005-0000-0000-0000C8B00000}"/>
    <cellStyle name="Финансовый 4 8 4 2 7" xfId="25820" xr:uid="{00000000-0005-0000-0000-0000C9B00000}"/>
    <cellStyle name="Финансовый 4 8 4 2 8" xfId="48953" xr:uid="{00000000-0005-0000-0000-0000CAB00000}"/>
    <cellStyle name="Финансовый 4 8 4 3" xfId="4861" xr:uid="{00000000-0005-0000-0000-0000CBB00000}"/>
    <cellStyle name="Финансовый 4 8 4 3 2" xfId="16840" xr:uid="{00000000-0005-0000-0000-0000CCB00000}"/>
    <cellStyle name="Финансовый 4 8 4 3 2 2" xfId="40795" xr:uid="{00000000-0005-0000-0000-0000CDB00000}"/>
    <cellStyle name="Финансовый 4 8 4 3 3" xfId="28817" xr:uid="{00000000-0005-0000-0000-0000CEB00000}"/>
    <cellStyle name="Финансовый 4 8 4 3 4" xfId="50305" xr:uid="{00000000-0005-0000-0000-0000CFB00000}"/>
    <cellStyle name="Финансовый 4 8 4 4" xfId="7472" xr:uid="{00000000-0005-0000-0000-0000D0B00000}"/>
    <cellStyle name="Финансовый 4 8 4 4 2" xfId="19450" xr:uid="{00000000-0005-0000-0000-0000D1B00000}"/>
    <cellStyle name="Финансовый 4 8 4 4 2 2" xfId="43405" xr:uid="{00000000-0005-0000-0000-0000D2B00000}"/>
    <cellStyle name="Финансовый 4 8 4 4 3" xfId="31427" xr:uid="{00000000-0005-0000-0000-0000D3B00000}"/>
    <cellStyle name="Финансовый 4 8 4 5" xfId="9255" xr:uid="{00000000-0005-0000-0000-0000D4B00000}"/>
    <cellStyle name="Финансовый 4 8 4 5 2" xfId="21233" xr:uid="{00000000-0005-0000-0000-0000D5B00000}"/>
    <cellStyle name="Финансовый 4 8 4 5 2 2" xfId="45188" xr:uid="{00000000-0005-0000-0000-0000D6B00000}"/>
    <cellStyle name="Финансовый 4 8 4 5 3" xfId="33210" xr:uid="{00000000-0005-0000-0000-0000D7B00000}"/>
    <cellStyle name="Финансовый 4 8 4 6" xfId="13413" xr:uid="{00000000-0005-0000-0000-0000D8B00000}"/>
    <cellStyle name="Финансовый 4 8 4 6 2" xfId="37368" xr:uid="{00000000-0005-0000-0000-0000D9B00000}"/>
    <cellStyle name="Финансовый 4 8 4 7" xfId="25391" xr:uid="{00000000-0005-0000-0000-0000DAB00000}"/>
    <cellStyle name="Финансовый 4 8 4 8" xfId="48524" xr:uid="{00000000-0005-0000-0000-0000DBB00000}"/>
    <cellStyle name="Финансовый 4 8 5" xfId="1747" xr:uid="{00000000-0005-0000-0000-0000DCB00000}"/>
    <cellStyle name="Финансовый 4 8 5 2" xfId="3392" xr:uid="{00000000-0005-0000-0000-0000DDB00000}"/>
    <cellStyle name="Финансовый 4 8 5 2 2" xfId="11140" xr:uid="{00000000-0005-0000-0000-0000DEB00000}"/>
    <cellStyle name="Финансовый 4 8 5 2 2 2" xfId="23118" xr:uid="{00000000-0005-0000-0000-0000DFB00000}"/>
    <cellStyle name="Финансовый 4 8 5 2 2 2 2" xfId="47073" xr:uid="{00000000-0005-0000-0000-0000E0B00000}"/>
    <cellStyle name="Финансовый 4 8 5 2 2 3" xfId="35095" xr:uid="{00000000-0005-0000-0000-0000E1B00000}"/>
    <cellStyle name="Финансовый 4 8 5 2 3" xfId="15371" xr:uid="{00000000-0005-0000-0000-0000E2B00000}"/>
    <cellStyle name="Финансовый 4 8 5 2 3 2" xfId="39326" xr:uid="{00000000-0005-0000-0000-0000E3B00000}"/>
    <cellStyle name="Финансовый 4 8 5 2 4" xfId="27349" xr:uid="{00000000-0005-0000-0000-0000E4B00000}"/>
    <cellStyle name="Финансовый 4 8 5 2 5" xfId="50618" xr:uid="{00000000-0005-0000-0000-0000E5B00000}"/>
    <cellStyle name="Финансовый 4 8 5 3" xfId="5175" xr:uid="{00000000-0005-0000-0000-0000E6B00000}"/>
    <cellStyle name="Финансовый 4 8 5 3 2" xfId="17153" xr:uid="{00000000-0005-0000-0000-0000E7B00000}"/>
    <cellStyle name="Финансовый 4 8 5 3 2 2" xfId="41108" xr:uid="{00000000-0005-0000-0000-0000E8B00000}"/>
    <cellStyle name="Финансовый 4 8 5 3 3" xfId="29130" xr:uid="{00000000-0005-0000-0000-0000E9B00000}"/>
    <cellStyle name="Финансовый 4 8 5 4" xfId="7785" xr:uid="{00000000-0005-0000-0000-0000EAB00000}"/>
    <cellStyle name="Финансовый 4 8 5 4 2" xfId="19763" xr:uid="{00000000-0005-0000-0000-0000EBB00000}"/>
    <cellStyle name="Финансовый 4 8 5 4 2 2" xfId="43718" xr:uid="{00000000-0005-0000-0000-0000ECB00000}"/>
    <cellStyle name="Финансовый 4 8 5 4 3" xfId="31740" xr:uid="{00000000-0005-0000-0000-0000EDB00000}"/>
    <cellStyle name="Финансовый 4 8 5 5" xfId="9568" xr:uid="{00000000-0005-0000-0000-0000EEB00000}"/>
    <cellStyle name="Финансовый 4 8 5 5 2" xfId="21546" xr:uid="{00000000-0005-0000-0000-0000EFB00000}"/>
    <cellStyle name="Финансовый 4 8 5 5 2 2" xfId="45501" xr:uid="{00000000-0005-0000-0000-0000F0B00000}"/>
    <cellStyle name="Финансовый 4 8 5 5 3" xfId="33523" xr:uid="{00000000-0005-0000-0000-0000F1B00000}"/>
    <cellStyle name="Финансовый 4 8 5 6" xfId="13726" xr:uid="{00000000-0005-0000-0000-0000F2B00000}"/>
    <cellStyle name="Финансовый 4 8 5 6 2" xfId="37681" xr:uid="{00000000-0005-0000-0000-0000F3B00000}"/>
    <cellStyle name="Финансовый 4 8 5 7" xfId="25704" xr:uid="{00000000-0005-0000-0000-0000F4B00000}"/>
    <cellStyle name="Финансовый 4 8 5 8" xfId="48837" xr:uid="{00000000-0005-0000-0000-0000F5B00000}"/>
    <cellStyle name="Финансовый 4 8 6" xfId="2383" xr:uid="{00000000-0005-0000-0000-0000F6B00000}"/>
    <cellStyle name="Финансовый 4 8 6 2" xfId="4028" xr:uid="{00000000-0005-0000-0000-0000F7B00000}"/>
    <cellStyle name="Финансовый 4 8 6 2 2" xfId="11768" xr:uid="{00000000-0005-0000-0000-0000F8B00000}"/>
    <cellStyle name="Финансовый 4 8 6 2 2 2" xfId="23746" xr:uid="{00000000-0005-0000-0000-0000F9B00000}"/>
    <cellStyle name="Финансовый 4 8 6 2 2 2 2" xfId="47701" xr:uid="{00000000-0005-0000-0000-0000FAB00000}"/>
    <cellStyle name="Финансовый 4 8 6 2 2 3" xfId="35723" xr:uid="{00000000-0005-0000-0000-0000FBB00000}"/>
    <cellStyle name="Финансовый 4 8 6 2 3" xfId="16007" xr:uid="{00000000-0005-0000-0000-0000FCB00000}"/>
    <cellStyle name="Финансовый 4 8 6 2 3 2" xfId="39962" xr:uid="{00000000-0005-0000-0000-0000FDB00000}"/>
    <cellStyle name="Финансовый 4 8 6 2 4" xfId="27985" xr:uid="{00000000-0005-0000-0000-0000FEB00000}"/>
    <cellStyle name="Финансовый 4 8 6 2 5" xfId="51254" xr:uid="{00000000-0005-0000-0000-0000FFB00000}"/>
    <cellStyle name="Финансовый 4 8 6 3" xfId="5811" xr:uid="{00000000-0005-0000-0000-000000B10000}"/>
    <cellStyle name="Финансовый 4 8 6 3 2" xfId="17789" xr:uid="{00000000-0005-0000-0000-000001B10000}"/>
    <cellStyle name="Финансовый 4 8 6 3 2 2" xfId="41744" xr:uid="{00000000-0005-0000-0000-000002B10000}"/>
    <cellStyle name="Финансовый 4 8 6 3 3" xfId="29766" xr:uid="{00000000-0005-0000-0000-000003B10000}"/>
    <cellStyle name="Финансовый 4 8 6 4" xfId="8421" xr:uid="{00000000-0005-0000-0000-000004B10000}"/>
    <cellStyle name="Финансовый 4 8 6 4 2" xfId="20399" xr:uid="{00000000-0005-0000-0000-000005B10000}"/>
    <cellStyle name="Финансовый 4 8 6 4 2 2" xfId="44354" xr:uid="{00000000-0005-0000-0000-000006B10000}"/>
    <cellStyle name="Финансовый 4 8 6 4 3" xfId="32376" xr:uid="{00000000-0005-0000-0000-000007B10000}"/>
    <cellStyle name="Финансовый 4 8 6 5" xfId="10204" xr:uid="{00000000-0005-0000-0000-000008B10000}"/>
    <cellStyle name="Финансовый 4 8 6 5 2" xfId="22182" xr:uid="{00000000-0005-0000-0000-000009B10000}"/>
    <cellStyle name="Финансовый 4 8 6 5 2 2" xfId="46137" xr:uid="{00000000-0005-0000-0000-00000AB10000}"/>
    <cellStyle name="Финансовый 4 8 6 5 3" xfId="34159" xr:uid="{00000000-0005-0000-0000-00000BB10000}"/>
    <cellStyle name="Финансовый 4 8 6 6" xfId="14362" xr:uid="{00000000-0005-0000-0000-00000CB10000}"/>
    <cellStyle name="Финансовый 4 8 6 6 2" xfId="38317" xr:uid="{00000000-0005-0000-0000-00000DB10000}"/>
    <cellStyle name="Финансовый 4 8 6 7" xfId="26340" xr:uid="{00000000-0005-0000-0000-00000EB10000}"/>
    <cellStyle name="Финансовый 4 8 6 8" xfId="49473" xr:uid="{00000000-0005-0000-0000-00000FB10000}"/>
    <cellStyle name="Финансовый 4 8 7" xfId="1610" xr:uid="{00000000-0005-0000-0000-000010B10000}"/>
    <cellStyle name="Финансовый 4 8 7 2" xfId="3255" xr:uid="{00000000-0005-0000-0000-000011B10000}"/>
    <cellStyle name="Финансовый 4 8 7 2 2" xfId="11011" xr:uid="{00000000-0005-0000-0000-000012B10000}"/>
    <cellStyle name="Финансовый 4 8 7 2 2 2" xfId="22989" xr:uid="{00000000-0005-0000-0000-000013B10000}"/>
    <cellStyle name="Финансовый 4 8 7 2 2 2 2" xfId="46944" xr:uid="{00000000-0005-0000-0000-000014B10000}"/>
    <cellStyle name="Финансовый 4 8 7 2 2 3" xfId="34966" xr:uid="{00000000-0005-0000-0000-000015B10000}"/>
    <cellStyle name="Финансовый 4 8 7 2 3" xfId="15234" xr:uid="{00000000-0005-0000-0000-000016B10000}"/>
    <cellStyle name="Финансовый 4 8 7 2 3 2" xfId="39189" xr:uid="{00000000-0005-0000-0000-000017B10000}"/>
    <cellStyle name="Финансовый 4 8 7 2 4" xfId="27212" xr:uid="{00000000-0005-0000-0000-000018B10000}"/>
    <cellStyle name="Финансовый 4 8 7 2 5" xfId="50481" xr:uid="{00000000-0005-0000-0000-000019B10000}"/>
    <cellStyle name="Финансовый 4 8 7 3" xfId="5038" xr:uid="{00000000-0005-0000-0000-00001AB10000}"/>
    <cellStyle name="Финансовый 4 8 7 3 2" xfId="17016" xr:uid="{00000000-0005-0000-0000-00001BB10000}"/>
    <cellStyle name="Финансовый 4 8 7 3 2 2" xfId="40971" xr:uid="{00000000-0005-0000-0000-00001CB10000}"/>
    <cellStyle name="Финансовый 4 8 7 3 3" xfId="28993" xr:uid="{00000000-0005-0000-0000-00001DB10000}"/>
    <cellStyle name="Финансовый 4 8 7 4" xfId="7648" xr:uid="{00000000-0005-0000-0000-00001EB10000}"/>
    <cellStyle name="Финансовый 4 8 7 4 2" xfId="19626" xr:uid="{00000000-0005-0000-0000-00001FB10000}"/>
    <cellStyle name="Финансовый 4 8 7 4 2 2" xfId="43581" xr:uid="{00000000-0005-0000-0000-000020B10000}"/>
    <cellStyle name="Финансовый 4 8 7 4 3" xfId="31603" xr:uid="{00000000-0005-0000-0000-000021B10000}"/>
    <cellStyle name="Финансовый 4 8 7 5" xfId="9431" xr:uid="{00000000-0005-0000-0000-000022B10000}"/>
    <cellStyle name="Финансовый 4 8 7 5 2" xfId="21409" xr:uid="{00000000-0005-0000-0000-000023B10000}"/>
    <cellStyle name="Финансовый 4 8 7 5 2 2" xfId="45364" xr:uid="{00000000-0005-0000-0000-000024B10000}"/>
    <cellStyle name="Финансовый 4 8 7 5 3" xfId="33386" xr:uid="{00000000-0005-0000-0000-000025B10000}"/>
    <cellStyle name="Финансовый 4 8 7 6" xfId="13589" xr:uid="{00000000-0005-0000-0000-000026B10000}"/>
    <cellStyle name="Финансовый 4 8 7 6 2" xfId="37544" xr:uid="{00000000-0005-0000-0000-000027B10000}"/>
    <cellStyle name="Финансовый 4 8 7 7" xfId="25567" xr:uid="{00000000-0005-0000-0000-000028B10000}"/>
    <cellStyle name="Финансовый 4 8 7 8" xfId="48700" xr:uid="{00000000-0005-0000-0000-000029B10000}"/>
    <cellStyle name="Финансовый 4 8 8" xfId="896" xr:uid="{00000000-0005-0000-0000-00002AB10000}"/>
    <cellStyle name="Финансовый 4 8 8 2" xfId="6936" xr:uid="{00000000-0005-0000-0000-00002BB10000}"/>
    <cellStyle name="Финансовый 4 8 8 2 2" xfId="18914" xr:uid="{00000000-0005-0000-0000-00002CB10000}"/>
    <cellStyle name="Финансовый 4 8 8 2 2 2" xfId="42869" xr:uid="{00000000-0005-0000-0000-00002DB10000}"/>
    <cellStyle name="Финансовый 4 8 8 2 3" xfId="30891" xr:uid="{00000000-0005-0000-0000-00002EB10000}"/>
    <cellStyle name="Финансовый 4 8 8 3" xfId="10484" xr:uid="{00000000-0005-0000-0000-00002FB10000}"/>
    <cellStyle name="Финансовый 4 8 8 3 2" xfId="22462" xr:uid="{00000000-0005-0000-0000-000030B10000}"/>
    <cellStyle name="Финансовый 4 8 8 3 2 2" xfId="46417" xr:uid="{00000000-0005-0000-0000-000031B10000}"/>
    <cellStyle name="Финансовый 4 8 8 3 3" xfId="34439" xr:uid="{00000000-0005-0000-0000-000032B10000}"/>
    <cellStyle name="Финансовый 4 8 8 4" xfId="12877" xr:uid="{00000000-0005-0000-0000-000033B10000}"/>
    <cellStyle name="Финансовый 4 8 8 4 2" xfId="36832" xr:uid="{00000000-0005-0000-0000-000034B10000}"/>
    <cellStyle name="Финансовый 4 8 8 5" xfId="24855" xr:uid="{00000000-0005-0000-0000-000035B10000}"/>
    <cellStyle name="Финансовый 4 8 8 6" xfId="49753" xr:uid="{00000000-0005-0000-0000-000036B10000}"/>
    <cellStyle name="Финансовый 4 8 9" xfId="476" xr:uid="{00000000-0005-0000-0000-000037B10000}"/>
    <cellStyle name="Финансовый 4 8 9 2" xfId="6516" xr:uid="{00000000-0005-0000-0000-000038B10000}"/>
    <cellStyle name="Финансовый 4 8 9 2 2" xfId="18494" xr:uid="{00000000-0005-0000-0000-000039B10000}"/>
    <cellStyle name="Финансовый 4 8 9 2 2 2" xfId="42449" xr:uid="{00000000-0005-0000-0000-00003AB10000}"/>
    <cellStyle name="Финансовый 4 8 9 2 3" xfId="30471" xr:uid="{00000000-0005-0000-0000-00003BB10000}"/>
    <cellStyle name="Финансовый 4 8 9 3" xfId="12457" xr:uid="{00000000-0005-0000-0000-00003CB10000}"/>
    <cellStyle name="Финансовый 4 8 9 3 2" xfId="36412" xr:uid="{00000000-0005-0000-0000-00003DB10000}"/>
    <cellStyle name="Финансовый 4 8 9 4" xfId="24435" xr:uid="{00000000-0005-0000-0000-00003EB10000}"/>
    <cellStyle name="Финансовый 4 9" xfId="131" xr:uid="{00000000-0005-0000-0000-00003FB10000}"/>
    <cellStyle name="Финансовый 4 9 10" xfId="2741" xr:uid="{00000000-0005-0000-0000-000040B10000}"/>
    <cellStyle name="Финансовый 4 9 10 2" xfId="14720" xr:uid="{00000000-0005-0000-0000-000041B10000}"/>
    <cellStyle name="Финансовый 4 9 10 2 2" xfId="38675" xr:uid="{00000000-0005-0000-0000-000042B10000}"/>
    <cellStyle name="Финансовый 4 9 10 3" xfId="26698" xr:uid="{00000000-0005-0000-0000-000043B10000}"/>
    <cellStyle name="Финансовый 4 9 11" xfId="4385" xr:uid="{00000000-0005-0000-0000-000044B10000}"/>
    <cellStyle name="Финансовый 4 9 11 2" xfId="16364" xr:uid="{00000000-0005-0000-0000-000045B10000}"/>
    <cellStyle name="Финансовый 4 9 11 2 2" xfId="40319" xr:uid="{00000000-0005-0000-0000-000046B10000}"/>
    <cellStyle name="Финансовый 4 9 11 3" xfId="28342" xr:uid="{00000000-0005-0000-0000-000047B10000}"/>
    <cellStyle name="Финансовый 4 9 12" xfId="6172" xr:uid="{00000000-0005-0000-0000-000048B10000}"/>
    <cellStyle name="Финансовый 4 9 12 2" xfId="18150" xr:uid="{00000000-0005-0000-0000-000049B10000}"/>
    <cellStyle name="Финансовый 4 9 12 2 2" xfId="42105" xr:uid="{00000000-0005-0000-0000-00004AB10000}"/>
    <cellStyle name="Финансовый 4 9 12 3" xfId="30127" xr:uid="{00000000-0005-0000-0000-00004BB10000}"/>
    <cellStyle name="Финансовый 4 9 13" xfId="8779" xr:uid="{00000000-0005-0000-0000-00004CB10000}"/>
    <cellStyle name="Финансовый 4 9 13 2" xfId="20757" xr:uid="{00000000-0005-0000-0000-00004DB10000}"/>
    <cellStyle name="Финансовый 4 9 13 2 2" xfId="44712" xr:uid="{00000000-0005-0000-0000-00004EB10000}"/>
    <cellStyle name="Финансовый 4 9 13 3" xfId="32734" xr:uid="{00000000-0005-0000-0000-00004FB10000}"/>
    <cellStyle name="Финансовый 4 9 14" xfId="12113" xr:uid="{00000000-0005-0000-0000-000050B10000}"/>
    <cellStyle name="Финансовый 4 9 14 2" xfId="36068" xr:uid="{00000000-0005-0000-0000-000051B10000}"/>
    <cellStyle name="Финансовый 4 9 15" xfId="24091" xr:uid="{00000000-0005-0000-0000-000052B10000}"/>
    <cellStyle name="Финансовый 4 9 16" xfId="48049" xr:uid="{00000000-0005-0000-0000-000053B10000}"/>
    <cellStyle name="Финансовый 4 9 2" xfId="267" xr:uid="{00000000-0005-0000-0000-000054B10000}"/>
    <cellStyle name="Финансовый 4 9 2 10" xfId="8915" xr:uid="{00000000-0005-0000-0000-000055B10000}"/>
    <cellStyle name="Финансовый 4 9 2 10 2" xfId="20893" xr:uid="{00000000-0005-0000-0000-000056B10000}"/>
    <cellStyle name="Финансовый 4 9 2 10 2 2" xfId="44848" xr:uid="{00000000-0005-0000-0000-000057B10000}"/>
    <cellStyle name="Финансовый 4 9 2 10 3" xfId="32870" xr:uid="{00000000-0005-0000-0000-000058B10000}"/>
    <cellStyle name="Финансовый 4 9 2 11" xfId="12249" xr:uid="{00000000-0005-0000-0000-000059B10000}"/>
    <cellStyle name="Финансовый 4 9 2 11 2" xfId="36204" xr:uid="{00000000-0005-0000-0000-00005AB10000}"/>
    <cellStyle name="Финансовый 4 9 2 12" xfId="24227" xr:uid="{00000000-0005-0000-0000-00005BB10000}"/>
    <cellStyle name="Финансовый 4 9 2 13" xfId="48185" xr:uid="{00000000-0005-0000-0000-00005CB10000}"/>
    <cellStyle name="Финансовый 4 9 2 2" xfId="1365" xr:uid="{00000000-0005-0000-0000-00005DB10000}"/>
    <cellStyle name="Финансовый 4 9 2 2 2" xfId="2323" xr:uid="{00000000-0005-0000-0000-00005EB10000}"/>
    <cellStyle name="Финансовый 4 9 2 2 2 2" xfId="3968" xr:uid="{00000000-0005-0000-0000-00005FB10000}"/>
    <cellStyle name="Финансовый 4 9 2 2 2 2 2" xfId="11708" xr:uid="{00000000-0005-0000-0000-000060B10000}"/>
    <cellStyle name="Финансовый 4 9 2 2 2 2 2 2" xfId="23686" xr:uid="{00000000-0005-0000-0000-000061B10000}"/>
    <cellStyle name="Финансовый 4 9 2 2 2 2 2 2 2" xfId="47641" xr:uid="{00000000-0005-0000-0000-000062B10000}"/>
    <cellStyle name="Финансовый 4 9 2 2 2 2 2 3" xfId="35663" xr:uid="{00000000-0005-0000-0000-000063B10000}"/>
    <cellStyle name="Финансовый 4 9 2 2 2 2 3" xfId="15947" xr:uid="{00000000-0005-0000-0000-000064B10000}"/>
    <cellStyle name="Финансовый 4 9 2 2 2 2 3 2" xfId="39902" xr:uid="{00000000-0005-0000-0000-000065B10000}"/>
    <cellStyle name="Финансовый 4 9 2 2 2 2 4" xfId="27925" xr:uid="{00000000-0005-0000-0000-000066B10000}"/>
    <cellStyle name="Финансовый 4 9 2 2 2 2 5" xfId="51194" xr:uid="{00000000-0005-0000-0000-000067B10000}"/>
    <cellStyle name="Финансовый 4 9 2 2 2 3" xfId="5751" xr:uid="{00000000-0005-0000-0000-000068B10000}"/>
    <cellStyle name="Финансовый 4 9 2 2 2 3 2" xfId="17729" xr:uid="{00000000-0005-0000-0000-000069B10000}"/>
    <cellStyle name="Финансовый 4 9 2 2 2 3 2 2" xfId="41684" xr:uid="{00000000-0005-0000-0000-00006AB10000}"/>
    <cellStyle name="Финансовый 4 9 2 2 2 3 3" xfId="29706" xr:uid="{00000000-0005-0000-0000-00006BB10000}"/>
    <cellStyle name="Финансовый 4 9 2 2 2 4" xfId="8361" xr:uid="{00000000-0005-0000-0000-00006CB10000}"/>
    <cellStyle name="Финансовый 4 9 2 2 2 4 2" xfId="20339" xr:uid="{00000000-0005-0000-0000-00006DB10000}"/>
    <cellStyle name="Финансовый 4 9 2 2 2 4 2 2" xfId="44294" xr:uid="{00000000-0005-0000-0000-00006EB10000}"/>
    <cellStyle name="Финансовый 4 9 2 2 2 4 3" xfId="32316" xr:uid="{00000000-0005-0000-0000-00006FB10000}"/>
    <cellStyle name="Финансовый 4 9 2 2 2 5" xfId="10144" xr:uid="{00000000-0005-0000-0000-000070B10000}"/>
    <cellStyle name="Финансовый 4 9 2 2 2 5 2" xfId="22122" xr:uid="{00000000-0005-0000-0000-000071B10000}"/>
    <cellStyle name="Финансовый 4 9 2 2 2 5 2 2" xfId="46077" xr:uid="{00000000-0005-0000-0000-000072B10000}"/>
    <cellStyle name="Финансовый 4 9 2 2 2 5 3" xfId="34099" xr:uid="{00000000-0005-0000-0000-000073B10000}"/>
    <cellStyle name="Финансовый 4 9 2 2 2 6" xfId="14302" xr:uid="{00000000-0005-0000-0000-000074B10000}"/>
    <cellStyle name="Финансовый 4 9 2 2 2 6 2" xfId="38257" xr:uid="{00000000-0005-0000-0000-000075B10000}"/>
    <cellStyle name="Финансовый 4 9 2 2 2 7" xfId="26280" xr:uid="{00000000-0005-0000-0000-000076B10000}"/>
    <cellStyle name="Финансовый 4 9 2 2 2 8" xfId="49413" xr:uid="{00000000-0005-0000-0000-000077B10000}"/>
    <cellStyle name="Финансовый 4 9 2 2 3" xfId="3149" xr:uid="{00000000-0005-0000-0000-000078B10000}"/>
    <cellStyle name="Финансовый 4 9 2 2 3 2" xfId="10936" xr:uid="{00000000-0005-0000-0000-000079B10000}"/>
    <cellStyle name="Финансовый 4 9 2 2 3 2 2" xfId="22914" xr:uid="{00000000-0005-0000-0000-00007AB10000}"/>
    <cellStyle name="Финансовый 4 9 2 2 3 2 2 2" xfId="46869" xr:uid="{00000000-0005-0000-0000-00007BB10000}"/>
    <cellStyle name="Финансовый 4 9 2 2 3 2 3" xfId="34891" xr:uid="{00000000-0005-0000-0000-00007CB10000}"/>
    <cellStyle name="Финансовый 4 9 2 2 3 3" xfId="15128" xr:uid="{00000000-0005-0000-0000-00007DB10000}"/>
    <cellStyle name="Финансовый 4 9 2 2 3 3 2" xfId="39083" xr:uid="{00000000-0005-0000-0000-00007EB10000}"/>
    <cellStyle name="Финансовый 4 9 2 2 3 4" xfId="27106" xr:uid="{00000000-0005-0000-0000-00007FB10000}"/>
    <cellStyle name="Финансовый 4 9 2 2 3 5" xfId="50237" xr:uid="{00000000-0005-0000-0000-000080B10000}"/>
    <cellStyle name="Финансовый 4 9 2 2 4" xfId="4793" xr:uid="{00000000-0005-0000-0000-000081B10000}"/>
    <cellStyle name="Финансовый 4 9 2 2 4 2" xfId="16772" xr:uid="{00000000-0005-0000-0000-000082B10000}"/>
    <cellStyle name="Финансовый 4 9 2 2 4 2 2" xfId="40727" xr:uid="{00000000-0005-0000-0000-000083B10000}"/>
    <cellStyle name="Финансовый 4 9 2 2 4 3" xfId="28750" xr:uid="{00000000-0005-0000-0000-000084B10000}"/>
    <cellStyle name="Финансовый 4 9 2 2 5" xfId="7405" xr:uid="{00000000-0005-0000-0000-000085B10000}"/>
    <cellStyle name="Финансовый 4 9 2 2 5 2" xfId="19383" xr:uid="{00000000-0005-0000-0000-000086B10000}"/>
    <cellStyle name="Финансовый 4 9 2 2 5 2 2" xfId="43338" xr:uid="{00000000-0005-0000-0000-000087B10000}"/>
    <cellStyle name="Финансовый 4 9 2 2 5 3" xfId="31360" xr:uid="{00000000-0005-0000-0000-000088B10000}"/>
    <cellStyle name="Финансовый 4 9 2 2 6" xfId="9187" xr:uid="{00000000-0005-0000-0000-000089B10000}"/>
    <cellStyle name="Финансовый 4 9 2 2 6 2" xfId="21165" xr:uid="{00000000-0005-0000-0000-00008AB10000}"/>
    <cellStyle name="Финансовый 4 9 2 2 6 2 2" xfId="45120" xr:uid="{00000000-0005-0000-0000-00008BB10000}"/>
    <cellStyle name="Финансовый 4 9 2 2 6 3" xfId="33142" xr:uid="{00000000-0005-0000-0000-00008CB10000}"/>
    <cellStyle name="Финансовый 4 9 2 2 7" xfId="13346" xr:uid="{00000000-0005-0000-0000-00008DB10000}"/>
    <cellStyle name="Финансовый 4 9 2 2 7 2" xfId="37301" xr:uid="{00000000-0005-0000-0000-00008EB10000}"/>
    <cellStyle name="Финансовый 4 9 2 2 8" xfId="25324" xr:uid="{00000000-0005-0000-0000-00008FB10000}"/>
    <cellStyle name="Финансовый 4 9 2 2 9" xfId="48457" xr:uid="{00000000-0005-0000-0000-000090B10000}"/>
    <cellStyle name="Финансовый 4 9 2 3" xfId="2067" xr:uid="{00000000-0005-0000-0000-000091B10000}"/>
    <cellStyle name="Финансовый 4 9 2 3 2" xfId="3712" xr:uid="{00000000-0005-0000-0000-000092B10000}"/>
    <cellStyle name="Финансовый 4 9 2 3 2 2" xfId="11452" xr:uid="{00000000-0005-0000-0000-000093B10000}"/>
    <cellStyle name="Финансовый 4 9 2 3 2 2 2" xfId="23430" xr:uid="{00000000-0005-0000-0000-000094B10000}"/>
    <cellStyle name="Финансовый 4 9 2 3 2 2 2 2" xfId="47385" xr:uid="{00000000-0005-0000-0000-000095B10000}"/>
    <cellStyle name="Финансовый 4 9 2 3 2 2 3" xfId="35407" xr:uid="{00000000-0005-0000-0000-000096B10000}"/>
    <cellStyle name="Финансовый 4 9 2 3 2 3" xfId="15691" xr:uid="{00000000-0005-0000-0000-000097B10000}"/>
    <cellStyle name="Финансовый 4 9 2 3 2 3 2" xfId="39646" xr:uid="{00000000-0005-0000-0000-000098B10000}"/>
    <cellStyle name="Финансовый 4 9 2 3 2 4" xfId="27669" xr:uid="{00000000-0005-0000-0000-000099B10000}"/>
    <cellStyle name="Финансовый 4 9 2 3 2 5" xfId="50938" xr:uid="{00000000-0005-0000-0000-00009AB10000}"/>
    <cellStyle name="Финансовый 4 9 2 3 3" xfId="5495" xr:uid="{00000000-0005-0000-0000-00009BB10000}"/>
    <cellStyle name="Финансовый 4 9 2 3 3 2" xfId="17473" xr:uid="{00000000-0005-0000-0000-00009CB10000}"/>
    <cellStyle name="Финансовый 4 9 2 3 3 2 2" xfId="41428" xr:uid="{00000000-0005-0000-0000-00009DB10000}"/>
    <cellStyle name="Финансовый 4 9 2 3 3 3" xfId="29450" xr:uid="{00000000-0005-0000-0000-00009EB10000}"/>
    <cellStyle name="Финансовый 4 9 2 3 4" xfId="8105" xr:uid="{00000000-0005-0000-0000-00009FB10000}"/>
    <cellStyle name="Финансовый 4 9 2 3 4 2" xfId="20083" xr:uid="{00000000-0005-0000-0000-0000A0B10000}"/>
    <cellStyle name="Финансовый 4 9 2 3 4 2 2" xfId="44038" xr:uid="{00000000-0005-0000-0000-0000A1B10000}"/>
    <cellStyle name="Финансовый 4 9 2 3 4 3" xfId="32060" xr:uid="{00000000-0005-0000-0000-0000A2B10000}"/>
    <cellStyle name="Финансовый 4 9 2 3 5" xfId="9888" xr:uid="{00000000-0005-0000-0000-0000A3B10000}"/>
    <cellStyle name="Финансовый 4 9 2 3 5 2" xfId="21866" xr:uid="{00000000-0005-0000-0000-0000A4B10000}"/>
    <cellStyle name="Финансовый 4 9 2 3 5 2 2" xfId="45821" xr:uid="{00000000-0005-0000-0000-0000A5B10000}"/>
    <cellStyle name="Финансовый 4 9 2 3 5 3" xfId="33843" xr:uid="{00000000-0005-0000-0000-0000A6B10000}"/>
    <cellStyle name="Финансовый 4 9 2 3 6" xfId="14046" xr:uid="{00000000-0005-0000-0000-0000A7B10000}"/>
    <cellStyle name="Финансовый 4 9 2 3 6 2" xfId="38001" xr:uid="{00000000-0005-0000-0000-0000A8B10000}"/>
    <cellStyle name="Финансовый 4 9 2 3 7" xfId="26024" xr:uid="{00000000-0005-0000-0000-0000A9B10000}"/>
    <cellStyle name="Финансовый 4 9 2 3 8" xfId="49157" xr:uid="{00000000-0005-0000-0000-0000AAB10000}"/>
    <cellStyle name="Финансовый 4 9 2 4" xfId="2596" xr:uid="{00000000-0005-0000-0000-0000ABB10000}"/>
    <cellStyle name="Финансовый 4 9 2 4 2" xfId="4241" xr:uid="{00000000-0005-0000-0000-0000ACB10000}"/>
    <cellStyle name="Финансовый 4 9 2 4 2 2" xfId="11965" xr:uid="{00000000-0005-0000-0000-0000ADB10000}"/>
    <cellStyle name="Финансовый 4 9 2 4 2 2 2" xfId="23943" xr:uid="{00000000-0005-0000-0000-0000AEB10000}"/>
    <cellStyle name="Финансовый 4 9 2 4 2 2 2 2" xfId="47898" xr:uid="{00000000-0005-0000-0000-0000AFB10000}"/>
    <cellStyle name="Финансовый 4 9 2 4 2 2 3" xfId="35920" xr:uid="{00000000-0005-0000-0000-0000B0B10000}"/>
    <cellStyle name="Финансовый 4 9 2 4 2 3" xfId="16220" xr:uid="{00000000-0005-0000-0000-0000B1B10000}"/>
    <cellStyle name="Финансовый 4 9 2 4 2 3 2" xfId="40175" xr:uid="{00000000-0005-0000-0000-0000B2B10000}"/>
    <cellStyle name="Финансовый 4 9 2 4 2 4" xfId="28198" xr:uid="{00000000-0005-0000-0000-0000B3B10000}"/>
    <cellStyle name="Финансовый 4 9 2 4 2 5" xfId="51467" xr:uid="{00000000-0005-0000-0000-0000B4B10000}"/>
    <cellStyle name="Финансовый 4 9 2 4 3" xfId="6024" xr:uid="{00000000-0005-0000-0000-0000B5B10000}"/>
    <cellStyle name="Финансовый 4 9 2 4 3 2" xfId="18002" xr:uid="{00000000-0005-0000-0000-0000B6B10000}"/>
    <cellStyle name="Финансовый 4 9 2 4 3 2 2" xfId="41957" xr:uid="{00000000-0005-0000-0000-0000B7B10000}"/>
    <cellStyle name="Финансовый 4 9 2 4 3 3" xfId="29979" xr:uid="{00000000-0005-0000-0000-0000B8B10000}"/>
    <cellStyle name="Финансовый 4 9 2 4 4" xfId="8634" xr:uid="{00000000-0005-0000-0000-0000B9B10000}"/>
    <cellStyle name="Финансовый 4 9 2 4 4 2" xfId="20612" xr:uid="{00000000-0005-0000-0000-0000BAB10000}"/>
    <cellStyle name="Финансовый 4 9 2 4 4 2 2" xfId="44567" xr:uid="{00000000-0005-0000-0000-0000BBB10000}"/>
    <cellStyle name="Финансовый 4 9 2 4 4 3" xfId="32589" xr:uid="{00000000-0005-0000-0000-0000BCB10000}"/>
    <cellStyle name="Финансовый 4 9 2 4 5" xfId="10417" xr:uid="{00000000-0005-0000-0000-0000BDB10000}"/>
    <cellStyle name="Финансовый 4 9 2 4 5 2" xfId="22395" xr:uid="{00000000-0005-0000-0000-0000BEB10000}"/>
    <cellStyle name="Финансовый 4 9 2 4 5 2 2" xfId="46350" xr:uid="{00000000-0005-0000-0000-0000BFB10000}"/>
    <cellStyle name="Финансовый 4 9 2 4 5 3" xfId="34372" xr:uid="{00000000-0005-0000-0000-0000C0B10000}"/>
    <cellStyle name="Финансовый 4 9 2 4 6" xfId="14575" xr:uid="{00000000-0005-0000-0000-0000C1B10000}"/>
    <cellStyle name="Финансовый 4 9 2 4 6 2" xfId="38530" xr:uid="{00000000-0005-0000-0000-0000C2B10000}"/>
    <cellStyle name="Финансовый 4 9 2 4 7" xfId="26553" xr:uid="{00000000-0005-0000-0000-0000C3B10000}"/>
    <cellStyle name="Финансовый 4 9 2 4 8" xfId="49686" xr:uid="{00000000-0005-0000-0000-0000C4B10000}"/>
    <cellStyle name="Финансовый 4 9 2 5" xfId="1100" xr:uid="{00000000-0005-0000-0000-0000C5B10000}"/>
    <cellStyle name="Финансовый 4 9 2 5 2" xfId="7140" xr:uid="{00000000-0005-0000-0000-0000C6B10000}"/>
    <cellStyle name="Финансовый 4 9 2 5 2 2" xfId="19118" xr:uid="{00000000-0005-0000-0000-0000C7B10000}"/>
    <cellStyle name="Финансовый 4 9 2 5 2 2 2" xfId="43073" xr:uid="{00000000-0005-0000-0000-0000C8B10000}"/>
    <cellStyle name="Финансовый 4 9 2 5 2 3" xfId="31095" xr:uid="{00000000-0005-0000-0000-0000C9B10000}"/>
    <cellStyle name="Финансовый 4 9 2 5 3" xfId="10680" xr:uid="{00000000-0005-0000-0000-0000CAB10000}"/>
    <cellStyle name="Финансовый 4 9 2 5 3 2" xfId="22658" xr:uid="{00000000-0005-0000-0000-0000CBB10000}"/>
    <cellStyle name="Финансовый 4 9 2 5 3 2 2" xfId="46613" xr:uid="{00000000-0005-0000-0000-0000CCB10000}"/>
    <cellStyle name="Финансовый 4 9 2 5 3 3" xfId="34635" xr:uid="{00000000-0005-0000-0000-0000CDB10000}"/>
    <cellStyle name="Финансовый 4 9 2 5 4" xfId="13081" xr:uid="{00000000-0005-0000-0000-0000CEB10000}"/>
    <cellStyle name="Финансовый 4 9 2 5 4 2" xfId="37036" xr:uid="{00000000-0005-0000-0000-0000CFB10000}"/>
    <cellStyle name="Финансовый 4 9 2 5 5" xfId="25059" xr:uid="{00000000-0005-0000-0000-0000D0B10000}"/>
    <cellStyle name="Финансовый 4 9 2 5 6" xfId="49965" xr:uid="{00000000-0005-0000-0000-0000D1B10000}"/>
    <cellStyle name="Финансовый 4 9 2 6" xfId="688" xr:uid="{00000000-0005-0000-0000-0000D2B10000}"/>
    <cellStyle name="Финансовый 4 9 2 6 2" xfId="6728" xr:uid="{00000000-0005-0000-0000-0000D3B10000}"/>
    <cellStyle name="Финансовый 4 9 2 6 2 2" xfId="18706" xr:uid="{00000000-0005-0000-0000-0000D4B10000}"/>
    <cellStyle name="Финансовый 4 9 2 6 2 2 2" xfId="42661" xr:uid="{00000000-0005-0000-0000-0000D5B10000}"/>
    <cellStyle name="Финансовый 4 9 2 6 2 3" xfId="30683" xr:uid="{00000000-0005-0000-0000-0000D6B10000}"/>
    <cellStyle name="Финансовый 4 9 2 6 3" xfId="12669" xr:uid="{00000000-0005-0000-0000-0000D7B10000}"/>
    <cellStyle name="Финансовый 4 9 2 6 3 2" xfId="36624" xr:uid="{00000000-0005-0000-0000-0000D8B10000}"/>
    <cellStyle name="Финансовый 4 9 2 6 4" xfId="24647" xr:uid="{00000000-0005-0000-0000-0000D9B10000}"/>
    <cellStyle name="Финансовый 4 9 2 7" xfId="2877" xr:uid="{00000000-0005-0000-0000-0000DAB10000}"/>
    <cellStyle name="Финансовый 4 9 2 7 2" xfId="14856" xr:uid="{00000000-0005-0000-0000-0000DBB10000}"/>
    <cellStyle name="Финансовый 4 9 2 7 2 2" xfId="38811" xr:uid="{00000000-0005-0000-0000-0000DCB10000}"/>
    <cellStyle name="Финансовый 4 9 2 7 3" xfId="26834" xr:uid="{00000000-0005-0000-0000-0000DDB10000}"/>
    <cellStyle name="Финансовый 4 9 2 8" xfId="4521" xr:uid="{00000000-0005-0000-0000-0000DEB10000}"/>
    <cellStyle name="Финансовый 4 9 2 8 2" xfId="16500" xr:uid="{00000000-0005-0000-0000-0000DFB10000}"/>
    <cellStyle name="Финансовый 4 9 2 8 2 2" xfId="40455" xr:uid="{00000000-0005-0000-0000-0000E0B10000}"/>
    <cellStyle name="Финансовый 4 9 2 8 3" xfId="28478" xr:uid="{00000000-0005-0000-0000-0000E1B10000}"/>
    <cellStyle name="Финансовый 4 9 2 9" xfId="6308" xr:uid="{00000000-0005-0000-0000-0000E2B10000}"/>
    <cellStyle name="Финансовый 4 9 2 9 2" xfId="18286" xr:uid="{00000000-0005-0000-0000-0000E3B10000}"/>
    <cellStyle name="Финансовый 4 9 2 9 2 2" xfId="42241" xr:uid="{00000000-0005-0000-0000-0000E4B10000}"/>
    <cellStyle name="Финансовый 4 9 2 9 3" xfId="30263" xr:uid="{00000000-0005-0000-0000-0000E5B10000}"/>
    <cellStyle name="Финансовый 4 9 3" xfId="416" xr:uid="{00000000-0005-0000-0000-0000E6B10000}"/>
    <cellStyle name="Финансовый 4 9 3 10" xfId="24375" xr:uid="{00000000-0005-0000-0000-0000E7B10000}"/>
    <cellStyle name="Финансовый 4 9 3 11" xfId="48321" xr:uid="{00000000-0005-0000-0000-0000E8B10000}"/>
    <cellStyle name="Финансовый 4 9 3 2" xfId="2195" xr:uid="{00000000-0005-0000-0000-0000E9B10000}"/>
    <cellStyle name="Финансовый 4 9 3 2 2" xfId="3840" xr:uid="{00000000-0005-0000-0000-0000EAB10000}"/>
    <cellStyle name="Финансовый 4 9 3 2 2 2" xfId="11580" xr:uid="{00000000-0005-0000-0000-0000EBB10000}"/>
    <cellStyle name="Финансовый 4 9 3 2 2 2 2" xfId="23558" xr:uid="{00000000-0005-0000-0000-0000ECB10000}"/>
    <cellStyle name="Финансовый 4 9 3 2 2 2 2 2" xfId="47513" xr:uid="{00000000-0005-0000-0000-0000EDB10000}"/>
    <cellStyle name="Финансовый 4 9 3 2 2 2 3" xfId="35535" xr:uid="{00000000-0005-0000-0000-0000EEB10000}"/>
    <cellStyle name="Финансовый 4 9 3 2 2 3" xfId="15819" xr:uid="{00000000-0005-0000-0000-0000EFB10000}"/>
    <cellStyle name="Финансовый 4 9 3 2 2 3 2" xfId="39774" xr:uid="{00000000-0005-0000-0000-0000F0B10000}"/>
    <cellStyle name="Финансовый 4 9 3 2 2 4" xfId="27797" xr:uid="{00000000-0005-0000-0000-0000F1B10000}"/>
    <cellStyle name="Финансовый 4 9 3 2 2 5" xfId="51066" xr:uid="{00000000-0005-0000-0000-0000F2B10000}"/>
    <cellStyle name="Финансовый 4 9 3 2 3" xfId="5623" xr:uid="{00000000-0005-0000-0000-0000F3B10000}"/>
    <cellStyle name="Финансовый 4 9 3 2 3 2" xfId="17601" xr:uid="{00000000-0005-0000-0000-0000F4B10000}"/>
    <cellStyle name="Финансовый 4 9 3 2 3 2 2" xfId="41556" xr:uid="{00000000-0005-0000-0000-0000F5B10000}"/>
    <cellStyle name="Финансовый 4 9 3 2 3 3" xfId="29578" xr:uid="{00000000-0005-0000-0000-0000F6B10000}"/>
    <cellStyle name="Финансовый 4 9 3 2 4" xfId="8233" xr:uid="{00000000-0005-0000-0000-0000F7B10000}"/>
    <cellStyle name="Финансовый 4 9 3 2 4 2" xfId="20211" xr:uid="{00000000-0005-0000-0000-0000F8B10000}"/>
    <cellStyle name="Финансовый 4 9 3 2 4 2 2" xfId="44166" xr:uid="{00000000-0005-0000-0000-0000F9B10000}"/>
    <cellStyle name="Финансовый 4 9 3 2 4 3" xfId="32188" xr:uid="{00000000-0005-0000-0000-0000FAB10000}"/>
    <cellStyle name="Финансовый 4 9 3 2 5" xfId="10016" xr:uid="{00000000-0005-0000-0000-0000FBB10000}"/>
    <cellStyle name="Финансовый 4 9 3 2 5 2" xfId="21994" xr:uid="{00000000-0005-0000-0000-0000FCB10000}"/>
    <cellStyle name="Финансовый 4 9 3 2 5 2 2" xfId="45949" xr:uid="{00000000-0005-0000-0000-0000FDB10000}"/>
    <cellStyle name="Финансовый 4 9 3 2 5 3" xfId="33971" xr:uid="{00000000-0005-0000-0000-0000FEB10000}"/>
    <cellStyle name="Финансовый 4 9 3 2 6" xfId="14174" xr:uid="{00000000-0005-0000-0000-0000FFB10000}"/>
    <cellStyle name="Финансовый 4 9 3 2 6 2" xfId="38129" xr:uid="{00000000-0005-0000-0000-000000B20000}"/>
    <cellStyle name="Финансовый 4 9 3 2 7" xfId="26152" xr:uid="{00000000-0005-0000-0000-000001B20000}"/>
    <cellStyle name="Финансовый 4 9 3 2 8" xfId="49285" xr:uid="{00000000-0005-0000-0000-000002B20000}"/>
    <cellStyle name="Финансовый 4 9 3 3" xfId="1229" xr:uid="{00000000-0005-0000-0000-000003B20000}"/>
    <cellStyle name="Финансовый 4 9 3 3 2" xfId="7269" xr:uid="{00000000-0005-0000-0000-000004B20000}"/>
    <cellStyle name="Финансовый 4 9 3 3 2 2" xfId="19247" xr:uid="{00000000-0005-0000-0000-000005B20000}"/>
    <cellStyle name="Финансовый 4 9 3 3 2 2 2" xfId="43202" xr:uid="{00000000-0005-0000-0000-000006B20000}"/>
    <cellStyle name="Финансовый 4 9 3 3 2 3" xfId="31224" xr:uid="{00000000-0005-0000-0000-000007B20000}"/>
    <cellStyle name="Финансовый 4 9 3 3 3" xfId="10808" xr:uid="{00000000-0005-0000-0000-000008B20000}"/>
    <cellStyle name="Финансовый 4 9 3 3 3 2" xfId="22786" xr:uid="{00000000-0005-0000-0000-000009B20000}"/>
    <cellStyle name="Финансовый 4 9 3 3 3 2 2" xfId="46741" xr:uid="{00000000-0005-0000-0000-00000AB20000}"/>
    <cellStyle name="Финансовый 4 9 3 3 3 3" xfId="34763" xr:uid="{00000000-0005-0000-0000-00000BB20000}"/>
    <cellStyle name="Финансовый 4 9 3 3 4" xfId="13210" xr:uid="{00000000-0005-0000-0000-00000CB20000}"/>
    <cellStyle name="Финансовый 4 9 3 3 4 2" xfId="37165" xr:uid="{00000000-0005-0000-0000-00000DB20000}"/>
    <cellStyle name="Финансовый 4 9 3 3 5" xfId="25188" xr:uid="{00000000-0005-0000-0000-00000EB20000}"/>
    <cellStyle name="Финансовый 4 9 3 3 6" xfId="50101" xr:uid="{00000000-0005-0000-0000-00000FB20000}"/>
    <cellStyle name="Финансовый 4 9 3 4" xfId="836" xr:uid="{00000000-0005-0000-0000-000010B20000}"/>
    <cellStyle name="Финансовый 4 9 3 4 2" xfId="6876" xr:uid="{00000000-0005-0000-0000-000011B20000}"/>
    <cellStyle name="Финансовый 4 9 3 4 2 2" xfId="18854" xr:uid="{00000000-0005-0000-0000-000012B20000}"/>
    <cellStyle name="Финансовый 4 9 3 4 2 2 2" xfId="42809" xr:uid="{00000000-0005-0000-0000-000013B20000}"/>
    <cellStyle name="Финансовый 4 9 3 4 2 3" xfId="30831" xr:uid="{00000000-0005-0000-0000-000014B20000}"/>
    <cellStyle name="Финансовый 4 9 3 4 3" xfId="12817" xr:uid="{00000000-0005-0000-0000-000015B20000}"/>
    <cellStyle name="Финансовый 4 9 3 4 3 2" xfId="36772" xr:uid="{00000000-0005-0000-0000-000016B20000}"/>
    <cellStyle name="Финансовый 4 9 3 4 4" xfId="24795" xr:uid="{00000000-0005-0000-0000-000017B20000}"/>
    <cellStyle name="Финансовый 4 9 3 5" xfId="3013" xr:uid="{00000000-0005-0000-0000-000018B20000}"/>
    <cellStyle name="Финансовый 4 9 3 5 2" xfId="14992" xr:uid="{00000000-0005-0000-0000-000019B20000}"/>
    <cellStyle name="Финансовый 4 9 3 5 2 2" xfId="38947" xr:uid="{00000000-0005-0000-0000-00001AB20000}"/>
    <cellStyle name="Финансовый 4 9 3 5 3" xfId="26970" xr:uid="{00000000-0005-0000-0000-00001BB20000}"/>
    <cellStyle name="Финансовый 4 9 3 6" xfId="4657" xr:uid="{00000000-0005-0000-0000-00001CB20000}"/>
    <cellStyle name="Финансовый 4 9 3 6 2" xfId="16636" xr:uid="{00000000-0005-0000-0000-00001DB20000}"/>
    <cellStyle name="Финансовый 4 9 3 6 2 2" xfId="40591" xr:uid="{00000000-0005-0000-0000-00001EB20000}"/>
    <cellStyle name="Финансовый 4 9 3 6 3" xfId="28614" xr:uid="{00000000-0005-0000-0000-00001FB20000}"/>
    <cellStyle name="Финансовый 4 9 3 7" xfId="6456" xr:uid="{00000000-0005-0000-0000-000020B20000}"/>
    <cellStyle name="Финансовый 4 9 3 7 2" xfId="18434" xr:uid="{00000000-0005-0000-0000-000021B20000}"/>
    <cellStyle name="Финансовый 4 9 3 7 2 2" xfId="42389" xr:uid="{00000000-0005-0000-0000-000022B20000}"/>
    <cellStyle name="Финансовый 4 9 3 7 3" xfId="30411" xr:uid="{00000000-0005-0000-0000-000023B20000}"/>
    <cellStyle name="Финансовый 4 9 3 8" xfId="9051" xr:uid="{00000000-0005-0000-0000-000024B20000}"/>
    <cellStyle name="Финансовый 4 9 3 8 2" xfId="21029" xr:uid="{00000000-0005-0000-0000-000025B20000}"/>
    <cellStyle name="Финансовый 4 9 3 8 2 2" xfId="44984" xr:uid="{00000000-0005-0000-0000-000026B20000}"/>
    <cellStyle name="Финансовый 4 9 3 8 3" xfId="33006" xr:uid="{00000000-0005-0000-0000-000027B20000}"/>
    <cellStyle name="Финансовый 4 9 3 9" xfId="12397" xr:uid="{00000000-0005-0000-0000-000028B20000}"/>
    <cellStyle name="Финансовый 4 9 3 9 2" xfId="36352" xr:uid="{00000000-0005-0000-0000-000029B20000}"/>
    <cellStyle name="Финансовый 4 9 4" xfId="1449" xr:uid="{00000000-0005-0000-0000-00002AB20000}"/>
    <cellStyle name="Финансовый 4 9 4 2" xfId="1939" xr:uid="{00000000-0005-0000-0000-00002BB20000}"/>
    <cellStyle name="Финансовый 4 9 4 2 2" xfId="3584" xr:uid="{00000000-0005-0000-0000-00002CB20000}"/>
    <cellStyle name="Финансовый 4 9 4 2 2 2" xfId="11324" xr:uid="{00000000-0005-0000-0000-00002DB20000}"/>
    <cellStyle name="Финансовый 4 9 4 2 2 2 2" xfId="23302" xr:uid="{00000000-0005-0000-0000-00002EB20000}"/>
    <cellStyle name="Финансовый 4 9 4 2 2 2 2 2" xfId="47257" xr:uid="{00000000-0005-0000-0000-00002FB20000}"/>
    <cellStyle name="Финансовый 4 9 4 2 2 2 3" xfId="35279" xr:uid="{00000000-0005-0000-0000-000030B20000}"/>
    <cellStyle name="Финансовый 4 9 4 2 2 3" xfId="15563" xr:uid="{00000000-0005-0000-0000-000031B20000}"/>
    <cellStyle name="Финансовый 4 9 4 2 2 3 2" xfId="39518" xr:uid="{00000000-0005-0000-0000-000032B20000}"/>
    <cellStyle name="Финансовый 4 9 4 2 2 4" xfId="27541" xr:uid="{00000000-0005-0000-0000-000033B20000}"/>
    <cellStyle name="Финансовый 4 9 4 2 2 5" xfId="50810" xr:uid="{00000000-0005-0000-0000-000034B20000}"/>
    <cellStyle name="Финансовый 4 9 4 2 3" xfId="5367" xr:uid="{00000000-0005-0000-0000-000035B20000}"/>
    <cellStyle name="Финансовый 4 9 4 2 3 2" xfId="17345" xr:uid="{00000000-0005-0000-0000-000036B20000}"/>
    <cellStyle name="Финансовый 4 9 4 2 3 2 2" xfId="41300" xr:uid="{00000000-0005-0000-0000-000037B20000}"/>
    <cellStyle name="Финансовый 4 9 4 2 3 3" xfId="29322" xr:uid="{00000000-0005-0000-0000-000038B20000}"/>
    <cellStyle name="Финансовый 4 9 4 2 4" xfId="7977" xr:uid="{00000000-0005-0000-0000-000039B20000}"/>
    <cellStyle name="Финансовый 4 9 4 2 4 2" xfId="19955" xr:uid="{00000000-0005-0000-0000-00003AB20000}"/>
    <cellStyle name="Финансовый 4 9 4 2 4 2 2" xfId="43910" xr:uid="{00000000-0005-0000-0000-00003BB20000}"/>
    <cellStyle name="Финансовый 4 9 4 2 4 3" xfId="31932" xr:uid="{00000000-0005-0000-0000-00003CB20000}"/>
    <cellStyle name="Финансовый 4 9 4 2 5" xfId="9760" xr:uid="{00000000-0005-0000-0000-00003DB20000}"/>
    <cellStyle name="Финансовый 4 9 4 2 5 2" xfId="21738" xr:uid="{00000000-0005-0000-0000-00003EB20000}"/>
    <cellStyle name="Финансовый 4 9 4 2 5 2 2" xfId="45693" xr:uid="{00000000-0005-0000-0000-00003FB20000}"/>
    <cellStyle name="Финансовый 4 9 4 2 5 3" xfId="33715" xr:uid="{00000000-0005-0000-0000-000040B20000}"/>
    <cellStyle name="Финансовый 4 9 4 2 6" xfId="13918" xr:uid="{00000000-0005-0000-0000-000041B20000}"/>
    <cellStyle name="Финансовый 4 9 4 2 6 2" xfId="37873" xr:uid="{00000000-0005-0000-0000-000042B20000}"/>
    <cellStyle name="Финансовый 4 9 4 2 7" xfId="25896" xr:uid="{00000000-0005-0000-0000-000043B20000}"/>
    <cellStyle name="Финансовый 4 9 4 2 8" xfId="49029" xr:uid="{00000000-0005-0000-0000-000044B20000}"/>
    <cellStyle name="Финансовый 4 9 4 3" xfId="4877" xr:uid="{00000000-0005-0000-0000-000045B20000}"/>
    <cellStyle name="Финансовый 4 9 4 3 2" xfId="16855" xr:uid="{00000000-0005-0000-0000-000046B20000}"/>
    <cellStyle name="Финансовый 4 9 4 3 2 2" xfId="40810" xr:uid="{00000000-0005-0000-0000-000047B20000}"/>
    <cellStyle name="Финансовый 4 9 4 3 3" xfId="28832" xr:uid="{00000000-0005-0000-0000-000048B20000}"/>
    <cellStyle name="Финансовый 4 9 4 3 4" xfId="50320" xr:uid="{00000000-0005-0000-0000-000049B20000}"/>
    <cellStyle name="Финансовый 4 9 4 4" xfId="7487" xr:uid="{00000000-0005-0000-0000-00004AB20000}"/>
    <cellStyle name="Финансовый 4 9 4 4 2" xfId="19465" xr:uid="{00000000-0005-0000-0000-00004BB20000}"/>
    <cellStyle name="Финансовый 4 9 4 4 2 2" xfId="43420" xr:uid="{00000000-0005-0000-0000-00004CB20000}"/>
    <cellStyle name="Финансовый 4 9 4 4 3" xfId="31442" xr:uid="{00000000-0005-0000-0000-00004DB20000}"/>
    <cellStyle name="Финансовый 4 9 4 5" xfId="9270" xr:uid="{00000000-0005-0000-0000-00004EB20000}"/>
    <cellStyle name="Финансовый 4 9 4 5 2" xfId="21248" xr:uid="{00000000-0005-0000-0000-00004FB20000}"/>
    <cellStyle name="Финансовый 4 9 4 5 2 2" xfId="45203" xr:uid="{00000000-0005-0000-0000-000050B20000}"/>
    <cellStyle name="Финансовый 4 9 4 5 3" xfId="33225" xr:uid="{00000000-0005-0000-0000-000051B20000}"/>
    <cellStyle name="Финансовый 4 9 4 6" xfId="13428" xr:uid="{00000000-0005-0000-0000-000052B20000}"/>
    <cellStyle name="Финансовый 4 9 4 6 2" xfId="37383" xr:uid="{00000000-0005-0000-0000-000053B20000}"/>
    <cellStyle name="Финансовый 4 9 4 7" xfId="25406" xr:uid="{00000000-0005-0000-0000-000054B20000}"/>
    <cellStyle name="Финансовый 4 9 4 8" xfId="48539" xr:uid="{00000000-0005-0000-0000-000055B20000}"/>
    <cellStyle name="Финансовый 4 9 5" xfId="1815" xr:uid="{00000000-0005-0000-0000-000056B20000}"/>
    <cellStyle name="Финансовый 4 9 5 2" xfId="3460" xr:uid="{00000000-0005-0000-0000-000057B20000}"/>
    <cellStyle name="Финансовый 4 9 5 2 2" xfId="11208" xr:uid="{00000000-0005-0000-0000-000058B20000}"/>
    <cellStyle name="Финансовый 4 9 5 2 2 2" xfId="23186" xr:uid="{00000000-0005-0000-0000-000059B20000}"/>
    <cellStyle name="Финансовый 4 9 5 2 2 2 2" xfId="47141" xr:uid="{00000000-0005-0000-0000-00005AB20000}"/>
    <cellStyle name="Финансовый 4 9 5 2 2 3" xfId="35163" xr:uid="{00000000-0005-0000-0000-00005BB20000}"/>
    <cellStyle name="Финансовый 4 9 5 2 3" xfId="15439" xr:uid="{00000000-0005-0000-0000-00005CB20000}"/>
    <cellStyle name="Финансовый 4 9 5 2 3 2" xfId="39394" xr:uid="{00000000-0005-0000-0000-00005DB20000}"/>
    <cellStyle name="Финансовый 4 9 5 2 4" xfId="27417" xr:uid="{00000000-0005-0000-0000-00005EB20000}"/>
    <cellStyle name="Финансовый 4 9 5 2 5" xfId="50686" xr:uid="{00000000-0005-0000-0000-00005FB20000}"/>
    <cellStyle name="Финансовый 4 9 5 3" xfId="5243" xr:uid="{00000000-0005-0000-0000-000060B20000}"/>
    <cellStyle name="Финансовый 4 9 5 3 2" xfId="17221" xr:uid="{00000000-0005-0000-0000-000061B20000}"/>
    <cellStyle name="Финансовый 4 9 5 3 2 2" xfId="41176" xr:uid="{00000000-0005-0000-0000-000062B20000}"/>
    <cellStyle name="Финансовый 4 9 5 3 3" xfId="29198" xr:uid="{00000000-0005-0000-0000-000063B20000}"/>
    <cellStyle name="Финансовый 4 9 5 4" xfId="7853" xr:uid="{00000000-0005-0000-0000-000064B20000}"/>
    <cellStyle name="Финансовый 4 9 5 4 2" xfId="19831" xr:uid="{00000000-0005-0000-0000-000065B20000}"/>
    <cellStyle name="Финансовый 4 9 5 4 2 2" xfId="43786" xr:uid="{00000000-0005-0000-0000-000066B20000}"/>
    <cellStyle name="Финансовый 4 9 5 4 3" xfId="31808" xr:uid="{00000000-0005-0000-0000-000067B20000}"/>
    <cellStyle name="Финансовый 4 9 5 5" xfId="9636" xr:uid="{00000000-0005-0000-0000-000068B20000}"/>
    <cellStyle name="Финансовый 4 9 5 5 2" xfId="21614" xr:uid="{00000000-0005-0000-0000-000069B20000}"/>
    <cellStyle name="Финансовый 4 9 5 5 2 2" xfId="45569" xr:uid="{00000000-0005-0000-0000-00006AB20000}"/>
    <cellStyle name="Финансовый 4 9 5 5 3" xfId="33591" xr:uid="{00000000-0005-0000-0000-00006BB20000}"/>
    <cellStyle name="Финансовый 4 9 5 6" xfId="13794" xr:uid="{00000000-0005-0000-0000-00006CB20000}"/>
    <cellStyle name="Финансовый 4 9 5 6 2" xfId="37749" xr:uid="{00000000-0005-0000-0000-00006DB20000}"/>
    <cellStyle name="Финансовый 4 9 5 7" xfId="25772" xr:uid="{00000000-0005-0000-0000-00006EB20000}"/>
    <cellStyle name="Финансовый 4 9 5 8" xfId="48905" xr:uid="{00000000-0005-0000-0000-00006FB20000}"/>
    <cellStyle name="Финансовый 4 9 6" xfId="2460" xr:uid="{00000000-0005-0000-0000-000070B20000}"/>
    <cellStyle name="Финансовый 4 9 6 2" xfId="4105" xr:uid="{00000000-0005-0000-0000-000071B20000}"/>
    <cellStyle name="Финансовый 4 9 6 2 2" xfId="11837" xr:uid="{00000000-0005-0000-0000-000072B20000}"/>
    <cellStyle name="Финансовый 4 9 6 2 2 2" xfId="23815" xr:uid="{00000000-0005-0000-0000-000073B20000}"/>
    <cellStyle name="Финансовый 4 9 6 2 2 2 2" xfId="47770" xr:uid="{00000000-0005-0000-0000-000074B20000}"/>
    <cellStyle name="Финансовый 4 9 6 2 2 3" xfId="35792" xr:uid="{00000000-0005-0000-0000-000075B20000}"/>
    <cellStyle name="Финансовый 4 9 6 2 3" xfId="16084" xr:uid="{00000000-0005-0000-0000-000076B20000}"/>
    <cellStyle name="Финансовый 4 9 6 2 3 2" xfId="40039" xr:uid="{00000000-0005-0000-0000-000077B20000}"/>
    <cellStyle name="Финансовый 4 9 6 2 4" xfId="28062" xr:uid="{00000000-0005-0000-0000-000078B20000}"/>
    <cellStyle name="Финансовый 4 9 6 2 5" xfId="51331" xr:uid="{00000000-0005-0000-0000-000079B20000}"/>
    <cellStyle name="Финансовый 4 9 6 3" xfId="5888" xr:uid="{00000000-0005-0000-0000-00007AB20000}"/>
    <cellStyle name="Финансовый 4 9 6 3 2" xfId="17866" xr:uid="{00000000-0005-0000-0000-00007BB20000}"/>
    <cellStyle name="Финансовый 4 9 6 3 2 2" xfId="41821" xr:uid="{00000000-0005-0000-0000-00007CB20000}"/>
    <cellStyle name="Финансовый 4 9 6 3 3" xfId="29843" xr:uid="{00000000-0005-0000-0000-00007DB20000}"/>
    <cellStyle name="Финансовый 4 9 6 4" xfId="8498" xr:uid="{00000000-0005-0000-0000-00007EB20000}"/>
    <cellStyle name="Финансовый 4 9 6 4 2" xfId="20476" xr:uid="{00000000-0005-0000-0000-00007FB20000}"/>
    <cellStyle name="Финансовый 4 9 6 4 2 2" xfId="44431" xr:uid="{00000000-0005-0000-0000-000080B20000}"/>
    <cellStyle name="Финансовый 4 9 6 4 3" xfId="32453" xr:uid="{00000000-0005-0000-0000-000081B20000}"/>
    <cellStyle name="Финансовый 4 9 6 5" xfId="10281" xr:uid="{00000000-0005-0000-0000-000082B20000}"/>
    <cellStyle name="Финансовый 4 9 6 5 2" xfId="22259" xr:uid="{00000000-0005-0000-0000-000083B20000}"/>
    <cellStyle name="Финансовый 4 9 6 5 2 2" xfId="46214" xr:uid="{00000000-0005-0000-0000-000084B20000}"/>
    <cellStyle name="Финансовый 4 9 6 5 3" xfId="34236" xr:uid="{00000000-0005-0000-0000-000085B20000}"/>
    <cellStyle name="Финансовый 4 9 6 6" xfId="14439" xr:uid="{00000000-0005-0000-0000-000086B20000}"/>
    <cellStyle name="Финансовый 4 9 6 6 2" xfId="38394" xr:uid="{00000000-0005-0000-0000-000087B20000}"/>
    <cellStyle name="Финансовый 4 9 6 7" xfId="26417" xr:uid="{00000000-0005-0000-0000-000088B20000}"/>
    <cellStyle name="Финансовый 4 9 6 8" xfId="49550" xr:uid="{00000000-0005-0000-0000-000089B20000}"/>
    <cellStyle name="Финансовый 4 9 7" xfId="1687" xr:uid="{00000000-0005-0000-0000-00008AB20000}"/>
    <cellStyle name="Финансовый 4 9 7 2" xfId="3332" xr:uid="{00000000-0005-0000-0000-00008BB20000}"/>
    <cellStyle name="Финансовый 4 9 7 2 2" xfId="11080" xr:uid="{00000000-0005-0000-0000-00008CB20000}"/>
    <cellStyle name="Финансовый 4 9 7 2 2 2" xfId="23058" xr:uid="{00000000-0005-0000-0000-00008DB20000}"/>
    <cellStyle name="Финансовый 4 9 7 2 2 2 2" xfId="47013" xr:uid="{00000000-0005-0000-0000-00008EB20000}"/>
    <cellStyle name="Финансовый 4 9 7 2 2 3" xfId="35035" xr:uid="{00000000-0005-0000-0000-00008FB20000}"/>
    <cellStyle name="Финансовый 4 9 7 2 3" xfId="15311" xr:uid="{00000000-0005-0000-0000-000090B20000}"/>
    <cellStyle name="Финансовый 4 9 7 2 3 2" xfId="39266" xr:uid="{00000000-0005-0000-0000-000091B20000}"/>
    <cellStyle name="Финансовый 4 9 7 2 4" xfId="27289" xr:uid="{00000000-0005-0000-0000-000092B20000}"/>
    <cellStyle name="Финансовый 4 9 7 2 5" xfId="50558" xr:uid="{00000000-0005-0000-0000-000093B20000}"/>
    <cellStyle name="Финансовый 4 9 7 3" xfId="5115" xr:uid="{00000000-0005-0000-0000-000094B20000}"/>
    <cellStyle name="Финансовый 4 9 7 3 2" xfId="17093" xr:uid="{00000000-0005-0000-0000-000095B20000}"/>
    <cellStyle name="Финансовый 4 9 7 3 2 2" xfId="41048" xr:uid="{00000000-0005-0000-0000-000096B20000}"/>
    <cellStyle name="Финансовый 4 9 7 3 3" xfId="29070" xr:uid="{00000000-0005-0000-0000-000097B20000}"/>
    <cellStyle name="Финансовый 4 9 7 4" xfId="7725" xr:uid="{00000000-0005-0000-0000-000098B20000}"/>
    <cellStyle name="Финансовый 4 9 7 4 2" xfId="19703" xr:uid="{00000000-0005-0000-0000-000099B20000}"/>
    <cellStyle name="Финансовый 4 9 7 4 2 2" xfId="43658" xr:uid="{00000000-0005-0000-0000-00009AB20000}"/>
    <cellStyle name="Финансовый 4 9 7 4 3" xfId="31680" xr:uid="{00000000-0005-0000-0000-00009BB20000}"/>
    <cellStyle name="Финансовый 4 9 7 5" xfId="9508" xr:uid="{00000000-0005-0000-0000-00009CB20000}"/>
    <cellStyle name="Финансовый 4 9 7 5 2" xfId="21486" xr:uid="{00000000-0005-0000-0000-00009DB20000}"/>
    <cellStyle name="Финансовый 4 9 7 5 2 2" xfId="45441" xr:uid="{00000000-0005-0000-0000-00009EB20000}"/>
    <cellStyle name="Финансовый 4 9 7 5 3" xfId="33463" xr:uid="{00000000-0005-0000-0000-00009FB20000}"/>
    <cellStyle name="Финансовый 4 9 7 6" xfId="13666" xr:uid="{00000000-0005-0000-0000-0000A0B20000}"/>
    <cellStyle name="Финансовый 4 9 7 6 2" xfId="37621" xr:uid="{00000000-0005-0000-0000-0000A1B20000}"/>
    <cellStyle name="Финансовый 4 9 7 7" xfId="25644" xr:uid="{00000000-0005-0000-0000-0000A2B20000}"/>
    <cellStyle name="Финансовый 4 9 7 8" xfId="48777" xr:uid="{00000000-0005-0000-0000-0000A3B20000}"/>
    <cellStyle name="Финансовый 4 9 8" xfId="964" xr:uid="{00000000-0005-0000-0000-0000A4B20000}"/>
    <cellStyle name="Финансовый 4 9 8 2" xfId="7004" xr:uid="{00000000-0005-0000-0000-0000A5B20000}"/>
    <cellStyle name="Финансовый 4 9 8 2 2" xfId="18982" xr:uid="{00000000-0005-0000-0000-0000A6B20000}"/>
    <cellStyle name="Финансовый 4 9 8 2 2 2" xfId="42937" xr:uid="{00000000-0005-0000-0000-0000A7B20000}"/>
    <cellStyle name="Финансовый 4 9 8 2 3" xfId="30959" xr:uid="{00000000-0005-0000-0000-0000A8B20000}"/>
    <cellStyle name="Финансовый 4 9 8 3" xfId="10552" xr:uid="{00000000-0005-0000-0000-0000A9B20000}"/>
    <cellStyle name="Финансовый 4 9 8 3 2" xfId="22530" xr:uid="{00000000-0005-0000-0000-0000AAB20000}"/>
    <cellStyle name="Финансовый 4 9 8 3 2 2" xfId="46485" xr:uid="{00000000-0005-0000-0000-0000ABB20000}"/>
    <cellStyle name="Финансовый 4 9 8 3 3" xfId="34507" xr:uid="{00000000-0005-0000-0000-0000ACB20000}"/>
    <cellStyle name="Финансовый 4 9 8 4" xfId="12945" xr:uid="{00000000-0005-0000-0000-0000ADB20000}"/>
    <cellStyle name="Финансовый 4 9 8 4 2" xfId="36900" xr:uid="{00000000-0005-0000-0000-0000AEB20000}"/>
    <cellStyle name="Финансовый 4 9 8 5" xfId="24923" xr:uid="{00000000-0005-0000-0000-0000AFB20000}"/>
    <cellStyle name="Финансовый 4 9 8 6" xfId="49829" xr:uid="{00000000-0005-0000-0000-0000B0B20000}"/>
    <cellStyle name="Финансовый 4 9 9" xfId="552" xr:uid="{00000000-0005-0000-0000-0000B1B20000}"/>
    <cellStyle name="Финансовый 4 9 9 2" xfId="6592" xr:uid="{00000000-0005-0000-0000-0000B2B20000}"/>
    <cellStyle name="Финансовый 4 9 9 2 2" xfId="18570" xr:uid="{00000000-0005-0000-0000-0000B3B20000}"/>
    <cellStyle name="Финансовый 4 9 9 2 2 2" xfId="42525" xr:uid="{00000000-0005-0000-0000-0000B4B20000}"/>
    <cellStyle name="Финансовый 4 9 9 2 3" xfId="30547" xr:uid="{00000000-0005-0000-0000-0000B5B20000}"/>
    <cellStyle name="Финансовый 4 9 9 3" xfId="12533" xr:uid="{00000000-0005-0000-0000-0000B6B20000}"/>
    <cellStyle name="Финансовый 4 9 9 3 2" xfId="36488" xr:uid="{00000000-0005-0000-0000-0000B7B20000}"/>
    <cellStyle name="Финансовый 4 9 9 4" xfId="24511" xr:uid="{00000000-0005-0000-0000-0000B8B20000}"/>
    <cellStyle name="Финансовый 40" xfId="6042" xr:uid="{00000000-0005-0000-0000-0000B9B20000}"/>
    <cellStyle name="Финансовый 40 2" xfId="18020" xr:uid="{00000000-0005-0000-0000-0000BAB20000}"/>
    <cellStyle name="Финансовый 40 2 2" xfId="41975" xr:uid="{00000000-0005-0000-0000-0000BBB20000}"/>
    <cellStyle name="Финансовый 40 3" xfId="29997" xr:uid="{00000000-0005-0000-0000-0000BCB20000}"/>
    <cellStyle name="Финансовый 41" xfId="6041" xr:uid="{00000000-0005-0000-0000-0000BDB20000}"/>
    <cellStyle name="Финансовый 41 2" xfId="18019" xr:uid="{00000000-0005-0000-0000-0000BEB20000}"/>
    <cellStyle name="Финансовый 41 2 2" xfId="41974" xr:uid="{00000000-0005-0000-0000-0000BFB20000}"/>
    <cellStyle name="Финансовый 41 3" xfId="29996" xr:uid="{00000000-0005-0000-0000-0000C0B20000}"/>
    <cellStyle name="Финансовый 42" xfId="6039" xr:uid="{00000000-0005-0000-0000-0000C1B20000}"/>
    <cellStyle name="Финансовый 42 2" xfId="18017" xr:uid="{00000000-0005-0000-0000-0000C2B20000}"/>
    <cellStyle name="Финансовый 42 2 2" xfId="41972" xr:uid="{00000000-0005-0000-0000-0000C3B20000}"/>
    <cellStyle name="Финансовый 42 3" xfId="29994" xr:uid="{00000000-0005-0000-0000-0000C4B20000}"/>
    <cellStyle name="Финансовый 43" xfId="6043" xr:uid="{00000000-0005-0000-0000-0000C5B20000}"/>
    <cellStyle name="Финансовый 43 2" xfId="18021" xr:uid="{00000000-0005-0000-0000-0000C6B20000}"/>
    <cellStyle name="Финансовый 43 2 2" xfId="41976" xr:uid="{00000000-0005-0000-0000-0000C7B20000}"/>
    <cellStyle name="Финансовый 43 3" xfId="29998" xr:uid="{00000000-0005-0000-0000-0000C8B20000}"/>
    <cellStyle name="Финансовый 44" xfId="6040" xr:uid="{00000000-0005-0000-0000-0000C9B20000}"/>
    <cellStyle name="Финансовый 44 2" xfId="18018" xr:uid="{00000000-0005-0000-0000-0000CAB20000}"/>
    <cellStyle name="Финансовый 44 2 2" xfId="41973" xr:uid="{00000000-0005-0000-0000-0000CBB20000}"/>
    <cellStyle name="Финансовый 44 3" xfId="29995" xr:uid="{00000000-0005-0000-0000-0000CCB20000}"/>
    <cellStyle name="Финансовый 45" xfId="6044" xr:uid="{00000000-0005-0000-0000-0000CDB20000}"/>
    <cellStyle name="Финансовый 45 2" xfId="18022" xr:uid="{00000000-0005-0000-0000-0000CEB20000}"/>
    <cellStyle name="Финансовый 45 2 2" xfId="41977" xr:uid="{00000000-0005-0000-0000-0000CFB20000}"/>
    <cellStyle name="Финансовый 45 3" xfId="29999" xr:uid="{00000000-0005-0000-0000-0000D0B20000}"/>
    <cellStyle name="Финансовый 46" xfId="8651" xr:uid="{00000000-0005-0000-0000-0000D1B20000}"/>
    <cellStyle name="Финансовый 46 2" xfId="20629" xr:uid="{00000000-0005-0000-0000-0000D2B20000}"/>
    <cellStyle name="Финансовый 46 2 2" xfId="44584" xr:uid="{00000000-0005-0000-0000-0000D3B20000}"/>
    <cellStyle name="Финансовый 46 3" xfId="32606" xr:uid="{00000000-0005-0000-0000-0000D4B20000}"/>
    <cellStyle name="Финансовый 47" xfId="9247" xr:uid="{00000000-0005-0000-0000-0000D5B20000}"/>
    <cellStyle name="Финансовый 47 2" xfId="21225" xr:uid="{00000000-0005-0000-0000-0000D6B20000}"/>
    <cellStyle name="Финансовый 47 2 2" xfId="45180" xr:uid="{00000000-0005-0000-0000-0000D7B20000}"/>
    <cellStyle name="Финансовый 47 3" xfId="33202" xr:uid="{00000000-0005-0000-0000-0000D8B20000}"/>
    <cellStyle name="Финансовый 48" xfId="11983" xr:uid="{00000000-0005-0000-0000-0000D9B20000}"/>
    <cellStyle name="Финансовый 48 2" xfId="23961" xr:uid="{00000000-0005-0000-0000-0000DAB20000}"/>
    <cellStyle name="Финансовый 48 2 2" xfId="47916" xr:uid="{00000000-0005-0000-0000-0000DBB20000}"/>
    <cellStyle name="Финансовый 48 3" xfId="35938" xr:uid="{00000000-0005-0000-0000-0000DCB20000}"/>
    <cellStyle name="Финансовый 49" xfId="11984" xr:uid="{00000000-0005-0000-0000-0000DDB20000}"/>
    <cellStyle name="Финансовый 49 2" xfId="23962" xr:uid="{00000000-0005-0000-0000-0000DEB20000}"/>
    <cellStyle name="Финансовый 49 2 2" xfId="47917" xr:uid="{00000000-0005-0000-0000-0000DFB20000}"/>
    <cellStyle name="Финансовый 49 3" xfId="35939" xr:uid="{00000000-0005-0000-0000-0000E0B20000}"/>
    <cellStyle name="Финансовый 5" xfId="7" xr:uid="{00000000-0005-0000-0000-0000E1B20000}"/>
    <cellStyle name="Финансовый 5 10" xfId="281" xr:uid="{00000000-0005-0000-0000-0000E2B20000}"/>
    <cellStyle name="Финансовый 5 10 10" xfId="24241" xr:uid="{00000000-0005-0000-0000-0000E3B20000}"/>
    <cellStyle name="Финансовый 5 10 11" xfId="48471" xr:uid="{00000000-0005-0000-0000-0000E4B20000}"/>
    <cellStyle name="Финансовый 5 10 2" xfId="2081" xr:uid="{00000000-0005-0000-0000-0000E5B20000}"/>
    <cellStyle name="Финансовый 5 10 2 2" xfId="3726" xr:uid="{00000000-0005-0000-0000-0000E6B20000}"/>
    <cellStyle name="Финансовый 5 10 2 2 2" xfId="11466" xr:uid="{00000000-0005-0000-0000-0000E7B20000}"/>
    <cellStyle name="Финансовый 5 10 2 2 2 2" xfId="23444" xr:uid="{00000000-0005-0000-0000-0000E8B20000}"/>
    <cellStyle name="Финансовый 5 10 2 2 2 2 2" xfId="47399" xr:uid="{00000000-0005-0000-0000-0000E9B20000}"/>
    <cellStyle name="Финансовый 5 10 2 2 2 3" xfId="35421" xr:uid="{00000000-0005-0000-0000-0000EAB20000}"/>
    <cellStyle name="Финансовый 5 10 2 2 3" xfId="15705" xr:uid="{00000000-0005-0000-0000-0000EBB20000}"/>
    <cellStyle name="Финансовый 5 10 2 2 3 2" xfId="39660" xr:uid="{00000000-0005-0000-0000-0000ECB20000}"/>
    <cellStyle name="Финансовый 5 10 2 2 4" xfId="27683" xr:uid="{00000000-0005-0000-0000-0000EDB20000}"/>
    <cellStyle name="Финансовый 5 10 2 2 5" xfId="50952" xr:uid="{00000000-0005-0000-0000-0000EEB20000}"/>
    <cellStyle name="Финансовый 5 10 2 3" xfId="5509" xr:uid="{00000000-0005-0000-0000-0000EFB20000}"/>
    <cellStyle name="Финансовый 5 10 2 3 2" xfId="17487" xr:uid="{00000000-0005-0000-0000-0000F0B20000}"/>
    <cellStyle name="Финансовый 5 10 2 3 2 2" xfId="41442" xr:uid="{00000000-0005-0000-0000-0000F1B20000}"/>
    <cellStyle name="Финансовый 5 10 2 3 3" xfId="29464" xr:uid="{00000000-0005-0000-0000-0000F2B20000}"/>
    <cellStyle name="Финансовый 5 10 2 4" xfId="8119" xr:uid="{00000000-0005-0000-0000-0000F3B20000}"/>
    <cellStyle name="Финансовый 5 10 2 4 2" xfId="20097" xr:uid="{00000000-0005-0000-0000-0000F4B20000}"/>
    <cellStyle name="Финансовый 5 10 2 4 2 2" xfId="44052" xr:uid="{00000000-0005-0000-0000-0000F5B20000}"/>
    <cellStyle name="Финансовый 5 10 2 4 3" xfId="32074" xr:uid="{00000000-0005-0000-0000-0000F6B20000}"/>
    <cellStyle name="Финансовый 5 10 2 5" xfId="9902" xr:uid="{00000000-0005-0000-0000-0000F7B20000}"/>
    <cellStyle name="Финансовый 5 10 2 5 2" xfId="21880" xr:uid="{00000000-0005-0000-0000-0000F8B20000}"/>
    <cellStyle name="Финансовый 5 10 2 5 2 2" xfId="45835" xr:uid="{00000000-0005-0000-0000-0000F9B20000}"/>
    <cellStyle name="Финансовый 5 10 2 5 3" xfId="33857" xr:uid="{00000000-0005-0000-0000-0000FAB20000}"/>
    <cellStyle name="Финансовый 5 10 2 6" xfId="14060" xr:uid="{00000000-0005-0000-0000-0000FBB20000}"/>
    <cellStyle name="Финансовый 5 10 2 6 2" xfId="38015" xr:uid="{00000000-0005-0000-0000-0000FCB20000}"/>
    <cellStyle name="Финансовый 5 10 2 7" xfId="26038" xr:uid="{00000000-0005-0000-0000-0000FDB20000}"/>
    <cellStyle name="Финансовый 5 10 2 8" xfId="49171" xr:uid="{00000000-0005-0000-0000-0000FEB20000}"/>
    <cellStyle name="Финансовый 5 10 3" xfId="1379" xr:uid="{00000000-0005-0000-0000-0000FFB20000}"/>
    <cellStyle name="Финансовый 5 10 3 2" xfId="7419" xr:uid="{00000000-0005-0000-0000-000000B30000}"/>
    <cellStyle name="Финансовый 5 10 3 2 2" xfId="19397" xr:uid="{00000000-0005-0000-0000-000001B30000}"/>
    <cellStyle name="Финансовый 5 10 3 2 2 2" xfId="43352" xr:uid="{00000000-0005-0000-0000-000002B30000}"/>
    <cellStyle name="Финансовый 5 10 3 2 3" xfId="31374" xr:uid="{00000000-0005-0000-0000-000003B30000}"/>
    <cellStyle name="Финансовый 5 10 3 3" xfId="10950" xr:uid="{00000000-0005-0000-0000-000004B30000}"/>
    <cellStyle name="Финансовый 5 10 3 3 2" xfId="22928" xr:uid="{00000000-0005-0000-0000-000005B30000}"/>
    <cellStyle name="Финансовый 5 10 3 3 2 2" xfId="46883" xr:uid="{00000000-0005-0000-0000-000006B30000}"/>
    <cellStyle name="Финансовый 5 10 3 3 3" xfId="34905" xr:uid="{00000000-0005-0000-0000-000007B30000}"/>
    <cellStyle name="Финансовый 5 10 3 4" xfId="13360" xr:uid="{00000000-0005-0000-0000-000008B30000}"/>
    <cellStyle name="Финансовый 5 10 3 4 2" xfId="37315" xr:uid="{00000000-0005-0000-0000-000009B30000}"/>
    <cellStyle name="Финансовый 5 10 3 5" xfId="25338" xr:uid="{00000000-0005-0000-0000-00000AB30000}"/>
    <cellStyle name="Финансовый 5 10 3 6" xfId="50251" xr:uid="{00000000-0005-0000-0000-00000BB30000}"/>
    <cellStyle name="Финансовый 5 10 4" xfId="702" xr:uid="{00000000-0005-0000-0000-00000CB30000}"/>
    <cellStyle name="Финансовый 5 10 4 2" xfId="6742" xr:uid="{00000000-0005-0000-0000-00000DB30000}"/>
    <cellStyle name="Финансовый 5 10 4 2 2" xfId="18720" xr:uid="{00000000-0005-0000-0000-00000EB30000}"/>
    <cellStyle name="Финансовый 5 10 4 2 2 2" xfId="42675" xr:uid="{00000000-0005-0000-0000-00000FB30000}"/>
    <cellStyle name="Финансовый 5 10 4 2 3" xfId="30697" xr:uid="{00000000-0005-0000-0000-000010B30000}"/>
    <cellStyle name="Финансовый 5 10 4 3" xfId="12683" xr:uid="{00000000-0005-0000-0000-000011B30000}"/>
    <cellStyle name="Финансовый 5 10 4 3 2" xfId="36638" xr:uid="{00000000-0005-0000-0000-000012B30000}"/>
    <cellStyle name="Финансовый 5 10 4 4" xfId="24661" xr:uid="{00000000-0005-0000-0000-000013B30000}"/>
    <cellStyle name="Финансовый 5 10 5" xfId="3163" xr:uid="{00000000-0005-0000-0000-000014B30000}"/>
    <cellStyle name="Финансовый 5 10 5 2" xfId="15142" xr:uid="{00000000-0005-0000-0000-000015B30000}"/>
    <cellStyle name="Финансовый 5 10 5 2 2" xfId="39097" xr:uid="{00000000-0005-0000-0000-000016B30000}"/>
    <cellStyle name="Финансовый 5 10 5 3" xfId="27120" xr:uid="{00000000-0005-0000-0000-000017B30000}"/>
    <cellStyle name="Финансовый 5 10 6" xfId="4807" xr:uid="{00000000-0005-0000-0000-000018B30000}"/>
    <cellStyle name="Финансовый 5 10 6 2" xfId="16786" xr:uid="{00000000-0005-0000-0000-000019B30000}"/>
    <cellStyle name="Финансовый 5 10 6 2 2" xfId="40741" xr:uid="{00000000-0005-0000-0000-00001AB30000}"/>
    <cellStyle name="Финансовый 5 10 6 3" xfId="28764" xr:uid="{00000000-0005-0000-0000-00001BB30000}"/>
    <cellStyle name="Финансовый 5 10 7" xfId="6322" xr:uid="{00000000-0005-0000-0000-00001CB30000}"/>
    <cellStyle name="Финансовый 5 10 7 2" xfId="18300" xr:uid="{00000000-0005-0000-0000-00001DB30000}"/>
    <cellStyle name="Финансовый 5 10 7 2 2" xfId="42255" xr:uid="{00000000-0005-0000-0000-00001EB30000}"/>
    <cellStyle name="Финансовый 5 10 7 3" xfId="30277" xr:uid="{00000000-0005-0000-0000-00001FB30000}"/>
    <cellStyle name="Финансовый 5 10 8" xfId="9201" xr:uid="{00000000-0005-0000-0000-000020B30000}"/>
    <cellStyle name="Финансовый 5 10 8 2" xfId="21179" xr:uid="{00000000-0005-0000-0000-000021B30000}"/>
    <cellStyle name="Финансовый 5 10 8 2 2" xfId="45134" xr:uid="{00000000-0005-0000-0000-000022B30000}"/>
    <cellStyle name="Финансовый 5 10 8 3" xfId="33156" xr:uid="{00000000-0005-0000-0000-000023B30000}"/>
    <cellStyle name="Финансовый 5 10 9" xfId="12263" xr:uid="{00000000-0005-0000-0000-000024B30000}"/>
    <cellStyle name="Финансовый 5 10 9 2" xfId="36218" xr:uid="{00000000-0005-0000-0000-000025B30000}"/>
    <cellStyle name="Финансовый 5 11" xfId="294" xr:uid="{00000000-0005-0000-0000-000026B30000}"/>
    <cellStyle name="Финансовый 5 11 10" xfId="48199" xr:uid="{00000000-0005-0000-0000-000027B30000}"/>
    <cellStyle name="Финансовый 5 11 2" xfId="1114" xr:uid="{00000000-0005-0000-0000-000028B30000}"/>
    <cellStyle name="Финансовый 5 11 2 2" xfId="7154" xr:uid="{00000000-0005-0000-0000-000029B30000}"/>
    <cellStyle name="Финансовый 5 11 2 2 2" xfId="19132" xr:uid="{00000000-0005-0000-0000-00002AB30000}"/>
    <cellStyle name="Финансовый 5 11 2 2 2 2" xfId="43087" xr:uid="{00000000-0005-0000-0000-00002BB30000}"/>
    <cellStyle name="Финансовый 5 11 2 2 3" xfId="31109" xr:uid="{00000000-0005-0000-0000-00002CB30000}"/>
    <cellStyle name="Финансовый 5 11 2 3" xfId="10694" xr:uid="{00000000-0005-0000-0000-00002DB30000}"/>
    <cellStyle name="Финансовый 5 11 2 3 2" xfId="22672" xr:uid="{00000000-0005-0000-0000-00002EB30000}"/>
    <cellStyle name="Финансовый 5 11 2 3 2 2" xfId="46627" xr:uid="{00000000-0005-0000-0000-00002FB30000}"/>
    <cellStyle name="Финансовый 5 11 2 3 3" xfId="34649" xr:uid="{00000000-0005-0000-0000-000030B30000}"/>
    <cellStyle name="Финансовый 5 11 2 4" xfId="13095" xr:uid="{00000000-0005-0000-0000-000031B30000}"/>
    <cellStyle name="Финансовый 5 11 2 4 2" xfId="37050" xr:uid="{00000000-0005-0000-0000-000032B30000}"/>
    <cellStyle name="Финансовый 5 11 2 5" xfId="25073" xr:uid="{00000000-0005-0000-0000-000033B30000}"/>
    <cellStyle name="Финансовый 5 11 2 6" xfId="49979" xr:uid="{00000000-0005-0000-0000-000034B30000}"/>
    <cellStyle name="Финансовый 5 11 3" xfId="714" xr:uid="{00000000-0005-0000-0000-000035B30000}"/>
    <cellStyle name="Финансовый 5 11 3 2" xfId="6754" xr:uid="{00000000-0005-0000-0000-000036B30000}"/>
    <cellStyle name="Финансовый 5 11 3 2 2" xfId="18732" xr:uid="{00000000-0005-0000-0000-000037B30000}"/>
    <cellStyle name="Финансовый 5 11 3 2 2 2" xfId="42687" xr:uid="{00000000-0005-0000-0000-000038B30000}"/>
    <cellStyle name="Финансовый 5 11 3 2 3" xfId="30709" xr:uid="{00000000-0005-0000-0000-000039B30000}"/>
    <cellStyle name="Финансовый 5 11 3 3" xfId="12695" xr:uid="{00000000-0005-0000-0000-00003AB30000}"/>
    <cellStyle name="Финансовый 5 11 3 3 2" xfId="36650" xr:uid="{00000000-0005-0000-0000-00003BB30000}"/>
    <cellStyle name="Финансовый 5 11 3 4" xfId="24673" xr:uid="{00000000-0005-0000-0000-00003CB30000}"/>
    <cellStyle name="Финансовый 5 11 4" xfId="2891" xr:uid="{00000000-0005-0000-0000-00003DB30000}"/>
    <cellStyle name="Финансовый 5 11 4 2" xfId="14870" xr:uid="{00000000-0005-0000-0000-00003EB30000}"/>
    <cellStyle name="Финансовый 5 11 4 2 2" xfId="38825" xr:uid="{00000000-0005-0000-0000-00003FB30000}"/>
    <cellStyle name="Финансовый 5 11 4 3" xfId="26848" xr:uid="{00000000-0005-0000-0000-000040B30000}"/>
    <cellStyle name="Финансовый 5 11 5" xfId="4535" xr:uid="{00000000-0005-0000-0000-000041B30000}"/>
    <cellStyle name="Финансовый 5 11 5 2" xfId="16514" xr:uid="{00000000-0005-0000-0000-000042B30000}"/>
    <cellStyle name="Финансовый 5 11 5 2 2" xfId="40469" xr:uid="{00000000-0005-0000-0000-000043B30000}"/>
    <cellStyle name="Финансовый 5 11 5 3" xfId="28492" xr:uid="{00000000-0005-0000-0000-000044B30000}"/>
    <cellStyle name="Финансовый 5 11 6" xfId="6334" xr:uid="{00000000-0005-0000-0000-000045B30000}"/>
    <cellStyle name="Финансовый 5 11 6 2" xfId="18312" xr:uid="{00000000-0005-0000-0000-000046B30000}"/>
    <cellStyle name="Финансовый 5 11 6 2 2" xfId="42267" xr:uid="{00000000-0005-0000-0000-000047B30000}"/>
    <cellStyle name="Финансовый 5 11 6 3" xfId="30289" xr:uid="{00000000-0005-0000-0000-000048B30000}"/>
    <cellStyle name="Финансовый 5 11 7" xfId="8929" xr:uid="{00000000-0005-0000-0000-000049B30000}"/>
    <cellStyle name="Финансовый 5 11 7 2" xfId="20907" xr:uid="{00000000-0005-0000-0000-00004AB30000}"/>
    <cellStyle name="Финансовый 5 11 7 2 2" xfId="44862" xr:uid="{00000000-0005-0000-0000-00004BB30000}"/>
    <cellStyle name="Финансовый 5 11 7 3" xfId="32884" xr:uid="{00000000-0005-0000-0000-00004CB30000}"/>
    <cellStyle name="Финансовый 5 11 8" xfId="12275" xr:uid="{00000000-0005-0000-0000-00004DB30000}"/>
    <cellStyle name="Финансовый 5 11 8 2" xfId="36230" xr:uid="{00000000-0005-0000-0000-00004EB30000}"/>
    <cellStyle name="Финансовый 5 11 9" xfId="24253" xr:uid="{00000000-0005-0000-0000-00004FB30000}"/>
    <cellStyle name="Финансовый 5 12" xfId="1543" xr:uid="{00000000-0005-0000-0000-000050B30000}"/>
    <cellStyle name="Финансовый 5 12 2" xfId="1701" xr:uid="{00000000-0005-0000-0000-000051B30000}"/>
    <cellStyle name="Финансовый 5 12 2 2" xfId="3346" xr:uid="{00000000-0005-0000-0000-000052B30000}"/>
    <cellStyle name="Финансовый 5 12 2 2 2" xfId="11094" xr:uid="{00000000-0005-0000-0000-000053B30000}"/>
    <cellStyle name="Финансовый 5 12 2 2 2 2" xfId="23072" xr:uid="{00000000-0005-0000-0000-000054B30000}"/>
    <cellStyle name="Финансовый 5 12 2 2 2 2 2" xfId="47027" xr:uid="{00000000-0005-0000-0000-000055B30000}"/>
    <cellStyle name="Финансовый 5 12 2 2 2 3" xfId="35049" xr:uid="{00000000-0005-0000-0000-000056B30000}"/>
    <cellStyle name="Финансовый 5 12 2 2 3" xfId="15325" xr:uid="{00000000-0005-0000-0000-000057B30000}"/>
    <cellStyle name="Финансовый 5 12 2 2 3 2" xfId="39280" xr:uid="{00000000-0005-0000-0000-000058B30000}"/>
    <cellStyle name="Финансовый 5 12 2 2 4" xfId="27303" xr:uid="{00000000-0005-0000-0000-000059B30000}"/>
    <cellStyle name="Финансовый 5 12 2 2 5" xfId="50572" xr:uid="{00000000-0005-0000-0000-00005AB30000}"/>
    <cellStyle name="Финансовый 5 12 2 3" xfId="5129" xr:uid="{00000000-0005-0000-0000-00005BB30000}"/>
    <cellStyle name="Финансовый 5 12 2 3 2" xfId="17107" xr:uid="{00000000-0005-0000-0000-00005CB30000}"/>
    <cellStyle name="Финансовый 5 12 2 3 2 2" xfId="41062" xr:uid="{00000000-0005-0000-0000-00005DB30000}"/>
    <cellStyle name="Финансовый 5 12 2 3 3" xfId="29084" xr:uid="{00000000-0005-0000-0000-00005EB30000}"/>
    <cellStyle name="Финансовый 5 12 2 4" xfId="7739" xr:uid="{00000000-0005-0000-0000-00005FB30000}"/>
    <cellStyle name="Финансовый 5 12 2 4 2" xfId="19717" xr:uid="{00000000-0005-0000-0000-000060B30000}"/>
    <cellStyle name="Финансовый 5 12 2 4 2 2" xfId="43672" xr:uid="{00000000-0005-0000-0000-000061B30000}"/>
    <cellStyle name="Финансовый 5 12 2 4 3" xfId="31694" xr:uid="{00000000-0005-0000-0000-000062B30000}"/>
    <cellStyle name="Финансовый 5 12 2 5" xfId="9522" xr:uid="{00000000-0005-0000-0000-000063B30000}"/>
    <cellStyle name="Финансовый 5 12 2 5 2" xfId="21500" xr:uid="{00000000-0005-0000-0000-000064B30000}"/>
    <cellStyle name="Финансовый 5 12 2 5 2 2" xfId="45455" xr:uid="{00000000-0005-0000-0000-000065B30000}"/>
    <cellStyle name="Финансовый 5 12 2 5 3" xfId="33477" xr:uid="{00000000-0005-0000-0000-000066B30000}"/>
    <cellStyle name="Финансовый 5 12 2 6" xfId="13680" xr:uid="{00000000-0005-0000-0000-000067B30000}"/>
    <cellStyle name="Финансовый 5 12 2 6 2" xfId="37635" xr:uid="{00000000-0005-0000-0000-000068B30000}"/>
    <cellStyle name="Финансовый 5 12 2 7" xfId="25658" xr:uid="{00000000-0005-0000-0000-000069B30000}"/>
    <cellStyle name="Финансовый 5 12 2 8" xfId="48791" xr:uid="{00000000-0005-0000-0000-00006AB30000}"/>
    <cellStyle name="Финансовый 5 12 3" xfId="4971" xr:uid="{00000000-0005-0000-0000-00006BB30000}"/>
    <cellStyle name="Финансовый 5 12 3 2" xfId="16949" xr:uid="{00000000-0005-0000-0000-00006CB30000}"/>
    <cellStyle name="Финансовый 5 12 3 2 2" xfId="40904" xr:uid="{00000000-0005-0000-0000-00006DB30000}"/>
    <cellStyle name="Финансовый 5 12 3 3" xfId="28926" xr:uid="{00000000-0005-0000-0000-00006EB30000}"/>
    <cellStyle name="Финансовый 5 12 3 4" xfId="50414" xr:uid="{00000000-0005-0000-0000-00006FB30000}"/>
    <cellStyle name="Финансовый 5 12 4" xfId="7581" xr:uid="{00000000-0005-0000-0000-000070B30000}"/>
    <cellStyle name="Финансовый 5 12 4 2" xfId="19559" xr:uid="{00000000-0005-0000-0000-000071B30000}"/>
    <cellStyle name="Финансовый 5 12 4 2 2" xfId="43514" xr:uid="{00000000-0005-0000-0000-000072B30000}"/>
    <cellStyle name="Финансовый 5 12 4 3" xfId="31536" xr:uid="{00000000-0005-0000-0000-000073B30000}"/>
    <cellStyle name="Финансовый 5 12 5" xfId="9364" xr:uid="{00000000-0005-0000-0000-000074B30000}"/>
    <cellStyle name="Финансовый 5 12 5 2" xfId="21342" xr:uid="{00000000-0005-0000-0000-000075B30000}"/>
    <cellStyle name="Финансовый 5 12 5 2 2" xfId="45297" xr:uid="{00000000-0005-0000-0000-000076B30000}"/>
    <cellStyle name="Финансовый 5 12 5 3" xfId="33319" xr:uid="{00000000-0005-0000-0000-000077B30000}"/>
    <cellStyle name="Финансовый 5 12 6" xfId="13522" xr:uid="{00000000-0005-0000-0000-000078B30000}"/>
    <cellStyle name="Финансовый 5 12 6 2" xfId="37477" xr:uid="{00000000-0005-0000-0000-000079B30000}"/>
    <cellStyle name="Финансовый 5 12 7" xfId="25500" xr:uid="{00000000-0005-0000-0000-00007AB30000}"/>
    <cellStyle name="Финансовый 5 12 8" xfId="48633" xr:uid="{00000000-0005-0000-0000-00007BB30000}"/>
    <cellStyle name="Финансовый 5 13" xfId="2337" xr:uid="{00000000-0005-0000-0000-00007CB30000}"/>
    <cellStyle name="Финансовый 5 13 2" xfId="3982" xr:uid="{00000000-0005-0000-0000-00007DB30000}"/>
    <cellStyle name="Финансовый 5 13 2 2" xfId="11722" xr:uid="{00000000-0005-0000-0000-00007EB30000}"/>
    <cellStyle name="Финансовый 5 13 2 2 2" xfId="23700" xr:uid="{00000000-0005-0000-0000-00007FB30000}"/>
    <cellStyle name="Финансовый 5 13 2 2 2 2" xfId="47655" xr:uid="{00000000-0005-0000-0000-000080B30000}"/>
    <cellStyle name="Финансовый 5 13 2 2 3" xfId="35677" xr:uid="{00000000-0005-0000-0000-000081B30000}"/>
    <cellStyle name="Финансовый 5 13 2 3" xfId="15961" xr:uid="{00000000-0005-0000-0000-000082B30000}"/>
    <cellStyle name="Финансовый 5 13 2 3 2" xfId="39916" xr:uid="{00000000-0005-0000-0000-000083B30000}"/>
    <cellStyle name="Финансовый 5 13 2 4" xfId="27939" xr:uid="{00000000-0005-0000-0000-000084B30000}"/>
    <cellStyle name="Финансовый 5 13 2 5" xfId="51208" xr:uid="{00000000-0005-0000-0000-000085B30000}"/>
    <cellStyle name="Финансовый 5 13 3" xfId="5765" xr:uid="{00000000-0005-0000-0000-000086B30000}"/>
    <cellStyle name="Финансовый 5 13 3 2" xfId="17743" xr:uid="{00000000-0005-0000-0000-000087B30000}"/>
    <cellStyle name="Финансовый 5 13 3 2 2" xfId="41698" xr:uid="{00000000-0005-0000-0000-000088B30000}"/>
    <cellStyle name="Финансовый 5 13 3 3" xfId="29720" xr:uid="{00000000-0005-0000-0000-000089B30000}"/>
    <cellStyle name="Финансовый 5 13 4" xfId="8375" xr:uid="{00000000-0005-0000-0000-00008AB30000}"/>
    <cellStyle name="Финансовый 5 13 4 2" xfId="20353" xr:uid="{00000000-0005-0000-0000-00008BB30000}"/>
    <cellStyle name="Финансовый 5 13 4 2 2" xfId="44308" xr:uid="{00000000-0005-0000-0000-00008CB30000}"/>
    <cellStyle name="Финансовый 5 13 4 3" xfId="32330" xr:uid="{00000000-0005-0000-0000-00008DB30000}"/>
    <cellStyle name="Финансовый 5 13 5" xfId="10158" xr:uid="{00000000-0005-0000-0000-00008EB30000}"/>
    <cellStyle name="Финансовый 5 13 5 2" xfId="22136" xr:uid="{00000000-0005-0000-0000-00008FB30000}"/>
    <cellStyle name="Финансовый 5 13 5 2 2" xfId="46091" xr:uid="{00000000-0005-0000-0000-000090B30000}"/>
    <cellStyle name="Финансовый 5 13 5 3" xfId="34113" xr:uid="{00000000-0005-0000-0000-000091B30000}"/>
    <cellStyle name="Финансовый 5 13 6" xfId="14316" xr:uid="{00000000-0005-0000-0000-000092B30000}"/>
    <cellStyle name="Финансовый 5 13 6 2" xfId="38271" xr:uid="{00000000-0005-0000-0000-000093B30000}"/>
    <cellStyle name="Финансовый 5 13 7" xfId="26294" xr:uid="{00000000-0005-0000-0000-000094B30000}"/>
    <cellStyle name="Финансовый 5 13 8" xfId="49427" xr:uid="{00000000-0005-0000-0000-000095B30000}"/>
    <cellStyle name="Финансовый 5 14" xfId="1564" xr:uid="{00000000-0005-0000-0000-000096B30000}"/>
    <cellStyle name="Финансовый 5 14 2" xfId="3209" xr:uid="{00000000-0005-0000-0000-000097B30000}"/>
    <cellStyle name="Финансовый 5 14 2 2" xfId="10965" xr:uid="{00000000-0005-0000-0000-000098B30000}"/>
    <cellStyle name="Финансовый 5 14 2 2 2" xfId="22943" xr:uid="{00000000-0005-0000-0000-000099B30000}"/>
    <cellStyle name="Финансовый 5 14 2 2 2 2" xfId="46898" xr:uid="{00000000-0005-0000-0000-00009AB30000}"/>
    <cellStyle name="Финансовый 5 14 2 2 3" xfId="34920" xr:uid="{00000000-0005-0000-0000-00009BB30000}"/>
    <cellStyle name="Финансовый 5 14 2 3" xfId="15188" xr:uid="{00000000-0005-0000-0000-00009CB30000}"/>
    <cellStyle name="Финансовый 5 14 2 3 2" xfId="39143" xr:uid="{00000000-0005-0000-0000-00009DB30000}"/>
    <cellStyle name="Финансовый 5 14 2 4" xfId="27166" xr:uid="{00000000-0005-0000-0000-00009EB30000}"/>
    <cellStyle name="Финансовый 5 14 2 5" xfId="50435" xr:uid="{00000000-0005-0000-0000-00009FB30000}"/>
    <cellStyle name="Финансовый 5 14 3" xfId="4992" xr:uid="{00000000-0005-0000-0000-0000A0B30000}"/>
    <cellStyle name="Финансовый 5 14 3 2" xfId="16970" xr:uid="{00000000-0005-0000-0000-0000A1B30000}"/>
    <cellStyle name="Финансовый 5 14 3 2 2" xfId="40925" xr:uid="{00000000-0005-0000-0000-0000A2B30000}"/>
    <cellStyle name="Финансовый 5 14 3 3" xfId="28947" xr:uid="{00000000-0005-0000-0000-0000A3B30000}"/>
    <cellStyle name="Финансовый 5 14 4" xfId="7602" xr:uid="{00000000-0005-0000-0000-0000A4B30000}"/>
    <cellStyle name="Финансовый 5 14 4 2" xfId="19580" xr:uid="{00000000-0005-0000-0000-0000A5B30000}"/>
    <cellStyle name="Финансовый 5 14 4 2 2" xfId="43535" xr:uid="{00000000-0005-0000-0000-0000A6B30000}"/>
    <cellStyle name="Финансовый 5 14 4 3" xfId="31557" xr:uid="{00000000-0005-0000-0000-0000A7B30000}"/>
    <cellStyle name="Финансовый 5 14 5" xfId="9385" xr:uid="{00000000-0005-0000-0000-0000A8B30000}"/>
    <cellStyle name="Финансовый 5 14 5 2" xfId="21363" xr:uid="{00000000-0005-0000-0000-0000A9B30000}"/>
    <cellStyle name="Финансовый 5 14 5 2 2" xfId="45318" xr:uid="{00000000-0005-0000-0000-0000AAB30000}"/>
    <cellStyle name="Финансовый 5 14 5 3" xfId="33340" xr:uid="{00000000-0005-0000-0000-0000ABB30000}"/>
    <cellStyle name="Финансовый 5 14 6" xfId="13543" xr:uid="{00000000-0005-0000-0000-0000ACB30000}"/>
    <cellStyle name="Финансовый 5 14 6 2" xfId="37498" xr:uid="{00000000-0005-0000-0000-0000ADB30000}"/>
    <cellStyle name="Финансовый 5 14 7" xfId="25521" xr:uid="{00000000-0005-0000-0000-0000AEB30000}"/>
    <cellStyle name="Финансовый 5 14 8" xfId="48654" xr:uid="{00000000-0005-0000-0000-0000AFB30000}"/>
    <cellStyle name="Финансовый 5 15" xfId="850" xr:uid="{00000000-0005-0000-0000-0000B0B30000}"/>
    <cellStyle name="Финансовый 5 15 2" xfId="6890" xr:uid="{00000000-0005-0000-0000-0000B1B30000}"/>
    <cellStyle name="Финансовый 5 15 2 2" xfId="18868" xr:uid="{00000000-0005-0000-0000-0000B2B30000}"/>
    <cellStyle name="Финансовый 5 15 2 2 2" xfId="42823" xr:uid="{00000000-0005-0000-0000-0000B3B30000}"/>
    <cellStyle name="Финансовый 5 15 2 3" xfId="30845" xr:uid="{00000000-0005-0000-0000-0000B4B30000}"/>
    <cellStyle name="Финансовый 5 15 3" xfId="10438" xr:uid="{00000000-0005-0000-0000-0000B5B30000}"/>
    <cellStyle name="Финансовый 5 15 3 2" xfId="22416" xr:uid="{00000000-0005-0000-0000-0000B6B30000}"/>
    <cellStyle name="Финансовый 5 15 3 2 2" xfId="46371" xr:uid="{00000000-0005-0000-0000-0000B7B30000}"/>
    <cellStyle name="Финансовый 5 15 3 3" xfId="34393" xr:uid="{00000000-0005-0000-0000-0000B8B30000}"/>
    <cellStyle name="Финансовый 5 15 4" xfId="12831" xr:uid="{00000000-0005-0000-0000-0000B9B30000}"/>
    <cellStyle name="Финансовый 5 15 4 2" xfId="36786" xr:uid="{00000000-0005-0000-0000-0000BAB30000}"/>
    <cellStyle name="Финансовый 5 15 5" xfId="24809" xr:uid="{00000000-0005-0000-0000-0000BBB30000}"/>
    <cellStyle name="Финансовый 5 15 6" xfId="49707" xr:uid="{00000000-0005-0000-0000-0000BCB30000}"/>
    <cellStyle name="Финансовый 5 16" xfId="430" xr:uid="{00000000-0005-0000-0000-0000BDB30000}"/>
    <cellStyle name="Финансовый 5 16 2" xfId="6470" xr:uid="{00000000-0005-0000-0000-0000BEB30000}"/>
    <cellStyle name="Финансовый 5 16 2 2" xfId="18448" xr:uid="{00000000-0005-0000-0000-0000BFB30000}"/>
    <cellStyle name="Финансовый 5 16 2 2 2" xfId="42403" xr:uid="{00000000-0005-0000-0000-0000C0B30000}"/>
    <cellStyle name="Финансовый 5 16 2 3" xfId="30425" xr:uid="{00000000-0005-0000-0000-0000C1B30000}"/>
    <cellStyle name="Финансовый 5 16 3" xfId="12411" xr:uid="{00000000-0005-0000-0000-0000C2B30000}"/>
    <cellStyle name="Финансовый 5 16 3 2" xfId="36366" xr:uid="{00000000-0005-0000-0000-0000C3B30000}"/>
    <cellStyle name="Финансовый 5 16 4" xfId="24389" xr:uid="{00000000-0005-0000-0000-0000C4B30000}"/>
    <cellStyle name="Финансовый 5 17" xfId="2619" xr:uid="{00000000-0005-0000-0000-0000C5B30000}"/>
    <cellStyle name="Финансовый 5 17 2" xfId="14598" xr:uid="{00000000-0005-0000-0000-0000C6B30000}"/>
    <cellStyle name="Финансовый 5 17 2 2" xfId="38553" xr:uid="{00000000-0005-0000-0000-0000C7B30000}"/>
    <cellStyle name="Финансовый 5 17 3" xfId="26576" xr:uid="{00000000-0005-0000-0000-0000C8B30000}"/>
    <cellStyle name="Финансовый 5 18" xfId="4262" xr:uid="{00000000-0005-0000-0000-0000C9B30000}"/>
    <cellStyle name="Финансовый 5 18 2" xfId="16241" xr:uid="{00000000-0005-0000-0000-0000CAB30000}"/>
    <cellStyle name="Финансовый 5 18 2 2" xfId="40196" xr:uid="{00000000-0005-0000-0000-0000CBB30000}"/>
    <cellStyle name="Финансовый 5 18 3" xfId="28219" xr:uid="{00000000-0005-0000-0000-0000CCB30000}"/>
    <cellStyle name="Финансовый 5 19" xfId="6050" xr:uid="{00000000-0005-0000-0000-0000CDB30000}"/>
    <cellStyle name="Финансовый 5 19 2" xfId="18028" xr:uid="{00000000-0005-0000-0000-0000CEB30000}"/>
    <cellStyle name="Финансовый 5 19 2 2" xfId="41983" xr:uid="{00000000-0005-0000-0000-0000CFB30000}"/>
    <cellStyle name="Финансовый 5 19 3" xfId="30005" xr:uid="{00000000-0005-0000-0000-0000D0B30000}"/>
    <cellStyle name="Финансовый 5 2" xfId="43" xr:uid="{00000000-0005-0000-0000-0000D1B30000}"/>
    <cellStyle name="Финансовый 5 2 10" xfId="466" xr:uid="{00000000-0005-0000-0000-0000D2B30000}"/>
    <cellStyle name="Финансовый 5 2 10 2" xfId="6506" xr:uid="{00000000-0005-0000-0000-0000D3B30000}"/>
    <cellStyle name="Финансовый 5 2 10 2 2" xfId="18484" xr:uid="{00000000-0005-0000-0000-0000D4B30000}"/>
    <cellStyle name="Финансовый 5 2 10 2 2 2" xfId="42439" xr:uid="{00000000-0005-0000-0000-0000D5B30000}"/>
    <cellStyle name="Финансовый 5 2 10 2 3" xfId="30461" xr:uid="{00000000-0005-0000-0000-0000D6B30000}"/>
    <cellStyle name="Финансовый 5 2 10 3" xfId="12447" xr:uid="{00000000-0005-0000-0000-0000D7B30000}"/>
    <cellStyle name="Финансовый 5 2 10 3 2" xfId="36402" xr:uid="{00000000-0005-0000-0000-0000D8B30000}"/>
    <cellStyle name="Финансовый 5 2 10 4" xfId="24425" xr:uid="{00000000-0005-0000-0000-0000D9B30000}"/>
    <cellStyle name="Финансовый 5 2 11" xfId="2655" xr:uid="{00000000-0005-0000-0000-0000DAB30000}"/>
    <cellStyle name="Финансовый 5 2 11 2" xfId="14634" xr:uid="{00000000-0005-0000-0000-0000DBB30000}"/>
    <cellStyle name="Финансовый 5 2 11 2 2" xfId="38589" xr:uid="{00000000-0005-0000-0000-0000DCB30000}"/>
    <cellStyle name="Финансовый 5 2 11 3" xfId="26612" xr:uid="{00000000-0005-0000-0000-0000DDB30000}"/>
    <cellStyle name="Финансовый 5 2 12" xfId="4298" xr:uid="{00000000-0005-0000-0000-0000DEB30000}"/>
    <cellStyle name="Финансовый 5 2 12 2" xfId="16277" xr:uid="{00000000-0005-0000-0000-0000DFB30000}"/>
    <cellStyle name="Финансовый 5 2 12 2 2" xfId="40232" xr:uid="{00000000-0005-0000-0000-0000E0B30000}"/>
    <cellStyle name="Финансовый 5 2 12 3" xfId="28255" xr:uid="{00000000-0005-0000-0000-0000E1B30000}"/>
    <cellStyle name="Финансовый 5 2 13" xfId="6086" xr:uid="{00000000-0005-0000-0000-0000E2B30000}"/>
    <cellStyle name="Финансовый 5 2 13 2" xfId="18064" xr:uid="{00000000-0005-0000-0000-0000E3B30000}"/>
    <cellStyle name="Финансовый 5 2 13 2 2" xfId="42019" xr:uid="{00000000-0005-0000-0000-0000E4B30000}"/>
    <cellStyle name="Финансовый 5 2 13 3" xfId="30041" xr:uid="{00000000-0005-0000-0000-0000E5B30000}"/>
    <cellStyle name="Финансовый 5 2 14" xfId="8693" xr:uid="{00000000-0005-0000-0000-0000E6B30000}"/>
    <cellStyle name="Финансовый 5 2 14 2" xfId="20671" xr:uid="{00000000-0005-0000-0000-0000E7B30000}"/>
    <cellStyle name="Финансовый 5 2 14 2 2" xfId="44626" xr:uid="{00000000-0005-0000-0000-0000E8B30000}"/>
    <cellStyle name="Финансовый 5 2 14 3" xfId="32648" xr:uid="{00000000-0005-0000-0000-0000E9B30000}"/>
    <cellStyle name="Финансовый 5 2 15" xfId="12027" xr:uid="{00000000-0005-0000-0000-0000EAB30000}"/>
    <cellStyle name="Финансовый 5 2 15 2" xfId="35982" xr:uid="{00000000-0005-0000-0000-0000EBB30000}"/>
    <cellStyle name="Финансовый 5 2 16" xfId="24005" xr:uid="{00000000-0005-0000-0000-0000ECB30000}"/>
    <cellStyle name="Финансовый 5 2 17" xfId="47963" xr:uid="{00000000-0005-0000-0000-0000EDB30000}"/>
    <cellStyle name="Финансовый 5 2 2" xfId="101" xr:uid="{00000000-0005-0000-0000-0000EEB30000}"/>
    <cellStyle name="Финансовый 5 2 2 10" xfId="2711" xr:uid="{00000000-0005-0000-0000-0000EFB30000}"/>
    <cellStyle name="Финансовый 5 2 2 10 2" xfId="14690" xr:uid="{00000000-0005-0000-0000-0000F0B30000}"/>
    <cellStyle name="Финансовый 5 2 2 10 2 2" xfId="38645" xr:uid="{00000000-0005-0000-0000-0000F1B30000}"/>
    <cellStyle name="Финансовый 5 2 2 10 3" xfId="26668" xr:uid="{00000000-0005-0000-0000-0000F2B30000}"/>
    <cellStyle name="Финансовый 5 2 2 11" xfId="4355" xr:uid="{00000000-0005-0000-0000-0000F3B30000}"/>
    <cellStyle name="Финансовый 5 2 2 11 2" xfId="16334" xr:uid="{00000000-0005-0000-0000-0000F4B30000}"/>
    <cellStyle name="Финансовый 5 2 2 11 2 2" xfId="40289" xr:uid="{00000000-0005-0000-0000-0000F5B30000}"/>
    <cellStyle name="Финансовый 5 2 2 11 3" xfId="28312" xr:uid="{00000000-0005-0000-0000-0000F6B30000}"/>
    <cellStyle name="Финансовый 5 2 2 12" xfId="6142" xr:uid="{00000000-0005-0000-0000-0000F7B30000}"/>
    <cellStyle name="Финансовый 5 2 2 12 2" xfId="18120" xr:uid="{00000000-0005-0000-0000-0000F8B30000}"/>
    <cellStyle name="Финансовый 5 2 2 12 2 2" xfId="42075" xr:uid="{00000000-0005-0000-0000-0000F9B30000}"/>
    <cellStyle name="Финансовый 5 2 2 12 3" xfId="30097" xr:uid="{00000000-0005-0000-0000-0000FAB30000}"/>
    <cellStyle name="Финансовый 5 2 2 13" xfId="8749" xr:uid="{00000000-0005-0000-0000-0000FBB30000}"/>
    <cellStyle name="Финансовый 5 2 2 13 2" xfId="20727" xr:uid="{00000000-0005-0000-0000-0000FCB30000}"/>
    <cellStyle name="Финансовый 5 2 2 13 2 2" xfId="44682" xr:uid="{00000000-0005-0000-0000-0000FDB30000}"/>
    <cellStyle name="Финансовый 5 2 2 13 3" xfId="32704" xr:uid="{00000000-0005-0000-0000-0000FEB30000}"/>
    <cellStyle name="Финансовый 5 2 2 14" xfId="12083" xr:uid="{00000000-0005-0000-0000-0000FFB30000}"/>
    <cellStyle name="Финансовый 5 2 2 14 2" xfId="36038" xr:uid="{00000000-0005-0000-0000-000000B40000}"/>
    <cellStyle name="Финансовый 5 2 2 15" xfId="24061" xr:uid="{00000000-0005-0000-0000-000001B40000}"/>
    <cellStyle name="Финансовый 5 2 2 16" xfId="48019" xr:uid="{00000000-0005-0000-0000-000002B40000}"/>
    <cellStyle name="Финансовый 5 2 2 2" xfId="237" xr:uid="{00000000-0005-0000-0000-000003B40000}"/>
    <cellStyle name="Финансовый 5 2 2 2 10" xfId="8885" xr:uid="{00000000-0005-0000-0000-000004B40000}"/>
    <cellStyle name="Финансовый 5 2 2 2 10 2" xfId="20863" xr:uid="{00000000-0005-0000-0000-000005B40000}"/>
    <cellStyle name="Финансовый 5 2 2 2 10 2 2" xfId="44818" xr:uid="{00000000-0005-0000-0000-000006B40000}"/>
    <cellStyle name="Финансовый 5 2 2 2 10 3" xfId="32840" xr:uid="{00000000-0005-0000-0000-000007B40000}"/>
    <cellStyle name="Финансовый 5 2 2 2 11" xfId="12219" xr:uid="{00000000-0005-0000-0000-000008B40000}"/>
    <cellStyle name="Финансовый 5 2 2 2 11 2" xfId="36174" xr:uid="{00000000-0005-0000-0000-000009B40000}"/>
    <cellStyle name="Финансовый 5 2 2 2 12" xfId="24197" xr:uid="{00000000-0005-0000-0000-00000AB40000}"/>
    <cellStyle name="Финансовый 5 2 2 2 13" xfId="48155" xr:uid="{00000000-0005-0000-0000-00000BB40000}"/>
    <cellStyle name="Финансовый 5 2 2 2 2" xfId="1335" xr:uid="{00000000-0005-0000-0000-00000CB40000}"/>
    <cellStyle name="Финансовый 5 2 2 2 2 2" xfId="2293" xr:uid="{00000000-0005-0000-0000-00000DB40000}"/>
    <cellStyle name="Финансовый 5 2 2 2 2 2 2" xfId="3938" xr:uid="{00000000-0005-0000-0000-00000EB40000}"/>
    <cellStyle name="Финансовый 5 2 2 2 2 2 2 2" xfId="11678" xr:uid="{00000000-0005-0000-0000-00000FB40000}"/>
    <cellStyle name="Финансовый 5 2 2 2 2 2 2 2 2" xfId="23656" xr:uid="{00000000-0005-0000-0000-000010B40000}"/>
    <cellStyle name="Финансовый 5 2 2 2 2 2 2 2 2 2" xfId="47611" xr:uid="{00000000-0005-0000-0000-000011B40000}"/>
    <cellStyle name="Финансовый 5 2 2 2 2 2 2 2 3" xfId="35633" xr:uid="{00000000-0005-0000-0000-000012B40000}"/>
    <cellStyle name="Финансовый 5 2 2 2 2 2 2 3" xfId="15917" xr:uid="{00000000-0005-0000-0000-000013B40000}"/>
    <cellStyle name="Финансовый 5 2 2 2 2 2 2 3 2" xfId="39872" xr:uid="{00000000-0005-0000-0000-000014B40000}"/>
    <cellStyle name="Финансовый 5 2 2 2 2 2 2 4" xfId="27895" xr:uid="{00000000-0005-0000-0000-000015B40000}"/>
    <cellStyle name="Финансовый 5 2 2 2 2 2 2 5" xfId="51164" xr:uid="{00000000-0005-0000-0000-000016B40000}"/>
    <cellStyle name="Финансовый 5 2 2 2 2 2 3" xfId="5721" xr:uid="{00000000-0005-0000-0000-000017B40000}"/>
    <cellStyle name="Финансовый 5 2 2 2 2 2 3 2" xfId="17699" xr:uid="{00000000-0005-0000-0000-000018B40000}"/>
    <cellStyle name="Финансовый 5 2 2 2 2 2 3 2 2" xfId="41654" xr:uid="{00000000-0005-0000-0000-000019B40000}"/>
    <cellStyle name="Финансовый 5 2 2 2 2 2 3 3" xfId="29676" xr:uid="{00000000-0005-0000-0000-00001AB40000}"/>
    <cellStyle name="Финансовый 5 2 2 2 2 2 4" xfId="8331" xr:uid="{00000000-0005-0000-0000-00001BB40000}"/>
    <cellStyle name="Финансовый 5 2 2 2 2 2 4 2" xfId="20309" xr:uid="{00000000-0005-0000-0000-00001CB40000}"/>
    <cellStyle name="Финансовый 5 2 2 2 2 2 4 2 2" xfId="44264" xr:uid="{00000000-0005-0000-0000-00001DB40000}"/>
    <cellStyle name="Финансовый 5 2 2 2 2 2 4 3" xfId="32286" xr:uid="{00000000-0005-0000-0000-00001EB40000}"/>
    <cellStyle name="Финансовый 5 2 2 2 2 2 5" xfId="10114" xr:uid="{00000000-0005-0000-0000-00001FB40000}"/>
    <cellStyle name="Финансовый 5 2 2 2 2 2 5 2" xfId="22092" xr:uid="{00000000-0005-0000-0000-000020B40000}"/>
    <cellStyle name="Финансовый 5 2 2 2 2 2 5 2 2" xfId="46047" xr:uid="{00000000-0005-0000-0000-000021B40000}"/>
    <cellStyle name="Финансовый 5 2 2 2 2 2 5 3" xfId="34069" xr:uid="{00000000-0005-0000-0000-000022B40000}"/>
    <cellStyle name="Финансовый 5 2 2 2 2 2 6" xfId="14272" xr:uid="{00000000-0005-0000-0000-000023B40000}"/>
    <cellStyle name="Финансовый 5 2 2 2 2 2 6 2" xfId="38227" xr:uid="{00000000-0005-0000-0000-000024B40000}"/>
    <cellStyle name="Финансовый 5 2 2 2 2 2 7" xfId="26250" xr:uid="{00000000-0005-0000-0000-000025B40000}"/>
    <cellStyle name="Финансовый 5 2 2 2 2 2 8" xfId="49383" xr:uid="{00000000-0005-0000-0000-000026B40000}"/>
    <cellStyle name="Финансовый 5 2 2 2 2 3" xfId="3119" xr:uid="{00000000-0005-0000-0000-000027B40000}"/>
    <cellStyle name="Финансовый 5 2 2 2 2 3 2" xfId="10906" xr:uid="{00000000-0005-0000-0000-000028B40000}"/>
    <cellStyle name="Финансовый 5 2 2 2 2 3 2 2" xfId="22884" xr:uid="{00000000-0005-0000-0000-000029B40000}"/>
    <cellStyle name="Финансовый 5 2 2 2 2 3 2 2 2" xfId="46839" xr:uid="{00000000-0005-0000-0000-00002AB40000}"/>
    <cellStyle name="Финансовый 5 2 2 2 2 3 2 3" xfId="34861" xr:uid="{00000000-0005-0000-0000-00002BB40000}"/>
    <cellStyle name="Финансовый 5 2 2 2 2 3 3" xfId="15098" xr:uid="{00000000-0005-0000-0000-00002CB40000}"/>
    <cellStyle name="Финансовый 5 2 2 2 2 3 3 2" xfId="39053" xr:uid="{00000000-0005-0000-0000-00002DB40000}"/>
    <cellStyle name="Финансовый 5 2 2 2 2 3 4" xfId="27076" xr:uid="{00000000-0005-0000-0000-00002EB40000}"/>
    <cellStyle name="Финансовый 5 2 2 2 2 3 5" xfId="50207" xr:uid="{00000000-0005-0000-0000-00002FB40000}"/>
    <cellStyle name="Финансовый 5 2 2 2 2 4" xfId="4763" xr:uid="{00000000-0005-0000-0000-000030B40000}"/>
    <cellStyle name="Финансовый 5 2 2 2 2 4 2" xfId="16742" xr:uid="{00000000-0005-0000-0000-000031B40000}"/>
    <cellStyle name="Финансовый 5 2 2 2 2 4 2 2" xfId="40697" xr:uid="{00000000-0005-0000-0000-000032B40000}"/>
    <cellStyle name="Финансовый 5 2 2 2 2 4 3" xfId="28720" xr:uid="{00000000-0005-0000-0000-000033B40000}"/>
    <cellStyle name="Финансовый 5 2 2 2 2 5" xfId="7375" xr:uid="{00000000-0005-0000-0000-000034B40000}"/>
    <cellStyle name="Финансовый 5 2 2 2 2 5 2" xfId="19353" xr:uid="{00000000-0005-0000-0000-000035B40000}"/>
    <cellStyle name="Финансовый 5 2 2 2 2 5 2 2" xfId="43308" xr:uid="{00000000-0005-0000-0000-000036B40000}"/>
    <cellStyle name="Финансовый 5 2 2 2 2 5 3" xfId="31330" xr:uid="{00000000-0005-0000-0000-000037B40000}"/>
    <cellStyle name="Финансовый 5 2 2 2 2 6" xfId="9157" xr:uid="{00000000-0005-0000-0000-000038B40000}"/>
    <cellStyle name="Финансовый 5 2 2 2 2 6 2" xfId="21135" xr:uid="{00000000-0005-0000-0000-000039B40000}"/>
    <cellStyle name="Финансовый 5 2 2 2 2 6 2 2" xfId="45090" xr:uid="{00000000-0005-0000-0000-00003AB40000}"/>
    <cellStyle name="Финансовый 5 2 2 2 2 6 3" xfId="33112" xr:uid="{00000000-0005-0000-0000-00003BB40000}"/>
    <cellStyle name="Финансовый 5 2 2 2 2 7" xfId="13316" xr:uid="{00000000-0005-0000-0000-00003CB40000}"/>
    <cellStyle name="Финансовый 5 2 2 2 2 7 2" xfId="37271" xr:uid="{00000000-0005-0000-0000-00003DB40000}"/>
    <cellStyle name="Финансовый 5 2 2 2 2 8" xfId="25294" xr:uid="{00000000-0005-0000-0000-00003EB40000}"/>
    <cellStyle name="Финансовый 5 2 2 2 2 9" xfId="48427" xr:uid="{00000000-0005-0000-0000-00003FB40000}"/>
    <cellStyle name="Финансовый 5 2 2 2 3" xfId="2037" xr:uid="{00000000-0005-0000-0000-000040B40000}"/>
    <cellStyle name="Финансовый 5 2 2 2 3 2" xfId="3682" xr:uid="{00000000-0005-0000-0000-000041B40000}"/>
    <cellStyle name="Финансовый 5 2 2 2 3 2 2" xfId="11422" xr:uid="{00000000-0005-0000-0000-000042B40000}"/>
    <cellStyle name="Финансовый 5 2 2 2 3 2 2 2" xfId="23400" xr:uid="{00000000-0005-0000-0000-000043B40000}"/>
    <cellStyle name="Финансовый 5 2 2 2 3 2 2 2 2" xfId="47355" xr:uid="{00000000-0005-0000-0000-000044B40000}"/>
    <cellStyle name="Финансовый 5 2 2 2 3 2 2 3" xfId="35377" xr:uid="{00000000-0005-0000-0000-000045B40000}"/>
    <cellStyle name="Финансовый 5 2 2 2 3 2 3" xfId="15661" xr:uid="{00000000-0005-0000-0000-000046B40000}"/>
    <cellStyle name="Финансовый 5 2 2 2 3 2 3 2" xfId="39616" xr:uid="{00000000-0005-0000-0000-000047B40000}"/>
    <cellStyle name="Финансовый 5 2 2 2 3 2 4" xfId="27639" xr:uid="{00000000-0005-0000-0000-000048B40000}"/>
    <cellStyle name="Финансовый 5 2 2 2 3 2 5" xfId="50908" xr:uid="{00000000-0005-0000-0000-000049B40000}"/>
    <cellStyle name="Финансовый 5 2 2 2 3 3" xfId="5465" xr:uid="{00000000-0005-0000-0000-00004AB40000}"/>
    <cellStyle name="Финансовый 5 2 2 2 3 3 2" xfId="17443" xr:uid="{00000000-0005-0000-0000-00004BB40000}"/>
    <cellStyle name="Финансовый 5 2 2 2 3 3 2 2" xfId="41398" xr:uid="{00000000-0005-0000-0000-00004CB40000}"/>
    <cellStyle name="Финансовый 5 2 2 2 3 3 3" xfId="29420" xr:uid="{00000000-0005-0000-0000-00004DB40000}"/>
    <cellStyle name="Финансовый 5 2 2 2 3 4" xfId="8075" xr:uid="{00000000-0005-0000-0000-00004EB40000}"/>
    <cellStyle name="Финансовый 5 2 2 2 3 4 2" xfId="20053" xr:uid="{00000000-0005-0000-0000-00004FB40000}"/>
    <cellStyle name="Финансовый 5 2 2 2 3 4 2 2" xfId="44008" xr:uid="{00000000-0005-0000-0000-000050B40000}"/>
    <cellStyle name="Финансовый 5 2 2 2 3 4 3" xfId="32030" xr:uid="{00000000-0005-0000-0000-000051B40000}"/>
    <cellStyle name="Финансовый 5 2 2 2 3 5" xfId="9858" xr:uid="{00000000-0005-0000-0000-000052B40000}"/>
    <cellStyle name="Финансовый 5 2 2 2 3 5 2" xfId="21836" xr:uid="{00000000-0005-0000-0000-000053B40000}"/>
    <cellStyle name="Финансовый 5 2 2 2 3 5 2 2" xfId="45791" xr:uid="{00000000-0005-0000-0000-000054B40000}"/>
    <cellStyle name="Финансовый 5 2 2 2 3 5 3" xfId="33813" xr:uid="{00000000-0005-0000-0000-000055B40000}"/>
    <cellStyle name="Финансовый 5 2 2 2 3 6" xfId="14016" xr:uid="{00000000-0005-0000-0000-000056B40000}"/>
    <cellStyle name="Финансовый 5 2 2 2 3 6 2" xfId="37971" xr:uid="{00000000-0005-0000-0000-000057B40000}"/>
    <cellStyle name="Финансовый 5 2 2 2 3 7" xfId="25994" xr:uid="{00000000-0005-0000-0000-000058B40000}"/>
    <cellStyle name="Финансовый 5 2 2 2 3 8" xfId="49127" xr:uid="{00000000-0005-0000-0000-000059B40000}"/>
    <cellStyle name="Финансовый 5 2 2 2 4" xfId="2566" xr:uid="{00000000-0005-0000-0000-00005AB40000}"/>
    <cellStyle name="Финансовый 5 2 2 2 4 2" xfId="4211" xr:uid="{00000000-0005-0000-0000-00005BB40000}"/>
    <cellStyle name="Финансовый 5 2 2 2 4 2 2" xfId="11935" xr:uid="{00000000-0005-0000-0000-00005CB40000}"/>
    <cellStyle name="Финансовый 5 2 2 2 4 2 2 2" xfId="23913" xr:uid="{00000000-0005-0000-0000-00005DB40000}"/>
    <cellStyle name="Финансовый 5 2 2 2 4 2 2 2 2" xfId="47868" xr:uid="{00000000-0005-0000-0000-00005EB40000}"/>
    <cellStyle name="Финансовый 5 2 2 2 4 2 2 3" xfId="35890" xr:uid="{00000000-0005-0000-0000-00005FB40000}"/>
    <cellStyle name="Финансовый 5 2 2 2 4 2 3" xfId="16190" xr:uid="{00000000-0005-0000-0000-000060B40000}"/>
    <cellStyle name="Финансовый 5 2 2 2 4 2 3 2" xfId="40145" xr:uid="{00000000-0005-0000-0000-000061B40000}"/>
    <cellStyle name="Финансовый 5 2 2 2 4 2 4" xfId="28168" xr:uid="{00000000-0005-0000-0000-000062B40000}"/>
    <cellStyle name="Финансовый 5 2 2 2 4 2 5" xfId="51437" xr:uid="{00000000-0005-0000-0000-000063B40000}"/>
    <cellStyle name="Финансовый 5 2 2 2 4 3" xfId="5994" xr:uid="{00000000-0005-0000-0000-000064B40000}"/>
    <cellStyle name="Финансовый 5 2 2 2 4 3 2" xfId="17972" xr:uid="{00000000-0005-0000-0000-000065B40000}"/>
    <cellStyle name="Финансовый 5 2 2 2 4 3 2 2" xfId="41927" xr:uid="{00000000-0005-0000-0000-000066B40000}"/>
    <cellStyle name="Финансовый 5 2 2 2 4 3 3" xfId="29949" xr:uid="{00000000-0005-0000-0000-000067B40000}"/>
    <cellStyle name="Финансовый 5 2 2 2 4 4" xfId="8604" xr:uid="{00000000-0005-0000-0000-000068B40000}"/>
    <cellStyle name="Финансовый 5 2 2 2 4 4 2" xfId="20582" xr:uid="{00000000-0005-0000-0000-000069B40000}"/>
    <cellStyle name="Финансовый 5 2 2 2 4 4 2 2" xfId="44537" xr:uid="{00000000-0005-0000-0000-00006AB40000}"/>
    <cellStyle name="Финансовый 5 2 2 2 4 4 3" xfId="32559" xr:uid="{00000000-0005-0000-0000-00006BB40000}"/>
    <cellStyle name="Финансовый 5 2 2 2 4 5" xfId="10387" xr:uid="{00000000-0005-0000-0000-00006CB40000}"/>
    <cellStyle name="Финансовый 5 2 2 2 4 5 2" xfId="22365" xr:uid="{00000000-0005-0000-0000-00006DB40000}"/>
    <cellStyle name="Финансовый 5 2 2 2 4 5 2 2" xfId="46320" xr:uid="{00000000-0005-0000-0000-00006EB40000}"/>
    <cellStyle name="Финансовый 5 2 2 2 4 5 3" xfId="34342" xr:uid="{00000000-0005-0000-0000-00006FB40000}"/>
    <cellStyle name="Финансовый 5 2 2 2 4 6" xfId="14545" xr:uid="{00000000-0005-0000-0000-000070B40000}"/>
    <cellStyle name="Финансовый 5 2 2 2 4 6 2" xfId="38500" xr:uid="{00000000-0005-0000-0000-000071B40000}"/>
    <cellStyle name="Финансовый 5 2 2 2 4 7" xfId="26523" xr:uid="{00000000-0005-0000-0000-000072B40000}"/>
    <cellStyle name="Финансовый 5 2 2 2 4 8" xfId="49656" xr:uid="{00000000-0005-0000-0000-000073B40000}"/>
    <cellStyle name="Финансовый 5 2 2 2 5" xfId="1070" xr:uid="{00000000-0005-0000-0000-000074B40000}"/>
    <cellStyle name="Финансовый 5 2 2 2 5 2" xfId="7110" xr:uid="{00000000-0005-0000-0000-000075B40000}"/>
    <cellStyle name="Финансовый 5 2 2 2 5 2 2" xfId="19088" xr:uid="{00000000-0005-0000-0000-000076B40000}"/>
    <cellStyle name="Финансовый 5 2 2 2 5 2 2 2" xfId="43043" xr:uid="{00000000-0005-0000-0000-000077B40000}"/>
    <cellStyle name="Финансовый 5 2 2 2 5 2 3" xfId="31065" xr:uid="{00000000-0005-0000-0000-000078B40000}"/>
    <cellStyle name="Финансовый 5 2 2 2 5 3" xfId="10650" xr:uid="{00000000-0005-0000-0000-000079B40000}"/>
    <cellStyle name="Финансовый 5 2 2 2 5 3 2" xfId="22628" xr:uid="{00000000-0005-0000-0000-00007AB40000}"/>
    <cellStyle name="Финансовый 5 2 2 2 5 3 2 2" xfId="46583" xr:uid="{00000000-0005-0000-0000-00007BB40000}"/>
    <cellStyle name="Финансовый 5 2 2 2 5 3 3" xfId="34605" xr:uid="{00000000-0005-0000-0000-00007CB40000}"/>
    <cellStyle name="Финансовый 5 2 2 2 5 4" xfId="13051" xr:uid="{00000000-0005-0000-0000-00007DB40000}"/>
    <cellStyle name="Финансовый 5 2 2 2 5 4 2" xfId="37006" xr:uid="{00000000-0005-0000-0000-00007EB40000}"/>
    <cellStyle name="Финансовый 5 2 2 2 5 5" xfId="25029" xr:uid="{00000000-0005-0000-0000-00007FB40000}"/>
    <cellStyle name="Финансовый 5 2 2 2 5 6" xfId="49935" xr:uid="{00000000-0005-0000-0000-000080B40000}"/>
    <cellStyle name="Финансовый 5 2 2 2 6" xfId="658" xr:uid="{00000000-0005-0000-0000-000081B40000}"/>
    <cellStyle name="Финансовый 5 2 2 2 6 2" xfId="6698" xr:uid="{00000000-0005-0000-0000-000082B40000}"/>
    <cellStyle name="Финансовый 5 2 2 2 6 2 2" xfId="18676" xr:uid="{00000000-0005-0000-0000-000083B40000}"/>
    <cellStyle name="Финансовый 5 2 2 2 6 2 2 2" xfId="42631" xr:uid="{00000000-0005-0000-0000-000084B40000}"/>
    <cellStyle name="Финансовый 5 2 2 2 6 2 3" xfId="30653" xr:uid="{00000000-0005-0000-0000-000085B40000}"/>
    <cellStyle name="Финансовый 5 2 2 2 6 3" xfId="12639" xr:uid="{00000000-0005-0000-0000-000086B40000}"/>
    <cellStyle name="Финансовый 5 2 2 2 6 3 2" xfId="36594" xr:uid="{00000000-0005-0000-0000-000087B40000}"/>
    <cellStyle name="Финансовый 5 2 2 2 6 4" xfId="24617" xr:uid="{00000000-0005-0000-0000-000088B40000}"/>
    <cellStyle name="Финансовый 5 2 2 2 7" xfId="2847" xr:uid="{00000000-0005-0000-0000-000089B40000}"/>
    <cellStyle name="Финансовый 5 2 2 2 7 2" xfId="14826" xr:uid="{00000000-0005-0000-0000-00008AB40000}"/>
    <cellStyle name="Финансовый 5 2 2 2 7 2 2" xfId="38781" xr:uid="{00000000-0005-0000-0000-00008BB40000}"/>
    <cellStyle name="Финансовый 5 2 2 2 7 3" xfId="26804" xr:uid="{00000000-0005-0000-0000-00008CB40000}"/>
    <cellStyle name="Финансовый 5 2 2 2 8" xfId="4491" xr:uid="{00000000-0005-0000-0000-00008DB40000}"/>
    <cellStyle name="Финансовый 5 2 2 2 8 2" xfId="16470" xr:uid="{00000000-0005-0000-0000-00008EB40000}"/>
    <cellStyle name="Финансовый 5 2 2 2 8 2 2" xfId="40425" xr:uid="{00000000-0005-0000-0000-00008FB40000}"/>
    <cellStyle name="Финансовый 5 2 2 2 8 3" xfId="28448" xr:uid="{00000000-0005-0000-0000-000090B40000}"/>
    <cellStyle name="Финансовый 5 2 2 2 9" xfId="6278" xr:uid="{00000000-0005-0000-0000-000091B40000}"/>
    <cellStyle name="Финансовый 5 2 2 2 9 2" xfId="18256" xr:uid="{00000000-0005-0000-0000-000092B40000}"/>
    <cellStyle name="Финансовый 5 2 2 2 9 2 2" xfId="42211" xr:uid="{00000000-0005-0000-0000-000093B40000}"/>
    <cellStyle name="Финансовый 5 2 2 2 9 3" xfId="30233" xr:uid="{00000000-0005-0000-0000-000094B40000}"/>
    <cellStyle name="Финансовый 5 2 2 3" xfId="386" xr:uid="{00000000-0005-0000-0000-000095B40000}"/>
    <cellStyle name="Финансовый 5 2 2 3 10" xfId="24345" xr:uid="{00000000-0005-0000-0000-000096B40000}"/>
    <cellStyle name="Финансовый 5 2 2 3 11" xfId="48291" xr:uid="{00000000-0005-0000-0000-000097B40000}"/>
    <cellStyle name="Финансовый 5 2 2 3 2" xfId="2165" xr:uid="{00000000-0005-0000-0000-000098B40000}"/>
    <cellStyle name="Финансовый 5 2 2 3 2 2" xfId="3810" xr:uid="{00000000-0005-0000-0000-000099B40000}"/>
    <cellStyle name="Финансовый 5 2 2 3 2 2 2" xfId="11550" xr:uid="{00000000-0005-0000-0000-00009AB40000}"/>
    <cellStyle name="Финансовый 5 2 2 3 2 2 2 2" xfId="23528" xr:uid="{00000000-0005-0000-0000-00009BB40000}"/>
    <cellStyle name="Финансовый 5 2 2 3 2 2 2 2 2" xfId="47483" xr:uid="{00000000-0005-0000-0000-00009CB40000}"/>
    <cellStyle name="Финансовый 5 2 2 3 2 2 2 3" xfId="35505" xr:uid="{00000000-0005-0000-0000-00009DB40000}"/>
    <cellStyle name="Финансовый 5 2 2 3 2 2 3" xfId="15789" xr:uid="{00000000-0005-0000-0000-00009EB40000}"/>
    <cellStyle name="Финансовый 5 2 2 3 2 2 3 2" xfId="39744" xr:uid="{00000000-0005-0000-0000-00009FB40000}"/>
    <cellStyle name="Финансовый 5 2 2 3 2 2 4" xfId="27767" xr:uid="{00000000-0005-0000-0000-0000A0B40000}"/>
    <cellStyle name="Финансовый 5 2 2 3 2 2 5" xfId="51036" xr:uid="{00000000-0005-0000-0000-0000A1B40000}"/>
    <cellStyle name="Финансовый 5 2 2 3 2 3" xfId="5593" xr:uid="{00000000-0005-0000-0000-0000A2B40000}"/>
    <cellStyle name="Финансовый 5 2 2 3 2 3 2" xfId="17571" xr:uid="{00000000-0005-0000-0000-0000A3B40000}"/>
    <cellStyle name="Финансовый 5 2 2 3 2 3 2 2" xfId="41526" xr:uid="{00000000-0005-0000-0000-0000A4B40000}"/>
    <cellStyle name="Финансовый 5 2 2 3 2 3 3" xfId="29548" xr:uid="{00000000-0005-0000-0000-0000A5B40000}"/>
    <cellStyle name="Финансовый 5 2 2 3 2 4" xfId="8203" xr:uid="{00000000-0005-0000-0000-0000A6B40000}"/>
    <cellStyle name="Финансовый 5 2 2 3 2 4 2" xfId="20181" xr:uid="{00000000-0005-0000-0000-0000A7B40000}"/>
    <cellStyle name="Финансовый 5 2 2 3 2 4 2 2" xfId="44136" xr:uid="{00000000-0005-0000-0000-0000A8B40000}"/>
    <cellStyle name="Финансовый 5 2 2 3 2 4 3" xfId="32158" xr:uid="{00000000-0005-0000-0000-0000A9B40000}"/>
    <cellStyle name="Финансовый 5 2 2 3 2 5" xfId="9986" xr:uid="{00000000-0005-0000-0000-0000AAB40000}"/>
    <cellStyle name="Финансовый 5 2 2 3 2 5 2" xfId="21964" xr:uid="{00000000-0005-0000-0000-0000ABB40000}"/>
    <cellStyle name="Финансовый 5 2 2 3 2 5 2 2" xfId="45919" xr:uid="{00000000-0005-0000-0000-0000ACB40000}"/>
    <cellStyle name="Финансовый 5 2 2 3 2 5 3" xfId="33941" xr:uid="{00000000-0005-0000-0000-0000ADB40000}"/>
    <cellStyle name="Финансовый 5 2 2 3 2 6" xfId="14144" xr:uid="{00000000-0005-0000-0000-0000AEB40000}"/>
    <cellStyle name="Финансовый 5 2 2 3 2 6 2" xfId="38099" xr:uid="{00000000-0005-0000-0000-0000AFB40000}"/>
    <cellStyle name="Финансовый 5 2 2 3 2 7" xfId="26122" xr:uid="{00000000-0005-0000-0000-0000B0B40000}"/>
    <cellStyle name="Финансовый 5 2 2 3 2 8" xfId="49255" xr:uid="{00000000-0005-0000-0000-0000B1B40000}"/>
    <cellStyle name="Финансовый 5 2 2 3 3" xfId="1199" xr:uid="{00000000-0005-0000-0000-0000B2B40000}"/>
    <cellStyle name="Финансовый 5 2 2 3 3 2" xfId="7239" xr:uid="{00000000-0005-0000-0000-0000B3B40000}"/>
    <cellStyle name="Финансовый 5 2 2 3 3 2 2" xfId="19217" xr:uid="{00000000-0005-0000-0000-0000B4B40000}"/>
    <cellStyle name="Финансовый 5 2 2 3 3 2 2 2" xfId="43172" xr:uid="{00000000-0005-0000-0000-0000B5B40000}"/>
    <cellStyle name="Финансовый 5 2 2 3 3 2 3" xfId="31194" xr:uid="{00000000-0005-0000-0000-0000B6B40000}"/>
    <cellStyle name="Финансовый 5 2 2 3 3 3" xfId="10778" xr:uid="{00000000-0005-0000-0000-0000B7B40000}"/>
    <cellStyle name="Финансовый 5 2 2 3 3 3 2" xfId="22756" xr:uid="{00000000-0005-0000-0000-0000B8B40000}"/>
    <cellStyle name="Финансовый 5 2 2 3 3 3 2 2" xfId="46711" xr:uid="{00000000-0005-0000-0000-0000B9B40000}"/>
    <cellStyle name="Финансовый 5 2 2 3 3 3 3" xfId="34733" xr:uid="{00000000-0005-0000-0000-0000BAB40000}"/>
    <cellStyle name="Финансовый 5 2 2 3 3 4" xfId="13180" xr:uid="{00000000-0005-0000-0000-0000BBB40000}"/>
    <cellStyle name="Финансовый 5 2 2 3 3 4 2" xfId="37135" xr:uid="{00000000-0005-0000-0000-0000BCB40000}"/>
    <cellStyle name="Финансовый 5 2 2 3 3 5" xfId="25158" xr:uid="{00000000-0005-0000-0000-0000BDB40000}"/>
    <cellStyle name="Финансовый 5 2 2 3 3 6" xfId="50071" xr:uid="{00000000-0005-0000-0000-0000BEB40000}"/>
    <cellStyle name="Финансовый 5 2 2 3 4" xfId="806" xr:uid="{00000000-0005-0000-0000-0000BFB40000}"/>
    <cellStyle name="Финансовый 5 2 2 3 4 2" xfId="6846" xr:uid="{00000000-0005-0000-0000-0000C0B40000}"/>
    <cellStyle name="Финансовый 5 2 2 3 4 2 2" xfId="18824" xr:uid="{00000000-0005-0000-0000-0000C1B40000}"/>
    <cellStyle name="Финансовый 5 2 2 3 4 2 2 2" xfId="42779" xr:uid="{00000000-0005-0000-0000-0000C2B40000}"/>
    <cellStyle name="Финансовый 5 2 2 3 4 2 3" xfId="30801" xr:uid="{00000000-0005-0000-0000-0000C3B40000}"/>
    <cellStyle name="Финансовый 5 2 2 3 4 3" xfId="12787" xr:uid="{00000000-0005-0000-0000-0000C4B40000}"/>
    <cellStyle name="Финансовый 5 2 2 3 4 3 2" xfId="36742" xr:uid="{00000000-0005-0000-0000-0000C5B40000}"/>
    <cellStyle name="Финансовый 5 2 2 3 4 4" xfId="24765" xr:uid="{00000000-0005-0000-0000-0000C6B40000}"/>
    <cellStyle name="Финансовый 5 2 2 3 5" xfId="2983" xr:uid="{00000000-0005-0000-0000-0000C7B40000}"/>
    <cellStyle name="Финансовый 5 2 2 3 5 2" xfId="14962" xr:uid="{00000000-0005-0000-0000-0000C8B40000}"/>
    <cellStyle name="Финансовый 5 2 2 3 5 2 2" xfId="38917" xr:uid="{00000000-0005-0000-0000-0000C9B40000}"/>
    <cellStyle name="Финансовый 5 2 2 3 5 3" xfId="26940" xr:uid="{00000000-0005-0000-0000-0000CAB40000}"/>
    <cellStyle name="Финансовый 5 2 2 3 6" xfId="4627" xr:uid="{00000000-0005-0000-0000-0000CBB40000}"/>
    <cellStyle name="Финансовый 5 2 2 3 6 2" xfId="16606" xr:uid="{00000000-0005-0000-0000-0000CCB40000}"/>
    <cellStyle name="Финансовый 5 2 2 3 6 2 2" xfId="40561" xr:uid="{00000000-0005-0000-0000-0000CDB40000}"/>
    <cellStyle name="Финансовый 5 2 2 3 6 3" xfId="28584" xr:uid="{00000000-0005-0000-0000-0000CEB40000}"/>
    <cellStyle name="Финансовый 5 2 2 3 7" xfId="6426" xr:uid="{00000000-0005-0000-0000-0000CFB40000}"/>
    <cellStyle name="Финансовый 5 2 2 3 7 2" xfId="18404" xr:uid="{00000000-0005-0000-0000-0000D0B40000}"/>
    <cellStyle name="Финансовый 5 2 2 3 7 2 2" xfId="42359" xr:uid="{00000000-0005-0000-0000-0000D1B40000}"/>
    <cellStyle name="Финансовый 5 2 2 3 7 3" xfId="30381" xr:uid="{00000000-0005-0000-0000-0000D2B40000}"/>
    <cellStyle name="Финансовый 5 2 2 3 8" xfId="9021" xr:uid="{00000000-0005-0000-0000-0000D3B40000}"/>
    <cellStyle name="Финансовый 5 2 2 3 8 2" xfId="20999" xr:uid="{00000000-0005-0000-0000-0000D4B40000}"/>
    <cellStyle name="Финансовый 5 2 2 3 8 2 2" xfId="44954" xr:uid="{00000000-0005-0000-0000-0000D5B40000}"/>
    <cellStyle name="Финансовый 5 2 2 3 8 3" xfId="32976" xr:uid="{00000000-0005-0000-0000-0000D6B40000}"/>
    <cellStyle name="Финансовый 5 2 2 3 9" xfId="12367" xr:uid="{00000000-0005-0000-0000-0000D7B40000}"/>
    <cellStyle name="Финансовый 5 2 2 3 9 2" xfId="36322" xr:uid="{00000000-0005-0000-0000-0000D8B40000}"/>
    <cellStyle name="Финансовый 5 2 2 4" xfId="1545" xr:uid="{00000000-0005-0000-0000-0000D9B40000}"/>
    <cellStyle name="Финансовый 5 2 2 4 2" xfId="1909" xr:uid="{00000000-0005-0000-0000-0000DAB40000}"/>
    <cellStyle name="Финансовый 5 2 2 4 2 2" xfId="3554" xr:uid="{00000000-0005-0000-0000-0000DBB40000}"/>
    <cellStyle name="Финансовый 5 2 2 4 2 2 2" xfId="11294" xr:uid="{00000000-0005-0000-0000-0000DCB40000}"/>
    <cellStyle name="Финансовый 5 2 2 4 2 2 2 2" xfId="23272" xr:uid="{00000000-0005-0000-0000-0000DDB40000}"/>
    <cellStyle name="Финансовый 5 2 2 4 2 2 2 2 2" xfId="47227" xr:uid="{00000000-0005-0000-0000-0000DEB40000}"/>
    <cellStyle name="Финансовый 5 2 2 4 2 2 2 3" xfId="35249" xr:uid="{00000000-0005-0000-0000-0000DFB40000}"/>
    <cellStyle name="Финансовый 5 2 2 4 2 2 3" xfId="15533" xr:uid="{00000000-0005-0000-0000-0000E0B40000}"/>
    <cellStyle name="Финансовый 5 2 2 4 2 2 3 2" xfId="39488" xr:uid="{00000000-0005-0000-0000-0000E1B40000}"/>
    <cellStyle name="Финансовый 5 2 2 4 2 2 4" xfId="27511" xr:uid="{00000000-0005-0000-0000-0000E2B40000}"/>
    <cellStyle name="Финансовый 5 2 2 4 2 2 5" xfId="50780" xr:uid="{00000000-0005-0000-0000-0000E3B40000}"/>
    <cellStyle name="Финансовый 5 2 2 4 2 3" xfId="5337" xr:uid="{00000000-0005-0000-0000-0000E4B40000}"/>
    <cellStyle name="Финансовый 5 2 2 4 2 3 2" xfId="17315" xr:uid="{00000000-0005-0000-0000-0000E5B40000}"/>
    <cellStyle name="Финансовый 5 2 2 4 2 3 2 2" xfId="41270" xr:uid="{00000000-0005-0000-0000-0000E6B40000}"/>
    <cellStyle name="Финансовый 5 2 2 4 2 3 3" xfId="29292" xr:uid="{00000000-0005-0000-0000-0000E7B40000}"/>
    <cellStyle name="Финансовый 5 2 2 4 2 4" xfId="7947" xr:uid="{00000000-0005-0000-0000-0000E8B40000}"/>
    <cellStyle name="Финансовый 5 2 2 4 2 4 2" xfId="19925" xr:uid="{00000000-0005-0000-0000-0000E9B40000}"/>
    <cellStyle name="Финансовый 5 2 2 4 2 4 2 2" xfId="43880" xr:uid="{00000000-0005-0000-0000-0000EAB40000}"/>
    <cellStyle name="Финансовый 5 2 2 4 2 4 3" xfId="31902" xr:uid="{00000000-0005-0000-0000-0000EBB40000}"/>
    <cellStyle name="Финансовый 5 2 2 4 2 5" xfId="9730" xr:uid="{00000000-0005-0000-0000-0000ECB40000}"/>
    <cellStyle name="Финансовый 5 2 2 4 2 5 2" xfId="21708" xr:uid="{00000000-0005-0000-0000-0000EDB40000}"/>
    <cellStyle name="Финансовый 5 2 2 4 2 5 2 2" xfId="45663" xr:uid="{00000000-0005-0000-0000-0000EEB40000}"/>
    <cellStyle name="Финансовый 5 2 2 4 2 5 3" xfId="33685" xr:uid="{00000000-0005-0000-0000-0000EFB40000}"/>
    <cellStyle name="Финансовый 5 2 2 4 2 6" xfId="13888" xr:uid="{00000000-0005-0000-0000-0000F0B40000}"/>
    <cellStyle name="Финансовый 5 2 2 4 2 6 2" xfId="37843" xr:uid="{00000000-0005-0000-0000-0000F1B40000}"/>
    <cellStyle name="Финансовый 5 2 2 4 2 7" xfId="25866" xr:uid="{00000000-0005-0000-0000-0000F2B40000}"/>
    <cellStyle name="Финансовый 5 2 2 4 2 8" xfId="48999" xr:uid="{00000000-0005-0000-0000-0000F3B40000}"/>
    <cellStyle name="Финансовый 5 2 2 4 3" xfId="4973" xr:uid="{00000000-0005-0000-0000-0000F4B40000}"/>
    <cellStyle name="Финансовый 5 2 2 4 3 2" xfId="16951" xr:uid="{00000000-0005-0000-0000-0000F5B40000}"/>
    <cellStyle name="Финансовый 5 2 2 4 3 2 2" xfId="40906" xr:uid="{00000000-0005-0000-0000-0000F6B40000}"/>
    <cellStyle name="Финансовый 5 2 2 4 3 3" xfId="28928" xr:uid="{00000000-0005-0000-0000-0000F7B40000}"/>
    <cellStyle name="Финансовый 5 2 2 4 3 4" xfId="50416" xr:uid="{00000000-0005-0000-0000-0000F8B40000}"/>
    <cellStyle name="Финансовый 5 2 2 4 4" xfId="7583" xr:uid="{00000000-0005-0000-0000-0000F9B40000}"/>
    <cellStyle name="Финансовый 5 2 2 4 4 2" xfId="19561" xr:uid="{00000000-0005-0000-0000-0000FAB40000}"/>
    <cellStyle name="Финансовый 5 2 2 4 4 2 2" xfId="43516" xr:uid="{00000000-0005-0000-0000-0000FBB40000}"/>
    <cellStyle name="Финансовый 5 2 2 4 4 3" xfId="31538" xr:uid="{00000000-0005-0000-0000-0000FCB40000}"/>
    <cellStyle name="Финансовый 5 2 2 4 5" xfId="9366" xr:uid="{00000000-0005-0000-0000-0000FDB40000}"/>
    <cellStyle name="Финансовый 5 2 2 4 5 2" xfId="21344" xr:uid="{00000000-0005-0000-0000-0000FEB40000}"/>
    <cellStyle name="Финансовый 5 2 2 4 5 2 2" xfId="45299" xr:uid="{00000000-0005-0000-0000-0000FFB40000}"/>
    <cellStyle name="Финансовый 5 2 2 4 5 3" xfId="33321" xr:uid="{00000000-0005-0000-0000-000000B50000}"/>
    <cellStyle name="Финансовый 5 2 2 4 6" xfId="13524" xr:uid="{00000000-0005-0000-0000-000001B50000}"/>
    <cellStyle name="Финансовый 5 2 2 4 6 2" xfId="37479" xr:uid="{00000000-0005-0000-0000-000002B50000}"/>
    <cellStyle name="Финансовый 5 2 2 4 7" xfId="25502" xr:uid="{00000000-0005-0000-0000-000003B50000}"/>
    <cellStyle name="Финансовый 5 2 2 4 8" xfId="48635" xr:uid="{00000000-0005-0000-0000-000004B50000}"/>
    <cellStyle name="Финансовый 5 2 2 5" xfId="1785" xr:uid="{00000000-0005-0000-0000-000005B50000}"/>
    <cellStyle name="Финансовый 5 2 2 5 2" xfId="3430" xr:uid="{00000000-0005-0000-0000-000006B50000}"/>
    <cellStyle name="Финансовый 5 2 2 5 2 2" xfId="11178" xr:uid="{00000000-0005-0000-0000-000007B50000}"/>
    <cellStyle name="Финансовый 5 2 2 5 2 2 2" xfId="23156" xr:uid="{00000000-0005-0000-0000-000008B50000}"/>
    <cellStyle name="Финансовый 5 2 2 5 2 2 2 2" xfId="47111" xr:uid="{00000000-0005-0000-0000-000009B50000}"/>
    <cellStyle name="Финансовый 5 2 2 5 2 2 3" xfId="35133" xr:uid="{00000000-0005-0000-0000-00000AB50000}"/>
    <cellStyle name="Финансовый 5 2 2 5 2 3" xfId="15409" xr:uid="{00000000-0005-0000-0000-00000BB50000}"/>
    <cellStyle name="Финансовый 5 2 2 5 2 3 2" xfId="39364" xr:uid="{00000000-0005-0000-0000-00000CB50000}"/>
    <cellStyle name="Финансовый 5 2 2 5 2 4" xfId="27387" xr:uid="{00000000-0005-0000-0000-00000DB50000}"/>
    <cellStyle name="Финансовый 5 2 2 5 2 5" xfId="50656" xr:uid="{00000000-0005-0000-0000-00000EB50000}"/>
    <cellStyle name="Финансовый 5 2 2 5 3" xfId="5213" xr:uid="{00000000-0005-0000-0000-00000FB50000}"/>
    <cellStyle name="Финансовый 5 2 2 5 3 2" xfId="17191" xr:uid="{00000000-0005-0000-0000-000010B50000}"/>
    <cellStyle name="Финансовый 5 2 2 5 3 2 2" xfId="41146" xr:uid="{00000000-0005-0000-0000-000011B50000}"/>
    <cellStyle name="Финансовый 5 2 2 5 3 3" xfId="29168" xr:uid="{00000000-0005-0000-0000-000012B50000}"/>
    <cellStyle name="Финансовый 5 2 2 5 4" xfId="7823" xr:uid="{00000000-0005-0000-0000-000013B50000}"/>
    <cellStyle name="Финансовый 5 2 2 5 4 2" xfId="19801" xr:uid="{00000000-0005-0000-0000-000014B50000}"/>
    <cellStyle name="Финансовый 5 2 2 5 4 2 2" xfId="43756" xr:uid="{00000000-0005-0000-0000-000015B50000}"/>
    <cellStyle name="Финансовый 5 2 2 5 4 3" xfId="31778" xr:uid="{00000000-0005-0000-0000-000016B50000}"/>
    <cellStyle name="Финансовый 5 2 2 5 5" xfId="9606" xr:uid="{00000000-0005-0000-0000-000017B50000}"/>
    <cellStyle name="Финансовый 5 2 2 5 5 2" xfId="21584" xr:uid="{00000000-0005-0000-0000-000018B50000}"/>
    <cellStyle name="Финансовый 5 2 2 5 5 2 2" xfId="45539" xr:uid="{00000000-0005-0000-0000-000019B50000}"/>
    <cellStyle name="Финансовый 5 2 2 5 5 3" xfId="33561" xr:uid="{00000000-0005-0000-0000-00001AB50000}"/>
    <cellStyle name="Финансовый 5 2 2 5 6" xfId="13764" xr:uid="{00000000-0005-0000-0000-00001BB50000}"/>
    <cellStyle name="Финансовый 5 2 2 5 6 2" xfId="37719" xr:uid="{00000000-0005-0000-0000-00001CB50000}"/>
    <cellStyle name="Финансовый 5 2 2 5 7" xfId="25742" xr:uid="{00000000-0005-0000-0000-00001DB50000}"/>
    <cellStyle name="Финансовый 5 2 2 5 8" xfId="48875" xr:uid="{00000000-0005-0000-0000-00001EB50000}"/>
    <cellStyle name="Финансовый 5 2 2 6" xfId="2430" xr:uid="{00000000-0005-0000-0000-00001FB50000}"/>
    <cellStyle name="Финансовый 5 2 2 6 2" xfId="4075" xr:uid="{00000000-0005-0000-0000-000020B50000}"/>
    <cellStyle name="Финансовый 5 2 2 6 2 2" xfId="11807" xr:uid="{00000000-0005-0000-0000-000021B50000}"/>
    <cellStyle name="Финансовый 5 2 2 6 2 2 2" xfId="23785" xr:uid="{00000000-0005-0000-0000-000022B50000}"/>
    <cellStyle name="Финансовый 5 2 2 6 2 2 2 2" xfId="47740" xr:uid="{00000000-0005-0000-0000-000023B50000}"/>
    <cellStyle name="Финансовый 5 2 2 6 2 2 3" xfId="35762" xr:uid="{00000000-0005-0000-0000-000024B50000}"/>
    <cellStyle name="Финансовый 5 2 2 6 2 3" xfId="16054" xr:uid="{00000000-0005-0000-0000-000025B50000}"/>
    <cellStyle name="Финансовый 5 2 2 6 2 3 2" xfId="40009" xr:uid="{00000000-0005-0000-0000-000026B50000}"/>
    <cellStyle name="Финансовый 5 2 2 6 2 4" xfId="28032" xr:uid="{00000000-0005-0000-0000-000027B50000}"/>
    <cellStyle name="Финансовый 5 2 2 6 2 5" xfId="51301" xr:uid="{00000000-0005-0000-0000-000028B50000}"/>
    <cellStyle name="Финансовый 5 2 2 6 3" xfId="5858" xr:uid="{00000000-0005-0000-0000-000029B50000}"/>
    <cellStyle name="Финансовый 5 2 2 6 3 2" xfId="17836" xr:uid="{00000000-0005-0000-0000-00002AB50000}"/>
    <cellStyle name="Финансовый 5 2 2 6 3 2 2" xfId="41791" xr:uid="{00000000-0005-0000-0000-00002BB50000}"/>
    <cellStyle name="Финансовый 5 2 2 6 3 3" xfId="29813" xr:uid="{00000000-0005-0000-0000-00002CB50000}"/>
    <cellStyle name="Финансовый 5 2 2 6 4" xfId="8468" xr:uid="{00000000-0005-0000-0000-00002DB50000}"/>
    <cellStyle name="Финансовый 5 2 2 6 4 2" xfId="20446" xr:uid="{00000000-0005-0000-0000-00002EB50000}"/>
    <cellStyle name="Финансовый 5 2 2 6 4 2 2" xfId="44401" xr:uid="{00000000-0005-0000-0000-00002FB50000}"/>
    <cellStyle name="Финансовый 5 2 2 6 4 3" xfId="32423" xr:uid="{00000000-0005-0000-0000-000030B50000}"/>
    <cellStyle name="Финансовый 5 2 2 6 5" xfId="10251" xr:uid="{00000000-0005-0000-0000-000031B50000}"/>
    <cellStyle name="Финансовый 5 2 2 6 5 2" xfId="22229" xr:uid="{00000000-0005-0000-0000-000032B50000}"/>
    <cellStyle name="Финансовый 5 2 2 6 5 2 2" xfId="46184" xr:uid="{00000000-0005-0000-0000-000033B50000}"/>
    <cellStyle name="Финансовый 5 2 2 6 5 3" xfId="34206" xr:uid="{00000000-0005-0000-0000-000034B50000}"/>
    <cellStyle name="Финансовый 5 2 2 6 6" xfId="14409" xr:uid="{00000000-0005-0000-0000-000035B50000}"/>
    <cellStyle name="Финансовый 5 2 2 6 6 2" xfId="38364" xr:uid="{00000000-0005-0000-0000-000036B50000}"/>
    <cellStyle name="Финансовый 5 2 2 6 7" xfId="26387" xr:uid="{00000000-0005-0000-0000-000037B50000}"/>
    <cellStyle name="Финансовый 5 2 2 6 8" xfId="49520" xr:uid="{00000000-0005-0000-0000-000038B50000}"/>
    <cellStyle name="Финансовый 5 2 2 7" xfId="1657" xr:uid="{00000000-0005-0000-0000-000039B50000}"/>
    <cellStyle name="Финансовый 5 2 2 7 2" xfId="3302" xr:uid="{00000000-0005-0000-0000-00003AB50000}"/>
    <cellStyle name="Финансовый 5 2 2 7 2 2" xfId="11050" xr:uid="{00000000-0005-0000-0000-00003BB50000}"/>
    <cellStyle name="Финансовый 5 2 2 7 2 2 2" xfId="23028" xr:uid="{00000000-0005-0000-0000-00003CB50000}"/>
    <cellStyle name="Финансовый 5 2 2 7 2 2 2 2" xfId="46983" xr:uid="{00000000-0005-0000-0000-00003DB50000}"/>
    <cellStyle name="Финансовый 5 2 2 7 2 2 3" xfId="35005" xr:uid="{00000000-0005-0000-0000-00003EB50000}"/>
    <cellStyle name="Финансовый 5 2 2 7 2 3" xfId="15281" xr:uid="{00000000-0005-0000-0000-00003FB50000}"/>
    <cellStyle name="Финансовый 5 2 2 7 2 3 2" xfId="39236" xr:uid="{00000000-0005-0000-0000-000040B50000}"/>
    <cellStyle name="Финансовый 5 2 2 7 2 4" xfId="27259" xr:uid="{00000000-0005-0000-0000-000041B50000}"/>
    <cellStyle name="Финансовый 5 2 2 7 2 5" xfId="50528" xr:uid="{00000000-0005-0000-0000-000042B50000}"/>
    <cellStyle name="Финансовый 5 2 2 7 3" xfId="5085" xr:uid="{00000000-0005-0000-0000-000043B50000}"/>
    <cellStyle name="Финансовый 5 2 2 7 3 2" xfId="17063" xr:uid="{00000000-0005-0000-0000-000044B50000}"/>
    <cellStyle name="Финансовый 5 2 2 7 3 2 2" xfId="41018" xr:uid="{00000000-0005-0000-0000-000045B50000}"/>
    <cellStyle name="Финансовый 5 2 2 7 3 3" xfId="29040" xr:uid="{00000000-0005-0000-0000-000046B50000}"/>
    <cellStyle name="Финансовый 5 2 2 7 4" xfId="7695" xr:uid="{00000000-0005-0000-0000-000047B50000}"/>
    <cellStyle name="Финансовый 5 2 2 7 4 2" xfId="19673" xr:uid="{00000000-0005-0000-0000-000048B50000}"/>
    <cellStyle name="Финансовый 5 2 2 7 4 2 2" xfId="43628" xr:uid="{00000000-0005-0000-0000-000049B50000}"/>
    <cellStyle name="Финансовый 5 2 2 7 4 3" xfId="31650" xr:uid="{00000000-0005-0000-0000-00004AB50000}"/>
    <cellStyle name="Финансовый 5 2 2 7 5" xfId="9478" xr:uid="{00000000-0005-0000-0000-00004BB50000}"/>
    <cellStyle name="Финансовый 5 2 2 7 5 2" xfId="21456" xr:uid="{00000000-0005-0000-0000-00004CB50000}"/>
    <cellStyle name="Финансовый 5 2 2 7 5 2 2" xfId="45411" xr:uid="{00000000-0005-0000-0000-00004DB50000}"/>
    <cellStyle name="Финансовый 5 2 2 7 5 3" xfId="33433" xr:uid="{00000000-0005-0000-0000-00004EB50000}"/>
    <cellStyle name="Финансовый 5 2 2 7 6" xfId="13636" xr:uid="{00000000-0005-0000-0000-00004FB50000}"/>
    <cellStyle name="Финансовый 5 2 2 7 6 2" xfId="37591" xr:uid="{00000000-0005-0000-0000-000050B50000}"/>
    <cellStyle name="Финансовый 5 2 2 7 7" xfId="25614" xr:uid="{00000000-0005-0000-0000-000051B50000}"/>
    <cellStyle name="Финансовый 5 2 2 7 8" xfId="48747" xr:uid="{00000000-0005-0000-0000-000052B50000}"/>
    <cellStyle name="Финансовый 5 2 2 8" xfId="934" xr:uid="{00000000-0005-0000-0000-000053B50000}"/>
    <cellStyle name="Финансовый 5 2 2 8 2" xfId="6974" xr:uid="{00000000-0005-0000-0000-000054B50000}"/>
    <cellStyle name="Финансовый 5 2 2 8 2 2" xfId="18952" xr:uid="{00000000-0005-0000-0000-000055B50000}"/>
    <cellStyle name="Финансовый 5 2 2 8 2 2 2" xfId="42907" xr:uid="{00000000-0005-0000-0000-000056B50000}"/>
    <cellStyle name="Финансовый 5 2 2 8 2 3" xfId="30929" xr:uid="{00000000-0005-0000-0000-000057B50000}"/>
    <cellStyle name="Финансовый 5 2 2 8 3" xfId="10522" xr:uid="{00000000-0005-0000-0000-000058B50000}"/>
    <cellStyle name="Финансовый 5 2 2 8 3 2" xfId="22500" xr:uid="{00000000-0005-0000-0000-000059B50000}"/>
    <cellStyle name="Финансовый 5 2 2 8 3 2 2" xfId="46455" xr:uid="{00000000-0005-0000-0000-00005AB50000}"/>
    <cellStyle name="Финансовый 5 2 2 8 3 3" xfId="34477" xr:uid="{00000000-0005-0000-0000-00005BB50000}"/>
    <cellStyle name="Финансовый 5 2 2 8 4" xfId="12915" xr:uid="{00000000-0005-0000-0000-00005CB50000}"/>
    <cellStyle name="Финансовый 5 2 2 8 4 2" xfId="36870" xr:uid="{00000000-0005-0000-0000-00005DB50000}"/>
    <cellStyle name="Финансовый 5 2 2 8 5" xfId="24893" xr:uid="{00000000-0005-0000-0000-00005EB50000}"/>
    <cellStyle name="Финансовый 5 2 2 8 6" xfId="49799" xr:uid="{00000000-0005-0000-0000-00005FB50000}"/>
    <cellStyle name="Финансовый 5 2 2 9" xfId="522" xr:uid="{00000000-0005-0000-0000-000060B50000}"/>
    <cellStyle name="Финансовый 5 2 2 9 2" xfId="6562" xr:uid="{00000000-0005-0000-0000-000061B50000}"/>
    <cellStyle name="Финансовый 5 2 2 9 2 2" xfId="18540" xr:uid="{00000000-0005-0000-0000-000062B50000}"/>
    <cellStyle name="Финансовый 5 2 2 9 2 2 2" xfId="42495" xr:uid="{00000000-0005-0000-0000-000063B50000}"/>
    <cellStyle name="Финансовый 5 2 2 9 2 3" xfId="30517" xr:uid="{00000000-0005-0000-0000-000064B50000}"/>
    <cellStyle name="Финансовый 5 2 2 9 3" xfId="12503" xr:uid="{00000000-0005-0000-0000-000065B50000}"/>
    <cellStyle name="Финансовый 5 2 2 9 3 2" xfId="36458" xr:uid="{00000000-0005-0000-0000-000066B50000}"/>
    <cellStyle name="Финансовый 5 2 2 9 4" xfId="24481" xr:uid="{00000000-0005-0000-0000-000067B50000}"/>
    <cellStyle name="Финансовый 5 2 3" xfId="181" xr:uid="{00000000-0005-0000-0000-000068B50000}"/>
    <cellStyle name="Финансовый 5 2 3 10" xfId="8829" xr:uid="{00000000-0005-0000-0000-000069B50000}"/>
    <cellStyle name="Финансовый 5 2 3 10 2" xfId="20807" xr:uid="{00000000-0005-0000-0000-00006AB50000}"/>
    <cellStyle name="Финансовый 5 2 3 10 2 2" xfId="44762" xr:uid="{00000000-0005-0000-0000-00006BB50000}"/>
    <cellStyle name="Финансовый 5 2 3 10 3" xfId="32784" xr:uid="{00000000-0005-0000-0000-00006CB50000}"/>
    <cellStyle name="Финансовый 5 2 3 11" xfId="12163" xr:uid="{00000000-0005-0000-0000-00006DB50000}"/>
    <cellStyle name="Финансовый 5 2 3 11 2" xfId="36118" xr:uid="{00000000-0005-0000-0000-00006EB50000}"/>
    <cellStyle name="Финансовый 5 2 3 12" xfId="24141" xr:uid="{00000000-0005-0000-0000-00006FB50000}"/>
    <cellStyle name="Финансовый 5 2 3 13" xfId="48099" xr:uid="{00000000-0005-0000-0000-000070B50000}"/>
    <cellStyle name="Финансовый 5 2 3 2" xfId="1279" xr:uid="{00000000-0005-0000-0000-000071B50000}"/>
    <cellStyle name="Финансовый 5 2 3 2 2" xfId="2245" xr:uid="{00000000-0005-0000-0000-000072B50000}"/>
    <cellStyle name="Финансовый 5 2 3 2 2 2" xfId="3890" xr:uid="{00000000-0005-0000-0000-000073B50000}"/>
    <cellStyle name="Финансовый 5 2 3 2 2 2 2" xfId="11630" xr:uid="{00000000-0005-0000-0000-000074B50000}"/>
    <cellStyle name="Финансовый 5 2 3 2 2 2 2 2" xfId="23608" xr:uid="{00000000-0005-0000-0000-000075B50000}"/>
    <cellStyle name="Финансовый 5 2 3 2 2 2 2 2 2" xfId="47563" xr:uid="{00000000-0005-0000-0000-000076B50000}"/>
    <cellStyle name="Финансовый 5 2 3 2 2 2 2 3" xfId="35585" xr:uid="{00000000-0005-0000-0000-000077B50000}"/>
    <cellStyle name="Финансовый 5 2 3 2 2 2 3" xfId="15869" xr:uid="{00000000-0005-0000-0000-000078B50000}"/>
    <cellStyle name="Финансовый 5 2 3 2 2 2 3 2" xfId="39824" xr:uid="{00000000-0005-0000-0000-000079B50000}"/>
    <cellStyle name="Финансовый 5 2 3 2 2 2 4" xfId="27847" xr:uid="{00000000-0005-0000-0000-00007AB50000}"/>
    <cellStyle name="Финансовый 5 2 3 2 2 2 5" xfId="51116" xr:uid="{00000000-0005-0000-0000-00007BB50000}"/>
    <cellStyle name="Финансовый 5 2 3 2 2 3" xfId="5673" xr:uid="{00000000-0005-0000-0000-00007CB50000}"/>
    <cellStyle name="Финансовый 5 2 3 2 2 3 2" xfId="17651" xr:uid="{00000000-0005-0000-0000-00007DB50000}"/>
    <cellStyle name="Финансовый 5 2 3 2 2 3 2 2" xfId="41606" xr:uid="{00000000-0005-0000-0000-00007EB50000}"/>
    <cellStyle name="Финансовый 5 2 3 2 2 3 3" xfId="29628" xr:uid="{00000000-0005-0000-0000-00007FB50000}"/>
    <cellStyle name="Финансовый 5 2 3 2 2 4" xfId="8283" xr:uid="{00000000-0005-0000-0000-000080B50000}"/>
    <cellStyle name="Финансовый 5 2 3 2 2 4 2" xfId="20261" xr:uid="{00000000-0005-0000-0000-000081B50000}"/>
    <cellStyle name="Финансовый 5 2 3 2 2 4 2 2" xfId="44216" xr:uid="{00000000-0005-0000-0000-000082B50000}"/>
    <cellStyle name="Финансовый 5 2 3 2 2 4 3" xfId="32238" xr:uid="{00000000-0005-0000-0000-000083B50000}"/>
    <cellStyle name="Финансовый 5 2 3 2 2 5" xfId="10066" xr:uid="{00000000-0005-0000-0000-000084B50000}"/>
    <cellStyle name="Финансовый 5 2 3 2 2 5 2" xfId="22044" xr:uid="{00000000-0005-0000-0000-000085B50000}"/>
    <cellStyle name="Финансовый 5 2 3 2 2 5 2 2" xfId="45999" xr:uid="{00000000-0005-0000-0000-000086B50000}"/>
    <cellStyle name="Финансовый 5 2 3 2 2 5 3" xfId="34021" xr:uid="{00000000-0005-0000-0000-000087B50000}"/>
    <cellStyle name="Финансовый 5 2 3 2 2 6" xfId="14224" xr:uid="{00000000-0005-0000-0000-000088B50000}"/>
    <cellStyle name="Финансовый 5 2 3 2 2 6 2" xfId="38179" xr:uid="{00000000-0005-0000-0000-000089B50000}"/>
    <cellStyle name="Финансовый 5 2 3 2 2 7" xfId="26202" xr:uid="{00000000-0005-0000-0000-00008AB50000}"/>
    <cellStyle name="Финансовый 5 2 3 2 2 8" xfId="49335" xr:uid="{00000000-0005-0000-0000-00008BB50000}"/>
    <cellStyle name="Финансовый 5 2 3 2 3" xfId="3063" xr:uid="{00000000-0005-0000-0000-00008CB50000}"/>
    <cellStyle name="Финансовый 5 2 3 2 3 2" xfId="10858" xr:uid="{00000000-0005-0000-0000-00008DB50000}"/>
    <cellStyle name="Финансовый 5 2 3 2 3 2 2" xfId="22836" xr:uid="{00000000-0005-0000-0000-00008EB50000}"/>
    <cellStyle name="Финансовый 5 2 3 2 3 2 2 2" xfId="46791" xr:uid="{00000000-0005-0000-0000-00008FB50000}"/>
    <cellStyle name="Финансовый 5 2 3 2 3 2 3" xfId="34813" xr:uid="{00000000-0005-0000-0000-000090B50000}"/>
    <cellStyle name="Финансовый 5 2 3 2 3 3" xfId="15042" xr:uid="{00000000-0005-0000-0000-000091B50000}"/>
    <cellStyle name="Финансовый 5 2 3 2 3 3 2" xfId="38997" xr:uid="{00000000-0005-0000-0000-000092B50000}"/>
    <cellStyle name="Финансовый 5 2 3 2 3 4" xfId="27020" xr:uid="{00000000-0005-0000-0000-000093B50000}"/>
    <cellStyle name="Финансовый 5 2 3 2 3 5" xfId="50151" xr:uid="{00000000-0005-0000-0000-000094B50000}"/>
    <cellStyle name="Финансовый 5 2 3 2 4" xfId="4707" xr:uid="{00000000-0005-0000-0000-000095B50000}"/>
    <cellStyle name="Финансовый 5 2 3 2 4 2" xfId="16686" xr:uid="{00000000-0005-0000-0000-000096B50000}"/>
    <cellStyle name="Финансовый 5 2 3 2 4 2 2" xfId="40641" xr:uid="{00000000-0005-0000-0000-000097B50000}"/>
    <cellStyle name="Финансовый 5 2 3 2 4 3" xfId="28664" xr:uid="{00000000-0005-0000-0000-000098B50000}"/>
    <cellStyle name="Финансовый 5 2 3 2 5" xfId="7319" xr:uid="{00000000-0005-0000-0000-000099B50000}"/>
    <cellStyle name="Финансовый 5 2 3 2 5 2" xfId="19297" xr:uid="{00000000-0005-0000-0000-00009AB50000}"/>
    <cellStyle name="Финансовый 5 2 3 2 5 2 2" xfId="43252" xr:uid="{00000000-0005-0000-0000-00009BB50000}"/>
    <cellStyle name="Финансовый 5 2 3 2 5 3" xfId="31274" xr:uid="{00000000-0005-0000-0000-00009CB50000}"/>
    <cellStyle name="Финансовый 5 2 3 2 6" xfId="9101" xr:uid="{00000000-0005-0000-0000-00009DB50000}"/>
    <cellStyle name="Финансовый 5 2 3 2 6 2" xfId="21079" xr:uid="{00000000-0005-0000-0000-00009EB50000}"/>
    <cellStyle name="Финансовый 5 2 3 2 6 2 2" xfId="45034" xr:uid="{00000000-0005-0000-0000-00009FB50000}"/>
    <cellStyle name="Финансовый 5 2 3 2 6 3" xfId="33056" xr:uid="{00000000-0005-0000-0000-0000A0B50000}"/>
    <cellStyle name="Финансовый 5 2 3 2 7" xfId="13260" xr:uid="{00000000-0005-0000-0000-0000A1B50000}"/>
    <cellStyle name="Финансовый 5 2 3 2 7 2" xfId="37215" xr:uid="{00000000-0005-0000-0000-0000A2B50000}"/>
    <cellStyle name="Финансовый 5 2 3 2 8" xfId="25238" xr:uid="{00000000-0005-0000-0000-0000A3B50000}"/>
    <cellStyle name="Финансовый 5 2 3 2 9" xfId="48371" xr:uid="{00000000-0005-0000-0000-0000A4B50000}"/>
    <cellStyle name="Финансовый 5 2 3 3" xfId="1989" xr:uid="{00000000-0005-0000-0000-0000A5B50000}"/>
    <cellStyle name="Финансовый 5 2 3 3 2" xfId="3634" xr:uid="{00000000-0005-0000-0000-0000A6B50000}"/>
    <cellStyle name="Финансовый 5 2 3 3 2 2" xfId="11374" xr:uid="{00000000-0005-0000-0000-0000A7B50000}"/>
    <cellStyle name="Финансовый 5 2 3 3 2 2 2" xfId="23352" xr:uid="{00000000-0005-0000-0000-0000A8B50000}"/>
    <cellStyle name="Финансовый 5 2 3 3 2 2 2 2" xfId="47307" xr:uid="{00000000-0005-0000-0000-0000A9B50000}"/>
    <cellStyle name="Финансовый 5 2 3 3 2 2 3" xfId="35329" xr:uid="{00000000-0005-0000-0000-0000AAB50000}"/>
    <cellStyle name="Финансовый 5 2 3 3 2 3" xfId="15613" xr:uid="{00000000-0005-0000-0000-0000ABB50000}"/>
    <cellStyle name="Финансовый 5 2 3 3 2 3 2" xfId="39568" xr:uid="{00000000-0005-0000-0000-0000ACB50000}"/>
    <cellStyle name="Финансовый 5 2 3 3 2 4" xfId="27591" xr:uid="{00000000-0005-0000-0000-0000ADB50000}"/>
    <cellStyle name="Финансовый 5 2 3 3 2 5" xfId="50860" xr:uid="{00000000-0005-0000-0000-0000AEB50000}"/>
    <cellStyle name="Финансовый 5 2 3 3 3" xfId="5417" xr:uid="{00000000-0005-0000-0000-0000AFB50000}"/>
    <cellStyle name="Финансовый 5 2 3 3 3 2" xfId="17395" xr:uid="{00000000-0005-0000-0000-0000B0B50000}"/>
    <cellStyle name="Финансовый 5 2 3 3 3 2 2" xfId="41350" xr:uid="{00000000-0005-0000-0000-0000B1B50000}"/>
    <cellStyle name="Финансовый 5 2 3 3 3 3" xfId="29372" xr:uid="{00000000-0005-0000-0000-0000B2B50000}"/>
    <cellStyle name="Финансовый 5 2 3 3 4" xfId="8027" xr:uid="{00000000-0005-0000-0000-0000B3B50000}"/>
    <cellStyle name="Финансовый 5 2 3 3 4 2" xfId="20005" xr:uid="{00000000-0005-0000-0000-0000B4B50000}"/>
    <cellStyle name="Финансовый 5 2 3 3 4 2 2" xfId="43960" xr:uid="{00000000-0005-0000-0000-0000B5B50000}"/>
    <cellStyle name="Финансовый 5 2 3 3 4 3" xfId="31982" xr:uid="{00000000-0005-0000-0000-0000B6B50000}"/>
    <cellStyle name="Финансовый 5 2 3 3 5" xfId="9810" xr:uid="{00000000-0005-0000-0000-0000B7B50000}"/>
    <cellStyle name="Финансовый 5 2 3 3 5 2" xfId="21788" xr:uid="{00000000-0005-0000-0000-0000B8B50000}"/>
    <cellStyle name="Финансовый 5 2 3 3 5 2 2" xfId="45743" xr:uid="{00000000-0005-0000-0000-0000B9B50000}"/>
    <cellStyle name="Финансовый 5 2 3 3 5 3" xfId="33765" xr:uid="{00000000-0005-0000-0000-0000BAB50000}"/>
    <cellStyle name="Финансовый 5 2 3 3 6" xfId="13968" xr:uid="{00000000-0005-0000-0000-0000BBB50000}"/>
    <cellStyle name="Финансовый 5 2 3 3 6 2" xfId="37923" xr:uid="{00000000-0005-0000-0000-0000BCB50000}"/>
    <cellStyle name="Финансовый 5 2 3 3 7" xfId="25946" xr:uid="{00000000-0005-0000-0000-0000BDB50000}"/>
    <cellStyle name="Финансовый 5 2 3 3 8" xfId="49079" xr:uid="{00000000-0005-0000-0000-0000BEB50000}"/>
    <cellStyle name="Финансовый 5 2 3 4" xfId="2510" xr:uid="{00000000-0005-0000-0000-0000BFB50000}"/>
    <cellStyle name="Финансовый 5 2 3 4 2" xfId="4155" xr:uid="{00000000-0005-0000-0000-0000C0B50000}"/>
    <cellStyle name="Финансовый 5 2 3 4 2 2" xfId="11887" xr:uid="{00000000-0005-0000-0000-0000C1B50000}"/>
    <cellStyle name="Финансовый 5 2 3 4 2 2 2" xfId="23865" xr:uid="{00000000-0005-0000-0000-0000C2B50000}"/>
    <cellStyle name="Финансовый 5 2 3 4 2 2 2 2" xfId="47820" xr:uid="{00000000-0005-0000-0000-0000C3B50000}"/>
    <cellStyle name="Финансовый 5 2 3 4 2 2 3" xfId="35842" xr:uid="{00000000-0005-0000-0000-0000C4B50000}"/>
    <cellStyle name="Финансовый 5 2 3 4 2 3" xfId="16134" xr:uid="{00000000-0005-0000-0000-0000C5B50000}"/>
    <cellStyle name="Финансовый 5 2 3 4 2 3 2" xfId="40089" xr:uid="{00000000-0005-0000-0000-0000C6B50000}"/>
    <cellStyle name="Финансовый 5 2 3 4 2 4" xfId="28112" xr:uid="{00000000-0005-0000-0000-0000C7B50000}"/>
    <cellStyle name="Финансовый 5 2 3 4 2 5" xfId="51381" xr:uid="{00000000-0005-0000-0000-0000C8B50000}"/>
    <cellStyle name="Финансовый 5 2 3 4 3" xfId="5938" xr:uid="{00000000-0005-0000-0000-0000C9B50000}"/>
    <cellStyle name="Финансовый 5 2 3 4 3 2" xfId="17916" xr:uid="{00000000-0005-0000-0000-0000CAB50000}"/>
    <cellStyle name="Финансовый 5 2 3 4 3 2 2" xfId="41871" xr:uid="{00000000-0005-0000-0000-0000CBB50000}"/>
    <cellStyle name="Финансовый 5 2 3 4 3 3" xfId="29893" xr:uid="{00000000-0005-0000-0000-0000CCB50000}"/>
    <cellStyle name="Финансовый 5 2 3 4 4" xfId="8548" xr:uid="{00000000-0005-0000-0000-0000CDB50000}"/>
    <cellStyle name="Финансовый 5 2 3 4 4 2" xfId="20526" xr:uid="{00000000-0005-0000-0000-0000CEB50000}"/>
    <cellStyle name="Финансовый 5 2 3 4 4 2 2" xfId="44481" xr:uid="{00000000-0005-0000-0000-0000CFB50000}"/>
    <cellStyle name="Финансовый 5 2 3 4 4 3" xfId="32503" xr:uid="{00000000-0005-0000-0000-0000D0B50000}"/>
    <cellStyle name="Финансовый 5 2 3 4 5" xfId="10331" xr:uid="{00000000-0005-0000-0000-0000D1B50000}"/>
    <cellStyle name="Финансовый 5 2 3 4 5 2" xfId="22309" xr:uid="{00000000-0005-0000-0000-0000D2B50000}"/>
    <cellStyle name="Финансовый 5 2 3 4 5 2 2" xfId="46264" xr:uid="{00000000-0005-0000-0000-0000D3B50000}"/>
    <cellStyle name="Финансовый 5 2 3 4 5 3" xfId="34286" xr:uid="{00000000-0005-0000-0000-0000D4B50000}"/>
    <cellStyle name="Финансовый 5 2 3 4 6" xfId="14489" xr:uid="{00000000-0005-0000-0000-0000D5B50000}"/>
    <cellStyle name="Финансовый 5 2 3 4 6 2" xfId="38444" xr:uid="{00000000-0005-0000-0000-0000D6B50000}"/>
    <cellStyle name="Финансовый 5 2 3 4 7" xfId="26467" xr:uid="{00000000-0005-0000-0000-0000D7B50000}"/>
    <cellStyle name="Финансовый 5 2 3 4 8" xfId="49600" xr:uid="{00000000-0005-0000-0000-0000D8B50000}"/>
    <cellStyle name="Финансовый 5 2 3 5" xfId="1014" xr:uid="{00000000-0005-0000-0000-0000D9B50000}"/>
    <cellStyle name="Финансовый 5 2 3 5 2" xfId="7054" xr:uid="{00000000-0005-0000-0000-0000DAB50000}"/>
    <cellStyle name="Финансовый 5 2 3 5 2 2" xfId="19032" xr:uid="{00000000-0005-0000-0000-0000DBB50000}"/>
    <cellStyle name="Финансовый 5 2 3 5 2 2 2" xfId="42987" xr:uid="{00000000-0005-0000-0000-0000DCB50000}"/>
    <cellStyle name="Финансовый 5 2 3 5 2 3" xfId="31009" xr:uid="{00000000-0005-0000-0000-0000DDB50000}"/>
    <cellStyle name="Финансовый 5 2 3 5 3" xfId="10602" xr:uid="{00000000-0005-0000-0000-0000DEB50000}"/>
    <cellStyle name="Финансовый 5 2 3 5 3 2" xfId="22580" xr:uid="{00000000-0005-0000-0000-0000DFB50000}"/>
    <cellStyle name="Финансовый 5 2 3 5 3 2 2" xfId="46535" xr:uid="{00000000-0005-0000-0000-0000E0B50000}"/>
    <cellStyle name="Финансовый 5 2 3 5 3 3" xfId="34557" xr:uid="{00000000-0005-0000-0000-0000E1B50000}"/>
    <cellStyle name="Финансовый 5 2 3 5 4" xfId="12995" xr:uid="{00000000-0005-0000-0000-0000E2B50000}"/>
    <cellStyle name="Финансовый 5 2 3 5 4 2" xfId="36950" xr:uid="{00000000-0005-0000-0000-0000E3B50000}"/>
    <cellStyle name="Финансовый 5 2 3 5 5" xfId="24973" xr:uid="{00000000-0005-0000-0000-0000E4B50000}"/>
    <cellStyle name="Финансовый 5 2 3 5 6" xfId="49879" xr:uid="{00000000-0005-0000-0000-0000E5B50000}"/>
    <cellStyle name="Финансовый 5 2 3 6" xfId="602" xr:uid="{00000000-0005-0000-0000-0000E6B50000}"/>
    <cellStyle name="Финансовый 5 2 3 6 2" xfId="6642" xr:uid="{00000000-0005-0000-0000-0000E7B50000}"/>
    <cellStyle name="Финансовый 5 2 3 6 2 2" xfId="18620" xr:uid="{00000000-0005-0000-0000-0000E8B50000}"/>
    <cellStyle name="Финансовый 5 2 3 6 2 2 2" xfId="42575" xr:uid="{00000000-0005-0000-0000-0000E9B50000}"/>
    <cellStyle name="Финансовый 5 2 3 6 2 3" xfId="30597" xr:uid="{00000000-0005-0000-0000-0000EAB50000}"/>
    <cellStyle name="Финансовый 5 2 3 6 3" xfId="12583" xr:uid="{00000000-0005-0000-0000-0000EBB50000}"/>
    <cellStyle name="Финансовый 5 2 3 6 3 2" xfId="36538" xr:uid="{00000000-0005-0000-0000-0000ECB50000}"/>
    <cellStyle name="Финансовый 5 2 3 6 4" xfId="24561" xr:uid="{00000000-0005-0000-0000-0000EDB50000}"/>
    <cellStyle name="Финансовый 5 2 3 7" xfId="2791" xr:uid="{00000000-0005-0000-0000-0000EEB50000}"/>
    <cellStyle name="Финансовый 5 2 3 7 2" xfId="14770" xr:uid="{00000000-0005-0000-0000-0000EFB50000}"/>
    <cellStyle name="Финансовый 5 2 3 7 2 2" xfId="38725" xr:uid="{00000000-0005-0000-0000-0000F0B50000}"/>
    <cellStyle name="Финансовый 5 2 3 7 3" xfId="26748" xr:uid="{00000000-0005-0000-0000-0000F1B50000}"/>
    <cellStyle name="Финансовый 5 2 3 8" xfId="4435" xr:uid="{00000000-0005-0000-0000-0000F2B50000}"/>
    <cellStyle name="Финансовый 5 2 3 8 2" xfId="16414" xr:uid="{00000000-0005-0000-0000-0000F3B50000}"/>
    <cellStyle name="Финансовый 5 2 3 8 2 2" xfId="40369" xr:uid="{00000000-0005-0000-0000-0000F4B50000}"/>
    <cellStyle name="Финансовый 5 2 3 8 3" xfId="28392" xr:uid="{00000000-0005-0000-0000-0000F5B50000}"/>
    <cellStyle name="Финансовый 5 2 3 9" xfId="6222" xr:uid="{00000000-0005-0000-0000-0000F6B50000}"/>
    <cellStyle name="Финансовый 5 2 3 9 2" xfId="18200" xr:uid="{00000000-0005-0000-0000-0000F7B50000}"/>
    <cellStyle name="Финансовый 5 2 3 9 2 2" xfId="42155" xr:uid="{00000000-0005-0000-0000-0000F8B50000}"/>
    <cellStyle name="Финансовый 5 2 3 9 3" xfId="30177" xr:uid="{00000000-0005-0000-0000-0000F9B50000}"/>
    <cellStyle name="Финансовый 5 2 4" xfId="330" xr:uid="{00000000-0005-0000-0000-0000FAB50000}"/>
    <cellStyle name="Финансовый 5 2 4 10" xfId="24289" xr:uid="{00000000-0005-0000-0000-0000FBB50000}"/>
    <cellStyle name="Финансовый 5 2 4 11" xfId="48235" xr:uid="{00000000-0005-0000-0000-0000FCB50000}"/>
    <cellStyle name="Финансовый 5 2 4 2" xfId="2117" xr:uid="{00000000-0005-0000-0000-0000FDB50000}"/>
    <cellStyle name="Финансовый 5 2 4 2 2" xfId="3762" xr:uid="{00000000-0005-0000-0000-0000FEB50000}"/>
    <cellStyle name="Финансовый 5 2 4 2 2 2" xfId="11502" xr:uid="{00000000-0005-0000-0000-0000FFB50000}"/>
    <cellStyle name="Финансовый 5 2 4 2 2 2 2" xfId="23480" xr:uid="{00000000-0005-0000-0000-000000B60000}"/>
    <cellStyle name="Финансовый 5 2 4 2 2 2 2 2" xfId="47435" xr:uid="{00000000-0005-0000-0000-000001B60000}"/>
    <cellStyle name="Финансовый 5 2 4 2 2 2 3" xfId="35457" xr:uid="{00000000-0005-0000-0000-000002B60000}"/>
    <cellStyle name="Финансовый 5 2 4 2 2 3" xfId="15741" xr:uid="{00000000-0005-0000-0000-000003B60000}"/>
    <cellStyle name="Финансовый 5 2 4 2 2 3 2" xfId="39696" xr:uid="{00000000-0005-0000-0000-000004B60000}"/>
    <cellStyle name="Финансовый 5 2 4 2 2 4" xfId="27719" xr:uid="{00000000-0005-0000-0000-000005B60000}"/>
    <cellStyle name="Финансовый 5 2 4 2 2 5" xfId="50988" xr:uid="{00000000-0005-0000-0000-000006B60000}"/>
    <cellStyle name="Финансовый 5 2 4 2 3" xfId="5545" xr:uid="{00000000-0005-0000-0000-000007B60000}"/>
    <cellStyle name="Финансовый 5 2 4 2 3 2" xfId="17523" xr:uid="{00000000-0005-0000-0000-000008B60000}"/>
    <cellStyle name="Финансовый 5 2 4 2 3 2 2" xfId="41478" xr:uid="{00000000-0005-0000-0000-000009B60000}"/>
    <cellStyle name="Финансовый 5 2 4 2 3 3" xfId="29500" xr:uid="{00000000-0005-0000-0000-00000AB60000}"/>
    <cellStyle name="Финансовый 5 2 4 2 4" xfId="8155" xr:uid="{00000000-0005-0000-0000-00000BB60000}"/>
    <cellStyle name="Финансовый 5 2 4 2 4 2" xfId="20133" xr:uid="{00000000-0005-0000-0000-00000CB60000}"/>
    <cellStyle name="Финансовый 5 2 4 2 4 2 2" xfId="44088" xr:uid="{00000000-0005-0000-0000-00000DB60000}"/>
    <cellStyle name="Финансовый 5 2 4 2 4 3" xfId="32110" xr:uid="{00000000-0005-0000-0000-00000EB60000}"/>
    <cellStyle name="Финансовый 5 2 4 2 5" xfId="9938" xr:uid="{00000000-0005-0000-0000-00000FB60000}"/>
    <cellStyle name="Финансовый 5 2 4 2 5 2" xfId="21916" xr:uid="{00000000-0005-0000-0000-000010B60000}"/>
    <cellStyle name="Финансовый 5 2 4 2 5 2 2" xfId="45871" xr:uid="{00000000-0005-0000-0000-000011B60000}"/>
    <cellStyle name="Финансовый 5 2 4 2 5 3" xfId="33893" xr:uid="{00000000-0005-0000-0000-000012B60000}"/>
    <cellStyle name="Финансовый 5 2 4 2 6" xfId="14096" xr:uid="{00000000-0005-0000-0000-000013B60000}"/>
    <cellStyle name="Финансовый 5 2 4 2 6 2" xfId="38051" xr:uid="{00000000-0005-0000-0000-000014B60000}"/>
    <cellStyle name="Финансовый 5 2 4 2 7" xfId="26074" xr:uid="{00000000-0005-0000-0000-000015B60000}"/>
    <cellStyle name="Финансовый 5 2 4 2 8" xfId="49207" xr:uid="{00000000-0005-0000-0000-000016B60000}"/>
    <cellStyle name="Финансовый 5 2 4 3" xfId="1150" xr:uid="{00000000-0005-0000-0000-000017B60000}"/>
    <cellStyle name="Финансовый 5 2 4 3 2" xfId="7190" xr:uid="{00000000-0005-0000-0000-000018B60000}"/>
    <cellStyle name="Финансовый 5 2 4 3 2 2" xfId="19168" xr:uid="{00000000-0005-0000-0000-000019B60000}"/>
    <cellStyle name="Финансовый 5 2 4 3 2 2 2" xfId="43123" xr:uid="{00000000-0005-0000-0000-00001AB60000}"/>
    <cellStyle name="Финансовый 5 2 4 3 2 3" xfId="31145" xr:uid="{00000000-0005-0000-0000-00001BB60000}"/>
    <cellStyle name="Финансовый 5 2 4 3 3" xfId="10730" xr:uid="{00000000-0005-0000-0000-00001CB60000}"/>
    <cellStyle name="Финансовый 5 2 4 3 3 2" xfId="22708" xr:uid="{00000000-0005-0000-0000-00001DB60000}"/>
    <cellStyle name="Финансовый 5 2 4 3 3 2 2" xfId="46663" xr:uid="{00000000-0005-0000-0000-00001EB60000}"/>
    <cellStyle name="Финансовый 5 2 4 3 3 3" xfId="34685" xr:uid="{00000000-0005-0000-0000-00001FB60000}"/>
    <cellStyle name="Финансовый 5 2 4 3 4" xfId="13131" xr:uid="{00000000-0005-0000-0000-000020B60000}"/>
    <cellStyle name="Финансовый 5 2 4 3 4 2" xfId="37086" xr:uid="{00000000-0005-0000-0000-000021B60000}"/>
    <cellStyle name="Финансовый 5 2 4 3 5" xfId="25109" xr:uid="{00000000-0005-0000-0000-000022B60000}"/>
    <cellStyle name="Финансовый 5 2 4 3 6" xfId="50015" xr:uid="{00000000-0005-0000-0000-000023B60000}"/>
    <cellStyle name="Финансовый 5 2 4 4" xfId="750" xr:uid="{00000000-0005-0000-0000-000024B60000}"/>
    <cellStyle name="Финансовый 5 2 4 4 2" xfId="6790" xr:uid="{00000000-0005-0000-0000-000025B60000}"/>
    <cellStyle name="Финансовый 5 2 4 4 2 2" xfId="18768" xr:uid="{00000000-0005-0000-0000-000026B60000}"/>
    <cellStyle name="Финансовый 5 2 4 4 2 2 2" xfId="42723" xr:uid="{00000000-0005-0000-0000-000027B60000}"/>
    <cellStyle name="Финансовый 5 2 4 4 2 3" xfId="30745" xr:uid="{00000000-0005-0000-0000-000028B60000}"/>
    <cellStyle name="Финансовый 5 2 4 4 3" xfId="12731" xr:uid="{00000000-0005-0000-0000-000029B60000}"/>
    <cellStyle name="Финансовый 5 2 4 4 3 2" xfId="36686" xr:uid="{00000000-0005-0000-0000-00002AB60000}"/>
    <cellStyle name="Финансовый 5 2 4 4 4" xfId="24709" xr:uid="{00000000-0005-0000-0000-00002BB60000}"/>
    <cellStyle name="Финансовый 5 2 4 5" xfId="2927" xr:uid="{00000000-0005-0000-0000-00002CB60000}"/>
    <cellStyle name="Финансовый 5 2 4 5 2" xfId="14906" xr:uid="{00000000-0005-0000-0000-00002DB60000}"/>
    <cellStyle name="Финансовый 5 2 4 5 2 2" xfId="38861" xr:uid="{00000000-0005-0000-0000-00002EB60000}"/>
    <cellStyle name="Финансовый 5 2 4 5 3" xfId="26884" xr:uid="{00000000-0005-0000-0000-00002FB60000}"/>
    <cellStyle name="Финансовый 5 2 4 6" xfId="4571" xr:uid="{00000000-0005-0000-0000-000030B60000}"/>
    <cellStyle name="Финансовый 5 2 4 6 2" xfId="16550" xr:uid="{00000000-0005-0000-0000-000031B60000}"/>
    <cellStyle name="Финансовый 5 2 4 6 2 2" xfId="40505" xr:uid="{00000000-0005-0000-0000-000032B60000}"/>
    <cellStyle name="Финансовый 5 2 4 6 3" xfId="28528" xr:uid="{00000000-0005-0000-0000-000033B60000}"/>
    <cellStyle name="Финансовый 5 2 4 7" xfId="6370" xr:uid="{00000000-0005-0000-0000-000034B60000}"/>
    <cellStyle name="Финансовый 5 2 4 7 2" xfId="18348" xr:uid="{00000000-0005-0000-0000-000035B60000}"/>
    <cellStyle name="Финансовый 5 2 4 7 2 2" xfId="42303" xr:uid="{00000000-0005-0000-0000-000036B60000}"/>
    <cellStyle name="Финансовый 5 2 4 7 3" xfId="30325" xr:uid="{00000000-0005-0000-0000-000037B60000}"/>
    <cellStyle name="Финансовый 5 2 4 8" xfId="8965" xr:uid="{00000000-0005-0000-0000-000038B60000}"/>
    <cellStyle name="Финансовый 5 2 4 8 2" xfId="20943" xr:uid="{00000000-0005-0000-0000-000039B60000}"/>
    <cellStyle name="Финансовый 5 2 4 8 2 2" xfId="44898" xr:uid="{00000000-0005-0000-0000-00003AB60000}"/>
    <cellStyle name="Финансовый 5 2 4 8 3" xfId="32920" xr:uid="{00000000-0005-0000-0000-00003BB60000}"/>
    <cellStyle name="Финансовый 5 2 4 9" xfId="12311" xr:uid="{00000000-0005-0000-0000-00003CB60000}"/>
    <cellStyle name="Финансовый 5 2 4 9 2" xfId="36266" xr:uid="{00000000-0005-0000-0000-00003DB60000}"/>
    <cellStyle name="Финансовый 5 2 5" xfId="1544" xr:uid="{00000000-0005-0000-0000-00003EB60000}"/>
    <cellStyle name="Финансовый 5 2 5 2" xfId="1853" xr:uid="{00000000-0005-0000-0000-00003FB60000}"/>
    <cellStyle name="Финансовый 5 2 5 2 2" xfId="3498" xr:uid="{00000000-0005-0000-0000-000040B60000}"/>
    <cellStyle name="Финансовый 5 2 5 2 2 2" xfId="11246" xr:uid="{00000000-0005-0000-0000-000041B60000}"/>
    <cellStyle name="Финансовый 5 2 5 2 2 2 2" xfId="23224" xr:uid="{00000000-0005-0000-0000-000042B60000}"/>
    <cellStyle name="Финансовый 5 2 5 2 2 2 2 2" xfId="47179" xr:uid="{00000000-0005-0000-0000-000043B60000}"/>
    <cellStyle name="Финансовый 5 2 5 2 2 2 3" xfId="35201" xr:uid="{00000000-0005-0000-0000-000044B60000}"/>
    <cellStyle name="Финансовый 5 2 5 2 2 3" xfId="15477" xr:uid="{00000000-0005-0000-0000-000045B60000}"/>
    <cellStyle name="Финансовый 5 2 5 2 2 3 2" xfId="39432" xr:uid="{00000000-0005-0000-0000-000046B60000}"/>
    <cellStyle name="Финансовый 5 2 5 2 2 4" xfId="27455" xr:uid="{00000000-0005-0000-0000-000047B60000}"/>
    <cellStyle name="Финансовый 5 2 5 2 2 5" xfId="50724" xr:uid="{00000000-0005-0000-0000-000048B60000}"/>
    <cellStyle name="Финансовый 5 2 5 2 3" xfId="5281" xr:uid="{00000000-0005-0000-0000-000049B60000}"/>
    <cellStyle name="Финансовый 5 2 5 2 3 2" xfId="17259" xr:uid="{00000000-0005-0000-0000-00004AB60000}"/>
    <cellStyle name="Финансовый 5 2 5 2 3 2 2" xfId="41214" xr:uid="{00000000-0005-0000-0000-00004BB60000}"/>
    <cellStyle name="Финансовый 5 2 5 2 3 3" xfId="29236" xr:uid="{00000000-0005-0000-0000-00004CB60000}"/>
    <cellStyle name="Финансовый 5 2 5 2 4" xfId="7891" xr:uid="{00000000-0005-0000-0000-00004DB60000}"/>
    <cellStyle name="Финансовый 5 2 5 2 4 2" xfId="19869" xr:uid="{00000000-0005-0000-0000-00004EB60000}"/>
    <cellStyle name="Финансовый 5 2 5 2 4 2 2" xfId="43824" xr:uid="{00000000-0005-0000-0000-00004FB60000}"/>
    <cellStyle name="Финансовый 5 2 5 2 4 3" xfId="31846" xr:uid="{00000000-0005-0000-0000-000050B60000}"/>
    <cellStyle name="Финансовый 5 2 5 2 5" xfId="9674" xr:uid="{00000000-0005-0000-0000-000051B60000}"/>
    <cellStyle name="Финансовый 5 2 5 2 5 2" xfId="21652" xr:uid="{00000000-0005-0000-0000-000052B60000}"/>
    <cellStyle name="Финансовый 5 2 5 2 5 2 2" xfId="45607" xr:uid="{00000000-0005-0000-0000-000053B60000}"/>
    <cellStyle name="Финансовый 5 2 5 2 5 3" xfId="33629" xr:uid="{00000000-0005-0000-0000-000054B60000}"/>
    <cellStyle name="Финансовый 5 2 5 2 6" xfId="13832" xr:uid="{00000000-0005-0000-0000-000055B60000}"/>
    <cellStyle name="Финансовый 5 2 5 2 6 2" xfId="37787" xr:uid="{00000000-0005-0000-0000-000056B60000}"/>
    <cellStyle name="Финансовый 5 2 5 2 7" xfId="25810" xr:uid="{00000000-0005-0000-0000-000057B60000}"/>
    <cellStyle name="Финансовый 5 2 5 2 8" xfId="48943" xr:uid="{00000000-0005-0000-0000-000058B60000}"/>
    <cellStyle name="Финансовый 5 2 5 3" xfId="4972" xr:uid="{00000000-0005-0000-0000-000059B60000}"/>
    <cellStyle name="Финансовый 5 2 5 3 2" xfId="16950" xr:uid="{00000000-0005-0000-0000-00005AB60000}"/>
    <cellStyle name="Финансовый 5 2 5 3 2 2" xfId="40905" xr:uid="{00000000-0005-0000-0000-00005BB60000}"/>
    <cellStyle name="Финансовый 5 2 5 3 3" xfId="28927" xr:uid="{00000000-0005-0000-0000-00005CB60000}"/>
    <cellStyle name="Финансовый 5 2 5 3 4" xfId="50415" xr:uid="{00000000-0005-0000-0000-00005DB60000}"/>
    <cellStyle name="Финансовый 5 2 5 4" xfId="7582" xr:uid="{00000000-0005-0000-0000-00005EB60000}"/>
    <cellStyle name="Финансовый 5 2 5 4 2" xfId="19560" xr:uid="{00000000-0005-0000-0000-00005FB60000}"/>
    <cellStyle name="Финансовый 5 2 5 4 2 2" xfId="43515" xr:uid="{00000000-0005-0000-0000-000060B60000}"/>
    <cellStyle name="Финансовый 5 2 5 4 3" xfId="31537" xr:uid="{00000000-0005-0000-0000-000061B60000}"/>
    <cellStyle name="Финансовый 5 2 5 5" xfId="9365" xr:uid="{00000000-0005-0000-0000-000062B60000}"/>
    <cellStyle name="Финансовый 5 2 5 5 2" xfId="21343" xr:uid="{00000000-0005-0000-0000-000063B60000}"/>
    <cellStyle name="Финансовый 5 2 5 5 2 2" xfId="45298" xr:uid="{00000000-0005-0000-0000-000064B60000}"/>
    <cellStyle name="Финансовый 5 2 5 5 3" xfId="33320" xr:uid="{00000000-0005-0000-0000-000065B60000}"/>
    <cellStyle name="Финансовый 5 2 5 6" xfId="13523" xr:uid="{00000000-0005-0000-0000-000066B60000}"/>
    <cellStyle name="Финансовый 5 2 5 6 2" xfId="37478" xr:uid="{00000000-0005-0000-0000-000067B60000}"/>
    <cellStyle name="Финансовый 5 2 5 7" xfId="25501" xr:uid="{00000000-0005-0000-0000-000068B60000}"/>
    <cellStyle name="Финансовый 5 2 5 8" xfId="48634" xr:uid="{00000000-0005-0000-0000-000069B60000}"/>
    <cellStyle name="Финансовый 5 2 6" xfId="1737" xr:uid="{00000000-0005-0000-0000-00006AB60000}"/>
    <cellStyle name="Финансовый 5 2 6 2" xfId="3382" xr:uid="{00000000-0005-0000-0000-00006BB60000}"/>
    <cellStyle name="Финансовый 5 2 6 2 2" xfId="11130" xr:uid="{00000000-0005-0000-0000-00006CB60000}"/>
    <cellStyle name="Финансовый 5 2 6 2 2 2" xfId="23108" xr:uid="{00000000-0005-0000-0000-00006DB60000}"/>
    <cellStyle name="Финансовый 5 2 6 2 2 2 2" xfId="47063" xr:uid="{00000000-0005-0000-0000-00006EB60000}"/>
    <cellStyle name="Финансовый 5 2 6 2 2 3" xfId="35085" xr:uid="{00000000-0005-0000-0000-00006FB60000}"/>
    <cellStyle name="Финансовый 5 2 6 2 3" xfId="15361" xr:uid="{00000000-0005-0000-0000-000070B60000}"/>
    <cellStyle name="Финансовый 5 2 6 2 3 2" xfId="39316" xr:uid="{00000000-0005-0000-0000-000071B60000}"/>
    <cellStyle name="Финансовый 5 2 6 2 4" xfId="27339" xr:uid="{00000000-0005-0000-0000-000072B60000}"/>
    <cellStyle name="Финансовый 5 2 6 2 5" xfId="50608" xr:uid="{00000000-0005-0000-0000-000073B60000}"/>
    <cellStyle name="Финансовый 5 2 6 3" xfId="5165" xr:uid="{00000000-0005-0000-0000-000074B60000}"/>
    <cellStyle name="Финансовый 5 2 6 3 2" xfId="17143" xr:uid="{00000000-0005-0000-0000-000075B60000}"/>
    <cellStyle name="Финансовый 5 2 6 3 2 2" xfId="41098" xr:uid="{00000000-0005-0000-0000-000076B60000}"/>
    <cellStyle name="Финансовый 5 2 6 3 3" xfId="29120" xr:uid="{00000000-0005-0000-0000-000077B60000}"/>
    <cellStyle name="Финансовый 5 2 6 4" xfId="7775" xr:uid="{00000000-0005-0000-0000-000078B60000}"/>
    <cellStyle name="Финансовый 5 2 6 4 2" xfId="19753" xr:uid="{00000000-0005-0000-0000-000079B60000}"/>
    <cellStyle name="Финансовый 5 2 6 4 2 2" xfId="43708" xr:uid="{00000000-0005-0000-0000-00007AB60000}"/>
    <cellStyle name="Финансовый 5 2 6 4 3" xfId="31730" xr:uid="{00000000-0005-0000-0000-00007BB60000}"/>
    <cellStyle name="Финансовый 5 2 6 5" xfId="9558" xr:uid="{00000000-0005-0000-0000-00007CB60000}"/>
    <cellStyle name="Финансовый 5 2 6 5 2" xfId="21536" xr:uid="{00000000-0005-0000-0000-00007DB60000}"/>
    <cellStyle name="Финансовый 5 2 6 5 2 2" xfId="45491" xr:uid="{00000000-0005-0000-0000-00007EB60000}"/>
    <cellStyle name="Финансовый 5 2 6 5 3" xfId="33513" xr:uid="{00000000-0005-0000-0000-00007FB60000}"/>
    <cellStyle name="Финансовый 5 2 6 6" xfId="13716" xr:uid="{00000000-0005-0000-0000-000080B60000}"/>
    <cellStyle name="Финансовый 5 2 6 6 2" xfId="37671" xr:uid="{00000000-0005-0000-0000-000081B60000}"/>
    <cellStyle name="Финансовый 5 2 6 7" xfId="25694" xr:uid="{00000000-0005-0000-0000-000082B60000}"/>
    <cellStyle name="Финансовый 5 2 6 8" xfId="48827" xr:uid="{00000000-0005-0000-0000-000083B60000}"/>
    <cellStyle name="Финансовый 5 2 7" xfId="2373" xr:uid="{00000000-0005-0000-0000-000084B60000}"/>
    <cellStyle name="Финансовый 5 2 7 2" xfId="4018" xr:uid="{00000000-0005-0000-0000-000085B60000}"/>
    <cellStyle name="Финансовый 5 2 7 2 2" xfId="11758" xr:uid="{00000000-0005-0000-0000-000086B60000}"/>
    <cellStyle name="Финансовый 5 2 7 2 2 2" xfId="23736" xr:uid="{00000000-0005-0000-0000-000087B60000}"/>
    <cellStyle name="Финансовый 5 2 7 2 2 2 2" xfId="47691" xr:uid="{00000000-0005-0000-0000-000088B60000}"/>
    <cellStyle name="Финансовый 5 2 7 2 2 3" xfId="35713" xr:uid="{00000000-0005-0000-0000-000089B60000}"/>
    <cellStyle name="Финансовый 5 2 7 2 3" xfId="15997" xr:uid="{00000000-0005-0000-0000-00008AB60000}"/>
    <cellStyle name="Финансовый 5 2 7 2 3 2" xfId="39952" xr:uid="{00000000-0005-0000-0000-00008BB60000}"/>
    <cellStyle name="Финансовый 5 2 7 2 4" xfId="27975" xr:uid="{00000000-0005-0000-0000-00008CB60000}"/>
    <cellStyle name="Финансовый 5 2 7 2 5" xfId="51244" xr:uid="{00000000-0005-0000-0000-00008DB60000}"/>
    <cellStyle name="Финансовый 5 2 7 3" xfId="5801" xr:uid="{00000000-0005-0000-0000-00008EB60000}"/>
    <cellStyle name="Финансовый 5 2 7 3 2" xfId="17779" xr:uid="{00000000-0005-0000-0000-00008FB60000}"/>
    <cellStyle name="Финансовый 5 2 7 3 2 2" xfId="41734" xr:uid="{00000000-0005-0000-0000-000090B60000}"/>
    <cellStyle name="Финансовый 5 2 7 3 3" xfId="29756" xr:uid="{00000000-0005-0000-0000-000091B60000}"/>
    <cellStyle name="Финансовый 5 2 7 4" xfId="8411" xr:uid="{00000000-0005-0000-0000-000092B60000}"/>
    <cellStyle name="Финансовый 5 2 7 4 2" xfId="20389" xr:uid="{00000000-0005-0000-0000-000093B60000}"/>
    <cellStyle name="Финансовый 5 2 7 4 2 2" xfId="44344" xr:uid="{00000000-0005-0000-0000-000094B60000}"/>
    <cellStyle name="Финансовый 5 2 7 4 3" xfId="32366" xr:uid="{00000000-0005-0000-0000-000095B60000}"/>
    <cellStyle name="Финансовый 5 2 7 5" xfId="10194" xr:uid="{00000000-0005-0000-0000-000096B60000}"/>
    <cellStyle name="Финансовый 5 2 7 5 2" xfId="22172" xr:uid="{00000000-0005-0000-0000-000097B60000}"/>
    <cellStyle name="Финансовый 5 2 7 5 2 2" xfId="46127" xr:uid="{00000000-0005-0000-0000-000098B60000}"/>
    <cellStyle name="Финансовый 5 2 7 5 3" xfId="34149" xr:uid="{00000000-0005-0000-0000-000099B60000}"/>
    <cellStyle name="Финансовый 5 2 7 6" xfId="14352" xr:uid="{00000000-0005-0000-0000-00009AB60000}"/>
    <cellStyle name="Финансовый 5 2 7 6 2" xfId="38307" xr:uid="{00000000-0005-0000-0000-00009BB60000}"/>
    <cellStyle name="Финансовый 5 2 7 7" xfId="26330" xr:uid="{00000000-0005-0000-0000-00009CB60000}"/>
    <cellStyle name="Финансовый 5 2 7 8" xfId="49463" xr:uid="{00000000-0005-0000-0000-00009DB60000}"/>
    <cellStyle name="Финансовый 5 2 8" xfId="1600" xr:uid="{00000000-0005-0000-0000-00009EB60000}"/>
    <cellStyle name="Финансовый 5 2 8 2" xfId="3245" xr:uid="{00000000-0005-0000-0000-00009FB60000}"/>
    <cellStyle name="Финансовый 5 2 8 2 2" xfId="11001" xr:uid="{00000000-0005-0000-0000-0000A0B60000}"/>
    <cellStyle name="Финансовый 5 2 8 2 2 2" xfId="22979" xr:uid="{00000000-0005-0000-0000-0000A1B60000}"/>
    <cellStyle name="Финансовый 5 2 8 2 2 2 2" xfId="46934" xr:uid="{00000000-0005-0000-0000-0000A2B60000}"/>
    <cellStyle name="Финансовый 5 2 8 2 2 3" xfId="34956" xr:uid="{00000000-0005-0000-0000-0000A3B60000}"/>
    <cellStyle name="Финансовый 5 2 8 2 3" xfId="15224" xr:uid="{00000000-0005-0000-0000-0000A4B60000}"/>
    <cellStyle name="Финансовый 5 2 8 2 3 2" xfId="39179" xr:uid="{00000000-0005-0000-0000-0000A5B60000}"/>
    <cellStyle name="Финансовый 5 2 8 2 4" xfId="27202" xr:uid="{00000000-0005-0000-0000-0000A6B60000}"/>
    <cellStyle name="Финансовый 5 2 8 2 5" xfId="50471" xr:uid="{00000000-0005-0000-0000-0000A7B60000}"/>
    <cellStyle name="Финансовый 5 2 8 3" xfId="5028" xr:uid="{00000000-0005-0000-0000-0000A8B60000}"/>
    <cellStyle name="Финансовый 5 2 8 3 2" xfId="17006" xr:uid="{00000000-0005-0000-0000-0000A9B60000}"/>
    <cellStyle name="Финансовый 5 2 8 3 2 2" xfId="40961" xr:uid="{00000000-0005-0000-0000-0000AAB60000}"/>
    <cellStyle name="Финансовый 5 2 8 3 3" xfId="28983" xr:uid="{00000000-0005-0000-0000-0000ABB60000}"/>
    <cellStyle name="Финансовый 5 2 8 4" xfId="7638" xr:uid="{00000000-0005-0000-0000-0000ACB60000}"/>
    <cellStyle name="Финансовый 5 2 8 4 2" xfId="19616" xr:uid="{00000000-0005-0000-0000-0000ADB60000}"/>
    <cellStyle name="Финансовый 5 2 8 4 2 2" xfId="43571" xr:uid="{00000000-0005-0000-0000-0000AEB60000}"/>
    <cellStyle name="Финансовый 5 2 8 4 3" xfId="31593" xr:uid="{00000000-0005-0000-0000-0000AFB60000}"/>
    <cellStyle name="Финансовый 5 2 8 5" xfId="9421" xr:uid="{00000000-0005-0000-0000-0000B0B60000}"/>
    <cellStyle name="Финансовый 5 2 8 5 2" xfId="21399" xr:uid="{00000000-0005-0000-0000-0000B1B60000}"/>
    <cellStyle name="Финансовый 5 2 8 5 2 2" xfId="45354" xr:uid="{00000000-0005-0000-0000-0000B2B60000}"/>
    <cellStyle name="Финансовый 5 2 8 5 3" xfId="33376" xr:uid="{00000000-0005-0000-0000-0000B3B60000}"/>
    <cellStyle name="Финансовый 5 2 8 6" xfId="13579" xr:uid="{00000000-0005-0000-0000-0000B4B60000}"/>
    <cellStyle name="Финансовый 5 2 8 6 2" xfId="37534" xr:uid="{00000000-0005-0000-0000-0000B5B60000}"/>
    <cellStyle name="Финансовый 5 2 8 7" xfId="25557" xr:uid="{00000000-0005-0000-0000-0000B6B60000}"/>
    <cellStyle name="Финансовый 5 2 8 8" xfId="48690" xr:uid="{00000000-0005-0000-0000-0000B7B60000}"/>
    <cellStyle name="Финансовый 5 2 9" xfId="886" xr:uid="{00000000-0005-0000-0000-0000B8B60000}"/>
    <cellStyle name="Финансовый 5 2 9 2" xfId="6926" xr:uid="{00000000-0005-0000-0000-0000B9B60000}"/>
    <cellStyle name="Финансовый 5 2 9 2 2" xfId="18904" xr:uid="{00000000-0005-0000-0000-0000BAB60000}"/>
    <cellStyle name="Финансовый 5 2 9 2 2 2" xfId="42859" xr:uid="{00000000-0005-0000-0000-0000BBB60000}"/>
    <cellStyle name="Финансовый 5 2 9 2 3" xfId="30881" xr:uid="{00000000-0005-0000-0000-0000BCB60000}"/>
    <cellStyle name="Финансовый 5 2 9 3" xfId="10474" xr:uid="{00000000-0005-0000-0000-0000BDB60000}"/>
    <cellStyle name="Финансовый 5 2 9 3 2" xfId="22452" xr:uid="{00000000-0005-0000-0000-0000BEB60000}"/>
    <cellStyle name="Финансовый 5 2 9 3 2 2" xfId="46407" xr:uid="{00000000-0005-0000-0000-0000BFB60000}"/>
    <cellStyle name="Финансовый 5 2 9 3 3" xfId="34429" xr:uid="{00000000-0005-0000-0000-0000C0B60000}"/>
    <cellStyle name="Финансовый 5 2 9 4" xfId="12867" xr:uid="{00000000-0005-0000-0000-0000C1B60000}"/>
    <cellStyle name="Финансовый 5 2 9 4 2" xfId="36822" xr:uid="{00000000-0005-0000-0000-0000C2B60000}"/>
    <cellStyle name="Финансовый 5 2 9 5" xfId="24845" xr:uid="{00000000-0005-0000-0000-0000C3B60000}"/>
    <cellStyle name="Финансовый 5 2 9 6" xfId="49743" xr:uid="{00000000-0005-0000-0000-0000C4B60000}"/>
    <cellStyle name="Финансовый 5 20" xfId="8657" xr:uid="{00000000-0005-0000-0000-0000C5B60000}"/>
    <cellStyle name="Финансовый 5 20 2" xfId="20635" xr:uid="{00000000-0005-0000-0000-0000C6B60000}"/>
    <cellStyle name="Финансовый 5 20 2 2" xfId="44590" xr:uid="{00000000-0005-0000-0000-0000C7B60000}"/>
    <cellStyle name="Финансовый 5 20 3" xfId="32612" xr:uid="{00000000-0005-0000-0000-0000C8B60000}"/>
    <cellStyle name="Финансовый 5 21" xfId="11991" xr:uid="{00000000-0005-0000-0000-0000C9B60000}"/>
    <cellStyle name="Финансовый 5 21 2" xfId="35946" xr:uid="{00000000-0005-0000-0000-0000CAB60000}"/>
    <cellStyle name="Финансовый 5 22" xfId="23969" xr:uid="{00000000-0005-0000-0000-0000CBB60000}"/>
    <cellStyle name="Финансовый 5 23" xfId="47927" xr:uid="{00000000-0005-0000-0000-0000CCB60000}"/>
    <cellStyle name="Финансовый 5 3" xfId="113" xr:uid="{00000000-0005-0000-0000-0000CDB60000}"/>
    <cellStyle name="Финансовый 5 3 10" xfId="2723" xr:uid="{00000000-0005-0000-0000-0000CEB60000}"/>
    <cellStyle name="Финансовый 5 3 10 2" xfId="14702" xr:uid="{00000000-0005-0000-0000-0000CFB60000}"/>
    <cellStyle name="Финансовый 5 3 10 2 2" xfId="38657" xr:uid="{00000000-0005-0000-0000-0000D0B60000}"/>
    <cellStyle name="Финансовый 5 3 10 3" xfId="26680" xr:uid="{00000000-0005-0000-0000-0000D1B60000}"/>
    <cellStyle name="Финансовый 5 3 11" xfId="4367" xr:uid="{00000000-0005-0000-0000-0000D2B60000}"/>
    <cellStyle name="Финансовый 5 3 11 2" xfId="16346" xr:uid="{00000000-0005-0000-0000-0000D3B60000}"/>
    <cellStyle name="Финансовый 5 3 11 2 2" xfId="40301" xr:uid="{00000000-0005-0000-0000-0000D4B60000}"/>
    <cellStyle name="Финансовый 5 3 11 3" xfId="28324" xr:uid="{00000000-0005-0000-0000-0000D5B60000}"/>
    <cellStyle name="Финансовый 5 3 12" xfId="6154" xr:uid="{00000000-0005-0000-0000-0000D6B60000}"/>
    <cellStyle name="Финансовый 5 3 12 2" xfId="18132" xr:uid="{00000000-0005-0000-0000-0000D7B60000}"/>
    <cellStyle name="Финансовый 5 3 12 2 2" xfId="42087" xr:uid="{00000000-0005-0000-0000-0000D8B60000}"/>
    <cellStyle name="Финансовый 5 3 12 3" xfId="30109" xr:uid="{00000000-0005-0000-0000-0000D9B60000}"/>
    <cellStyle name="Финансовый 5 3 13" xfId="8761" xr:uid="{00000000-0005-0000-0000-0000DAB60000}"/>
    <cellStyle name="Финансовый 5 3 13 2" xfId="20739" xr:uid="{00000000-0005-0000-0000-0000DBB60000}"/>
    <cellStyle name="Финансовый 5 3 13 2 2" xfId="44694" xr:uid="{00000000-0005-0000-0000-0000DCB60000}"/>
    <cellStyle name="Финансовый 5 3 13 3" xfId="32716" xr:uid="{00000000-0005-0000-0000-0000DDB60000}"/>
    <cellStyle name="Финансовый 5 3 14" xfId="12095" xr:uid="{00000000-0005-0000-0000-0000DEB60000}"/>
    <cellStyle name="Финансовый 5 3 14 2" xfId="36050" xr:uid="{00000000-0005-0000-0000-0000DFB60000}"/>
    <cellStyle name="Финансовый 5 3 15" xfId="24073" xr:uid="{00000000-0005-0000-0000-0000E0B60000}"/>
    <cellStyle name="Финансовый 5 3 16" xfId="48031" xr:uid="{00000000-0005-0000-0000-0000E1B60000}"/>
    <cellStyle name="Финансовый 5 3 2" xfId="249" xr:uid="{00000000-0005-0000-0000-0000E2B60000}"/>
    <cellStyle name="Финансовый 5 3 2 10" xfId="8897" xr:uid="{00000000-0005-0000-0000-0000E3B60000}"/>
    <cellStyle name="Финансовый 5 3 2 10 2" xfId="20875" xr:uid="{00000000-0005-0000-0000-0000E4B60000}"/>
    <cellStyle name="Финансовый 5 3 2 10 2 2" xfId="44830" xr:uid="{00000000-0005-0000-0000-0000E5B60000}"/>
    <cellStyle name="Финансовый 5 3 2 10 3" xfId="32852" xr:uid="{00000000-0005-0000-0000-0000E6B60000}"/>
    <cellStyle name="Финансовый 5 3 2 11" xfId="12231" xr:uid="{00000000-0005-0000-0000-0000E7B60000}"/>
    <cellStyle name="Финансовый 5 3 2 11 2" xfId="36186" xr:uid="{00000000-0005-0000-0000-0000E8B60000}"/>
    <cellStyle name="Финансовый 5 3 2 12" xfId="24209" xr:uid="{00000000-0005-0000-0000-0000E9B60000}"/>
    <cellStyle name="Финансовый 5 3 2 13" xfId="48167" xr:uid="{00000000-0005-0000-0000-0000EAB60000}"/>
    <cellStyle name="Финансовый 5 3 2 2" xfId="1347" xr:uid="{00000000-0005-0000-0000-0000EBB60000}"/>
    <cellStyle name="Финансовый 5 3 2 2 2" xfId="2305" xr:uid="{00000000-0005-0000-0000-0000ECB60000}"/>
    <cellStyle name="Финансовый 5 3 2 2 2 2" xfId="3950" xr:uid="{00000000-0005-0000-0000-0000EDB60000}"/>
    <cellStyle name="Финансовый 5 3 2 2 2 2 2" xfId="11690" xr:uid="{00000000-0005-0000-0000-0000EEB60000}"/>
    <cellStyle name="Финансовый 5 3 2 2 2 2 2 2" xfId="23668" xr:uid="{00000000-0005-0000-0000-0000EFB60000}"/>
    <cellStyle name="Финансовый 5 3 2 2 2 2 2 2 2" xfId="47623" xr:uid="{00000000-0005-0000-0000-0000F0B60000}"/>
    <cellStyle name="Финансовый 5 3 2 2 2 2 2 3" xfId="35645" xr:uid="{00000000-0005-0000-0000-0000F1B60000}"/>
    <cellStyle name="Финансовый 5 3 2 2 2 2 3" xfId="15929" xr:uid="{00000000-0005-0000-0000-0000F2B60000}"/>
    <cellStyle name="Финансовый 5 3 2 2 2 2 3 2" xfId="39884" xr:uid="{00000000-0005-0000-0000-0000F3B60000}"/>
    <cellStyle name="Финансовый 5 3 2 2 2 2 4" xfId="27907" xr:uid="{00000000-0005-0000-0000-0000F4B60000}"/>
    <cellStyle name="Финансовый 5 3 2 2 2 2 5" xfId="51176" xr:uid="{00000000-0005-0000-0000-0000F5B60000}"/>
    <cellStyle name="Финансовый 5 3 2 2 2 3" xfId="5733" xr:uid="{00000000-0005-0000-0000-0000F6B60000}"/>
    <cellStyle name="Финансовый 5 3 2 2 2 3 2" xfId="17711" xr:uid="{00000000-0005-0000-0000-0000F7B60000}"/>
    <cellStyle name="Финансовый 5 3 2 2 2 3 2 2" xfId="41666" xr:uid="{00000000-0005-0000-0000-0000F8B60000}"/>
    <cellStyle name="Финансовый 5 3 2 2 2 3 3" xfId="29688" xr:uid="{00000000-0005-0000-0000-0000F9B60000}"/>
    <cellStyle name="Финансовый 5 3 2 2 2 4" xfId="8343" xr:uid="{00000000-0005-0000-0000-0000FAB60000}"/>
    <cellStyle name="Финансовый 5 3 2 2 2 4 2" xfId="20321" xr:uid="{00000000-0005-0000-0000-0000FBB60000}"/>
    <cellStyle name="Финансовый 5 3 2 2 2 4 2 2" xfId="44276" xr:uid="{00000000-0005-0000-0000-0000FCB60000}"/>
    <cellStyle name="Финансовый 5 3 2 2 2 4 3" xfId="32298" xr:uid="{00000000-0005-0000-0000-0000FDB60000}"/>
    <cellStyle name="Финансовый 5 3 2 2 2 5" xfId="10126" xr:uid="{00000000-0005-0000-0000-0000FEB60000}"/>
    <cellStyle name="Финансовый 5 3 2 2 2 5 2" xfId="22104" xr:uid="{00000000-0005-0000-0000-0000FFB60000}"/>
    <cellStyle name="Финансовый 5 3 2 2 2 5 2 2" xfId="46059" xr:uid="{00000000-0005-0000-0000-000000B70000}"/>
    <cellStyle name="Финансовый 5 3 2 2 2 5 3" xfId="34081" xr:uid="{00000000-0005-0000-0000-000001B70000}"/>
    <cellStyle name="Финансовый 5 3 2 2 2 6" xfId="14284" xr:uid="{00000000-0005-0000-0000-000002B70000}"/>
    <cellStyle name="Финансовый 5 3 2 2 2 6 2" xfId="38239" xr:uid="{00000000-0005-0000-0000-000003B70000}"/>
    <cellStyle name="Финансовый 5 3 2 2 2 7" xfId="26262" xr:uid="{00000000-0005-0000-0000-000004B70000}"/>
    <cellStyle name="Финансовый 5 3 2 2 2 8" xfId="49395" xr:uid="{00000000-0005-0000-0000-000005B70000}"/>
    <cellStyle name="Финансовый 5 3 2 2 3" xfId="3131" xr:uid="{00000000-0005-0000-0000-000006B70000}"/>
    <cellStyle name="Финансовый 5 3 2 2 3 2" xfId="10918" xr:uid="{00000000-0005-0000-0000-000007B70000}"/>
    <cellStyle name="Финансовый 5 3 2 2 3 2 2" xfId="22896" xr:uid="{00000000-0005-0000-0000-000008B70000}"/>
    <cellStyle name="Финансовый 5 3 2 2 3 2 2 2" xfId="46851" xr:uid="{00000000-0005-0000-0000-000009B70000}"/>
    <cellStyle name="Финансовый 5 3 2 2 3 2 3" xfId="34873" xr:uid="{00000000-0005-0000-0000-00000AB70000}"/>
    <cellStyle name="Финансовый 5 3 2 2 3 3" xfId="15110" xr:uid="{00000000-0005-0000-0000-00000BB70000}"/>
    <cellStyle name="Финансовый 5 3 2 2 3 3 2" xfId="39065" xr:uid="{00000000-0005-0000-0000-00000CB70000}"/>
    <cellStyle name="Финансовый 5 3 2 2 3 4" xfId="27088" xr:uid="{00000000-0005-0000-0000-00000DB70000}"/>
    <cellStyle name="Финансовый 5 3 2 2 3 5" xfId="50219" xr:uid="{00000000-0005-0000-0000-00000EB70000}"/>
    <cellStyle name="Финансовый 5 3 2 2 4" xfId="4775" xr:uid="{00000000-0005-0000-0000-00000FB70000}"/>
    <cellStyle name="Финансовый 5 3 2 2 4 2" xfId="16754" xr:uid="{00000000-0005-0000-0000-000010B70000}"/>
    <cellStyle name="Финансовый 5 3 2 2 4 2 2" xfId="40709" xr:uid="{00000000-0005-0000-0000-000011B70000}"/>
    <cellStyle name="Финансовый 5 3 2 2 4 3" xfId="28732" xr:uid="{00000000-0005-0000-0000-000012B70000}"/>
    <cellStyle name="Финансовый 5 3 2 2 5" xfId="7387" xr:uid="{00000000-0005-0000-0000-000013B70000}"/>
    <cellStyle name="Финансовый 5 3 2 2 5 2" xfId="19365" xr:uid="{00000000-0005-0000-0000-000014B70000}"/>
    <cellStyle name="Финансовый 5 3 2 2 5 2 2" xfId="43320" xr:uid="{00000000-0005-0000-0000-000015B70000}"/>
    <cellStyle name="Финансовый 5 3 2 2 5 3" xfId="31342" xr:uid="{00000000-0005-0000-0000-000016B70000}"/>
    <cellStyle name="Финансовый 5 3 2 2 6" xfId="9169" xr:uid="{00000000-0005-0000-0000-000017B70000}"/>
    <cellStyle name="Финансовый 5 3 2 2 6 2" xfId="21147" xr:uid="{00000000-0005-0000-0000-000018B70000}"/>
    <cellStyle name="Финансовый 5 3 2 2 6 2 2" xfId="45102" xr:uid="{00000000-0005-0000-0000-000019B70000}"/>
    <cellStyle name="Финансовый 5 3 2 2 6 3" xfId="33124" xr:uid="{00000000-0005-0000-0000-00001AB70000}"/>
    <cellStyle name="Финансовый 5 3 2 2 7" xfId="13328" xr:uid="{00000000-0005-0000-0000-00001BB70000}"/>
    <cellStyle name="Финансовый 5 3 2 2 7 2" xfId="37283" xr:uid="{00000000-0005-0000-0000-00001CB70000}"/>
    <cellStyle name="Финансовый 5 3 2 2 8" xfId="25306" xr:uid="{00000000-0005-0000-0000-00001DB70000}"/>
    <cellStyle name="Финансовый 5 3 2 2 9" xfId="48439" xr:uid="{00000000-0005-0000-0000-00001EB70000}"/>
    <cellStyle name="Финансовый 5 3 2 3" xfId="2049" xr:uid="{00000000-0005-0000-0000-00001FB70000}"/>
    <cellStyle name="Финансовый 5 3 2 3 2" xfId="3694" xr:uid="{00000000-0005-0000-0000-000020B70000}"/>
    <cellStyle name="Финансовый 5 3 2 3 2 2" xfId="11434" xr:uid="{00000000-0005-0000-0000-000021B70000}"/>
    <cellStyle name="Финансовый 5 3 2 3 2 2 2" xfId="23412" xr:uid="{00000000-0005-0000-0000-000022B70000}"/>
    <cellStyle name="Финансовый 5 3 2 3 2 2 2 2" xfId="47367" xr:uid="{00000000-0005-0000-0000-000023B70000}"/>
    <cellStyle name="Финансовый 5 3 2 3 2 2 3" xfId="35389" xr:uid="{00000000-0005-0000-0000-000024B70000}"/>
    <cellStyle name="Финансовый 5 3 2 3 2 3" xfId="15673" xr:uid="{00000000-0005-0000-0000-000025B70000}"/>
    <cellStyle name="Финансовый 5 3 2 3 2 3 2" xfId="39628" xr:uid="{00000000-0005-0000-0000-000026B70000}"/>
    <cellStyle name="Финансовый 5 3 2 3 2 4" xfId="27651" xr:uid="{00000000-0005-0000-0000-000027B70000}"/>
    <cellStyle name="Финансовый 5 3 2 3 2 5" xfId="50920" xr:uid="{00000000-0005-0000-0000-000028B70000}"/>
    <cellStyle name="Финансовый 5 3 2 3 3" xfId="5477" xr:uid="{00000000-0005-0000-0000-000029B70000}"/>
    <cellStyle name="Финансовый 5 3 2 3 3 2" xfId="17455" xr:uid="{00000000-0005-0000-0000-00002AB70000}"/>
    <cellStyle name="Финансовый 5 3 2 3 3 2 2" xfId="41410" xr:uid="{00000000-0005-0000-0000-00002BB70000}"/>
    <cellStyle name="Финансовый 5 3 2 3 3 3" xfId="29432" xr:uid="{00000000-0005-0000-0000-00002CB70000}"/>
    <cellStyle name="Финансовый 5 3 2 3 4" xfId="8087" xr:uid="{00000000-0005-0000-0000-00002DB70000}"/>
    <cellStyle name="Финансовый 5 3 2 3 4 2" xfId="20065" xr:uid="{00000000-0005-0000-0000-00002EB70000}"/>
    <cellStyle name="Финансовый 5 3 2 3 4 2 2" xfId="44020" xr:uid="{00000000-0005-0000-0000-00002FB70000}"/>
    <cellStyle name="Финансовый 5 3 2 3 4 3" xfId="32042" xr:uid="{00000000-0005-0000-0000-000030B70000}"/>
    <cellStyle name="Финансовый 5 3 2 3 5" xfId="9870" xr:uid="{00000000-0005-0000-0000-000031B70000}"/>
    <cellStyle name="Финансовый 5 3 2 3 5 2" xfId="21848" xr:uid="{00000000-0005-0000-0000-000032B70000}"/>
    <cellStyle name="Финансовый 5 3 2 3 5 2 2" xfId="45803" xr:uid="{00000000-0005-0000-0000-000033B70000}"/>
    <cellStyle name="Финансовый 5 3 2 3 5 3" xfId="33825" xr:uid="{00000000-0005-0000-0000-000034B70000}"/>
    <cellStyle name="Финансовый 5 3 2 3 6" xfId="14028" xr:uid="{00000000-0005-0000-0000-000035B70000}"/>
    <cellStyle name="Финансовый 5 3 2 3 6 2" xfId="37983" xr:uid="{00000000-0005-0000-0000-000036B70000}"/>
    <cellStyle name="Финансовый 5 3 2 3 7" xfId="26006" xr:uid="{00000000-0005-0000-0000-000037B70000}"/>
    <cellStyle name="Финансовый 5 3 2 3 8" xfId="49139" xr:uid="{00000000-0005-0000-0000-000038B70000}"/>
    <cellStyle name="Финансовый 5 3 2 4" xfId="2578" xr:uid="{00000000-0005-0000-0000-000039B70000}"/>
    <cellStyle name="Финансовый 5 3 2 4 2" xfId="4223" xr:uid="{00000000-0005-0000-0000-00003AB70000}"/>
    <cellStyle name="Финансовый 5 3 2 4 2 2" xfId="11947" xr:uid="{00000000-0005-0000-0000-00003BB70000}"/>
    <cellStyle name="Финансовый 5 3 2 4 2 2 2" xfId="23925" xr:uid="{00000000-0005-0000-0000-00003CB70000}"/>
    <cellStyle name="Финансовый 5 3 2 4 2 2 2 2" xfId="47880" xr:uid="{00000000-0005-0000-0000-00003DB70000}"/>
    <cellStyle name="Финансовый 5 3 2 4 2 2 3" xfId="35902" xr:uid="{00000000-0005-0000-0000-00003EB70000}"/>
    <cellStyle name="Финансовый 5 3 2 4 2 3" xfId="16202" xr:uid="{00000000-0005-0000-0000-00003FB70000}"/>
    <cellStyle name="Финансовый 5 3 2 4 2 3 2" xfId="40157" xr:uid="{00000000-0005-0000-0000-000040B70000}"/>
    <cellStyle name="Финансовый 5 3 2 4 2 4" xfId="28180" xr:uid="{00000000-0005-0000-0000-000041B70000}"/>
    <cellStyle name="Финансовый 5 3 2 4 2 5" xfId="51449" xr:uid="{00000000-0005-0000-0000-000042B70000}"/>
    <cellStyle name="Финансовый 5 3 2 4 3" xfId="6006" xr:uid="{00000000-0005-0000-0000-000043B70000}"/>
    <cellStyle name="Финансовый 5 3 2 4 3 2" xfId="17984" xr:uid="{00000000-0005-0000-0000-000044B70000}"/>
    <cellStyle name="Финансовый 5 3 2 4 3 2 2" xfId="41939" xr:uid="{00000000-0005-0000-0000-000045B70000}"/>
    <cellStyle name="Финансовый 5 3 2 4 3 3" xfId="29961" xr:uid="{00000000-0005-0000-0000-000046B70000}"/>
    <cellStyle name="Финансовый 5 3 2 4 4" xfId="8616" xr:uid="{00000000-0005-0000-0000-000047B70000}"/>
    <cellStyle name="Финансовый 5 3 2 4 4 2" xfId="20594" xr:uid="{00000000-0005-0000-0000-000048B70000}"/>
    <cellStyle name="Финансовый 5 3 2 4 4 2 2" xfId="44549" xr:uid="{00000000-0005-0000-0000-000049B70000}"/>
    <cellStyle name="Финансовый 5 3 2 4 4 3" xfId="32571" xr:uid="{00000000-0005-0000-0000-00004AB70000}"/>
    <cellStyle name="Финансовый 5 3 2 4 5" xfId="10399" xr:uid="{00000000-0005-0000-0000-00004BB70000}"/>
    <cellStyle name="Финансовый 5 3 2 4 5 2" xfId="22377" xr:uid="{00000000-0005-0000-0000-00004CB70000}"/>
    <cellStyle name="Финансовый 5 3 2 4 5 2 2" xfId="46332" xr:uid="{00000000-0005-0000-0000-00004DB70000}"/>
    <cellStyle name="Финансовый 5 3 2 4 5 3" xfId="34354" xr:uid="{00000000-0005-0000-0000-00004EB70000}"/>
    <cellStyle name="Финансовый 5 3 2 4 6" xfId="14557" xr:uid="{00000000-0005-0000-0000-00004FB70000}"/>
    <cellStyle name="Финансовый 5 3 2 4 6 2" xfId="38512" xr:uid="{00000000-0005-0000-0000-000050B70000}"/>
    <cellStyle name="Финансовый 5 3 2 4 7" xfId="26535" xr:uid="{00000000-0005-0000-0000-000051B70000}"/>
    <cellStyle name="Финансовый 5 3 2 4 8" xfId="49668" xr:uid="{00000000-0005-0000-0000-000052B70000}"/>
    <cellStyle name="Финансовый 5 3 2 5" xfId="1082" xr:uid="{00000000-0005-0000-0000-000053B70000}"/>
    <cellStyle name="Финансовый 5 3 2 5 2" xfId="7122" xr:uid="{00000000-0005-0000-0000-000054B70000}"/>
    <cellStyle name="Финансовый 5 3 2 5 2 2" xfId="19100" xr:uid="{00000000-0005-0000-0000-000055B70000}"/>
    <cellStyle name="Финансовый 5 3 2 5 2 2 2" xfId="43055" xr:uid="{00000000-0005-0000-0000-000056B70000}"/>
    <cellStyle name="Финансовый 5 3 2 5 2 3" xfId="31077" xr:uid="{00000000-0005-0000-0000-000057B70000}"/>
    <cellStyle name="Финансовый 5 3 2 5 3" xfId="10662" xr:uid="{00000000-0005-0000-0000-000058B70000}"/>
    <cellStyle name="Финансовый 5 3 2 5 3 2" xfId="22640" xr:uid="{00000000-0005-0000-0000-000059B70000}"/>
    <cellStyle name="Финансовый 5 3 2 5 3 2 2" xfId="46595" xr:uid="{00000000-0005-0000-0000-00005AB70000}"/>
    <cellStyle name="Финансовый 5 3 2 5 3 3" xfId="34617" xr:uid="{00000000-0005-0000-0000-00005BB70000}"/>
    <cellStyle name="Финансовый 5 3 2 5 4" xfId="13063" xr:uid="{00000000-0005-0000-0000-00005CB70000}"/>
    <cellStyle name="Финансовый 5 3 2 5 4 2" xfId="37018" xr:uid="{00000000-0005-0000-0000-00005DB70000}"/>
    <cellStyle name="Финансовый 5 3 2 5 5" xfId="25041" xr:uid="{00000000-0005-0000-0000-00005EB70000}"/>
    <cellStyle name="Финансовый 5 3 2 5 6" xfId="49947" xr:uid="{00000000-0005-0000-0000-00005FB70000}"/>
    <cellStyle name="Финансовый 5 3 2 6" xfId="670" xr:uid="{00000000-0005-0000-0000-000060B70000}"/>
    <cellStyle name="Финансовый 5 3 2 6 2" xfId="6710" xr:uid="{00000000-0005-0000-0000-000061B70000}"/>
    <cellStyle name="Финансовый 5 3 2 6 2 2" xfId="18688" xr:uid="{00000000-0005-0000-0000-000062B70000}"/>
    <cellStyle name="Финансовый 5 3 2 6 2 2 2" xfId="42643" xr:uid="{00000000-0005-0000-0000-000063B70000}"/>
    <cellStyle name="Финансовый 5 3 2 6 2 3" xfId="30665" xr:uid="{00000000-0005-0000-0000-000064B70000}"/>
    <cellStyle name="Финансовый 5 3 2 6 3" xfId="12651" xr:uid="{00000000-0005-0000-0000-000065B70000}"/>
    <cellStyle name="Финансовый 5 3 2 6 3 2" xfId="36606" xr:uid="{00000000-0005-0000-0000-000066B70000}"/>
    <cellStyle name="Финансовый 5 3 2 6 4" xfId="24629" xr:uid="{00000000-0005-0000-0000-000067B70000}"/>
    <cellStyle name="Финансовый 5 3 2 7" xfId="2859" xr:uid="{00000000-0005-0000-0000-000068B70000}"/>
    <cellStyle name="Финансовый 5 3 2 7 2" xfId="14838" xr:uid="{00000000-0005-0000-0000-000069B70000}"/>
    <cellStyle name="Финансовый 5 3 2 7 2 2" xfId="38793" xr:uid="{00000000-0005-0000-0000-00006AB70000}"/>
    <cellStyle name="Финансовый 5 3 2 7 3" xfId="26816" xr:uid="{00000000-0005-0000-0000-00006BB70000}"/>
    <cellStyle name="Финансовый 5 3 2 8" xfId="4503" xr:uid="{00000000-0005-0000-0000-00006CB70000}"/>
    <cellStyle name="Финансовый 5 3 2 8 2" xfId="16482" xr:uid="{00000000-0005-0000-0000-00006DB70000}"/>
    <cellStyle name="Финансовый 5 3 2 8 2 2" xfId="40437" xr:uid="{00000000-0005-0000-0000-00006EB70000}"/>
    <cellStyle name="Финансовый 5 3 2 8 3" xfId="28460" xr:uid="{00000000-0005-0000-0000-00006FB70000}"/>
    <cellStyle name="Финансовый 5 3 2 9" xfId="6290" xr:uid="{00000000-0005-0000-0000-000070B70000}"/>
    <cellStyle name="Финансовый 5 3 2 9 2" xfId="18268" xr:uid="{00000000-0005-0000-0000-000071B70000}"/>
    <cellStyle name="Финансовый 5 3 2 9 2 2" xfId="42223" xr:uid="{00000000-0005-0000-0000-000072B70000}"/>
    <cellStyle name="Финансовый 5 3 2 9 3" xfId="30245" xr:uid="{00000000-0005-0000-0000-000073B70000}"/>
    <cellStyle name="Финансовый 5 3 3" xfId="398" xr:uid="{00000000-0005-0000-0000-000074B70000}"/>
    <cellStyle name="Финансовый 5 3 3 10" xfId="24357" xr:uid="{00000000-0005-0000-0000-000075B70000}"/>
    <cellStyle name="Финансовый 5 3 3 11" xfId="48303" xr:uid="{00000000-0005-0000-0000-000076B70000}"/>
    <cellStyle name="Финансовый 5 3 3 2" xfId="2177" xr:uid="{00000000-0005-0000-0000-000077B70000}"/>
    <cellStyle name="Финансовый 5 3 3 2 2" xfId="3822" xr:uid="{00000000-0005-0000-0000-000078B70000}"/>
    <cellStyle name="Финансовый 5 3 3 2 2 2" xfId="11562" xr:uid="{00000000-0005-0000-0000-000079B70000}"/>
    <cellStyle name="Финансовый 5 3 3 2 2 2 2" xfId="23540" xr:uid="{00000000-0005-0000-0000-00007AB70000}"/>
    <cellStyle name="Финансовый 5 3 3 2 2 2 2 2" xfId="47495" xr:uid="{00000000-0005-0000-0000-00007BB70000}"/>
    <cellStyle name="Финансовый 5 3 3 2 2 2 3" xfId="35517" xr:uid="{00000000-0005-0000-0000-00007CB70000}"/>
    <cellStyle name="Финансовый 5 3 3 2 2 3" xfId="15801" xr:uid="{00000000-0005-0000-0000-00007DB70000}"/>
    <cellStyle name="Финансовый 5 3 3 2 2 3 2" xfId="39756" xr:uid="{00000000-0005-0000-0000-00007EB70000}"/>
    <cellStyle name="Финансовый 5 3 3 2 2 4" xfId="27779" xr:uid="{00000000-0005-0000-0000-00007FB70000}"/>
    <cellStyle name="Финансовый 5 3 3 2 2 5" xfId="51048" xr:uid="{00000000-0005-0000-0000-000080B70000}"/>
    <cellStyle name="Финансовый 5 3 3 2 3" xfId="5605" xr:uid="{00000000-0005-0000-0000-000081B70000}"/>
    <cellStyle name="Финансовый 5 3 3 2 3 2" xfId="17583" xr:uid="{00000000-0005-0000-0000-000082B70000}"/>
    <cellStyle name="Финансовый 5 3 3 2 3 2 2" xfId="41538" xr:uid="{00000000-0005-0000-0000-000083B70000}"/>
    <cellStyle name="Финансовый 5 3 3 2 3 3" xfId="29560" xr:uid="{00000000-0005-0000-0000-000084B70000}"/>
    <cellStyle name="Финансовый 5 3 3 2 4" xfId="8215" xr:uid="{00000000-0005-0000-0000-000085B70000}"/>
    <cellStyle name="Финансовый 5 3 3 2 4 2" xfId="20193" xr:uid="{00000000-0005-0000-0000-000086B70000}"/>
    <cellStyle name="Финансовый 5 3 3 2 4 2 2" xfId="44148" xr:uid="{00000000-0005-0000-0000-000087B70000}"/>
    <cellStyle name="Финансовый 5 3 3 2 4 3" xfId="32170" xr:uid="{00000000-0005-0000-0000-000088B70000}"/>
    <cellStyle name="Финансовый 5 3 3 2 5" xfId="9998" xr:uid="{00000000-0005-0000-0000-000089B70000}"/>
    <cellStyle name="Финансовый 5 3 3 2 5 2" xfId="21976" xr:uid="{00000000-0005-0000-0000-00008AB70000}"/>
    <cellStyle name="Финансовый 5 3 3 2 5 2 2" xfId="45931" xr:uid="{00000000-0005-0000-0000-00008BB70000}"/>
    <cellStyle name="Финансовый 5 3 3 2 5 3" xfId="33953" xr:uid="{00000000-0005-0000-0000-00008CB70000}"/>
    <cellStyle name="Финансовый 5 3 3 2 6" xfId="14156" xr:uid="{00000000-0005-0000-0000-00008DB70000}"/>
    <cellStyle name="Финансовый 5 3 3 2 6 2" xfId="38111" xr:uid="{00000000-0005-0000-0000-00008EB70000}"/>
    <cellStyle name="Финансовый 5 3 3 2 7" xfId="26134" xr:uid="{00000000-0005-0000-0000-00008FB70000}"/>
    <cellStyle name="Финансовый 5 3 3 2 8" xfId="49267" xr:uid="{00000000-0005-0000-0000-000090B70000}"/>
    <cellStyle name="Финансовый 5 3 3 3" xfId="1211" xr:uid="{00000000-0005-0000-0000-000091B70000}"/>
    <cellStyle name="Финансовый 5 3 3 3 2" xfId="7251" xr:uid="{00000000-0005-0000-0000-000092B70000}"/>
    <cellStyle name="Финансовый 5 3 3 3 2 2" xfId="19229" xr:uid="{00000000-0005-0000-0000-000093B70000}"/>
    <cellStyle name="Финансовый 5 3 3 3 2 2 2" xfId="43184" xr:uid="{00000000-0005-0000-0000-000094B70000}"/>
    <cellStyle name="Финансовый 5 3 3 3 2 3" xfId="31206" xr:uid="{00000000-0005-0000-0000-000095B70000}"/>
    <cellStyle name="Финансовый 5 3 3 3 3" xfId="10790" xr:uid="{00000000-0005-0000-0000-000096B70000}"/>
    <cellStyle name="Финансовый 5 3 3 3 3 2" xfId="22768" xr:uid="{00000000-0005-0000-0000-000097B70000}"/>
    <cellStyle name="Финансовый 5 3 3 3 3 2 2" xfId="46723" xr:uid="{00000000-0005-0000-0000-000098B70000}"/>
    <cellStyle name="Финансовый 5 3 3 3 3 3" xfId="34745" xr:uid="{00000000-0005-0000-0000-000099B70000}"/>
    <cellStyle name="Финансовый 5 3 3 3 4" xfId="13192" xr:uid="{00000000-0005-0000-0000-00009AB70000}"/>
    <cellStyle name="Финансовый 5 3 3 3 4 2" xfId="37147" xr:uid="{00000000-0005-0000-0000-00009BB70000}"/>
    <cellStyle name="Финансовый 5 3 3 3 5" xfId="25170" xr:uid="{00000000-0005-0000-0000-00009CB70000}"/>
    <cellStyle name="Финансовый 5 3 3 3 6" xfId="50083" xr:uid="{00000000-0005-0000-0000-00009DB70000}"/>
    <cellStyle name="Финансовый 5 3 3 4" xfId="818" xr:uid="{00000000-0005-0000-0000-00009EB70000}"/>
    <cellStyle name="Финансовый 5 3 3 4 2" xfId="6858" xr:uid="{00000000-0005-0000-0000-00009FB70000}"/>
    <cellStyle name="Финансовый 5 3 3 4 2 2" xfId="18836" xr:uid="{00000000-0005-0000-0000-0000A0B70000}"/>
    <cellStyle name="Финансовый 5 3 3 4 2 2 2" xfId="42791" xr:uid="{00000000-0005-0000-0000-0000A1B70000}"/>
    <cellStyle name="Финансовый 5 3 3 4 2 3" xfId="30813" xr:uid="{00000000-0005-0000-0000-0000A2B70000}"/>
    <cellStyle name="Финансовый 5 3 3 4 3" xfId="12799" xr:uid="{00000000-0005-0000-0000-0000A3B70000}"/>
    <cellStyle name="Финансовый 5 3 3 4 3 2" xfId="36754" xr:uid="{00000000-0005-0000-0000-0000A4B70000}"/>
    <cellStyle name="Финансовый 5 3 3 4 4" xfId="24777" xr:uid="{00000000-0005-0000-0000-0000A5B70000}"/>
    <cellStyle name="Финансовый 5 3 3 5" xfId="2995" xr:uid="{00000000-0005-0000-0000-0000A6B70000}"/>
    <cellStyle name="Финансовый 5 3 3 5 2" xfId="14974" xr:uid="{00000000-0005-0000-0000-0000A7B70000}"/>
    <cellStyle name="Финансовый 5 3 3 5 2 2" xfId="38929" xr:uid="{00000000-0005-0000-0000-0000A8B70000}"/>
    <cellStyle name="Финансовый 5 3 3 5 3" xfId="26952" xr:uid="{00000000-0005-0000-0000-0000A9B70000}"/>
    <cellStyle name="Финансовый 5 3 3 6" xfId="4639" xr:uid="{00000000-0005-0000-0000-0000AAB70000}"/>
    <cellStyle name="Финансовый 5 3 3 6 2" xfId="16618" xr:uid="{00000000-0005-0000-0000-0000ABB70000}"/>
    <cellStyle name="Финансовый 5 3 3 6 2 2" xfId="40573" xr:uid="{00000000-0005-0000-0000-0000ACB70000}"/>
    <cellStyle name="Финансовый 5 3 3 6 3" xfId="28596" xr:uid="{00000000-0005-0000-0000-0000ADB70000}"/>
    <cellStyle name="Финансовый 5 3 3 7" xfId="6438" xr:uid="{00000000-0005-0000-0000-0000AEB70000}"/>
    <cellStyle name="Финансовый 5 3 3 7 2" xfId="18416" xr:uid="{00000000-0005-0000-0000-0000AFB70000}"/>
    <cellStyle name="Финансовый 5 3 3 7 2 2" xfId="42371" xr:uid="{00000000-0005-0000-0000-0000B0B70000}"/>
    <cellStyle name="Финансовый 5 3 3 7 3" xfId="30393" xr:uid="{00000000-0005-0000-0000-0000B1B70000}"/>
    <cellStyle name="Финансовый 5 3 3 8" xfId="9033" xr:uid="{00000000-0005-0000-0000-0000B2B70000}"/>
    <cellStyle name="Финансовый 5 3 3 8 2" xfId="21011" xr:uid="{00000000-0005-0000-0000-0000B3B70000}"/>
    <cellStyle name="Финансовый 5 3 3 8 2 2" xfId="44966" xr:uid="{00000000-0005-0000-0000-0000B4B70000}"/>
    <cellStyle name="Финансовый 5 3 3 8 3" xfId="32988" xr:uid="{00000000-0005-0000-0000-0000B5B70000}"/>
    <cellStyle name="Финансовый 5 3 3 9" xfId="12379" xr:uid="{00000000-0005-0000-0000-0000B6B70000}"/>
    <cellStyle name="Финансовый 5 3 3 9 2" xfId="36334" xr:uid="{00000000-0005-0000-0000-0000B7B70000}"/>
    <cellStyle name="Финансовый 5 3 4" xfId="1546" xr:uid="{00000000-0005-0000-0000-0000B8B70000}"/>
    <cellStyle name="Финансовый 5 3 4 2" xfId="1921" xr:uid="{00000000-0005-0000-0000-0000B9B70000}"/>
    <cellStyle name="Финансовый 5 3 4 2 2" xfId="3566" xr:uid="{00000000-0005-0000-0000-0000BAB70000}"/>
    <cellStyle name="Финансовый 5 3 4 2 2 2" xfId="11306" xr:uid="{00000000-0005-0000-0000-0000BBB70000}"/>
    <cellStyle name="Финансовый 5 3 4 2 2 2 2" xfId="23284" xr:uid="{00000000-0005-0000-0000-0000BCB70000}"/>
    <cellStyle name="Финансовый 5 3 4 2 2 2 2 2" xfId="47239" xr:uid="{00000000-0005-0000-0000-0000BDB70000}"/>
    <cellStyle name="Финансовый 5 3 4 2 2 2 3" xfId="35261" xr:uid="{00000000-0005-0000-0000-0000BEB70000}"/>
    <cellStyle name="Финансовый 5 3 4 2 2 3" xfId="15545" xr:uid="{00000000-0005-0000-0000-0000BFB70000}"/>
    <cellStyle name="Финансовый 5 3 4 2 2 3 2" xfId="39500" xr:uid="{00000000-0005-0000-0000-0000C0B70000}"/>
    <cellStyle name="Финансовый 5 3 4 2 2 4" xfId="27523" xr:uid="{00000000-0005-0000-0000-0000C1B70000}"/>
    <cellStyle name="Финансовый 5 3 4 2 2 5" xfId="50792" xr:uid="{00000000-0005-0000-0000-0000C2B70000}"/>
    <cellStyle name="Финансовый 5 3 4 2 3" xfId="5349" xr:uid="{00000000-0005-0000-0000-0000C3B70000}"/>
    <cellStyle name="Финансовый 5 3 4 2 3 2" xfId="17327" xr:uid="{00000000-0005-0000-0000-0000C4B70000}"/>
    <cellStyle name="Финансовый 5 3 4 2 3 2 2" xfId="41282" xr:uid="{00000000-0005-0000-0000-0000C5B70000}"/>
    <cellStyle name="Финансовый 5 3 4 2 3 3" xfId="29304" xr:uid="{00000000-0005-0000-0000-0000C6B70000}"/>
    <cellStyle name="Финансовый 5 3 4 2 4" xfId="7959" xr:uid="{00000000-0005-0000-0000-0000C7B70000}"/>
    <cellStyle name="Финансовый 5 3 4 2 4 2" xfId="19937" xr:uid="{00000000-0005-0000-0000-0000C8B70000}"/>
    <cellStyle name="Финансовый 5 3 4 2 4 2 2" xfId="43892" xr:uid="{00000000-0005-0000-0000-0000C9B70000}"/>
    <cellStyle name="Финансовый 5 3 4 2 4 3" xfId="31914" xr:uid="{00000000-0005-0000-0000-0000CAB70000}"/>
    <cellStyle name="Финансовый 5 3 4 2 5" xfId="9742" xr:uid="{00000000-0005-0000-0000-0000CBB70000}"/>
    <cellStyle name="Финансовый 5 3 4 2 5 2" xfId="21720" xr:uid="{00000000-0005-0000-0000-0000CCB70000}"/>
    <cellStyle name="Финансовый 5 3 4 2 5 2 2" xfId="45675" xr:uid="{00000000-0005-0000-0000-0000CDB70000}"/>
    <cellStyle name="Финансовый 5 3 4 2 5 3" xfId="33697" xr:uid="{00000000-0005-0000-0000-0000CEB70000}"/>
    <cellStyle name="Финансовый 5 3 4 2 6" xfId="13900" xr:uid="{00000000-0005-0000-0000-0000CFB70000}"/>
    <cellStyle name="Финансовый 5 3 4 2 6 2" xfId="37855" xr:uid="{00000000-0005-0000-0000-0000D0B70000}"/>
    <cellStyle name="Финансовый 5 3 4 2 7" xfId="25878" xr:uid="{00000000-0005-0000-0000-0000D1B70000}"/>
    <cellStyle name="Финансовый 5 3 4 2 8" xfId="49011" xr:uid="{00000000-0005-0000-0000-0000D2B70000}"/>
    <cellStyle name="Финансовый 5 3 4 3" xfId="4974" xr:uid="{00000000-0005-0000-0000-0000D3B70000}"/>
    <cellStyle name="Финансовый 5 3 4 3 2" xfId="16952" xr:uid="{00000000-0005-0000-0000-0000D4B70000}"/>
    <cellStyle name="Финансовый 5 3 4 3 2 2" xfId="40907" xr:uid="{00000000-0005-0000-0000-0000D5B70000}"/>
    <cellStyle name="Финансовый 5 3 4 3 3" xfId="28929" xr:uid="{00000000-0005-0000-0000-0000D6B70000}"/>
    <cellStyle name="Финансовый 5 3 4 3 4" xfId="50417" xr:uid="{00000000-0005-0000-0000-0000D7B70000}"/>
    <cellStyle name="Финансовый 5 3 4 4" xfId="7584" xr:uid="{00000000-0005-0000-0000-0000D8B70000}"/>
    <cellStyle name="Финансовый 5 3 4 4 2" xfId="19562" xr:uid="{00000000-0005-0000-0000-0000D9B70000}"/>
    <cellStyle name="Финансовый 5 3 4 4 2 2" xfId="43517" xr:uid="{00000000-0005-0000-0000-0000DAB70000}"/>
    <cellStyle name="Финансовый 5 3 4 4 3" xfId="31539" xr:uid="{00000000-0005-0000-0000-0000DBB70000}"/>
    <cellStyle name="Финансовый 5 3 4 5" xfId="9367" xr:uid="{00000000-0005-0000-0000-0000DCB70000}"/>
    <cellStyle name="Финансовый 5 3 4 5 2" xfId="21345" xr:uid="{00000000-0005-0000-0000-0000DDB70000}"/>
    <cellStyle name="Финансовый 5 3 4 5 2 2" xfId="45300" xr:uid="{00000000-0005-0000-0000-0000DEB70000}"/>
    <cellStyle name="Финансовый 5 3 4 5 3" xfId="33322" xr:uid="{00000000-0005-0000-0000-0000DFB70000}"/>
    <cellStyle name="Финансовый 5 3 4 6" xfId="13525" xr:uid="{00000000-0005-0000-0000-0000E0B70000}"/>
    <cellStyle name="Финансовый 5 3 4 6 2" xfId="37480" xr:uid="{00000000-0005-0000-0000-0000E1B70000}"/>
    <cellStyle name="Финансовый 5 3 4 7" xfId="25503" xr:uid="{00000000-0005-0000-0000-0000E2B70000}"/>
    <cellStyle name="Финансовый 5 3 4 8" xfId="48636" xr:uid="{00000000-0005-0000-0000-0000E3B70000}"/>
    <cellStyle name="Финансовый 5 3 5" xfId="1797" xr:uid="{00000000-0005-0000-0000-0000E4B70000}"/>
    <cellStyle name="Финансовый 5 3 5 2" xfId="3442" xr:uid="{00000000-0005-0000-0000-0000E5B70000}"/>
    <cellStyle name="Финансовый 5 3 5 2 2" xfId="11190" xr:uid="{00000000-0005-0000-0000-0000E6B70000}"/>
    <cellStyle name="Финансовый 5 3 5 2 2 2" xfId="23168" xr:uid="{00000000-0005-0000-0000-0000E7B70000}"/>
    <cellStyle name="Финансовый 5 3 5 2 2 2 2" xfId="47123" xr:uid="{00000000-0005-0000-0000-0000E8B70000}"/>
    <cellStyle name="Финансовый 5 3 5 2 2 3" xfId="35145" xr:uid="{00000000-0005-0000-0000-0000E9B70000}"/>
    <cellStyle name="Финансовый 5 3 5 2 3" xfId="15421" xr:uid="{00000000-0005-0000-0000-0000EAB70000}"/>
    <cellStyle name="Финансовый 5 3 5 2 3 2" xfId="39376" xr:uid="{00000000-0005-0000-0000-0000EBB70000}"/>
    <cellStyle name="Финансовый 5 3 5 2 4" xfId="27399" xr:uid="{00000000-0005-0000-0000-0000ECB70000}"/>
    <cellStyle name="Финансовый 5 3 5 2 5" xfId="50668" xr:uid="{00000000-0005-0000-0000-0000EDB70000}"/>
    <cellStyle name="Финансовый 5 3 5 3" xfId="5225" xr:uid="{00000000-0005-0000-0000-0000EEB70000}"/>
    <cellStyle name="Финансовый 5 3 5 3 2" xfId="17203" xr:uid="{00000000-0005-0000-0000-0000EFB70000}"/>
    <cellStyle name="Финансовый 5 3 5 3 2 2" xfId="41158" xr:uid="{00000000-0005-0000-0000-0000F0B70000}"/>
    <cellStyle name="Финансовый 5 3 5 3 3" xfId="29180" xr:uid="{00000000-0005-0000-0000-0000F1B70000}"/>
    <cellStyle name="Финансовый 5 3 5 4" xfId="7835" xr:uid="{00000000-0005-0000-0000-0000F2B70000}"/>
    <cellStyle name="Финансовый 5 3 5 4 2" xfId="19813" xr:uid="{00000000-0005-0000-0000-0000F3B70000}"/>
    <cellStyle name="Финансовый 5 3 5 4 2 2" xfId="43768" xr:uid="{00000000-0005-0000-0000-0000F4B70000}"/>
    <cellStyle name="Финансовый 5 3 5 4 3" xfId="31790" xr:uid="{00000000-0005-0000-0000-0000F5B70000}"/>
    <cellStyle name="Финансовый 5 3 5 5" xfId="9618" xr:uid="{00000000-0005-0000-0000-0000F6B70000}"/>
    <cellStyle name="Финансовый 5 3 5 5 2" xfId="21596" xr:uid="{00000000-0005-0000-0000-0000F7B70000}"/>
    <cellStyle name="Финансовый 5 3 5 5 2 2" xfId="45551" xr:uid="{00000000-0005-0000-0000-0000F8B70000}"/>
    <cellStyle name="Финансовый 5 3 5 5 3" xfId="33573" xr:uid="{00000000-0005-0000-0000-0000F9B70000}"/>
    <cellStyle name="Финансовый 5 3 5 6" xfId="13776" xr:uid="{00000000-0005-0000-0000-0000FAB70000}"/>
    <cellStyle name="Финансовый 5 3 5 6 2" xfId="37731" xr:uid="{00000000-0005-0000-0000-0000FBB70000}"/>
    <cellStyle name="Финансовый 5 3 5 7" xfId="25754" xr:uid="{00000000-0005-0000-0000-0000FCB70000}"/>
    <cellStyle name="Финансовый 5 3 5 8" xfId="48887" xr:uid="{00000000-0005-0000-0000-0000FDB70000}"/>
    <cellStyle name="Финансовый 5 3 6" xfId="2442" xr:uid="{00000000-0005-0000-0000-0000FEB70000}"/>
    <cellStyle name="Финансовый 5 3 6 2" xfId="4087" xr:uid="{00000000-0005-0000-0000-0000FFB70000}"/>
    <cellStyle name="Финансовый 5 3 6 2 2" xfId="11819" xr:uid="{00000000-0005-0000-0000-000000B80000}"/>
    <cellStyle name="Финансовый 5 3 6 2 2 2" xfId="23797" xr:uid="{00000000-0005-0000-0000-000001B80000}"/>
    <cellStyle name="Финансовый 5 3 6 2 2 2 2" xfId="47752" xr:uid="{00000000-0005-0000-0000-000002B80000}"/>
    <cellStyle name="Финансовый 5 3 6 2 2 3" xfId="35774" xr:uid="{00000000-0005-0000-0000-000003B80000}"/>
    <cellStyle name="Финансовый 5 3 6 2 3" xfId="16066" xr:uid="{00000000-0005-0000-0000-000004B80000}"/>
    <cellStyle name="Финансовый 5 3 6 2 3 2" xfId="40021" xr:uid="{00000000-0005-0000-0000-000005B80000}"/>
    <cellStyle name="Финансовый 5 3 6 2 4" xfId="28044" xr:uid="{00000000-0005-0000-0000-000006B80000}"/>
    <cellStyle name="Финансовый 5 3 6 2 5" xfId="51313" xr:uid="{00000000-0005-0000-0000-000007B80000}"/>
    <cellStyle name="Финансовый 5 3 6 3" xfId="5870" xr:uid="{00000000-0005-0000-0000-000008B80000}"/>
    <cellStyle name="Финансовый 5 3 6 3 2" xfId="17848" xr:uid="{00000000-0005-0000-0000-000009B80000}"/>
    <cellStyle name="Финансовый 5 3 6 3 2 2" xfId="41803" xr:uid="{00000000-0005-0000-0000-00000AB80000}"/>
    <cellStyle name="Финансовый 5 3 6 3 3" xfId="29825" xr:uid="{00000000-0005-0000-0000-00000BB80000}"/>
    <cellStyle name="Финансовый 5 3 6 4" xfId="8480" xr:uid="{00000000-0005-0000-0000-00000CB80000}"/>
    <cellStyle name="Финансовый 5 3 6 4 2" xfId="20458" xr:uid="{00000000-0005-0000-0000-00000DB80000}"/>
    <cellStyle name="Финансовый 5 3 6 4 2 2" xfId="44413" xr:uid="{00000000-0005-0000-0000-00000EB80000}"/>
    <cellStyle name="Финансовый 5 3 6 4 3" xfId="32435" xr:uid="{00000000-0005-0000-0000-00000FB80000}"/>
    <cellStyle name="Финансовый 5 3 6 5" xfId="10263" xr:uid="{00000000-0005-0000-0000-000010B80000}"/>
    <cellStyle name="Финансовый 5 3 6 5 2" xfId="22241" xr:uid="{00000000-0005-0000-0000-000011B80000}"/>
    <cellStyle name="Финансовый 5 3 6 5 2 2" xfId="46196" xr:uid="{00000000-0005-0000-0000-000012B80000}"/>
    <cellStyle name="Финансовый 5 3 6 5 3" xfId="34218" xr:uid="{00000000-0005-0000-0000-000013B80000}"/>
    <cellStyle name="Финансовый 5 3 6 6" xfId="14421" xr:uid="{00000000-0005-0000-0000-000014B80000}"/>
    <cellStyle name="Финансовый 5 3 6 6 2" xfId="38376" xr:uid="{00000000-0005-0000-0000-000015B80000}"/>
    <cellStyle name="Финансовый 5 3 6 7" xfId="26399" xr:uid="{00000000-0005-0000-0000-000016B80000}"/>
    <cellStyle name="Финансовый 5 3 6 8" xfId="49532" xr:uid="{00000000-0005-0000-0000-000017B80000}"/>
    <cellStyle name="Финансовый 5 3 7" xfId="1669" xr:uid="{00000000-0005-0000-0000-000018B80000}"/>
    <cellStyle name="Финансовый 5 3 7 2" xfId="3314" xr:uid="{00000000-0005-0000-0000-000019B80000}"/>
    <cellStyle name="Финансовый 5 3 7 2 2" xfId="11062" xr:uid="{00000000-0005-0000-0000-00001AB80000}"/>
    <cellStyle name="Финансовый 5 3 7 2 2 2" xfId="23040" xr:uid="{00000000-0005-0000-0000-00001BB80000}"/>
    <cellStyle name="Финансовый 5 3 7 2 2 2 2" xfId="46995" xr:uid="{00000000-0005-0000-0000-00001CB80000}"/>
    <cellStyle name="Финансовый 5 3 7 2 2 3" xfId="35017" xr:uid="{00000000-0005-0000-0000-00001DB80000}"/>
    <cellStyle name="Финансовый 5 3 7 2 3" xfId="15293" xr:uid="{00000000-0005-0000-0000-00001EB80000}"/>
    <cellStyle name="Финансовый 5 3 7 2 3 2" xfId="39248" xr:uid="{00000000-0005-0000-0000-00001FB80000}"/>
    <cellStyle name="Финансовый 5 3 7 2 4" xfId="27271" xr:uid="{00000000-0005-0000-0000-000020B80000}"/>
    <cellStyle name="Финансовый 5 3 7 2 5" xfId="50540" xr:uid="{00000000-0005-0000-0000-000021B80000}"/>
    <cellStyle name="Финансовый 5 3 7 3" xfId="5097" xr:uid="{00000000-0005-0000-0000-000022B80000}"/>
    <cellStyle name="Финансовый 5 3 7 3 2" xfId="17075" xr:uid="{00000000-0005-0000-0000-000023B80000}"/>
    <cellStyle name="Финансовый 5 3 7 3 2 2" xfId="41030" xr:uid="{00000000-0005-0000-0000-000024B80000}"/>
    <cellStyle name="Финансовый 5 3 7 3 3" xfId="29052" xr:uid="{00000000-0005-0000-0000-000025B80000}"/>
    <cellStyle name="Финансовый 5 3 7 4" xfId="7707" xr:uid="{00000000-0005-0000-0000-000026B80000}"/>
    <cellStyle name="Финансовый 5 3 7 4 2" xfId="19685" xr:uid="{00000000-0005-0000-0000-000027B80000}"/>
    <cellStyle name="Финансовый 5 3 7 4 2 2" xfId="43640" xr:uid="{00000000-0005-0000-0000-000028B80000}"/>
    <cellStyle name="Финансовый 5 3 7 4 3" xfId="31662" xr:uid="{00000000-0005-0000-0000-000029B80000}"/>
    <cellStyle name="Финансовый 5 3 7 5" xfId="9490" xr:uid="{00000000-0005-0000-0000-00002AB80000}"/>
    <cellStyle name="Финансовый 5 3 7 5 2" xfId="21468" xr:uid="{00000000-0005-0000-0000-00002BB80000}"/>
    <cellStyle name="Финансовый 5 3 7 5 2 2" xfId="45423" xr:uid="{00000000-0005-0000-0000-00002CB80000}"/>
    <cellStyle name="Финансовый 5 3 7 5 3" xfId="33445" xr:uid="{00000000-0005-0000-0000-00002DB80000}"/>
    <cellStyle name="Финансовый 5 3 7 6" xfId="13648" xr:uid="{00000000-0005-0000-0000-00002EB80000}"/>
    <cellStyle name="Финансовый 5 3 7 6 2" xfId="37603" xr:uid="{00000000-0005-0000-0000-00002FB80000}"/>
    <cellStyle name="Финансовый 5 3 7 7" xfId="25626" xr:uid="{00000000-0005-0000-0000-000030B80000}"/>
    <cellStyle name="Финансовый 5 3 7 8" xfId="48759" xr:uid="{00000000-0005-0000-0000-000031B80000}"/>
    <cellStyle name="Финансовый 5 3 8" xfId="946" xr:uid="{00000000-0005-0000-0000-000032B80000}"/>
    <cellStyle name="Финансовый 5 3 8 2" xfId="6986" xr:uid="{00000000-0005-0000-0000-000033B80000}"/>
    <cellStyle name="Финансовый 5 3 8 2 2" xfId="18964" xr:uid="{00000000-0005-0000-0000-000034B80000}"/>
    <cellStyle name="Финансовый 5 3 8 2 2 2" xfId="42919" xr:uid="{00000000-0005-0000-0000-000035B80000}"/>
    <cellStyle name="Финансовый 5 3 8 2 3" xfId="30941" xr:uid="{00000000-0005-0000-0000-000036B80000}"/>
    <cellStyle name="Финансовый 5 3 8 3" xfId="10534" xr:uid="{00000000-0005-0000-0000-000037B80000}"/>
    <cellStyle name="Финансовый 5 3 8 3 2" xfId="22512" xr:uid="{00000000-0005-0000-0000-000038B80000}"/>
    <cellStyle name="Финансовый 5 3 8 3 2 2" xfId="46467" xr:uid="{00000000-0005-0000-0000-000039B80000}"/>
    <cellStyle name="Финансовый 5 3 8 3 3" xfId="34489" xr:uid="{00000000-0005-0000-0000-00003AB80000}"/>
    <cellStyle name="Финансовый 5 3 8 4" xfId="12927" xr:uid="{00000000-0005-0000-0000-00003BB80000}"/>
    <cellStyle name="Финансовый 5 3 8 4 2" xfId="36882" xr:uid="{00000000-0005-0000-0000-00003CB80000}"/>
    <cellStyle name="Финансовый 5 3 8 5" xfId="24905" xr:uid="{00000000-0005-0000-0000-00003DB80000}"/>
    <cellStyle name="Финансовый 5 3 8 6" xfId="49811" xr:uid="{00000000-0005-0000-0000-00003EB80000}"/>
    <cellStyle name="Финансовый 5 3 9" xfId="534" xr:uid="{00000000-0005-0000-0000-00003FB80000}"/>
    <cellStyle name="Финансовый 5 3 9 2" xfId="6574" xr:uid="{00000000-0005-0000-0000-000040B80000}"/>
    <cellStyle name="Финансовый 5 3 9 2 2" xfId="18552" xr:uid="{00000000-0005-0000-0000-000041B80000}"/>
    <cellStyle name="Финансовый 5 3 9 2 2 2" xfId="42507" xr:uid="{00000000-0005-0000-0000-000042B80000}"/>
    <cellStyle name="Финансовый 5 3 9 2 3" xfId="30529" xr:uid="{00000000-0005-0000-0000-000043B80000}"/>
    <cellStyle name="Финансовый 5 3 9 3" xfId="12515" xr:uid="{00000000-0005-0000-0000-000044B80000}"/>
    <cellStyle name="Финансовый 5 3 9 3 2" xfId="36470" xr:uid="{00000000-0005-0000-0000-000045B80000}"/>
    <cellStyle name="Финансовый 5 3 9 4" xfId="24493" xr:uid="{00000000-0005-0000-0000-000046B80000}"/>
    <cellStyle name="Финансовый 5 4" xfId="77" xr:uid="{00000000-0005-0000-0000-000047B80000}"/>
    <cellStyle name="Финансовый 5 4 10" xfId="2687" xr:uid="{00000000-0005-0000-0000-000048B80000}"/>
    <cellStyle name="Финансовый 5 4 10 2" xfId="14666" xr:uid="{00000000-0005-0000-0000-000049B80000}"/>
    <cellStyle name="Финансовый 5 4 10 2 2" xfId="38621" xr:uid="{00000000-0005-0000-0000-00004AB80000}"/>
    <cellStyle name="Финансовый 5 4 10 3" xfId="26644" xr:uid="{00000000-0005-0000-0000-00004BB80000}"/>
    <cellStyle name="Финансовый 5 4 11" xfId="4331" xr:uid="{00000000-0005-0000-0000-00004CB80000}"/>
    <cellStyle name="Финансовый 5 4 11 2" xfId="16310" xr:uid="{00000000-0005-0000-0000-00004DB80000}"/>
    <cellStyle name="Финансовый 5 4 11 2 2" xfId="40265" xr:uid="{00000000-0005-0000-0000-00004EB80000}"/>
    <cellStyle name="Финансовый 5 4 11 3" xfId="28288" xr:uid="{00000000-0005-0000-0000-00004FB80000}"/>
    <cellStyle name="Финансовый 5 4 12" xfId="6118" xr:uid="{00000000-0005-0000-0000-000050B80000}"/>
    <cellStyle name="Финансовый 5 4 12 2" xfId="18096" xr:uid="{00000000-0005-0000-0000-000051B80000}"/>
    <cellStyle name="Финансовый 5 4 12 2 2" xfId="42051" xr:uid="{00000000-0005-0000-0000-000052B80000}"/>
    <cellStyle name="Финансовый 5 4 12 3" xfId="30073" xr:uid="{00000000-0005-0000-0000-000053B80000}"/>
    <cellStyle name="Финансовый 5 4 13" xfId="8725" xr:uid="{00000000-0005-0000-0000-000054B80000}"/>
    <cellStyle name="Финансовый 5 4 13 2" xfId="20703" xr:uid="{00000000-0005-0000-0000-000055B80000}"/>
    <cellStyle name="Финансовый 5 4 13 2 2" xfId="44658" xr:uid="{00000000-0005-0000-0000-000056B80000}"/>
    <cellStyle name="Финансовый 5 4 13 3" xfId="32680" xr:uid="{00000000-0005-0000-0000-000057B80000}"/>
    <cellStyle name="Финансовый 5 4 14" xfId="12059" xr:uid="{00000000-0005-0000-0000-000058B80000}"/>
    <cellStyle name="Финансовый 5 4 14 2" xfId="36014" xr:uid="{00000000-0005-0000-0000-000059B80000}"/>
    <cellStyle name="Финансовый 5 4 15" xfId="24037" xr:uid="{00000000-0005-0000-0000-00005AB80000}"/>
    <cellStyle name="Финансовый 5 4 16" xfId="47995" xr:uid="{00000000-0005-0000-0000-00005BB80000}"/>
    <cellStyle name="Финансовый 5 4 2" xfId="213" xr:uid="{00000000-0005-0000-0000-00005CB80000}"/>
    <cellStyle name="Финансовый 5 4 2 10" xfId="8861" xr:uid="{00000000-0005-0000-0000-00005DB80000}"/>
    <cellStyle name="Финансовый 5 4 2 10 2" xfId="20839" xr:uid="{00000000-0005-0000-0000-00005EB80000}"/>
    <cellStyle name="Финансовый 5 4 2 10 2 2" xfId="44794" xr:uid="{00000000-0005-0000-0000-00005FB80000}"/>
    <cellStyle name="Финансовый 5 4 2 10 3" xfId="32816" xr:uid="{00000000-0005-0000-0000-000060B80000}"/>
    <cellStyle name="Финансовый 5 4 2 11" xfId="12195" xr:uid="{00000000-0005-0000-0000-000061B80000}"/>
    <cellStyle name="Финансовый 5 4 2 11 2" xfId="36150" xr:uid="{00000000-0005-0000-0000-000062B80000}"/>
    <cellStyle name="Финансовый 5 4 2 12" xfId="24173" xr:uid="{00000000-0005-0000-0000-000063B80000}"/>
    <cellStyle name="Финансовый 5 4 2 13" xfId="48131" xr:uid="{00000000-0005-0000-0000-000064B80000}"/>
    <cellStyle name="Финансовый 5 4 2 2" xfId="1311" xr:uid="{00000000-0005-0000-0000-000065B80000}"/>
    <cellStyle name="Финансовый 5 4 2 2 2" xfId="2269" xr:uid="{00000000-0005-0000-0000-000066B80000}"/>
    <cellStyle name="Финансовый 5 4 2 2 2 2" xfId="3914" xr:uid="{00000000-0005-0000-0000-000067B80000}"/>
    <cellStyle name="Финансовый 5 4 2 2 2 2 2" xfId="11654" xr:uid="{00000000-0005-0000-0000-000068B80000}"/>
    <cellStyle name="Финансовый 5 4 2 2 2 2 2 2" xfId="23632" xr:uid="{00000000-0005-0000-0000-000069B80000}"/>
    <cellStyle name="Финансовый 5 4 2 2 2 2 2 2 2" xfId="47587" xr:uid="{00000000-0005-0000-0000-00006AB80000}"/>
    <cellStyle name="Финансовый 5 4 2 2 2 2 2 3" xfId="35609" xr:uid="{00000000-0005-0000-0000-00006BB80000}"/>
    <cellStyle name="Финансовый 5 4 2 2 2 2 3" xfId="15893" xr:uid="{00000000-0005-0000-0000-00006CB80000}"/>
    <cellStyle name="Финансовый 5 4 2 2 2 2 3 2" xfId="39848" xr:uid="{00000000-0005-0000-0000-00006DB80000}"/>
    <cellStyle name="Финансовый 5 4 2 2 2 2 4" xfId="27871" xr:uid="{00000000-0005-0000-0000-00006EB80000}"/>
    <cellStyle name="Финансовый 5 4 2 2 2 2 5" xfId="51140" xr:uid="{00000000-0005-0000-0000-00006FB80000}"/>
    <cellStyle name="Финансовый 5 4 2 2 2 3" xfId="5697" xr:uid="{00000000-0005-0000-0000-000070B80000}"/>
    <cellStyle name="Финансовый 5 4 2 2 2 3 2" xfId="17675" xr:uid="{00000000-0005-0000-0000-000071B80000}"/>
    <cellStyle name="Финансовый 5 4 2 2 2 3 2 2" xfId="41630" xr:uid="{00000000-0005-0000-0000-000072B80000}"/>
    <cellStyle name="Финансовый 5 4 2 2 2 3 3" xfId="29652" xr:uid="{00000000-0005-0000-0000-000073B80000}"/>
    <cellStyle name="Финансовый 5 4 2 2 2 4" xfId="8307" xr:uid="{00000000-0005-0000-0000-000074B80000}"/>
    <cellStyle name="Финансовый 5 4 2 2 2 4 2" xfId="20285" xr:uid="{00000000-0005-0000-0000-000075B80000}"/>
    <cellStyle name="Финансовый 5 4 2 2 2 4 2 2" xfId="44240" xr:uid="{00000000-0005-0000-0000-000076B80000}"/>
    <cellStyle name="Финансовый 5 4 2 2 2 4 3" xfId="32262" xr:uid="{00000000-0005-0000-0000-000077B80000}"/>
    <cellStyle name="Финансовый 5 4 2 2 2 5" xfId="10090" xr:uid="{00000000-0005-0000-0000-000078B80000}"/>
    <cellStyle name="Финансовый 5 4 2 2 2 5 2" xfId="22068" xr:uid="{00000000-0005-0000-0000-000079B80000}"/>
    <cellStyle name="Финансовый 5 4 2 2 2 5 2 2" xfId="46023" xr:uid="{00000000-0005-0000-0000-00007AB80000}"/>
    <cellStyle name="Финансовый 5 4 2 2 2 5 3" xfId="34045" xr:uid="{00000000-0005-0000-0000-00007BB80000}"/>
    <cellStyle name="Финансовый 5 4 2 2 2 6" xfId="14248" xr:uid="{00000000-0005-0000-0000-00007CB80000}"/>
    <cellStyle name="Финансовый 5 4 2 2 2 6 2" xfId="38203" xr:uid="{00000000-0005-0000-0000-00007DB80000}"/>
    <cellStyle name="Финансовый 5 4 2 2 2 7" xfId="26226" xr:uid="{00000000-0005-0000-0000-00007EB80000}"/>
    <cellStyle name="Финансовый 5 4 2 2 2 8" xfId="49359" xr:uid="{00000000-0005-0000-0000-00007FB80000}"/>
    <cellStyle name="Финансовый 5 4 2 2 3" xfId="3095" xr:uid="{00000000-0005-0000-0000-000080B80000}"/>
    <cellStyle name="Финансовый 5 4 2 2 3 2" xfId="10882" xr:uid="{00000000-0005-0000-0000-000081B80000}"/>
    <cellStyle name="Финансовый 5 4 2 2 3 2 2" xfId="22860" xr:uid="{00000000-0005-0000-0000-000082B80000}"/>
    <cellStyle name="Финансовый 5 4 2 2 3 2 2 2" xfId="46815" xr:uid="{00000000-0005-0000-0000-000083B80000}"/>
    <cellStyle name="Финансовый 5 4 2 2 3 2 3" xfId="34837" xr:uid="{00000000-0005-0000-0000-000084B80000}"/>
    <cellStyle name="Финансовый 5 4 2 2 3 3" xfId="15074" xr:uid="{00000000-0005-0000-0000-000085B80000}"/>
    <cellStyle name="Финансовый 5 4 2 2 3 3 2" xfId="39029" xr:uid="{00000000-0005-0000-0000-000086B80000}"/>
    <cellStyle name="Финансовый 5 4 2 2 3 4" xfId="27052" xr:uid="{00000000-0005-0000-0000-000087B80000}"/>
    <cellStyle name="Финансовый 5 4 2 2 3 5" xfId="50183" xr:uid="{00000000-0005-0000-0000-000088B80000}"/>
    <cellStyle name="Финансовый 5 4 2 2 4" xfId="4739" xr:uid="{00000000-0005-0000-0000-000089B80000}"/>
    <cellStyle name="Финансовый 5 4 2 2 4 2" xfId="16718" xr:uid="{00000000-0005-0000-0000-00008AB80000}"/>
    <cellStyle name="Финансовый 5 4 2 2 4 2 2" xfId="40673" xr:uid="{00000000-0005-0000-0000-00008BB80000}"/>
    <cellStyle name="Финансовый 5 4 2 2 4 3" xfId="28696" xr:uid="{00000000-0005-0000-0000-00008CB80000}"/>
    <cellStyle name="Финансовый 5 4 2 2 5" xfId="7351" xr:uid="{00000000-0005-0000-0000-00008DB80000}"/>
    <cellStyle name="Финансовый 5 4 2 2 5 2" xfId="19329" xr:uid="{00000000-0005-0000-0000-00008EB80000}"/>
    <cellStyle name="Финансовый 5 4 2 2 5 2 2" xfId="43284" xr:uid="{00000000-0005-0000-0000-00008FB80000}"/>
    <cellStyle name="Финансовый 5 4 2 2 5 3" xfId="31306" xr:uid="{00000000-0005-0000-0000-000090B80000}"/>
    <cellStyle name="Финансовый 5 4 2 2 6" xfId="9133" xr:uid="{00000000-0005-0000-0000-000091B80000}"/>
    <cellStyle name="Финансовый 5 4 2 2 6 2" xfId="21111" xr:uid="{00000000-0005-0000-0000-000092B80000}"/>
    <cellStyle name="Финансовый 5 4 2 2 6 2 2" xfId="45066" xr:uid="{00000000-0005-0000-0000-000093B80000}"/>
    <cellStyle name="Финансовый 5 4 2 2 6 3" xfId="33088" xr:uid="{00000000-0005-0000-0000-000094B80000}"/>
    <cellStyle name="Финансовый 5 4 2 2 7" xfId="13292" xr:uid="{00000000-0005-0000-0000-000095B80000}"/>
    <cellStyle name="Финансовый 5 4 2 2 7 2" xfId="37247" xr:uid="{00000000-0005-0000-0000-000096B80000}"/>
    <cellStyle name="Финансовый 5 4 2 2 8" xfId="25270" xr:uid="{00000000-0005-0000-0000-000097B80000}"/>
    <cellStyle name="Финансовый 5 4 2 2 9" xfId="48403" xr:uid="{00000000-0005-0000-0000-000098B80000}"/>
    <cellStyle name="Финансовый 5 4 2 3" xfId="2013" xr:uid="{00000000-0005-0000-0000-000099B80000}"/>
    <cellStyle name="Финансовый 5 4 2 3 2" xfId="3658" xr:uid="{00000000-0005-0000-0000-00009AB80000}"/>
    <cellStyle name="Финансовый 5 4 2 3 2 2" xfId="11398" xr:uid="{00000000-0005-0000-0000-00009BB80000}"/>
    <cellStyle name="Финансовый 5 4 2 3 2 2 2" xfId="23376" xr:uid="{00000000-0005-0000-0000-00009CB80000}"/>
    <cellStyle name="Финансовый 5 4 2 3 2 2 2 2" xfId="47331" xr:uid="{00000000-0005-0000-0000-00009DB80000}"/>
    <cellStyle name="Финансовый 5 4 2 3 2 2 3" xfId="35353" xr:uid="{00000000-0005-0000-0000-00009EB80000}"/>
    <cellStyle name="Финансовый 5 4 2 3 2 3" xfId="15637" xr:uid="{00000000-0005-0000-0000-00009FB80000}"/>
    <cellStyle name="Финансовый 5 4 2 3 2 3 2" xfId="39592" xr:uid="{00000000-0005-0000-0000-0000A0B80000}"/>
    <cellStyle name="Финансовый 5 4 2 3 2 4" xfId="27615" xr:uid="{00000000-0005-0000-0000-0000A1B80000}"/>
    <cellStyle name="Финансовый 5 4 2 3 2 5" xfId="50884" xr:uid="{00000000-0005-0000-0000-0000A2B80000}"/>
    <cellStyle name="Финансовый 5 4 2 3 3" xfId="5441" xr:uid="{00000000-0005-0000-0000-0000A3B80000}"/>
    <cellStyle name="Финансовый 5 4 2 3 3 2" xfId="17419" xr:uid="{00000000-0005-0000-0000-0000A4B80000}"/>
    <cellStyle name="Финансовый 5 4 2 3 3 2 2" xfId="41374" xr:uid="{00000000-0005-0000-0000-0000A5B80000}"/>
    <cellStyle name="Финансовый 5 4 2 3 3 3" xfId="29396" xr:uid="{00000000-0005-0000-0000-0000A6B80000}"/>
    <cellStyle name="Финансовый 5 4 2 3 4" xfId="8051" xr:uid="{00000000-0005-0000-0000-0000A7B80000}"/>
    <cellStyle name="Финансовый 5 4 2 3 4 2" xfId="20029" xr:uid="{00000000-0005-0000-0000-0000A8B80000}"/>
    <cellStyle name="Финансовый 5 4 2 3 4 2 2" xfId="43984" xr:uid="{00000000-0005-0000-0000-0000A9B80000}"/>
    <cellStyle name="Финансовый 5 4 2 3 4 3" xfId="32006" xr:uid="{00000000-0005-0000-0000-0000AAB80000}"/>
    <cellStyle name="Финансовый 5 4 2 3 5" xfId="9834" xr:uid="{00000000-0005-0000-0000-0000ABB80000}"/>
    <cellStyle name="Финансовый 5 4 2 3 5 2" xfId="21812" xr:uid="{00000000-0005-0000-0000-0000ACB80000}"/>
    <cellStyle name="Финансовый 5 4 2 3 5 2 2" xfId="45767" xr:uid="{00000000-0005-0000-0000-0000ADB80000}"/>
    <cellStyle name="Финансовый 5 4 2 3 5 3" xfId="33789" xr:uid="{00000000-0005-0000-0000-0000AEB80000}"/>
    <cellStyle name="Финансовый 5 4 2 3 6" xfId="13992" xr:uid="{00000000-0005-0000-0000-0000AFB80000}"/>
    <cellStyle name="Финансовый 5 4 2 3 6 2" xfId="37947" xr:uid="{00000000-0005-0000-0000-0000B0B80000}"/>
    <cellStyle name="Финансовый 5 4 2 3 7" xfId="25970" xr:uid="{00000000-0005-0000-0000-0000B1B80000}"/>
    <cellStyle name="Финансовый 5 4 2 3 8" xfId="49103" xr:uid="{00000000-0005-0000-0000-0000B2B80000}"/>
    <cellStyle name="Финансовый 5 4 2 4" xfId="2542" xr:uid="{00000000-0005-0000-0000-0000B3B80000}"/>
    <cellStyle name="Финансовый 5 4 2 4 2" xfId="4187" xr:uid="{00000000-0005-0000-0000-0000B4B80000}"/>
    <cellStyle name="Финансовый 5 4 2 4 2 2" xfId="11911" xr:uid="{00000000-0005-0000-0000-0000B5B80000}"/>
    <cellStyle name="Финансовый 5 4 2 4 2 2 2" xfId="23889" xr:uid="{00000000-0005-0000-0000-0000B6B80000}"/>
    <cellStyle name="Финансовый 5 4 2 4 2 2 2 2" xfId="47844" xr:uid="{00000000-0005-0000-0000-0000B7B80000}"/>
    <cellStyle name="Финансовый 5 4 2 4 2 2 3" xfId="35866" xr:uid="{00000000-0005-0000-0000-0000B8B80000}"/>
    <cellStyle name="Финансовый 5 4 2 4 2 3" xfId="16166" xr:uid="{00000000-0005-0000-0000-0000B9B80000}"/>
    <cellStyle name="Финансовый 5 4 2 4 2 3 2" xfId="40121" xr:uid="{00000000-0005-0000-0000-0000BAB80000}"/>
    <cellStyle name="Финансовый 5 4 2 4 2 4" xfId="28144" xr:uid="{00000000-0005-0000-0000-0000BBB80000}"/>
    <cellStyle name="Финансовый 5 4 2 4 2 5" xfId="51413" xr:uid="{00000000-0005-0000-0000-0000BCB80000}"/>
    <cellStyle name="Финансовый 5 4 2 4 3" xfId="5970" xr:uid="{00000000-0005-0000-0000-0000BDB80000}"/>
    <cellStyle name="Финансовый 5 4 2 4 3 2" xfId="17948" xr:uid="{00000000-0005-0000-0000-0000BEB80000}"/>
    <cellStyle name="Финансовый 5 4 2 4 3 2 2" xfId="41903" xr:uid="{00000000-0005-0000-0000-0000BFB80000}"/>
    <cellStyle name="Финансовый 5 4 2 4 3 3" xfId="29925" xr:uid="{00000000-0005-0000-0000-0000C0B80000}"/>
    <cellStyle name="Финансовый 5 4 2 4 4" xfId="8580" xr:uid="{00000000-0005-0000-0000-0000C1B80000}"/>
    <cellStyle name="Финансовый 5 4 2 4 4 2" xfId="20558" xr:uid="{00000000-0005-0000-0000-0000C2B80000}"/>
    <cellStyle name="Финансовый 5 4 2 4 4 2 2" xfId="44513" xr:uid="{00000000-0005-0000-0000-0000C3B80000}"/>
    <cellStyle name="Финансовый 5 4 2 4 4 3" xfId="32535" xr:uid="{00000000-0005-0000-0000-0000C4B80000}"/>
    <cellStyle name="Финансовый 5 4 2 4 5" xfId="10363" xr:uid="{00000000-0005-0000-0000-0000C5B80000}"/>
    <cellStyle name="Финансовый 5 4 2 4 5 2" xfId="22341" xr:uid="{00000000-0005-0000-0000-0000C6B80000}"/>
    <cellStyle name="Финансовый 5 4 2 4 5 2 2" xfId="46296" xr:uid="{00000000-0005-0000-0000-0000C7B80000}"/>
    <cellStyle name="Финансовый 5 4 2 4 5 3" xfId="34318" xr:uid="{00000000-0005-0000-0000-0000C8B80000}"/>
    <cellStyle name="Финансовый 5 4 2 4 6" xfId="14521" xr:uid="{00000000-0005-0000-0000-0000C9B80000}"/>
    <cellStyle name="Финансовый 5 4 2 4 6 2" xfId="38476" xr:uid="{00000000-0005-0000-0000-0000CAB80000}"/>
    <cellStyle name="Финансовый 5 4 2 4 7" xfId="26499" xr:uid="{00000000-0005-0000-0000-0000CBB80000}"/>
    <cellStyle name="Финансовый 5 4 2 4 8" xfId="49632" xr:uid="{00000000-0005-0000-0000-0000CCB80000}"/>
    <cellStyle name="Финансовый 5 4 2 5" xfId="1046" xr:uid="{00000000-0005-0000-0000-0000CDB80000}"/>
    <cellStyle name="Финансовый 5 4 2 5 2" xfId="7086" xr:uid="{00000000-0005-0000-0000-0000CEB80000}"/>
    <cellStyle name="Финансовый 5 4 2 5 2 2" xfId="19064" xr:uid="{00000000-0005-0000-0000-0000CFB80000}"/>
    <cellStyle name="Финансовый 5 4 2 5 2 2 2" xfId="43019" xr:uid="{00000000-0005-0000-0000-0000D0B80000}"/>
    <cellStyle name="Финансовый 5 4 2 5 2 3" xfId="31041" xr:uid="{00000000-0005-0000-0000-0000D1B80000}"/>
    <cellStyle name="Финансовый 5 4 2 5 3" xfId="10626" xr:uid="{00000000-0005-0000-0000-0000D2B80000}"/>
    <cellStyle name="Финансовый 5 4 2 5 3 2" xfId="22604" xr:uid="{00000000-0005-0000-0000-0000D3B80000}"/>
    <cellStyle name="Финансовый 5 4 2 5 3 2 2" xfId="46559" xr:uid="{00000000-0005-0000-0000-0000D4B80000}"/>
    <cellStyle name="Финансовый 5 4 2 5 3 3" xfId="34581" xr:uid="{00000000-0005-0000-0000-0000D5B80000}"/>
    <cellStyle name="Финансовый 5 4 2 5 4" xfId="13027" xr:uid="{00000000-0005-0000-0000-0000D6B80000}"/>
    <cellStyle name="Финансовый 5 4 2 5 4 2" xfId="36982" xr:uid="{00000000-0005-0000-0000-0000D7B80000}"/>
    <cellStyle name="Финансовый 5 4 2 5 5" xfId="25005" xr:uid="{00000000-0005-0000-0000-0000D8B80000}"/>
    <cellStyle name="Финансовый 5 4 2 5 6" xfId="49911" xr:uid="{00000000-0005-0000-0000-0000D9B80000}"/>
    <cellStyle name="Финансовый 5 4 2 6" xfId="634" xr:uid="{00000000-0005-0000-0000-0000DAB80000}"/>
    <cellStyle name="Финансовый 5 4 2 6 2" xfId="6674" xr:uid="{00000000-0005-0000-0000-0000DBB80000}"/>
    <cellStyle name="Финансовый 5 4 2 6 2 2" xfId="18652" xr:uid="{00000000-0005-0000-0000-0000DCB80000}"/>
    <cellStyle name="Финансовый 5 4 2 6 2 2 2" xfId="42607" xr:uid="{00000000-0005-0000-0000-0000DDB80000}"/>
    <cellStyle name="Финансовый 5 4 2 6 2 3" xfId="30629" xr:uid="{00000000-0005-0000-0000-0000DEB80000}"/>
    <cellStyle name="Финансовый 5 4 2 6 3" xfId="12615" xr:uid="{00000000-0005-0000-0000-0000DFB80000}"/>
    <cellStyle name="Финансовый 5 4 2 6 3 2" xfId="36570" xr:uid="{00000000-0005-0000-0000-0000E0B80000}"/>
    <cellStyle name="Финансовый 5 4 2 6 4" xfId="24593" xr:uid="{00000000-0005-0000-0000-0000E1B80000}"/>
    <cellStyle name="Финансовый 5 4 2 7" xfId="2823" xr:uid="{00000000-0005-0000-0000-0000E2B80000}"/>
    <cellStyle name="Финансовый 5 4 2 7 2" xfId="14802" xr:uid="{00000000-0005-0000-0000-0000E3B80000}"/>
    <cellStyle name="Финансовый 5 4 2 7 2 2" xfId="38757" xr:uid="{00000000-0005-0000-0000-0000E4B80000}"/>
    <cellStyle name="Финансовый 5 4 2 7 3" xfId="26780" xr:uid="{00000000-0005-0000-0000-0000E5B80000}"/>
    <cellStyle name="Финансовый 5 4 2 8" xfId="4467" xr:uid="{00000000-0005-0000-0000-0000E6B80000}"/>
    <cellStyle name="Финансовый 5 4 2 8 2" xfId="16446" xr:uid="{00000000-0005-0000-0000-0000E7B80000}"/>
    <cellStyle name="Финансовый 5 4 2 8 2 2" xfId="40401" xr:uid="{00000000-0005-0000-0000-0000E8B80000}"/>
    <cellStyle name="Финансовый 5 4 2 8 3" xfId="28424" xr:uid="{00000000-0005-0000-0000-0000E9B80000}"/>
    <cellStyle name="Финансовый 5 4 2 9" xfId="6254" xr:uid="{00000000-0005-0000-0000-0000EAB80000}"/>
    <cellStyle name="Финансовый 5 4 2 9 2" xfId="18232" xr:uid="{00000000-0005-0000-0000-0000EBB80000}"/>
    <cellStyle name="Финансовый 5 4 2 9 2 2" xfId="42187" xr:uid="{00000000-0005-0000-0000-0000ECB80000}"/>
    <cellStyle name="Финансовый 5 4 2 9 3" xfId="30209" xr:uid="{00000000-0005-0000-0000-0000EDB80000}"/>
    <cellStyle name="Финансовый 5 4 3" xfId="362" xr:uid="{00000000-0005-0000-0000-0000EEB80000}"/>
    <cellStyle name="Финансовый 5 4 3 10" xfId="24321" xr:uid="{00000000-0005-0000-0000-0000EFB80000}"/>
    <cellStyle name="Финансовый 5 4 3 11" xfId="48267" xr:uid="{00000000-0005-0000-0000-0000F0B80000}"/>
    <cellStyle name="Финансовый 5 4 3 2" xfId="2141" xr:uid="{00000000-0005-0000-0000-0000F1B80000}"/>
    <cellStyle name="Финансовый 5 4 3 2 2" xfId="3786" xr:uid="{00000000-0005-0000-0000-0000F2B80000}"/>
    <cellStyle name="Финансовый 5 4 3 2 2 2" xfId="11526" xr:uid="{00000000-0005-0000-0000-0000F3B80000}"/>
    <cellStyle name="Финансовый 5 4 3 2 2 2 2" xfId="23504" xr:uid="{00000000-0005-0000-0000-0000F4B80000}"/>
    <cellStyle name="Финансовый 5 4 3 2 2 2 2 2" xfId="47459" xr:uid="{00000000-0005-0000-0000-0000F5B80000}"/>
    <cellStyle name="Финансовый 5 4 3 2 2 2 3" xfId="35481" xr:uid="{00000000-0005-0000-0000-0000F6B80000}"/>
    <cellStyle name="Финансовый 5 4 3 2 2 3" xfId="15765" xr:uid="{00000000-0005-0000-0000-0000F7B80000}"/>
    <cellStyle name="Финансовый 5 4 3 2 2 3 2" xfId="39720" xr:uid="{00000000-0005-0000-0000-0000F8B80000}"/>
    <cellStyle name="Финансовый 5 4 3 2 2 4" xfId="27743" xr:uid="{00000000-0005-0000-0000-0000F9B80000}"/>
    <cellStyle name="Финансовый 5 4 3 2 2 5" xfId="51012" xr:uid="{00000000-0005-0000-0000-0000FAB80000}"/>
    <cellStyle name="Финансовый 5 4 3 2 3" xfId="5569" xr:uid="{00000000-0005-0000-0000-0000FBB80000}"/>
    <cellStyle name="Финансовый 5 4 3 2 3 2" xfId="17547" xr:uid="{00000000-0005-0000-0000-0000FCB80000}"/>
    <cellStyle name="Финансовый 5 4 3 2 3 2 2" xfId="41502" xr:uid="{00000000-0005-0000-0000-0000FDB80000}"/>
    <cellStyle name="Финансовый 5 4 3 2 3 3" xfId="29524" xr:uid="{00000000-0005-0000-0000-0000FEB80000}"/>
    <cellStyle name="Финансовый 5 4 3 2 4" xfId="8179" xr:uid="{00000000-0005-0000-0000-0000FFB80000}"/>
    <cellStyle name="Финансовый 5 4 3 2 4 2" xfId="20157" xr:uid="{00000000-0005-0000-0000-000000B90000}"/>
    <cellStyle name="Финансовый 5 4 3 2 4 2 2" xfId="44112" xr:uid="{00000000-0005-0000-0000-000001B90000}"/>
    <cellStyle name="Финансовый 5 4 3 2 4 3" xfId="32134" xr:uid="{00000000-0005-0000-0000-000002B90000}"/>
    <cellStyle name="Финансовый 5 4 3 2 5" xfId="9962" xr:uid="{00000000-0005-0000-0000-000003B90000}"/>
    <cellStyle name="Финансовый 5 4 3 2 5 2" xfId="21940" xr:uid="{00000000-0005-0000-0000-000004B90000}"/>
    <cellStyle name="Финансовый 5 4 3 2 5 2 2" xfId="45895" xr:uid="{00000000-0005-0000-0000-000005B90000}"/>
    <cellStyle name="Финансовый 5 4 3 2 5 3" xfId="33917" xr:uid="{00000000-0005-0000-0000-000006B90000}"/>
    <cellStyle name="Финансовый 5 4 3 2 6" xfId="14120" xr:uid="{00000000-0005-0000-0000-000007B90000}"/>
    <cellStyle name="Финансовый 5 4 3 2 6 2" xfId="38075" xr:uid="{00000000-0005-0000-0000-000008B90000}"/>
    <cellStyle name="Финансовый 5 4 3 2 7" xfId="26098" xr:uid="{00000000-0005-0000-0000-000009B90000}"/>
    <cellStyle name="Финансовый 5 4 3 2 8" xfId="49231" xr:uid="{00000000-0005-0000-0000-00000AB90000}"/>
    <cellStyle name="Финансовый 5 4 3 3" xfId="1175" xr:uid="{00000000-0005-0000-0000-00000BB90000}"/>
    <cellStyle name="Финансовый 5 4 3 3 2" xfId="7215" xr:uid="{00000000-0005-0000-0000-00000CB90000}"/>
    <cellStyle name="Финансовый 5 4 3 3 2 2" xfId="19193" xr:uid="{00000000-0005-0000-0000-00000DB90000}"/>
    <cellStyle name="Финансовый 5 4 3 3 2 2 2" xfId="43148" xr:uid="{00000000-0005-0000-0000-00000EB90000}"/>
    <cellStyle name="Финансовый 5 4 3 3 2 3" xfId="31170" xr:uid="{00000000-0005-0000-0000-00000FB90000}"/>
    <cellStyle name="Финансовый 5 4 3 3 3" xfId="10754" xr:uid="{00000000-0005-0000-0000-000010B90000}"/>
    <cellStyle name="Финансовый 5 4 3 3 3 2" xfId="22732" xr:uid="{00000000-0005-0000-0000-000011B90000}"/>
    <cellStyle name="Финансовый 5 4 3 3 3 2 2" xfId="46687" xr:uid="{00000000-0005-0000-0000-000012B90000}"/>
    <cellStyle name="Финансовый 5 4 3 3 3 3" xfId="34709" xr:uid="{00000000-0005-0000-0000-000013B90000}"/>
    <cellStyle name="Финансовый 5 4 3 3 4" xfId="13156" xr:uid="{00000000-0005-0000-0000-000014B90000}"/>
    <cellStyle name="Финансовый 5 4 3 3 4 2" xfId="37111" xr:uid="{00000000-0005-0000-0000-000015B90000}"/>
    <cellStyle name="Финансовый 5 4 3 3 5" xfId="25134" xr:uid="{00000000-0005-0000-0000-000016B90000}"/>
    <cellStyle name="Финансовый 5 4 3 3 6" xfId="50047" xr:uid="{00000000-0005-0000-0000-000017B90000}"/>
    <cellStyle name="Финансовый 5 4 3 4" xfId="782" xr:uid="{00000000-0005-0000-0000-000018B90000}"/>
    <cellStyle name="Финансовый 5 4 3 4 2" xfId="6822" xr:uid="{00000000-0005-0000-0000-000019B90000}"/>
    <cellStyle name="Финансовый 5 4 3 4 2 2" xfId="18800" xr:uid="{00000000-0005-0000-0000-00001AB90000}"/>
    <cellStyle name="Финансовый 5 4 3 4 2 2 2" xfId="42755" xr:uid="{00000000-0005-0000-0000-00001BB90000}"/>
    <cellStyle name="Финансовый 5 4 3 4 2 3" xfId="30777" xr:uid="{00000000-0005-0000-0000-00001CB90000}"/>
    <cellStyle name="Финансовый 5 4 3 4 3" xfId="12763" xr:uid="{00000000-0005-0000-0000-00001DB90000}"/>
    <cellStyle name="Финансовый 5 4 3 4 3 2" xfId="36718" xr:uid="{00000000-0005-0000-0000-00001EB90000}"/>
    <cellStyle name="Финансовый 5 4 3 4 4" xfId="24741" xr:uid="{00000000-0005-0000-0000-00001FB90000}"/>
    <cellStyle name="Финансовый 5 4 3 5" xfId="2959" xr:uid="{00000000-0005-0000-0000-000020B90000}"/>
    <cellStyle name="Финансовый 5 4 3 5 2" xfId="14938" xr:uid="{00000000-0005-0000-0000-000021B90000}"/>
    <cellStyle name="Финансовый 5 4 3 5 2 2" xfId="38893" xr:uid="{00000000-0005-0000-0000-000022B90000}"/>
    <cellStyle name="Финансовый 5 4 3 5 3" xfId="26916" xr:uid="{00000000-0005-0000-0000-000023B90000}"/>
    <cellStyle name="Финансовый 5 4 3 6" xfId="4603" xr:uid="{00000000-0005-0000-0000-000024B90000}"/>
    <cellStyle name="Финансовый 5 4 3 6 2" xfId="16582" xr:uid="{00000000-0005-0000-0000-000025B90000}"/>
    <cellStyle name="Финансовый 5 4 3 6 2 2" xfId="40537" xr:uid="{00000000-0005-0000-0000-000026B90000}"/>
    <cellStyle name="Финансовый 5 4 3 6 3" xfId="28560" xr:uid="{00000000-0005-0000-0000-000027B90000}"/>
    <cellStyle name="Финансовый 5 4 3 7" xfId="6402" xr:uid="{00000000-0005-0000-0000-000028B90000}"/>
    <cellStyle name="Финансовый 5 4 3 7 2" xfId="18380" xr:uid="{00000000-0005-0000-0000-000029B90000}"/>
    <cellStyle name="Финансовый 5 4 3 7 2 2" xfId="42335" xr:uid="{00000000-0005-0000-0000-00002AB90000}"/>
    <cellStyle name="Финансовый 5 4 3 7 3" xfId="30357" xr:uid="{00000000-0005-0000-0000-00002BB90000}"/>
    <cellStyle name="Финансовый 5 4 3 8" xfId="8997" xr:uid="{00000000-0005-0000-0000-00002CB90000}"/>
    <cellStyle name="Финансовый 5 4 3 8 2" xfId="20975" xr:uid="{00000000-0005-0000-0000-00002DB90000}"/>
    <cellStyle name="Финансовый 5 4 3 8 2 2" xfId="44930" xr:uid="{00000000-0005-0000-0000-00002EB90000}"/>
    <cellStyle name="Финансовый 5 4 3 8 3" xfId="32952" xr:uid="{00000000-0005-0000-0000-00002FB90000}"/>
    <cellStyle name="Финансовый 5 4 3 9" xfId="12343" xr:uid="{00000000-0005-0000-0000-000030B90000}"/>
    <cellStyle name="Финансовый 5 4 3 9 2" xfId="36298" xr:uid="{00000000-0005-0000-0000-000031B90000}"/>
    <cellStyle name="Финансовый 5 4 4" xfId="1547" xr:uid="{00000000-0005-0000-0000-000032B90000}"/>
    <cellStyle name="Финансовый 5 4 4 2" xfId="1885" xr:uid="{00000000-0005-0000-0000-000033B90000}"/>
    <cellStyle name="Финансовый 5 4 4 2 2" xfId="3530" xr:uid="{00000000-0005-0000-0000-000034B90000}"/>
    <cellStyle name="Финансовый 5 4 4 2 2 2" xfId="11270" xr:uid="{00000000-0005-0000-0000-000035B90000}"/>
    <cellStyle name="Финансовый 5 4 4 2 2 2 2" xfId="23248" xr:uid="{00000000-0005-0000-0000-000036B90000}"/>
    <cellStyle name="Финансовый 5 4 4 2 2 2 2 2" xfId="47203" xr:uid="{00000000-0005-0000-0000-000037B90000}"/>
    <cellStyle name="Финансовый 5 4 4 2 2 2 3" xfId="35225" xr:uid="{00000000-0005-0000-0000-000038B90000}"/>
    <cellStyle name="Финансовый 5 4 4 2 2 3" xfId="15509" xr:uid="{00000000-0005-0000-0000-000039B90000}"/>
    <cellStyle name="Финансовый 5 4 4 2 2 3 2" xfId="39464" xr:uid="{00000000-0005-0000-0000-00003AB90000}"/>
    <cellStyle name="Финансовый 5 4 4 2 2 4" xfId="27487" xr:uid="{00000000-0005-0000-0000-00003BB90000}"/>
    <cellStyle name="Финансовый 5 4 4 2 2 5" xfId="50756" xr:uid="{00000000-0005-0000-0000-00003CB90000}"/>
    <cellStyle name="Финансовый 5 4 4 2 3" xfId="5313" xr:uid="{00000000-0005-0000-0000-00003DB90000}"/>
    <cellStyle name="Финансовый 5 4 4 2 3 2" xfId="17291" xr:uid="{00000000-0005-0000-0000-00003EB90000}"/>
    <cellStyle name="Финансовый 5 4 4 2 3 2 2" xfId="41246" xr:uid="{00000000-0005-0000-0000-00003FB90000}"/>
    <cellStyle name="Финансовый 5 4 4 2 3 3" xfId="29268" xr:uid="{00000000-0005-0000-0000-000040B90000}"/>
    <cellStyle name="Финансовый 5 4 4 2 4" xfId="7923" xr:uid="{00000000-0005-0000-0000-000041B90000}"/>
    <cellStyle name="Финансовый 5 4 4 2 4 2" xfId="19901" xr:uid="{00000000-0005-0000-0000-000042B90000}"/>
    <cellStyle name="Финансовый 5 4 4 2 4 2 2" xfId="43856" xr:uid="{00000000-0005-0000-0000-000043B90000}"/>
    <cellStyle name="Финансовый 5 4 4 2 4 3" xfId="31878" xr:uid="{00000000-0005-0000-0000-000044B90000}"/>
    <cellStyle name="Финансовый 5 4 4 2 5" xfId="9706" xr:uid="{00000000-0005-0000-0000-000045B90000}"/>
    <cellStyle name="Финансовый 5 4 4 2 5 2" xfId="21684" xr:uid="{00000000-0005-0000-0000-000046B90000}"/>
    <cellStyle name="Финансовый 5 4 4 2 5 2 2" xfId="45639" xr:uid="{00000000-0005-0000-0000-000047B90000}"/>
    <cellStyle name="Финансовый 5 4 4 2 5 3" xfId="33661" xr:uid="{00000000-0005-0000-0000-000048B90000}"/>
    <cellStyle name="Финансовый 5 4 4 2 6" xfId="13864" xr:uid="{00000000-0005-0000-0000-000049B90000}"/>
    <cellStyle name="Финансовый 5 4 4 2 6 2" xfId="37819" xr:uid="{00000000-0005-0000-0000-00004AB90000}"/>
    <cellStyle name="Финансовый 5 4 4 2 7" xfId="25842" xr:uid="{00000000-0005-0000-0000-00004BB90000}"/>
    <cellStyle name="Финансовый 5 4 4 2 8" xfId="48975" xr:uid="{00000000-0005-0000-0000-00004CB90000}"/>
    <cellStyle name="Финансовый 5 4 4 3" xfId="4975" xr:uid="{00000000-0005-0000-0000-00004DB90000}"/>
    <cellStyle name="Финансовый 5 4 4 3 2" xfId="16953" xr:uid="{00000000-0005-0000-0000-00004EB90000}"/>
    <cellStyle name="Финансовый 5 4 4 3 2 2" xfId="40908" xr:uid="{00000000-0005-0000-0000-00004FB90000}"/>
    <cellStyle name="Финансовый 5 4 4 3 3" xfId="28930" xr:uid="{00000000-0005-0000-0000-000050B90000}"/>
    <cellStyle name="Финансовый 5 4 4 3 4" xfId="50418" xr:uid="{00000000-0005-0000-0000-000051B90000}"/>
    <cellStyle name="Финансовый 5 4 4 4" xfId="7585" xr:uid="{00000000-0005-0000-0000-000052B90000}"/>
    <cellStyle name="Финансовый 5 4 4 4 2" xfId="19563" xr:uid="{00000000-0005-0000-0000-000053B90000}"/>
    <cellStyle name="Финансовый 5 4 4 4 2 2" xfId="43518" xr:uid="{00000000-0005-0000-0000-000054B90000}"/>
    <cellStyle name="Финансовый 5 4 4 4 3" xfId="31540" xr:uid="{00000000-0005-0000-0000-000055B90000}"/>
    <cellStyle name="Финансовый 5 4 4 5" xfId="9368" xr:uid="{00000000-0005-0000-0000-000056B90000}"/>
    <cellStyle name="Финансовый 5 4 4 5 2" xfId="21346" xr:uid="{00000000-0005-0000-0000-000057B90000}"/>
    <cellStyle name="Финансовый 5 4 4 5 2 2" xfId="45301" xr:uid="{00000000-0005-0000-0000-000058B90000}"/>
    <cellStyle name="Финансовый 5 4 4 5 3" xfId="33323" xr:uid="{00000000-0005-0000-0000-000059B90000}"/>
    <cellStyle name="Финансовый 5 4 4 6" xfId="13526" xr:uid="{00000000-0005-0000-0000-00005AB90000}"/>
    <cellStyle name="Финансовый 5 4 4 6 2" xfId="37481" xr:uid="{00000000-0005-0000-0000-00005BB90000}"/>
    <cellStyle name="Финансовый 5 4 4 7" xfId="25504" xr:uid="{00000000-0005-0000-0000-00005CB90000}"/>
    <cellStyle name="Финансовый 5 4 4 8" xfId="48637" xr:uid="{00000000-0005-0000-0000-00005DB90000}"/>
    <cellStyle name="Финансовый 5 4 5" xfId="1761" xr:uid="{00000000-0005-0000-0000-00005EB90000}"/>
    <cellStyle name="Финансовый 5 4 5 2" xfId="3406" xr:uid="{00000000-0005-0000-0000-00005FB90000}"/>
    <cellStyle name="Финансовый 5 4 5 2 2" xfId="11154" xr:uid="{00000000-0005-0000-0000-000060B90000}"/>
    <cellStyle name="Финансовый 5 4 5 2 2 2" xfId="23132" xr:uid="{00000000-0005-0000-0000-000061B90000}"/>
    <cellStyle name="Финансовый 5 4 5 2 2 2 2" xfId="47087" xr:uid="{00000000-0005-0000-0000-000062B90000}"/>
    <cellStyle name="Финансовый 5 4 5 2 2 3" xfId="35109" xr:uid="{00000000-0005-0000-0000-000063B90000}"/>
    <cellStyle name="Финансовый 5 4 5 2 3" xfId="15385" xr:uid="{00000000-0005-0000-0000-000064B90000}"/>
    <cellStyle name="Финансовый 5 4 5 2 3 2" xfId="39340" xr:uid="{00000000-0005-0000-0000-000065B90000}"/>
    <cellStyle name="Финансовый 5 4 5 2 4" xfId="27363" xr:uid="{00000000-0005-0000-0000-000066B90000}"/>
    <cellStyle name="Финансовый 5 4 5 2 5" xfId="50632" xr:uid="{00000000-0005-0000-0000-000067B90000}"/>
    <cellStyle name="Финансовый 5 4 5 3" xfId="5189" xr:uid="{00000000-0005-0000-0000-000068B90000}"/>
    <cellStyle name="Финансовый 5 4 5 3 2" xfId="17167" xr:uid="{00000000-0005-0000-0000-000069B90000}"/>
    <cellStyle name="Финансовый 5 4 5 3 2 2" xfId="41122" xr:uid="{00000000-0005-0000-0000-00006AB90000}"/>
    <cellStyle name="Финансовый 5 4 5 3 3" xfId="29144" xr:uid="{00000000-0005-0000-0000-00006BB90000}"/>
    <cellStyle name="Финансовый 5 4 5 4" xfId="7799" xr:uid="{00000000-0005-0000-0000-00006CB90000}"/>
    <cellStyle name="Финансовый 5 4 5 4 2" xfId="19777" xr:uid="{00000000-0005-0000-0000-00006DB90000}"/>
    <cellStyle name="Финансовый 5 4 5 4 2 2" xfId="43732" xr:uid="{00000000-0005-0000-0000-00006EB90000}"/>
    <cellStyle name="Финансовый 5 4 5 4 3" xfId="31754" xr:uid="{00000000-0005-0000-0000-00006FB90000}"/>
    <cellStyle name="Финансовый 5 4 5 5" xfId="9582" xr:uid="{00000000-0005-0000-0000-000070B90000}"/>
    <cellStyle name="Финансовый 5 4 5 5 2" xfId="21560" xr:uid="{00000000-0005-0000-0000-000071B90000}"/>
    <cellStyle name="Финансовый 5 4 5 5 2 2" xfId="45515" xr:uid="{00000000-0005-0000-0000-000072B90000}"/>
    <cellStyle name="Финансовый 5 4 5 5 3" xfId="33537" xr:uid="{00000000-0005-0000-0000-000073B90000}"/>
    <cellStyle name="Финансовый 5 4 5 6" xfId="13740" xr:uid="{00000000-0005-0000-0000-000074B90000}"/>
    <cellStyle name="Финансовый 5 4 5 6 2" xfId="37695" xr:uid="{00000000-0005-0000-0000-000075B90000}"/>
    <cellStyle name="Финансовый 5 4 5 7" xfId="25718" xr:uid="{00000000-0005-0000-0000-000076B90000}"/>
    <cellStyle name="Финансовый 5 4 5 8" xfId="48851" xr:uid="{00000000-0005-0000-0000-000077B90000}"/>
    <cellStyle name="Финансовый 5 4 6" xfId="2406" xr:uid="{00000000-0005-0000-0000-000078B90000}"/>
    <cellStyle name="Финансовый 5 4 6 2" xfId="4051" xr:uid="{00000000-0005-0000-0000-000079B90000}"/>
    <cellStyle name="Финансовый 5 4 6 2 2" xfId="11783" xr:uid="{00000000-0005-0000-0000-00007AB90000}"/>
    <cellStyle name="Финансовый 5 4 6 2 2 2" xfId="23761" xr:uid="{00000000-0005-0000-0000-00007BB90000}"/>
    <cellStyle name="Финансовый 5 4 6 2 2 2 2" xfId="47716" xr:uid="{00000000-0005-0000-0000-00007CB90000}"/>
    <cellStyle name="Финансовый 5 4 6 2 2 3" xfId="35738" xr:uid="{00000000-0005-0000-0000-00007DB90000}"/>
    <cellStyle name="Финансовый 5 4 6 2 3" xfId="16030" xr:uid="{00000000-0005-0000-0000-00007EB90000}"/>
    <cellStyle name="Финансовый 5 4 6 2 3 2" xfId="39985" xr:uid="{00000000-0005-0000-0000-00007FB90000}"/>
    <cellStyle name="Финансовый 5 4 6 2 4" xfId="28008" xr:uid="{00000000-0005-0000-0000-000080B90000}"/>
    <cellStyle name="Финансовый 5 4 6 2 5" xfId="51277" xr:uid="{00000000-0005-0000-0000-000081B90000}"/>
    <cellStyle name="Финансовый 5 4 6 3" xfId="5834" xr:uid="{00000000-0005-0000-0000-000082B90000}"/>
    <cellStyle name="Финансовый 5 4 6 3 2" xfId="17812" xr:uid="{00000000-0005-0000-0000-000083B90000}"/>
    <cellStyle name="Финансовый 5 4 6 3 2 2" xfId="41767" xr:uid="{00000000-0005-0000-0000-000084B90000}"/>
    <cellStyle name="Финансовый 5 4 6 3 3" xfId="29789" xr:uid="{00000000-0005-0000-0000-000085B90000}"/>
    <cellStyle name="Финансовый 5 4 6 4" xfId="8444" xr:uid="{00000000-0005-0000-0000-000086B90000}"/>
    <cellStyle name="Финансовый 5 4 6 4 2" xfId="20422" xr:uid="{00000000-0005-0000-0000-000087B90000}"/>
    <cellStyle name="Финансовый 5 4 6 4 2 2" xfId="44377" xr:uid="{00000000-0005-0000-0000-000088B90000}"/>
    <cellStyle name="Финансовый 5 4 6 4 3" xfId="32399" xr:uid="{00000000-0005-0000-0000-000089B90000}"/>
    <cellStyle name="Финансовый 5 4 6 5" xfId="10227" xr:uid="{00000000-0005-0000-0000-00008AB90000}"/>
    <cellStyle name="Финансовый 5 4 6 5 2" xfId="22205" xr:uid="{00000000-0005-0000-0000-00008BB90000}"/>
    <cellStyle name="Финансовый 5 4 6 5 2 2" xfId="46160" xr:uid="{00000000-0005-0000-0000-00008CB90000}"/>
    <cellStyle name="Финансовый 5 4 6 5 3" xfId="34182" xr:uid="{00000000-0005-0000-0000-00008DB90000}"/>
    <cellStyle name="Финансовый 5 4 6 6" xfId="14385" xr:uid="{00000000-0005-0000-0000-00008EB90000}"/>
    <cellStyle name="Финансовый 5 4 6 6 2" xfId="38340" xr:uid="{00000000-0005-0000-0000-00008FB90000}"/>
    <cellStyle name="Финансовый 5 4 6 7" xfId="26363" xr:uid="{00000000-0005-0000-0000-000090B90000}"/>
    <cellStyle name="Финансовый 5 4 6 8" xfId="49496" xr:uid="{00000000-0005-0000-0000-000091B90000}"/>
    <cellStyle name="Финансовый 5 4 7" xfId="1633" xr:uid="{00000000-0005-0000-0000-000092B90000}"/>
    <cellStyle name="Финансовый 5 4 7 2" xfId="3278" xr:uid="{00000000-0005-0000-0000-000093B90000}"/>
    <cellStyle name="Финансовый 5 4 7 2 2" xfId="11026" xr:uid="{00000000-0005-0000-0000-000094B90000}"/>
    <cellStyle name="Финансовый 5 4 7 2 2 2" xfId="23004" xr:uid="{00000000-0005-0000-0000-000095B90000}"/>
    <cellStyle name="Финансовый 5 4 7 2 2 2 2" xfId="46959" xr:uid="{00000000-0005-0000-0000-000096B90000}"/>
    <cellStyle name="Финансовый 5 4 7 2 2 3" xfId="34981" xr:uid="{00000000-0005-0000-0000-000097B90000}"/>
    <cellStyle name="Финансовый 5 4 7 2 3" xfId="15257" xr:uid="{00000000-0005-0000-0000-000098B90000}"/>
    <cellStyle name="Финансовый 5 4 7 2 3 2" xfId="39212" xr:uid="{00000000-0005-0000-0000-000099B90000}"/>
    <cellStyle name="Финансовый 5 4 7 2 4" xfId="27235" xr:uid="{00000000-0005-0000-0000-00009AB90000}"/>
    <cellStyle name="Финансовый 5 4 7 2 5" xfId="50504" xr:uid="{00000000-0005-0000-0000-00009BB90000}"/>
    <cellStyle name="Финансовый 5 4 7 3" xfId="5061" xr:uid="{00000000-0005-0000-0000-00009CB90000}"/>
    <cellStyle name="Финансовый 5 4 7 3 2" xfId="17039" xr:uid="{00000000-0005-0000-0000-00009DB90000}"/>
    <cellStyle name="Финансовый 5 4 7 3 2 2" xfId="40994" xr:uid="{00000000-0005-0000-0000-00009EB90000}"/>
    <cellStyle name="Финансовый 5 4 7 3 3" xfId="29016" xr:uid="{00000000-0005-0000-0000-00009FB90000}"/>
    <cellStyle name="Финансовый 5 4 7 4" xfId="7671" xr:uid="{00000000-0005-0000-0000-0000A0B90000}"/>
    <cellStyle name="Финансовый 5 4 7 4 2" xfId="19649" xr:uid="{00000000-0005-0000-0000-0000A1B90000}"/>
    <cellStyle name="Финансовый 5 4 7 4 2 2" xfId="43604" xr:uid="{00000000-0005-0000-0000-0000A2B90000}"/>
    <cellStyle name="Финансовый 5 4 7 4 3" xfId="31626" xr:uid="{00000000-0005-0000-0000-0000A3B90000}"/>
    <cellStyle name="Финансовый 5 4 7 5" xfId="9454" xr:uid="{00000000-0005-0000-0000-0000A4B90000}"/>
    <cellStyle name="Финансовый 5 4 7 5 2" xfId="21432" xr:uid="{00000000-0005-0000-0000-0000A5B90000}"/>
    <cellStyle name="Финансовый 5 4 7 5 2 2" xfId="45387" xr:uid="{00000000-0005-0000-0000-0000A6B90000}"/>
    <cellStyle name="Финансовый 5 4 7 5 3" xfId="33409" xr:uid="{00000000-0005-0000-0000-0000A7B90000}"/>
    <cellStyle name="Финансовый 5 4 7 6" xfId="13612" xr:uid="{00000000-0005-0000-0000-0000A8B90000}"/>
    <cellStyle name="Финансовый 5 4 7 6 2" xfId="37567" xr:uid="{00000000-0005-0000-0000-0000A9B90000}"/>
    <cellStyle name="Финансовый 5 4 7 7" xfId="25590" xr:uid="{00000000-0005-0000-0000-0000AAB90000}"/>
    <cellStyle name="Финансовый 5 4 7 8" xfId="48723" xr:uid="{00000000-0005-0000-0000-0000ABB90000}"/>
    <cellStyle name="Финансовый 5 4 8" xfId="910" xr:uid="{00000000-0005-0000-0000-0000ACB90000}"/>
    <cellStyle name="Финансовый 5 4 8 2" xfId="6950" xr:uid="{00000000-0005-0000-0000-0000ADB90000}"/>
    <cellStyle name="Финансовый 5 4 8 2 2" xfId="18928" xr:uid="{00000000-0005-0000-0000-0000AEB90000}"/>
    <cellStyle name="Финансовый 5 4 8 2 2 2" xfId="42883" xr:uid="{00000000-0005-0000-0000-0000AFB90000}"/>
    <cellStyle name="Финансовый 5 4 8 2 3" xfId="30905" xr:uid="{00000000-0005-0000-0000-0000B0B90000}"/>
    <cellStyle name="Финансовый 5 4 8 3" xfId="10498" xr:uid="{00000000-0005-0000-0000-0000B1B90000}"/>
    <cellStyle name="Финансовый 5 4 8 3 2" xfId="22476" xr:uid="{00000000-0005-0000-0000-0000B2B90000}"/>
    <cellStyle name="Финансовый 5 4 8 3 2 2" xfId="46431" xr:uid="{00000000-0005-0000-0000-0000B3B90000}"/>
    <cellStyle name="Финансовый 5 4 8 3 3" xfId="34453" xr:uid="{00000000-0005-0000-0000-0000B4B90000}"/>
    <cellStyle name="Финансовый 5 4 8 4" xfId="12891" xr:uid="{00000000-0005-0000-0000-0000B5B90000}"/>
    <cellStyle name="Финансовый 5 4 8 4 2" xfId="36846" xr:uid="{00000000-0005-0000-0000-0000B6B90000}"/>
    <cellStyle name="Финансовый 5 4 8 5" xfId="24869" xr:uid="{00000000-0005-0000-0000-0000B7B90000}"/>
    <cellStyle name="Финансовый 5 4 8 6" xfId="49775" xr:uid="{00000000-0005-0000-0000-0000B8B90000}"/>
    <cellStyle name="Финансовый 5 4 9" xfId="498" xr:uid="{00000000-0005-0000-0000-0000B9B90000}"/>
    <cellStyle name="Финансовый 5 4 9 2" xfId="6538" xr:uid="{00000000-0005-0000-0000-0000BAB90000}"/>
    <cellStyle name="Финансовый 5 4 9 2 2" xfId="18516" xr:uid="{00000000-0005-0000-0000-0000BBB90000}"/>
    <cellStyle name="Финансовый 5 4 9 2 2 2" xfId="42471" xr:uid="{00000000-0005-0000-0000-0000BCB90000}"/>
    <cellStyle name="Финансовый 5 4 9 2 3" xfId="30493" xr:uid="{00000000-0005-0000-0000-0000BDB90000}"/>
    <cellStyle name="Финансовый 5 4 9 3" xfId="12479" xr:uid="{00000000-0005-0000-0000-0000BEB90000}"/>
    <cellStyle name="Финансовый 5 4 9 3 2" xfId="36434" xr:uid="{00000000-0005-0000-0000-0000BFB90000}"/>
    <cellStyle name="Финансовый 5 4 9 4" xfId="24457" xr:uid="{00000000-0005-0000-0000-0000C0B90000}"/>
    <cellStyle name="Финансовый 5 5" xfId="55" xr:uid="{00000000-0005-0000-0000-0000C1B90000}"/>
    <cellStyle name="Финансовый 5 5 10" xfId="2667" xr:uid="{00000000-0005-0000-0000-0000C2B90000}"/>
    <cellStyle name="Финансовый 5 5 10 2" xfId="14646" xr:uid="{00000000-0005-0000-0000-0000C3B90000}"/>
    <cellStyle name="Финансовый 5 5 10 2 2" xfId="38601" xr:uid="{00000000-0005-0000-0000-0000C4B90000}"/>
    <cellStyle name="Финансовый 5 5 10 3" xfId="26624" xr:uid="{00000000-0005-0000-0000-0000C5B90000}"/>
    <cellStyle name="Финансовый 5 5 11" xfId="4310" xr:uid="{00000000-0005-0000-0000-0000C6B90000}"/>
    <cellStyle name="Финансовый 5 5 11 2" xfId="16289" xr:uid="{00000000-0005-0000-0000-0000C7B90000}"/>
    <cellStyle name="Финансовый 5 5 11 2 2" xfId="40244" xr:uid="{00000000-0005-0000-0000-0000C8B90000}"/>
    <cellStyle name="Финансовый 5 5 11 3" xfId="28267" xr:uid="{00000000-0005-0000-0000-0000C9B90000}"/>
    <cellStyle name="Финансовый 5 5 12" xfId="6098" xr:uid="{00000000-0005-0000-0000-0000CAB90000}"/>
    <cellStyle name="Финансовый 5 5 12 2" xfId="18076" xr:uid="{00000000-0005-0000-0000-0000CBB90000}"/>
    <cellStyle name="Финансовый 5 5 12 2 2" xfId="42031" xr:uid="{00000000-0005-0000-0000-0000CCB90000}"/>
    <cellStyle name="Финансовый 5 5 12 3" xfId="30053" xr:uid="{00000000-0005-0000-0000-0000CDB90000}"/>
    <cellStyle name="Финансовый 5 5 13" xfId="8705" xr:uid="{00000000-0005-0000-0000-0000CEB90000}"/>
    <cellStyle name="Финансовый 5 5 13 2" xfId="20683" xr:uid="{00000000-0005-0000-0000-0000CFB90000}"/>
    <cellStyle name="Финансовый 5 5 13 2 2" xfId="44638" xr:uid="{00000000-0005-0000-0000-0000D0B90000}"/>
    <cellStyle name="Финансовый 5 5 13 3" xfId="32660" xr:uid="{00000000-0005-0000-0000-0000D1B90000}"/>
    <cellStyle name="Финансовый 5 5 14" xfId="12039" xr:uid="{00000000-0005-0000-0000-0000D2B90000}"/>
    <cellStyle name="Финансовый 5 5 14 2" xfId="35994" xr:uid="{00000000-0005-0000-0000-0000D3B90000}"/>
    <cellStyle name="Финансовый 5 5 15" xfId="24017" xr:uid="{00000000-0005-0000-0000-0000D4B90000}"/>
    <cellStyle name="Финансовый 5 5 16" xfId="47975" xr:uid="{00000000-0005-0000-0000-0000D5B90000}"/>
    <cellStyle name="Финансовый 5 5 2" xfId="193" xr:uid="{00000000-0005-0000-0000-0000D6B90000}"/>
    <cellStyle name="Финансовый 5 5 2 10" xfId="8841" xr:uid="{00000000-0005-0000-0000-0000D7B90000}"/>
    <cellStyle name="Финансовый 5 5 2 10 2" xfId="20819" xr:uid="{00000000-0005-0000-0000-0000D8B90000}"/>
    <cellStyle name="Финансовый 5 5 2 10 2 2" xfId="44774" xr:uid="{00000000-0005-0000-0000-0000D9B90000}"/>
    <cellStyle name="Финансовый 5 5 2 10 3" xfId="32796" xr:uid="{00000000-0005-0000-0000-0000DAB90000}"/>
    <cellStyle name="Финансовый 5 5 2 11" xfId="12175" xr:uid="{00000000-0005-0000-0000-0000DBB90000}"/>
    <cellStyle name="Финансовый 5 5 2 11 2" xfId="36130" xr:uid="{00000000-0005-0000-0000-0000DCB90000}"/>
    <cellStyle name="Финансовый 5 5 2 12" xfId="24153" xr:uid="{00000000-0005-0000-0000-0000DDB90000}"/>
    <cellStyle name="Финансовый 5 5 2 13" xfId="48111" xr:uid="{00000000-0005-0000-0000-0000DEB90000}"/>
    <cellStyle name="Финансовый 5 5 2 2" xfId="1291" xr:uid="{00000000-0005-0000-0000-0000DFB90000}"/>
    <cellStyle name="Финансовый 5 5 2 2 2" xfId="2257" xr:uid="{00000000-0005-0000-0000-0000E0B90000}"/>
    <cellStyle name="Финансовый 5 5 2 2 2 2" xfId="3902" xr:uid="{00000000-0005-0000-0000-0000E1B90000}"/>
    <cellStyle name="Финансовый 5 5 2 2 2 2 2" xfId="11642" xr:uid="{00000000-0005-0000-0000-0000E2B90000}"/>
    <cellStyle name="Финансовый 5 5 2 2 2 2 2 2" xfId="23620" xr:uid="{00000000-0005-0000-0000-0000E3B90000}"/>
    <cellStyle name="Финансовый 5 5 2 2 2 2 2 2 2" xfId="47575" xr:uid="{00000000-0005-0000-0000-0000E4B90000}"/>
    <cellStyle name="Финансовый 5 5 2 2 2 2 2 3" xfId="35597" xr:uid="{00000000-0005-0000-0000-0000E5B90000}"/>
    <cellStyle name="Финансовый 5 5 2 2 2 2 3" xfId="15881" xr:uid="{00000000-0005-0000-0000-0000E6B90000}"/>
    <cellStyle name="Финансовый 5 5 2 2 2 2 3 2" xfId="39836" xr:uid="{00000000-0005-0000-0000-0000E7B90000}"/>
    <cellStyle name="Финансовый 5 5 2 2 2 2 4" xfId="27859" xr:uid="{00000000-0005-0000-0000-0000E8B90000}"/>
    <cellStyle name="Финансовый 5 5 2 2 2 2 5" xfId="51128" xr:uid="{00000000-0005-0000-0000-0000E9B90000}"/>
    <cellStyle name="Финансовый 5 5 2 2 2 3" xfId="5685" xr:uid="{00000000-0005-0000-0000-0000EAB90000}"/>
    <cellStyle name="Финансовый 5 5 2 2 2 3 2" xfId="17663" xr:uid="{00000000-0005-0000-0000-0000EBB90000}"/>
    <cellStyle name="Финансовый 5 5 2 2 2 3 2 2" xfId="41618" xr:uid="{00000000-0005-0000-0000-0000ECB90000}"/>
    <cellStyle name="Финансовый 5 5 2 2 2 3 3" xfId="29640" xr:uid="{00000000-0005-0000-0000-0000EDB90000}"/>
    <cellStyle name="Финансовый 5 5 2 2 2 4" xfId="8295" xr:uid="{00000000-0005-0000-0000-0000EEB90000}"/>
    <cellStyle name="Финансовый 5 5 2 2 2 4 2" xfId="20273" xr:uid="{00000000-0005-0000-0000-0000EFB90000}"/>
    <cellStyle name="Финансовый 5 5 2 2 2 4 2 2" xfId="44228" xr:uid="{00000000-0005-0000-0000-0000F0B90000}"/>
    <cellStyle name="Финансовый 5 5 2 2 2 4 3" xfId="32250" xr:uid="{00000000-0005-0000-0000-0000F1B90000}"/>
    <cellStyle name="Финансовый 5 5 2 2 2 5" xfId="10078" xr:uid="{00000000-0005-0000-0000-0000F2B90000}"/>
    <cellStyle name="Финансовый 5 5 2 2 2 5 2" xfId="22056" xr:uid="{00000000-0005-0000-0000-0000F3B90000}"/>
    <cellStyle name="Финансовый 5 5 2 2 2 5 2 2" xfId="46011" xr:uid="{00000000-0005-0000-0000-0000F4B90000}"/>
    <cellStyle name="Финансовый 5 5 2 2 2 5 3" xfId="34033" xr:uid="{00000000-0005-0000-0000-0000F5B90000}"/>
    <cellStyle name="Финансовый 5 5 2 2 2 6" xfId="14236" xr:uid="{00000000-0005-0000-0000-0000F6B90000}"/>
    <cellStyle name="Финансовый 5 5 2 2 2 6 2" xfId="38191" xr:uid="{00000000-0005-0000-0000-0000F7B90000}"/>
    <cellStyle name="Финансовый 5 5 2 2 2 7" xfId="26214" xr:uid="{00000000-0005-0000-0000-0000F8B90000}"/>
    <cellStyle name="Финансовый 5 5 2 2 2 8" xfId="49347" xr:uid="{00000000-0005-0000-0000-0000F9B90000}"/>
    <cellStyle name="Финансовый 5 5 2 2 3" xfId="3075" xr:uid="{00000000-0005-0000-0000-0000FAB90000}"/>
    <cellStyle name="Финансовый 5 5 2 2 3 2" xfId="10870" xr:uid="{00000000-0005-0000-0000-0000FBB90000}"/>
    <cellStyle name="Финансовый 5 5 2 2 3 2 2" xfId="22848" xr:uid="{00000000-0005-0000-0000-0000FCB90000}"/>
    <cellStyle name="Финансовый 5 5 2 2 3 2 2 2" xfId="46803" xr:uid="{00000000-0005-0000-0000-0000FDB90000}"/>
    <cellStyle name="Финансовый 5 5 2 2 3 2 3" xfId="34825" xr:uid="{00000000-0005-0000-0000-0000FEB90000}"/>
    <cellStyle name="Финансовый 5 5 2 2 3 3" xfId="15054" xr:uid="{00000000-0005-0000-0000-0000FFB90000}"/>
    <cellStyle name="Финансовый 5 5 2 2 3 3 2" xfId="39009" xr:uid="{00000000-0005-0000-0000-000000BA0000}"/>
    <cellStyle name="Финансовый 5 5 2 2 3 4" xfId="27032" xr:uid="{00000000-0005-0000-0000-000001BA0000}"/>
    <cellStyle name="Финансовый 5 5 2 2 3 5" xfId="50163" xr:uid="{00000000-0005-0000-0000-000002BA0000}"/>
    <cellStyle name="Финансовый 5 5 2 2 4" xfId="4719" xr:uid="{00000000-0005-0000-0000-000003BA0000}"/>
    <cellStyle name="Финансовый 5 5 2 2 4 2" xfId="16698" xr:uid="{00000000-0005-0000-0000-000004BA0000}"/>
    <cellStyle name="Финансовый 5 5 2 2 4 2 2" xfId="40653" xr:uid="{00000000-0005-0000-0000-000005BA0000}"/>
    <cellStyle name="Финансовый 5 5 2 2 4 3" xfId="28676" xr:uid="{00000000-0005-0000-0000-000006BA0000}"/>
    <cellStyle name="Финансовый 5 5 2 2 5" xfId="7331" xr:uid="{00000000-0005-0000-0000-000007BA0000}"/>
    <cellStyle name="Финансовый 5 5 2 2 5 2" xfId="19309" xr:uid="{00000000-0005-0000-0000-000008BA0000}"/>
    <cellStyle name="Финансовый 5 5 2 2 5 2 2" xfId="43264" xr:uid="{00000000-0005-0000-0000-000009BA0000}"/>
    <cellStyle name="Финансовый 5 5 2 2 5 3" xfId="31286" xr:uid="{00000000-0005-0000-0000-00000ABA0000}"/>
    <cellStyle name="Финансовый 5 5 2 2 6" xfId="9113" xr:uid="{00000000-0005-0000-0000-00000BBA0000}"/>
    <cellStyle name="Финансовый 5 5 2 2 6 2" xfId="21091" xr:uid="{00000000-0005-0000-0000-00000CBA0000}"/>
    <cellStyle name="Финансовый 5 5 2 2 6 2 2" xfId="45046" xr:uid="{00000000-0005-0000-0000-00000DBA0000}"/>
    <cellStyle name="Финансовый 5 5 2 2 6 3" xfId="33068" xr:uid="{00000000-0005-0000-0000-00000EBA0000}"/>
    <cellStyle name="Финансовый 5 5 2 2 7" xfId="13272" xr:uid="{00000000-0005-0000-0000-00000FBA0000}"/>
    <cellStyle name="Финансовый 5 5 2 2 7 2" xfId="37227" xr:uid="{00000000-0005-0000-0000-000010BA0000}"/>
    <cellStyle name="Финансовый 5 5 2 2 8" xfId="25250" xr:uid="{00000000-0005-0000-0000-000011BA0000}"/>
    <cellStyle name="Финансовый 5 5 2 2 9" xfId="48383" xr:uid="{00000000-0005-0000-0000-000012BA0000}"/>
    <cellStyle name="Финансовый 5 5 2 3" xfId="2001" xr:uid="{00000000-0005-0000-0000-000013BA0000}"/>
    <cellStyle name="Финансовый 5 5 2 3 2" xfId="3646" xr:uid="{00000000-0005-0000-0000-000014BA0000}"/>
    <cellStyle name="Финансовый 5 5 2 3 2 2" xfId="11386" xr:uid="{00000000-0005-0000-0000-000015BA0000}"/>
    <cellStyle name="Финансовый 5 5 2 3 2 2 2" xfId="23364" xr:uid="{00000000-0005-0000-0000-000016BA0000}"/>
    <cellStyle name="Финансовый 5 5 2 3 2 2 2 2" xfId="47319" xr:uid="{00000000-0005-0000-0000-000017BA0000}"/>
    <cellStyle name="Финансовый 5 5 2 3 2 2 3" xfId="35341" xr:uid="{00000000-0005-0000-0000-000018BA0000}"/>
    <cellStyle name="Финансовый 5 5 2 3 2 3" xfId="15625" xr:uid="{00000000-0005-0000-0000-000019BA0000}"/>
    <cellStyle name="Финансовый 5 5 2 3 2 3 2" xfId="39580" xr:uid="{00000000-0005-0000-0000-00001ABA0000}"/>
    <cellStyle name="Финансовый 5 5 2 3 2 4" xfId="27603" xr:uid="{00000000-0005-0000-0000-00001BBA0000}"/>
    <cellStyle name="Финансовый 5 5 2 3 2 5" xfId="50872" xr:uid="{00000000-0005-0000-0000-00001CBA0000}"/>
    <cellStyle name="Финансовый 5 5 2 3 3" xfId="5429" xr:uid="{00000000-0005-0000-0000-00001DBA0000}"/>
    <cellStyle name="Финансовый 5 5 2 3 3 2" xfId="17407" xr:uid="{00000000-0005-0000-0000-00001EBA0000}"/>
    <cellStyle name="Финансовый 5 5 2 3 3 2 2" xfId="41362" xr:uid="{00000000-0005-0000-0000-00001FBA0000}"/>
    <cellStyle name="Финансовый 5 5 2 3 3 3" xfId="29384" xr:uid="{00000000-0005-0000-0000-000020BA0000}"/>
    <cellStyle name="Финансовый 5 5 2 3 4" xfId="8039" xr:uid="{00000000-0005-0000-0000-000021BA0000}"/>
    <cellStyle name="Финансовый 5 5 2 3 4 2" xfId="20017" xr:uid="{00000000-0005-0000-0000-000022BA0000}"/>
    <cellStyle name="Финансовый 5 5 2 3 4 2 2" xfId="43972" xr:uid="{00000000-0005-0000-0000-000023BA0000}"/>
    <cellStyle name="Финансовый 5 5 2 3 4 3" xfId="31994" xr:uid="{00000000-0005-0000-0000-000024BA0000}"/>
    <cellStyle name="Финансовый 5 5 2 3 5" xfId="9822" xr:uid="{00000000-0005-0000-0000-000025BA0000}"/>
    <cellStyle name="Финансовый 5 5 2 3 5 2" xfId="21800" xr:uid="{00000000-0005-0000-0000-000026BA0000}"/>
    <cellStyle name="Финансовый 5 5 2 3 5 2 2" xfId="45755" xr:uid="{00000000-0005-0000-0000-000027BA0000}"/>
    <cellStyle name="Финансовый 5 5 2 3 5 3" xfId="33777" xr:uid="{00000000-0005-0000-0000-000028BA0000}"/>
    <cellStyle name="Финансовый 5 5 2 3 6" xfId="13980" xr:uid="{00000000-0005-0000-0000-000029BA0000}"/>
    <cellStyle name="Финансовый 5 5 2 3 6 2" xfId="37935" xr:uid="{00000000-0005-0000-0000-00002ABA0000}"/>
    <cellStyle name="Финансовый 5 5 2 3 7" xfId="25958" xr:uid="{00000000-0005-0000-0000-00002BBA0000}"/>
    <cellStyle name="Финансовый 5 5 2 3 8" xfId="49091" xr:uid="{00000000-0005-0000-0000-00002CBA0000}"/>
    <cellStyle name="Финансовый 5 5 2 4" xfId="2522" xr:uid="{00000000-0005-0000-0000-00002DBA0000}"/>
    <cellStyle name="Финансовый 5 5 2 4 2" xfId="4167" xr:uid="{00000000-0005-0000-0000-00002EBA0000}"/>
    <cellStyle name="Финансовый 5 5 2 4 2 2" xfId="11899" xr:uid="{00000000-0005-0000-0000-00002FBA0000}"/>
    <cellStyle name="Финансовый 5 5 2 4 2 2 2" xfId="23877" xr:uid="{00000000-0005-0000-0000-000030BA0000}"/>
    <cellStyle name="Финансовый 5 5 2 4 2 2 2 2" xfId="47832" xr:uid="{00000000-0005-0000-0000-000031BA0000}"/>
    <cellStyle name="Финансовый 5 5 2 4 2 2 3" xfId="35854" xr:uid="{00000000-0005-0000-0000-000032BA0000}"/>
    <cellStyle name="Финансовый 5 5 2 4 2 3" xfId="16146" xr:uid="{00000000-0005-0000-0000-000033BA0000}"/>
    <cellStyle name="Финансовый 5 5 2 4 2 3 2" xfId="40101" xr:uid="{00000000-0005-0000-0000-000034BA0000}"/>
    <cellStyle name="Финансовый 5 5 2 4 2 4" xfId="28124" xr:uid="{00000000-0005-0000-0000-000035BA0000}"/>
    <cellStyle name="Финансовый 5 5 2 4 2 5" xfId="51393" xr:uid="{00000000-0005-0000-0000-000036BA0000}"/>
    <cellStyle name="Финансовый 5 5 2 4 3" xfId="5950" xr:uid="{00000000-0005-0000-0000-000037BA0000}"/>
    <cellStyle name="Финансовый 5 5 2 4 3 2" xfId="17928" xr:uid="{00000000-0005-0000-0000-000038BA0000}"/>
    <cellStyle name="Финансовый 5 5 2 4 3 2 2" xfId="41883" xr:uid="{00000000-0005-0000-0000-000039BA0000}"/>
    <cellStyle name="Финансовый 5 5 2 4 3 3" xfId="29905" xr:uid="{00000000-0005-0000-0000-00003ABA0000}"/>
    <cellStyle name="Финансовый 5 5 2 4 4" xfId="8560" xr:uid="{00000000-0005-0000-0000-00003BBA0000}"/>
    <cellStyle name="Финансовый 5 5 2 4 4 2" xfId="20538" xr:uid="{00000000-0005-0000-0000-00003CBA0000}"/>
    <cellStyle name="Финансовый 5 5 2 4 4 2 2" xfId="44493" xr:uid="{00000000-0005-0000-0000-00003DBA0000}"/>
    <cellStyle name="Финансовый 5 5 2 4 4 3" xfId="32515" xr:uid="{00000000-0005-0000-0000-00003EBA0000}"/>
    <cellStyle name="Финансовый 5 5 2 4 5" xfId="10343" xr:uid="{00000000-0005-0000-0000-00003FBA0000}"/>
    <cellStyle name="Финансовый 5 5 2 4 5 2" xfId="22321" xr:uid="{00000000-0005-0000-0000-000040BA0000}"/>
    <cellStyle name="Финансовый 5 5 2 4 5 2 2" xfId="46276" xr:uid="{00000000-0005-0000-0000-000041BA0000}"/>
    <cellStyle name="Финансовый 5 5 2 4 5 3" xfId="34298" xr:uid="{00000000-0005-0000-0000-000042BA0000}"/>
    <cellStyle name="Финансовый 5 5 2 4 6" xfId="14501" xr:uid="{00000000-0005-0000-0000-000043BA0000}"/>
    <cellStyle name="Финансовый 5 5 2 4 6 2" xfId="38456" xr:uid="{00000000-0005-0000-0000-000044BA0000}"/>
    <cellStyle name="Финансовый 5 5 2 4 7" xfId="26479" xr:uid="{00000000-0005-0000-0000-000045BA0000}"/>
    <cellStyle name="Финансовый 5 5 2 4 8" xfId="49612" xr:uid="{00000000-0005-0000-0000-000046BA0000}"/>
    <cellStyle name="Финансовый 5 5 2 5" xfId="1026" xr:uid="{00000000-0005-0000-0000-000047BA0000}"/>
    <cellStyle name="Финансовый 5 5 2 5 2" xfId="7066" xr:uid="{00000000-0005-0000-0000-000048BA0000}"/>
    <cellStyle name="Финансовый 5 5 2 5 2 2" xfId="19044" xr:uid="{00000000-0005-0000-0000-000049BA0000}"/>
    <cellStyle name="Финансовый 5 5 2 5 2 2 2" xfId="42999" xr:uid="{00000000-0005-0000-0000-00004ABA0000}"/>
    <cellStyle name="Финансовый 5 5 2 5 2 3" xfId="31021" xr:uid="{00000000-0005-0000-0000-00004BBA0000}"/>
    <cellStyle name="Финансовый 5 5 2 5 3" xfId="10614" xr:uid="{00000000-0005-0000-0000-00004CBA0000}"/>
    <cellStyle name="Финансовый 5 5 2 5 3 2" xfId="22592" xr:uid="{00000000-0005-0000-0000-00004DBA0000}"/>
    <cellStyle name="Финансовый 5 5 2 5 3 2 2" xfId="46547" xr:uid="{00000000-0005-0000-0000-00004EBA0000}"/>
    <cellStyle name="Финансовый 5 5 2 5 3 3" xfId="34569" xr:uid="{00000000-0005-0000-0000-00004FBA0000}"/>
    <cellStyle name="Финансовый 5 5 2 5 4" xfId="13007" xr:uid="{00000000-0005-0000-0000-000050BA0000}"/>
    <cellStyle name="Финансовый 5 5 2 5 4 2" xfId="36962" xr:uid="{00000000-0005-0000-0000-000051BA0000}"/>
    <cellStyle name="Финансовый 5 5 2 5 5" xfId="24985" xr:uid="{00000000-0005-0000-0000-000052BA0000}"/>
    <cellStyle name="Финансовый 5 5 2 5 6" xfId="49891" xr:uid="{00000000-0005-0000-0000-000053BA0000}"/>
    <cellStyle name="Финансовый 5 5 2 6" xfId="614" xr:uid="{00000000-0005-0000-0000-000054BA0000}"/>
    <cellStyle name="Финансовый 5 5 2 6 2" xfId="6654" xr:uid="{00000000-0005-0000-0000-000055BA0000}"/>
    <cellStyle name="Финансовый 5 5 2 6 2 2" xfId="18632" xr:uid="{00000000-0005-0000-0000-000056BA0000}"/>
    <cellStyle name="Финансовый 5 5 2 6 2 2 2" xfId="42587" xr:uid="{00000000-0005-0000-0000-000057BA0000}"/>
    <cellStyle name="Финансовый 5 5 2 6 2 3" xfId="30609" xr:uid="{00000000-0005-0000-0000-000058BA0000}"/>
    <cellStyle name="Финансовый 5 5 2 6 3" xfId="12595" xr:uid="{00000000-0005-0000-0000-000059BA0000}"/>
    <cellStyle name="Финансовый 5 5 2 6 3 2" xfId="36550" xr:uid="{00000000-0005-0000-0000-00005ABA0000}"/>
    <cellStyle name="Финансовый 5 5 2 6 4" xfId="24573" xr:uid="{00000000-0005-0000-0000-00005BBA0000}"/>
    <cellStyle name="Финансовый 5 5 2 7" xfId="2803" xr:uid="{00000000-0005-0000-0000-00005CBA0000}"/>
    <cellStyle name="Финансовый 5 5 2 7 2" xfId="14782" xr:uid="{00000000-0005-0000-0000-00005DBA0000}"/>
    <cellStyle name="Финансовый 5 5 2 7 2 2" xfId="38737" xr:uid="{00000000-0005-0000-0000-00005EBA0000}"/>
    <cellStyle name="Финансовый 5 5 2 7 3" xfId="26760" xr:uid="{00000000-0005-0000-0000-00005FBA0000}"/>
    <cellStyle name="Финансовый 5 5 2 8" xfId="4447" xr:uid="{00000000-0005-0000-0000-000060BA0000}"/>
    <cellStyle name="Финансовый 5 5 2 8 2" xfId="16426" xr:uid="{00000000-0005-0000-0000-000061BA0000}"/>
    <cellStyle name="Финансовый 5 5 2 8 2 2" xfId="40381" xr:uid="{00000000-0005-0000-0000-000062BA0000}"/>
    <cellStyle name="Финансовый 5 5 2 8 3" xfId="28404" xr:uid="{00000000-0005-0000-0000-000063BA0000}"/>
    <cellStyle name="Финансовый 5 5 2 9" xfId="6234" xr:uid="{00000000-0005-0000-0000-000064BA0000}"/>
    <cellStyle name="Финансовый 5 5 2 9 2" xfId="18212" xr:uid="{00000000-0005-0000-0000-000065BA0000}"/>
    <cellStyle name="Финансовый 5 5 2 9 2 2" xfId="42167" xr:uid="{00000000-0005-0000-0000-000066BA0000}"/>
    <cellStyle name="Финансовый 5 5 2 9 3" xfId="30189" xr:uid="{00000000-0005-0000-0000-000067BA0000}"/>
    <cellStyle name="Финансовый 5 5 3" xfId="342" xr:uid="{00000000-0005-0000-0000-000068BA0000}"/>
    <cellStyle name="Финансовый 5 5 3 10" xfId="24301" xr:uid="{00000000-0005-0000-0000-000069BA0000}"/>
    <cellStyle name="Финансовый 5 5 3 11" xfId="48247" xr:uid="{00000000-0005-0000-0000-00006ABA0000}"/>
    <cellStyle name="Финансовый 5 5 3 2" xfId="2129" xr:uid="{00000000-0005-0000-0000-00006BBA0000}"/>
    <cellStyle name="Финансовый 5 5 3 2 2" xfId="3774" xr:uid="{00000000-0005-0000-0000-00006CBA0000}"/>
    <cellStyle name="Финансовый 5 5 3 2 2 2" xfId="11514" xr:uid="{00000000-0005-0000-0000-00006DBA0000}"/>
    <cellStyle name="Финансовый 5 5 3 2 2 2 2" xfId="23492" xr:uid="{00000000-0005-0000-0000-00006EBA0000}"/>
    <cellStyle name="Финансовый 5 5 3 2 2 2 2 2" xfId="47447" xr:uid="{00000000-0005-0000-0000-00006FBA0000}"/>
    <cellStyle name="Финансовый 5 5 3 2 2 2 3" xfId="35469" xr:uid="{00000000-0005-0000-0000-000070BA0000}"/>
    <cellStyle name="Финансовый 5 5 3 2 2 3" xfId="15753" xr:uid="{00000000-0005-0000-0000-000071BA0000}"/>
    <cellStyle name="Финансовый 5 5 3 2 2 3 2" xfId="39708" xr:uid="{00000000-0005-0000-0000-000072BA0000}"/>
    <cellStyle name="Финансовый 5 5 3 2 2 4" xfId="27731" xr:uid="{00000000-0005-0000-0000-000073BA0000}"/>
    <cellStyle name="Финансовый 5 5 3 2 2 5" xfId="51000" xr:uid="{00000000-0005-0000-0000-000074BA0000}"/>
    <cellStyle name="Финансовый 5 5 3 2 3" xfId="5557" xr:uid="{00000000-0005-0000-0000-000075BA0000}"/>
    <cellStyle name="Финансовый 5 5 3 2 3 2" xfId="17535" xr:uid="{00000000-0005-0000-0000-000076BA0000}"/>
    <cellStyle name="Финансовый 5 5 3 2 3 2 2" xfId="41490" xr:uid="{00000000-0005-0000-0000-000077BA0000}"/>
    <cellStyle name="Финансовый 5 5 3 2 3 3" xfId="29512" xr:uid="{00000000-0005-0000-0000-000078BA0000}"/>
    <cellStyle name="Финансовый 5 5 3 2 4" xfId="8167" xr:uid="{00000000-0005-0000-0000-000079BA0000}"/>
    <cellStyle name="Финансовый 5 5 3 2 4 2" xfId="20145" xr:uid="{00000000-0005-0000-0000-00007ABA0000}"/>
    <cellStyle name="Финансовый 5 5 3 2 4 2 2" xfId="44100" xr:uid="{00000000-0005-0000-0000-00007BBA0000}"/>
    <cellStyle name="Финансовый 5 5 3 2 4 3" xfId="32122" xr:uid="{00000000-0005-0000-0000-00007CBA0000}"/>
    <cellStyle name="Финансовый 5 5 3 2 5" xfId="9950" xr:uid="{00000000-0005-0000-0000-00007DBA0000}"/>
    <cellStyle name="Финансовый 5 5 3 2 5 2" xfId="21928" xr:uid="{00000000-0005-0000-0000-00007EBA0000}"/>
    <cellStyle name="Финансовый 5 5 3 2 5 2 2" xfId="45883" xr:uid="{00000000-0005-0000-0000-00007FBA0000}"/>
    <cellStyle name="Финансовый 5 5 3 2 5 3" xfId="33905" xr:uid="{00000000-0005-0000-0000-000080BA0000}"/>
    <cellStyle name="Финансовый 5 5 3 2 6" xfId="14108" xr:uid="{00000000-0005-0000-0000-000081BA0000}"/>
    <cellStyle name="Финансовый 5 5 3 2 6 2" xfId="38063" xr:uid="{00000000-0005-0000-0000-000082BA0000}"/>
    <cellStyle name="Финансовый 5 5 3 2 7" xfId="26086" xr:uid="{00000000-0005-0000-0000-000083BA0000}"/>
    <cellStyle name="Финансовый 5 5 3 2 8" xfId="49219" xr:uid="{00000000-0005-0000-0000-000084BA0000}"/>
    <cellStyle name="Финансовый 5 5 3 3" xfId="1162" xr:uid="{00000000-0005-0000-0000-000085BA0000}"/>
    <cellStyle name="Финансовый 5 5 3 3 2" xfId="7202" xr:uid="{00000000-0005-0000-0000-000086BA0000}"/>
    <cellStyle name="Финансовый 5 5 3 3 2 2" xfId="19180" xr:uid="{00000000-0005-0000-0000-000087BA0000}"/>
    <cellStyle name="Финансовый 5 5 3 3 2 2 2" xfId="43135" xr:uid="{00000000-0005-0000-0000-000088BA0000}"/>
    <cellStyle name="Финансовый 5 5 3 3 2 3" xfId="31157" xr:uid="{00000000-0005-0000-0000-000089BA0000}"/>
    <cellStyle name="Финансовый 5 5 3 3 3" xfId="10742" xr:uid="{00000000-0005-0000-0000-00008ABA0000}"/>
    <cellStyle name="Финансовый 5 5 3 3 3 2" xfId="22720" xr:uid="{00000000-0005-0000-0000-00008BBA0000}"/>
    <cellStyle name="Финансовый 5 5 3 3 3 2 2" xfId="46675" xr:uid="{00000000-0005-0000-0000-00008CBA0000}"/>
    <cellStyle name="Финансовый 5 5 3 3 3 3" xfId="34697" xr:uid="{00000000-0005-0000-0000-00008DBA0000}"/>
    <cellStyle name="Финансовый 5 5 3 3 4" xfId="13143" xr:uid="{00000000-0005-0000-0000-00008EBA0000}"/>
    <cellStyle name="Финансовый 5 5 3 3 4 2" xfId="37098" xr:uid="{00000000-0005-0000-0000-00008FBA0000}"/>
    <cellStyle name="Финансовый 5 5 3 3 5" xfId="25121" xr:uid="{00000000-0005-0000-0000-000090BA0000}"/>
    <cellStyle name="Финансовый 5 5 3 3 6" xfId="50027" xr:uid="{00000000-0005-0000-0000-000091BA0000}"/>
    <cellStyle name="Финансовый 5 5 3 4" xfId="762" xr:uid="{00000000-0005-0000-0000-000092BA0000}"/>
    <cellStyle name="Финансовый 5 5 3 4 2" xfId="6802" xr:uid="{00000000-0005-0000-0000-000093BA0000}"/>
    <cellStyle name="Финансовый 5 5 3 4 2 2" xfId="18780" xr:uid="{00000000-0005-0000-0000-000094BA0000}"/>
    <cellStyle name="Финансовый 5 5 3 4 2 2 2" xfId="42735" xr:uid="{00000000-0005-0000-0000-000095BA0000}"/>
    <cellStyle name="Финансовый 5 5 3 4 2 3" xfId="30757" xr:uid="{00000000-0005-0000-0000-000096BA0000}"/>
    <cellStyle name="Финансовый 5 5 3 4 3" xfId="12743" xr:uid="{00000000-0005-0000-0000-000097BA0000}"/>
    <cellStyle name="Финансовый 5 5 3 4 3 2" xfId="36698" xr:uid="{00000000-0005-0000-0000-000098BA0000}"/>
    <cellStyle name="Финансовый 5 5 3 4 4" xfId="24721" xr:uid="{00000000-0005-0000-0000-000099BA0000}"/>
    <cellStyle name="Финансовый 5 5 3 5" xfId="2939" xr:uid="{00000000-0005-0000-0000-00009ABA0000}"/>
    <cellStyle name="Финансовый 5 5 3 5 2" xfId="14918" xr:uid="{00000000-0005-0000-0000-00009BBA0000}"/>
    <cellStyle name="Финансовый 5 5 3 5 2 2" xfId="38873" xr:uid="{00000000-0005-0000-0000-00009CBA0000}"/>
    <cellStyle name="Финансовый 5 5 3 5 3" xfId="26896" xr:uid="{00000000-0005-0000-0000-00009DBA0000}"/>
    <cellStyle name="Финансовый 5 5 3 6" xfId="4583" xr:uid="{00000000-0005-0000-0000-00009EBA0000}"/>
    <cellStyle name="Финансовый 5 5 3 6 2" xfId="16562" xr:uid="{00000000-0005-0000-0000-00009FBA0000}"/>
    <cellStyle name="Финансовый 5 5 3 6 2 2" xfId="40517" xr:uid="{00000000-0005-0000-0000-0000A0BA0000}"/>
    <cellStyle name="Финансовый 5 5 3 6 3" xfId="28540" xr:uid="{00000000-0005-0000-0000-0000A1BA0000}"/>
    <cellStyle name="Финансовый 5 5 3 7" xfId="6382" xr:uid="{00000000-0005-0000-0000-0000A2BA0000}"/>
    <cellStyle name="Финансовый 5 5 3 7 2" xfId="18360" xr:uid="{00000000-0005-0000-0000-0000A3BA0000}"/>
    <cellStyle name="Финансовый 5 5 3 7 2 2" xfId="42315" xr:uid="{00000000-0005-0000-0000-0000A4BA0000}"/>
    <cellStyle name="Финансовый 5 5 3 7 3" xfId="30337" xr:uid="{00000000-0005-0000-0000-0000A5BA0000}"/>
    <cellStyle name="Финансовый 5 5 3 8" xfId="8977" xr:uid="{00000000-0005-0000-0000-0000A6BA0000}"/>
    <cellStyle name="Финансовый 5 5 3 8 2" xfId="20955" xr:uid="{00000000-0005-0000-0000-0000A7BA0000}"/>
    <cellStyle name="Финансовый 5 5 3 8 2 2" xfId="44910" xr:uid="{00000000-0005-0000-0000-0000A8BA0000}"/>
    <cellStyle name="Финансовый 5 5 3 8 3" xfId="32932" xr:uid="{00000000-0005-0000-0000-0000A9BA0000}"/>
    <cellStyle name="Финансовый 5 5 3 9" xfId="12323" xr:uid="{00000000-0005-0000-0000-0000AABA0000}"/>
    <cellStyle name="Финансовый 5 5 3 9 2" xfId="36278" xr:uid="{00000000-0005-0000-0000-0000ABBA0000}"/>
    <cellStyle name="Финансовый 5 5 4" xfId="1548" xr:uid="{00000000-0005-0000-0000-0000ACBA0000}"/>
    <cellStyle name="Финансовый 5 5 4 2" xfId="1865" xr:uid="{00000000-0005-0000-0000-0000ADBA0000}"/>
    <cellStyle name="Финансовый 5 5 4 2 2" xfId="3510" xr:uid="{00000000-0005-0000-0000-0000AEBA0000}"/>
    <cellStyle name="Финансовый 5 5 4 2 2 2" xfId="11258" xr:uid="{00000000-0005-0000-0000-0000AFBA0000}"/>
    <cellStyle name="Финансовый 5 5 4 2 2 2 2" xfId="23236" xr:uid="{00000000-0005-0000-0000-0000B0BA0000}"/>
    <cellStyle name="Финансовый 5 5 4 2 2 2 2 2" xfId="47191" xr:uid="{00000000-0005-0000-0000-0000B1BA0000}"/>
    <cellStyle name="Финансовый 5 5 4 2 2 2 3" xfId="35213" xr:uid="{00000000-0005-0000-0000-0000B2BA0000}"/>
    <cellStyle name="Финансовый 5 5 4 2 2 3" xfId="15489" xr:uid="{00000000-0005-0000-0000-0000B3BA0000}"/>
    <cellStyle name="Финансовый 5 5 4 2 2 3 2" xfId="39444" xr:uid="{00000000-0005-0000-0000-0000B4BA0000}"/>
    <cellStyle name="Финансовый 5 5 4 2 2 4" xfId="27467" xr:uid="{00000000-0005-0000-0000-0000B5BA0000}"/>
    <cellStyle name="Финансовый 5 5 4 2 2 5" xfId="50736" xr:uid="{00000000-0005-0000-0000-0000B6BA0000}"/>
    <cellStyle name="Финансовый 5 5 4 2 3" xfId="5293" xr:uid="{00000000-0005-0000-0000-0000B7BA0000}"/>
    <cellStyle name="Финансовый 5 5 4 2 3 2" xfId="17271" xr:uid="{00000000-0005-0000-0000-0000B8BA0000}"/>
    <cellStyle name="Финансовый 5 5 4 2 3 2 2" xfId="41226" xr:uid="{00000000-0005-0000-0000-0000B9BA0000}"/>
    <cellStyle name="Финансовый 5 5 4 2 3 3" xfId="29248" xr:uid="{00000000-0005-0000-0000-0000BABA0000}"/>
    <cellStyle name="Финансовый 5 5 4 2 4" xfId="7903" xr:uid="{00000000-0005-0000-0000-0000BBBA0000}"/>
    <cellStyle name="Финансовый 5 5 4 2 4 2" xfId="19881" xr:uid="{00000000-0005-0000-0000-0000BCBA0000}"/>
    <cellStyle name="Финансовый 5 5 4 2 4 2 2" xfId="43836" xr:uid="{00000000-0005-0000-0000-0000BDBA0000}"/>
    <cellStyle name="Финансовый 5 5 4 2 4 3" xfId="31858" xr:uid="{00000000-0005-0000-0000-0000BEBA0000}"/>
    <cellStyle name="Финансовый 5 5 4 2 5" xfId="9686" xr:uid="{00000000-0005-0000-0000-0000BFBA0000}"/>
    <cellStyle name="Финансовый 5 5 4 2 5 2" xfId="21664" xr:uid="{00000000-0005-0000-0000-0000C0BA0000}"/>
    <cellStyle name="Финансовый 5 5 4 2 5 2 2" xfId="45619" xr:uid="{00000000-0005-0000-0000-0000C1BA0000}"/>
    <cellStyle name="Финансовый 5 5 4 2 5 3" xfId="33641" xr:uid="{00000000-0005-0000-0000-0000C2BA0000}"/>
    <cellStyle name="Финансовый 5 5 4 2 6" xfId="13844" xr:uid="{00000000-0005-0000-0000-0000C3BA0000}"/>
    <cellStyle name="Финансовый 5 5 4 2 6 2" xfId="37799" xr:uid="{00000000-0005-0000-0000-0000C4BA0000}"/>
    <cellStyle name="Финансовый 5 5 4 2 7" xfId="25822" xr:uid="{00000000-0005-0000-0000-0000C5BA0000}"/>
    <cellStyle name="Финансовый 5 5 4 2 8" xfId="48955" xr:uid="{00000000-0005-0000-0000-0000C6BA0000}"/>
    <cellStyle name="Финансовый 5 5 4 3" xfId="4976" xr:uid="{00000000-0005-0000-0000-0000C7BA0000}"/>
    <cellStyle name="Финансовый 5 5 4 3 2" xfId="16954" xr:uid="{00000000-0005-0000-0000-0000C8BA0000}"/>
    <cellStyle name="Финансовый 5 5 4 3 2 2" xfId="40909" xr:uid="{00000000-0005-0000-0000-0000C9BA0000}"/>
    <cellStyle name="Финансовый 5 5 4 3 3" xfId="28931" xr:uid="{00000000-0005-0000-0000-0000CABA0000}"/>
    <cellStyle name="Финансовый 5 5 4 3 4" xfId="50419" xr:uid="{00000000-0005-0000-0000-0000CBBA0000}"/>
    <cellStyle name="Финансовый 5 5 4 4" xfId="7586" xr:uid="{00000000-0005-0000-0000-0000CCBA0000}"/>
    <cellStyle name="Финансовый 5 5 4 4 2" xfId="19564" xr:uid="{00000000-0005-0000-0000-0000CDBA0000}"/>
    <cellStyle name="Финансовый 5 5 4 4 2 2" xfId="43519" xr:uid="{00000000-0005-0000-0000-0000CEBA0000}"/>
    <cellStyle name="Финансовый 5 5 4 4 3" xfId="31541" xr:uid="{00000000-0005-0000-0000-0000CFBA0000}"/>
    <cellStyle name="Финансовый 5 5 4 5" xfId="9369" xr:uid="{00000000-0005-0000-0000-0000D0BA0000}"/>
    <cellStyle name="Финансовый 5 5 4 5 2" xfId="21347" xr:uid="{00000000-0005-0000-0000-0000D1BA0000}"/>
    <cellStyle name="Финансовый 5 5 4 5 2 2" xfId="45302" xr:uid="{00000000-0005-0000-0000-0000D2BA0000}"/>
    <cellStyle name="Финансовый 5 5 4 5 3" xfId="33324" xr:uid="{00000000-0005-0000-0000-0000D3BA0000}"/>
    <cellStyle name="Финансовый 5 5 4 6" xfId="13527" xr:uid="{00000000-0005-0000-0000-0000D4BA0000}"/>
    <cellStyle name="Финансовый 5 5 4 6 2" xfId="37482" xr:uid="{00000000-0005-0000-0000-0000D5BA0000}"/>
    <cellStyle name="Финансовый 5 5 4 7" xfId="25505" xr:uid="{00000000-0005-0000-0000-0000D6BA0000}"/>
    <cellStyle name="Финансовый 5 5 4 8" xfId="48638" xr:uid="{00000000-0005-0000-0000-0000D7BA0000}"/>
    <cellStyle name="Финансовый 5 5 5" xfId="1749" xr:uid="{00000000-0005-0000-0000-0000D8BA0000}"/>
    <cellStyle name="Финансовый 5 5 5 2" xfId="3394" xr:uid="{00000000-0005-0000-0000-0000D9BA0000}"/>
    <cellStyle name="Финансовый 5 5 5 2 2" xfId="11142" xr:uid="{00000000-0005-0000-0000-0000DABA0000}"/>
    <cellStyle name="Финансовый 5 5 5 2 2 2" xfId="23120" xr:uid="{00000000-0005-0000-0000-0000DBBA0000}"/>
    <cellStyle name="Финансовый 5 5 5 2 2 2 2" xfId="47075" xr:uid="{00000000-0005-0000-0000-0000DCBA0000}"/>
    <cellStyle name="Финансовый 5 5 5 2 2 3" xfId="35097" xr:uid="{00000000-0005-0000-0000-0000DDBA0000}"/>
    <cellStyle name="Финансовый 5 5 5 2 3" xfId="15373" xr:uid="{00000000-0005-0000-0000-0000DEBA0000}"/>
    <cellStyle name="Финансовый 5 5 5 2 3 2" xfId="39328" xr:uid="{00000000-0005-0000-0000-0000DFBA0000}"/>
    <cellStyle name="Финансовый 5 5 5 2 4" xfId="27351" xr:uid="{00000000-0005-0000-0000-0000E0BA0000}"/>
    <cellStyle name="Финансовый 5 5 5 2 5" xfId="50620" xr:uid="{00000000-0005-0000-0000-0000E1BA0000}"/>
    <cellStyle name="Финансовый 5 5 5 3" xfId="5177" xr:uid="{00000000-0005-0000-0000-0000E2BA0000}"/>
    <cellStyle name="Финансовый 5 5 5 3 2" xfId="17155" xr:uid="{00000000-0005-0000-0000-0000E3BA0000}"/>
    <cellStyle name="Финансовый 5 5 5 3 2 2" xfId="41110" xr:uid="{00000000-0005-0000-0000-0000E4BA0000}"/>
    <cellStyle name="Финансовый 5 5 5 3 3" xfId="29132" xr:uid="{00000000-0005-0000-0000-0000E5BA0000}"/>
    <cellStyle name="Финансовый 5 5 5 4" xfId="7787" xr:uid="{00000000-0005-0000-0000-0000E6BA0000}"/>
    <cellStyle name="Финансовый 5 5 5 4 2" xfId="19765" xr:uid="{00000000-0005-0000-0000-0000E7BA0000}"/>
    <cellStyle name="Финансовый 5 5 5 4 2 2" xfId="43720" xr:uid="{00000000-0005-0000-0000-0000E8BA0000}"/>
    <cellStyle name="Финансовый 5 5 5 4 3" xfId="31742" xr:uid="{00000000-0005-0000-0000-0000E9BA0000}"/>
    <cellStyle name="Финансовый 5 5 5 5" xfId="9570" xr:uid="{00000000-0005-0000-0000-0000EABA0000}"/>
    <cellStyle name="Финансовый 5 5 5 5 2" xfId="21548" xr:uid="{00000000-0005-0000-0000-0000EBBA0000}"/>
    <cellStyle name="Финансовый 5 5 5 5 2 2" xfId="45503" xr:uid="{00000000-0005-0000-0000-0000ECBA0000}"/>
    <cellStyle name="Финансовый 5 5 5 5 3" xfId="33525" xr:uid="{00000000-0005-0000-0000-0000EDBA0000}"/>
    <cellStyle name="Финансовый 5 5 5 6" xfId="13728" xr:uid="{00000000-0005-0000-0000-0000EEBA0000}"/>
    <cellStyle name="Финансовый 5 5 5 6 2" xfId="37683" xr:uid="{00000000-0005-0000-0000-0000EFBA0000}"/>
    <cellStyle name="Финансовый 5 5 5 7" xfId="25706" xr:uid="{00000000-0005-0000-0000-0000F0BA0000}"/>
    <cellStyle name="Финансовый 5 5 5 8" xfId="48839" xr:uid="{00000000-0005-0000-0000-0000F1BA0000}"/>
    <cellStyle name="Финансовый 5 5 6" xfId="2385" xr:uid="{00000000-0005-0000-0000-0000F2BA0000}"/>
    <cellStyle name="Финансовый 5 5 6 2" xfId="4030" xr:uid="{00000000-0005-0000-0000-0000F3BA0000}"/>
    <cellStyle name="Финансовый 5 5 6 2 2" xfId="11770" xr:uid="{00000000-0005-0000-0000-0000F4BA0000}"/>
    <cellStyle name="Финансовый 5 5 6 2 2 2" xfId="23748" xr:uid="{00000000-0005-0000-0000-0000F5BA0000}"/>
    <cellStyle name="Финансовый 5 5 6 2 2 2 2" xfId="47703" xr:uid="{00000000-0005-0000-0000-0000F6BA0000}"/>
    <cellStyle name="Финансовый 5 5 6 2 2 3" xfId="35725" xr:uid="{00000000-0005-0000-0000-0000F7BA0000}"/>
    <cellStyle name="Финансовый 5 5 6 2 3" xfId="16009" xr:uid="{00000000-0005-0000-0000-0000F8BA0000}"/>
    <cellStyle name="Финансовый 5 5 6 2 3 2" xfId="39964" xr:uid="{00000000-0005-0000-0000-0000F9BA0000}"/>
    <cellStyle name="Финансовый 5 5 6 2 4" xfId="27987" xr:uid="{00000000-0005-0000-0000-0000FABA0000}"/>
    <cellStyle name="Финансовый 5 5 6 2 5" xfId="51256" xr:uid="{00000000-0005-0000-0000-0000FBBA0000}"/>
    <cellStyle name="Финансовый 5 5 6 3" xfId="5813" xr:uid="{00000000-0005-0000-0000-0000FCBA0000}"/>
    <cellStyle name="Финансовый 5 5 6 3 2" xfId="17791" xr:uid="{00000000-0005-0000-0000-0000FDBA0000}"/>
    <cellStyle name="Финансовый 5 5 6 3 2 2" xfId="41746" xr:uid="{00000000-0005-0000-0000-0000FEBA0000}"/>
    <cellStyle name="Финансовый 5 5 6 3 3" xfId="29768" xr:uid="{00000000-0005-0000-0000-0000FFBA0000}"/>
    <cellStyle name="Финансовый 5 5 6 4" xfId="8423" xr:uid="{00000000-0005-0000-0000-000000BB0000}"/>
    <cellStyle name="Финансовый 5 5 6 4 2" xfId="20401" xr:uid="{00000000-0005-0000-0000-000001BB0000}"/>
    <cellStyle name="Финансовый 5 5 6 4 2 2" xfId="44356" xr:uid="{00000000-0005-0000-0000-000002BB0000}"/>
    <cellStyle name="Финансовый 5 5 6 4 3" xfId="32378" xr:uid="{00000000-0005-0000-0000-000003BB0000}"/>
    <cellStyle name="Финансовый 5 5 6 5" xfId="10206" xr:uid="{00000000-0005-0000-0000-000004BB0000}"/>
    <cellStyle name="Финансовый 5 5 6 5 2" xfId="22184" xr:uid="{00000000-0005-0000-0000-000005BB0000}"/>
    <cellStyle name="Финансовый 5 5 6 5 2 2" xfId="46139" xr:uid="{00000000-0005-0000-0000-000006BB0000}"/>
    <cellStyle name="Финансовый 5 5 6 5 3" xfId="34161" xr:uid="{00000000-0005-0000-0000-000007BB0000}"/>
    <cellStyle name="Финансовый 5 5 6 6" xfId="14364" xr:uid="{00000000-0005-0000-0000-000008BB0000}"/>
    <cellStyle name="Финансовый 5 5 6 6 2" xfId="38319" xr:uid="{00000000-0005-0000-0000-000009BB0000}"/>
    <cellStyle name="Финансовый 5 5 6 7" xfId="26342" xr:uid="{00000000-0005-0000-0000-00000ABB0000}"/>
    <cellStyle name="Финансовый 5 5 6 8" xfId="49475" xr:uid="{00000000-0005-0000-0000-00000BBB0000}"/>
    <cellStyle name="Финансовый 5 5 7" xfId="1612" xr:uid="{00000000-0005-0000-0000-00000CBB0000}"/>
    <cellStyle name="Финансовый 5 5 7 2" xfId="3257" xr:uid="{00000000-0005-0000-0000-00000DBB0000}"/>
    <cellStyle name="Финансовый 5 5 7 2 2" xfId="11013" xr:uid="{00000000-0005-0000-0000-00000EBB0000}"/>
    <cellStyle name="Финансовый 5 5 7 2 2 2" xfId="22991" xr:uid="{00000000-0005-0000-0000-00000FBB0000}"/>
    <cellStyle name="Финансовый 5 5 7 2 2 2 2" xfId="46946" xr:uid="{00000000-0005-0000-0000-000010BB0000}"/>
    <cellStyle name="Финансовый 5 5 7 2 2 3" xfId="34968" xr:uid="{00000000-0005-0000-0000-000011BB0000}"/>
    <cellStyle name="Финансовый 5 5 7 2 3" xfId="15236" xr:uid="{00000000-0005-0000-0000-000012BB0000}"/>
    <cellStyle name="Финансовый 5 5 7 2 3 2" xfId="39191" xr:uid="{00000000-0005-0000-0000-000013BB0000}"/>
    <cellStyle name="Финансовый 5 5 7 2 4" xfId="27214" xr:uid="{00000000-0005-0000-0000-000014BB0000}"/>
    <cellStyle name="Финансовый 5 5 7 2 5" xfId="50483" xr:uid="{00000000-0005-0000-0000-000015BB0000}"/>
    <cellStyle name="Финансовый 5 5 7 3" xfId="5040" xr:uid="{00000000-0005-0000-0000-000016BB0000}"/>
    <cellStyle name="Финансовый 5 5 7 3 2" xfId="17018" xr:uid="{00000000-0005-0000-0000-000017BB0000}"/>
    <cellStyle name="Финансовый 5 5 7 3 2 2" xfId="40973" xr:uid="{00000000-0005-0000-0000-000018BB0000}"/>
    <cellStyle name="Финансовый 5 5 7 3 3" xfId="28995" xr:uid="{00000000-0005-0000-0000-000019BB0000}"/>
    <cellStyle name="Финансовый 5 5 7 4" xfId="7650" xr:uid="{00000000-0005-0000-0000-00001ABB0000}"/>
    <cellStyle name="Финансовый 5 5 7 4 2" xfId="19628" xr:uid="{00000000-0005-0000-0000-00001BBB0000}"/>
    <cellStyle name="Финансовый 5 5 7 4 2 2" xfId="43583" xr:uid="{00000000-0005-0000-0000-00001CBB0000}"/>
    <cellStyle name="Финансовый 5 5 7 4 3" xfId="31605" xr:uid="{00000000-0005-0000-0000-00001DBB0000}"/>
    <cellStyle name="Финансовый 5 5 7 5" xfId="9433" xr:uid="{00000000-0005-0000-0000-00001EBB0000}"/>
    <cellStyle name="Финансовый 5 5 7 5 2" xfId="21411" xr:uid="{00000000-0005-0000-0000-00001FBB0000}"/>
    <cellStyle name="Финансовый 5 5 7 5 2 2" xfId="45366" xr:uid="{00000000-0005-0000-0000-000020BB0000}"/>
    <cellStyle name="Финансовый 5 5 7 5 3" xfId="33388" xr:uid="{00000000-0005-0000-0000-000021BB0000}"/>
    <cellStyle name="Финансовый 5 5 7 6" xfId="13591" xr:uid="{00000000-0005-0000-0000-000022BB0000}"/>
    <cellStyle name="Финансовый 5 5 7 6 2" xfId="37546" xr:uid="{00000000-0005-0000-0000-000023BB0000}"/>
    <cellStyle name="Финансовый 5 5 7 7" xfId="25569" xr:uid="{00000000-0005-0000-0000-000024BB0000}"/>
    <cellStyle name="Финансовый 5 5 7 8" xfId="48702" xr:uid="{00000000-0005-0000-0000-000025BB0000}"/>
    <cellStyle name="Финансовый 5 5 8" xfId="898" xr:uid="{00000000-0005-0000-0000-000026BB0000}"/>
    <cellStyle name="Финансовый 5 5 8 2" xfId="6938" xr:uid="{00000000-0005-0000-0000-000027BB0000}"/>
    <cellStyle name="Финансовый 5 5 8 2 2" xfId="18916" xr:uid="{00000000-0005-0000-0000-000028BB0000}"/>
    <cellStyle name="Финансовый 5 5 8 2 2 2" xfId="42871" xr:uid="{00000000-0005-0000-0000-000029BB0000}"/>
    <cellStyle name="Финансовый 5 5 8 2 3" xfId="30893" xr:uid="{00000000-0005-0000-0000-00002ABB0000}"/>
    <cellStyle name="Финансовый 5 5 8 3" xfId="10486" xr:uid="{00000000-0005-0000-0000-00002BBB0000}"/>
    <cellStyle name="Финансовый 5 5 8 3 2" xfId="22464" xr:uid="{00000000-0005-0000-0000-00002CBB0000}"/>
    <cellStyle name="Финансовый 5 5 8 3 2 2" xfId="46419" xr:uid="{00000000-0005-0000-0000-00002DBB0000}"/>
    <cellStyle name="Финансовый 5 5 8 3 3" xfId="34441" xr:uid="{00000000-0005-0000-0000-00002EBB0000}"/>
    <cellStyle name="Финансовый 5 5 8 4" xfId="12879" xr:uid="{00000000-0005-0000-0000-00002FBB0000}"/>
    <cellStyle name="Финансовый 5 5 8 4 2" xfId="36834" xr:uid="{00000000-0005-0000-0000-000030BB0000}"/>
    <cellStyle name="Финансовый 5 5 8 5" xfId="24857" xr:uid="{00000000-0005-0000-0000-000031BB0000}"/>
    <cellStyle name="Финансовый 5 5 8 6" xfId="49755" xr:uid="{00000000-0005-0000-0000-000032BB0000}"/>
    <cellStyle name="Финансовый 5 5 9" xfId="478" xr:uid="{00000000-0005-0000-0000-000033BB0000}"/>
    <cellStyle name="Финансовый 5 5 9 2" xfId="6518" xr:uid="{00000000-0005-0000-0000-000034BB0000}"/>
    <cellStyle name="Финансовый 5 5 9 2 2" xfId="18496" xr:uid="{00000000-0005-0000-0000-000035BB0000}"/>
    <cellStyle name="Финансовый 5 5 9 2 2 2" xfId="42451" xr:uid="{00000000-0005-0000-0000-000036BB0000}"/>
    <cellStyle name="Финансовый 5 5 9 2 3" xfId="30473" xr:uid="{00000000-0005-0000-0000-000037BB0000}"/>
    <cellStyle name="Финансовый 5 5 9 3" xfId="12459" xr:uid="{00000000-0005-0000-0000-000038BB0000}"/>
    <cellStyle name="Финансовый 5 5 9 3 2" xfId="36414" xr:uid="{00000000-0005-0000-0000-000039BB0000}"/>
    <cellStyle name="Финансовый 5 5 9 4" xfId="24437" xr:uid="{00000000-0005-0000-0000-00003ABB0000}"/>
    <cellStyle name="Финансовый 5 6" xfId="133" xr:uid="{00000000-0005-0000-0000-00003BBB0000}"/>
    <cellStyle name="Финансовый 5 6 10" xfId="2743" xr:uid="{00000000-0005-0000-0000-00003CBB0000}"/>
    <cellStyle name="Финансовый 5 6 10 2" xfId="14722" xr:uid="{00000000-0005-0000-0000-00003DBB0000}"/>
    <cellStyle name="Финансовый 5 6 10 2 2" xfId="38677" xr:uid="{00000000-0005-0000-0000-00003EBB0000}"/>
    <cellStyle name="Финансовый 5 6 10 3" xfId="26700" xr:uid="{00000000-0005-0000-0000-00003FBB0000}"/>
    <cellStyle name="Финансовый 5 6 11" xfId="4387" xr:uid="{00000000-0005-0000-0000-000040BB0000}"/>
    <cellStyle name="Финансовый 5 6 11 2" xfId="16366" xr:uid="{00000000-0005-0000-0000-000041BB0000}"/>
    <cellStyle name="Финансовый 5 6 11 2 2" xfId="40321" xr:uid="{00000000-0005-0000-0000-000042BB0000}"/>
    <cellStyle name="Финансовый 5 6 11 3" xfId="28344" xr:uid="{00000000-0005-0000-0000-000043BB0000}"/>
    <cellStyle name="Финансовый 5 6 12" xfId="6174" xr:uid="{00000000-0005-0000-0000-000044BB0000}"/>
    <cellStyle name="Финансовый 5 6 12 2" xfId="18152" xr:uid="{00000000-0005-0000-0000-000045BB0000}"/>
    <cellStyle name="Финансовый 5 6 12 2 2" xfId="42107" xr:uid="{00000000-0005-0000-0000-000046BB0000}"/>
    <cellStyle name="Финансовый 5 6 12 3" xfId="30129" xr:uid="{00000000-0005-0000-0000-000047BB0000}"/>
    <cellStyle name="Финансовый 5 6 13" xfId="8781" xr:uid="{00000000-0005-0000-0000-000048BB0000}"/>
    <cellStyle name="Финансовый 5 6 13 2" xfId="20759" xr:uid="{00000000-0005-0000-0000-000049BB0000}"/>
    <cellStyle name="Финансовый 5 6 13 2 2" xfId="44714" xr:uid="{00000000-0005-0000-0000-00004ABB0000}"/>
    <cellStyle name="Финансовый 5 6 13 3" xfId="32736" xr:uid="{00000000-0005-0000-0000-00004BBB0000}"/>
    <cellStyle name="Финансовый 5 6 14" xfId="12115" xr:uid="{00000000-0005-0000-0000-00004CBB0000}"/>
    <cellStyle name="Финансовый 5 6 14 2" xfId="36070" xr:uid="{00000000-0005-0000-0000-00004DBB0000}"/>
    <cellStyle name="Финансовый 5 6 15" xfId="24093" xr:uid="{00000000-0005-0000-0000-00004EBB0000}"/>
    <cellStyle name="Финансовый 5 6 16" xfId="48051" xr:uid="{00000000-0005-0000-0000-00004FBB0000}"/>
    <cellStyle name="Финансовый 5 6 2" xfId="269" xr:uid="{00000000-0005-0000-0000-000050BB0000}"/>
    <cellStyle name="Финансовый 5 6 2 10" xfId="8917" xr:uid="{00000000-0005-0000-0000-000051BB0000}"/>
    <cellStyle name="Финансовый 5 6 2 10 2" xfId="20895" xr:uid="{00000000-0005-0000-0000-000052BB0000}"/>
    <cellStyle name="Финансовый 5 6 2 10 2 2" xfId="44850" xr:uid="{00000000-0005-0000-0000-000053BB0000}"/>
    <cellStyle name="Финансовый 5 6 2 10 3" xfId="32872" xr:uid="{00000000-0005-0000-0000-000054BB0000}"/>
    <cellStyle name="Финансовый 5 6 2 11" xfId="12251" xr:uid="{00000000-0005-0000-0000-000055BB0000}"/>
    <cellStyle name="Финансовый 5 6 2 11 2" xfId="36206" xr:uid="{00000000-0005-0000-0000-000056BB0000}"/>
    <cellStyle name="Финансовый 5 6 2 12" xfId="24229" xr:uid="{00000000-0005-0000-0000-000057BB0000}"/>
    <cellStyle name="Финансовый 5 6 2 13" xfId="48187" xr:uid="{00000000-0005-0000-0000-000058BB0000}"/>
    <cellStyle name="Финансовый 5 6 2 2" xfId="1367" xr:uid="{00000000-0005-0000-0000-000059BB0000}"/>
    <cellStyle name="Финансовый 5 6 2 2 2" xfId="2325" xr:uid="{00000000-0005-0000-0000-00005ABB0000}"/>
    <cellStyle name="Финансовый 5 6 2 2 2 2" xfId="3970" xr:uid="{00000000-0005-0000-0000-00005BBB0000}"/>
    <cellStyle name="Финансовый 5 6 2 2 2 2 2" xfId="11710" xr:uid="{00000000-0005-0000-0000-00005CBB0000}"/>
    <cellStyle name="Финансовый 5 6 2 2 2 2 2 2" xfId="23688" xr:uid="{00000000-0005-0000-0000-00005DBB0000}"/>
    <cellStyle name="Финансовый 5 6 2 2 2 2 2 2 2" xfId="47643" xr:uid="{00000000-0005-0000-0000-00005EBB0000}"/>
    <cellStyle name="Финансовый 5 6 2 2 2 2 2 3" xfId="35665" xr:uid="{00000000-0005-0000-0000-00005FBB0000}"/>
    <cellStyle name="Финансовый 5 6 2 2 2 2 3" xfId="15949" xr:uid="{00000000-0005-0000-0000-000060BB0000}"/>
    <cellStyle name="Финансовый 5 6 2 2 2 2 3 2" xfId="39904" xr:uid="{00000000-0005-0000-0000-000061BB0000}"/>
    <cellStyle name="Финансовый 5 6 2 2 2 2 4" xfId="27927" xr:uid="{00000000-0005-0000-0000-000062BB0000}"/>
    <cellStyle name="Финансовый 5 6 2 2 2 2 5" xfId="51196" xr:uid="{00000000-0005-0000-0000-000063BB0000}"/>
    <cellStyle name="Финансовый 5 6 2 2 2 3" xfId="5753" xr:uid="{00000000-0005-0000-0000-000064BB0000}"/>
    <cellStyle name="Финансовый 5 6 2 2 2 3 2" xfId="17731" xr:uid="{00000000-0005-0000-0000-000065BB0000}"/>
    <cellStyle name="Финансовый 5 6 2 2 2 3 2 2" xfId="41686" xr:uid="{00000000-0005-0000-0000-000066BB0000}"/>
    <cellStyle name="Финансовый 5 6 2 2 2 3 3" xfId="29708" xr:uid="{00000000-0005-0000-0000-000067BB0000}"/>
    <cellStyle name="Финансовый 5 6 2 2 2 4" xfId="8363" xr:uid="{00000000-0005-0000-0000-000068BB0000}"/>
    <cellStyle name="Финансовый 5 6 2 2 2 4 2" xfId="20341" xr:uid="{00000000-0005-0000-0000-000069BB0000}"/>
    <cellStyle name="Финансовый 5 6 2 2 2 4 2 2" xfId="44296" xr:uid="{00000000-0005-0000-0000-00006ABB0000}"/>
    <cellStyle name="Финансовый 5 6 2 2 2 4 3" xfId="32318" xr:uid="{00000000-0005-0000-0000-00006BBB0000}"/>
    <cellStyle name="Финансовый 5 6 2 2 2 5" xfId="10146" xr:uid="{00000000-0005-0000-0000-00006CBB0000}"/>
    <cellStyle name="Финансовый 5 6 2 2 2 5 2" xfId="22124" xr:uid="{00000000-0005-0000-0000-00006DBB0000}"/>
    <cellStyle name="Финансовый 5 6 2 2 2 5 2 2" xfId="46079" xr:uid="{00000000-0005-0000-0000-00006EBB0000}"/>
    <cellStyle name="Финансовый 5 6 2 2 2 5 3" xfId="34101" xr:uid="{00000000-0005-0000-0000-00006FBB0000}"/>
    <cellStyle name="Финансовый 5 6 2 2 2 6" xfId="14304" xr:uid="{00000000-0005-0000-0000-000070BB0000}"/>
    <cellStyle name="Финансовый 5 6 2 2 2 6 2" xfId="38259" xr:uid="{00000000-0005-0000-0000-000071BB0000}"/>
    <cellStyle name="Финансовый 5 6 2 2 2 7" xfId="26282" xr:uid="{00000000-0005-0000-0000-000072BB0000}"/>
    <cellStyle name="Финансовый 5 6 2 2 2 8" xfId="49415" xr:uid="{00000000-0005-0000-0000-000073BB0000}"/>
    <cellStyle name="Финансовый 5 6 2 2 3" xfId="3151" xr:uid="{00000000-0005-0000-0000-000074BB0000}"/>
    <cellStyle name="Финансовый 5 6 2 2 3 2" xfId="10938" xr:uid="{00000000-0005-0000-0000-000075BB0000}"/>
    <cellStyle name="Финансовый 5 6 2 2 3 2 2" xfId="22916" xr:uid="{00000000-0005-0000-0000-000076BB0000}"/>
    <cellStyle name="Финансовый 5 6 2 2 3 2 2 2" xfId="46871" xr:uid="{00000000-0005-0000-0000-000077BB0000}"/>
    <cellStyle name="Финансовый 5 6 2 2 3 2 3" xfId="34893" xr:uid="{00000000-0005-0000-0000-000078BB0000}"/>
    <cellStyle name="Финансовый 5 6 2 2 3 3" xfId="15130" xr:uid="{00000000-0005-0000-0000-000079BB0000}"/>
    <cellStyle name="Финансовый 5 6 2 2 3 3 2" xfId="39085" xr:uid="{00000000-0005-0000-0000-00007ABB0000}"/>
    <cellStyle name="Финансовый 5 6 2 2 3 4" xfId="27108" xr:uid="{00000000-0005-0000-0000-00007BBB0000}"/>
    <cellStyle name="Финансовый 5 6 2 2 3 5" xfId="50239" xr:uid="{00000000-0005-0000-0000-00007CBB0000}"/>
    <cellStyle name="Финансовый 5 6 2 2 4" xfId="4795" xr:uid="{00000000-0005-0000-0000-00007DBB0000}"/>
    <cellStyle name="Финансовый 5 6 2 2 4 2" xfId="16774" xr:uid="{00000000-0005-0000-0000-00007EBB0000}"/>
    <cellStyle name="Финансовый 5 6 2 2 4 2 2" xfId="40729" xr:uid="{00000000-0005-0000-0000-00007FBB0000}"/>
    <cellStyle name="Финансовый 5 6 2 2 4 3" xfId="28752" xr:uid="{00000000-0005-0000-0000-000080BB0000}"/>
    <cellStyle name="Финансовый 5 6 2 2 5" xfId="7407" xr:uid="{00000000-0005-0000-0000-000081BB0000}"/>
    <cellStyle name="Финансовый 5 6 2 2 5 2" xfId="19385" xr:uid="{00000000-0005-0000-0000-000082BB0000}"/>
    <cellStyle name="Финансовый 5 6 2 2 5 2 2" xfId="43340" xr:uid="{00000000-0005-0000-0000-000083BB0000}"/>
    <cellStyle name="Финансовый 5 6 2 2 5 3" xfId="31362" xr:uid="{00000000-0005-0000-0000-000084BB0000}"/>
    <cellStyle name="Финансовый 5 6 2 2 6" xfId="9189" xr:uid="{00000000-0005-0000-0000-000085BB0000}"/>
    <cellStyle name="Финансовый 5 6 2 2 6 2" xfId="21167" xr:uid="{00000000-0005-0000-0000-000086BB0000}"/>
    <cellStyle name="Финансовый 5 6 2 2 6 2 2" xfId="45122" xr:uid="{00000000-0005-0000-0000-000087BB0000}"/>
    <cellStyle name="Финансовый 5 6 2 2 6 3" xfId="33144" xr:uid="{00000000-0005-0000-0000-000088BB0000}"/>
    <cellStyle name="Финансовый 5 6 2 2 7" xfId="13348" xr:uid="{00000000-0005-0000-0000-000089BB0000}"/>
    <cellStyle name="Финансовый 5 6 2 2 7 2" xfId="37303" xr:uid="{00000000-0005-0000-0000-00008ABB0000}"/>
    <cellStyle name="Финансовый 5 6 2 2 8" xfId="25326" xr:uid="{00000000-0005-0000-0000-00008BBB0000}"/>
    <cellStyle name="Финансовый 5 6 2 2 9" xfId="48459" xr:uid="{00000000-0005-0000-0000-00008CBB0000}"/>
    <cellStyle name="Финансовый 5 6 2 3" xfId="2069" xr:uid="{00000000-0005-0000-0000-00008DBB0000}"/>
    <cellStyle name="Финансовый 5 6 2 3 2" xfId="3714" xr:uid="{00000000-0005-0000-0000-00008EBB0000}"/>
    <cellStyle name="Финансовый 5 6 2 3 2 2" xfId="11454" xr:uid="{00000000-0005-0000-0000-00008FBB0000}"/>
    <cellStyle name="Финансовый 5 6 2 3 2 2 2" xfId="23432" xr:uid="{00000000-0005-0000-0000-000090BB0000}"/>
    <cellStyle name="Финансовый 5 6 2 3 2 2 2 2" xfId="47387" xr:uid="{00000000-0005-0000-0000-000091BB0000}"/>
    <cellStyle name="Финансовый 5 6 2 3 2 2 3" xfId="35409" xr:uid="{00000000-0005-0000-0000-000092BB0000}"/>
    <cellStyle name="Финансовый 5 6 2 3 2 3" xfId="15693" xr:uid="{00000000-0005-0000-0000-000093BB0000}"/>
    <cellStyle name="Финансовый 5 6 2 3 2 3 2" xfId="39648" xr:uid="{00000000-0005-0000-0000-000094BB0000}"/>
    <cellStyle name="Финансовый 5 6 2 3 2 4" xfId="27671" xr:uid="{00000000-0005-0000-0000-000095BB0000}"/>
    <cellStyle name="Финансовый 5 6 2 3 2 5" xfId="50940" xr:uid="{00000000-0005-0000-0000-000096BB0000}"/>
    <cellStyle name="Финансовый 5 6 2 3 3" xfId="5497" xr:uid="{00000000-0005-0000-0000-000097BB0000}"/>
    <cellStyle name="Финансовый 5 6 2 3 3 2" xfId="17475" xr:uid="{00000000-0005-0000-0000-000098BB0000}"/>
    <cellStyle name="Финансовый 5 6 2 3 3 2 2" xfId="41430" xr:uid="{00000000-0005-0000-0000-000099BB0000}"/>
    <cellStyle name="Финансовый 5 6 2 3 3 3" xfId="29452" xr:uid="{00000000-0005-0000-0000-00009ABB0000}"/>
    <cellStyle name="Финансовый 5 6 2 3 4" xfId="8107" xr:uid="{00000000-0005-0000-0000-00009BBB0000}"/>
    <cellStyle name="Финансовый 5 6 2 3 4 2" xfId="20085" xr:uid="{00000000-0005-0000-0000-00009CBB0000}"/>
    <cellStyle name="Финансовый 5 6 2 3 4 2 2" xfId="44040" xr:uid="{00000000-0005-0000-0000-00009DBB0000}"/>
    <cellStyle name="Финансовый 5 6 2 3 4 3" xfId="32062" xr:uid="{00000000-0005-0000-0000-00009EBB0000}"/>
    <cellStyle name="Финансовый 5 6 2 3 5" xfId="9890" xr:uid="{00000000-0005-0000-0000-00009FBB0000}"/>
    <cellStyle name="Финансовый 5 6 2 3 5 2" xfId="21868" xr:uid="{00000000-0005-0000-0000-0000A0BB0000}"/>
    <cellStyle name="Финансовый 5 6 2 3 5 2 2" xfId="45823" xr:uid="{00000000-0005-0000-0000-0000A1BB0000}"/>
    <cellStyle name="Финансовый 5 6 2 3 5 3" xfId="33845" xr:uid="{00000000-0005-0000-0000-0000A2BB0000}"/>
    <cellStyle name="Финансовый 5 6 2 3 6" xfId="14048" xr:uid="{00000000-0005-0000-0000-0000A3BB0000}"/>
    <cellStyle name="Финансовый 5 6 2 3 6 2" xfId="38003" xr:uid="{00000000-0005-0000-0000-0000A4BB0000}"/>
    <cellStyle name="Финансовый 5 6 2 3 7" xfId="26026" xr:uid="{00000000-0005-0000-0000-0000A5BB0000}"/>
    <cellStyle name="Финансовый 5 6 2 3 8" xfId="49159" xr:uid="{00000000-0005-0000-0000-0000A6BB0000}"/>
    <cellStyle name="Финансовый 5 6 2 4" xfId="2598" xr:uid="{00000000-0005-0000-0000-0000A7BB0000}"/>
    <cellStyle name="Финансовый 5 6 2 4 2" xfId="4243" xr:uid="{00000000-0005-0000-0000-0000A8BB0000}"/>
    <cellStyle name="Финансовый 5 6 2 4 2 2" xfId="11967" xr:uid="{00000000-0005-0000-0000-0000A9BB0000}"/>
    <cellStyle name="Финансовый 5 6 2 4 2 2 2" xfId="23945" xr:uid="{00000000-0005-0000-0000-0000AABB0000}"/>
    <cellStyle name="Финансовый 5 6 2 4 2 2 2 2" xfId="47900" xr:uid="{00000000-0005-0000-0000-0000ABBB0000}"/>
    <cellStyle name="Финансовый 5 6 2 4 2 2 3" xfId="35922" xr:uid="{00000000-0005-0000-0000-0000ACBB0000}"/>
    <cellStyle name="Финансовый 5 6 2 4 2 3" xfId="16222" xr:uid="{00000000-0005-0000-0000-0000ADBB0000}"/>
    <cellStyle name="Финансовый 5 6 2 4 2 3 2" xfId="40177" xr:uid="{00000000-0005-0000-0000-0000AEBB0000}"/>
    <cellStyle name="Финансовый 5 6 2 4 2 4" xfId="28200" xr:uid="{00000000-0005-0000-0000-0000AFBB0000}"/>
    <cellStyle name="Финансовый 5 6 2 4 2 5" xfId="51469" xr:uid="{00000000-0005-0000-0000-0000B0BB0000}"/>
    <cellStyle name="Финансовый 5 6 2 4 3" xfId="6026" xr:uid="{00000000-0005-0000-0000-0000B1BB0000}"/>
    <cellStyle name="Финансовый 5 6 2 4 3 2" xfId="18004" xr:uid="{00000000-0005-0000-0000-0000B2BB0000}"/>
    <cellStyle name="Финансовый 5 6 2 4 3 2 2" xfId="41959" xr:uid="{00000000-0005-0000-0000-0000B3BB0000}"/>
    <cellStyle name="Финансовый 5 6 2 4 3 3" xfId="29981" xr:uid="{00000000-0005-0000-0000-0000B4BB0000}"/>
    <cellStyle name="Финансовый 5 6 2 4 4" xfId="8636" xr:uid="{00000000-0005-0000-0000-0000B5BB0000}"/>
    <cellStyle name="Финансовый 5 6 2 4 4 2" xfId="20614" xr:uid="{00000000-0005-0000-0000-0000B6BB0000}"/>
    <cellStyle name="Финансовый 5 6 2 4 4 2 2" xfId="44569" xr:uid="{00000000-0005-0000-0000-0000B7BB0000}"/>
    <cellStyle name="Финансовый 5 6 2 4 4 3" xfId="32591" xr:uid="{00000000-0005-0000-0000-0000B8BB0000}"/>
    <cellStyle name="Финансовый 5 6 2 4 5" xfId="10419" xr:uid="{00000000-0005-0000-0000-0000B9BB0000}"/>
    <cellStyle name="Финансовый 5 6 2 4 5 2" xfId="22397" xr:uid="{00000000-0005-0000-0000-0000BABB0000}"/>
    <cellStyle name="Финансовый 5 6 2 4 5 2 2" xfId="46352" xr:uid="{00000000-0005-0000-0000-0000BBBB0000}"/>
    <cellStyle name="Финансовый 5 6 2 4 5 3" xfId="34374" xr:uid="{00000000-0005-0000-0000-0000BCBB0000}"/>
    <cellStyle name="Финансовый 5 6 2 4 6" xfId="14577" xr:uid="{00000000-0005-0000-0000-0000BDBB0000}"/>
    <cellStyle name="Финансовый 5 6 2 4 6 2" xfId="38532" xr:uid="{00000000-0005-0000-0000-0000BEBB0000}"/>
    <cellStyle name="Финансовый 5 6 2 4 7" xfId="26555" xr:uid="{00000000-0005-0000-0000-0000BFBB0000}"/>
    <cellStyle name="Финансовый 5 6 2 4 8" xfId="49688" xr:uid="{00000000-0005-0000-0000-0000C0BB0000}"/>
    <cellStyle name="Финансовый 5 6 2 5" xfId="1102" xr:uid="{00000000-0005-0000-0000-0000C1BB0000}"/>
    <cellStyle name="Финансовый 5 6 2 5 2" xfId="7142" xr:uid="{00000000-0005-0000-0000-0000C2BB0000}"/>
    <cellStyle name="Финансовый 5 6 2 5 2 2" xfId="19120" xr:uid="{00000000-0005-0000-0000-0000C3BB0000}"/>
    <cellStyle name="Финансовый 5 6 2 5 2 2 2" xfId="43075" xr:uid="{00000000-0005-0000-0000-0000C4BB0000}"/>
    <cellStyle name="Финансовый 5 6 2 5 2 3" xfId="31097" xr:uid="{00000000-0005-0000-0000-0000C5BB0000}"/>
    <cellStyle name="Финансовый 5 6 2 5 3" xfId="10682" xr:uid="{00000000-0005-0000-0000-0000C6BB0000}"/>
    <cellStyle name="Финансовый 5 6 2 5 3 2" xfId="22660" xr:uid="{00000000-0005-0000-0000-0000C7BB0000}"/>
    <cellStyle name="Финансовый 5 6 2 5 3 2 2" xfId="46615" xr:uid="{00000000-0005-0000-0000-0000C8BB0000}"/>
    <cellStyle name="Финансовый 5 6 2 5 3 3" xfId="34637" xr:uid="{00000000-0005-0000-0000-0000C9BB0000}"/>
    <cellStyle name="Финансовый 5 6 2 5 4" xfId="13083" xr:uid="{00000000-0005-0000-0000-0000CABB0000}"/>
    <cellStyle name="Финансовый 5 6 2 5 4 2" xfId="37038" xr:uid="{00000000-0005-0000-0000-0000CBBB0000}"/>
    <cellStyle name="Финансовый 5 6 2 5 5" xfId="25061" xr:uid="{00000000-0005-0000-0000-0000CCBB0000}"/>
    <cellStyle name="Финансовый 5 6 2 5 6" xfId="49967" xr:uid="{00000000-0005-0000-0000-0000CDBB0000}"/>
    <cellStyle name="Финансовый 5 6 2 6" xfId="690" xr:uid="{00000000-0005-0000-0000-0000CEBB0000}"/>
    <cellStyle name="Финансовый 5 6 2 6 2" xfId="6730" xr:uid="{00000000-0005-0000-0000-0000CFBB0000}"/>
    <cellStyle name="Финансовый 5 6 2 6 2 2" xfId="18708" xr:uid="{00000000-0005-0000-0000-0000D0BB0000}"/>
    <cellStyle name="Финансовый 5 6 2 6 2 2 2" xfId="42663" xr:uid="{00000000-0005-0000-0000-0000D1BB0000}"/>
    <cellStyle name="Финансовый 5 6 2 6 2 3" xfId="30685" xr:uid="{00000000-0005-0000-0000-0000D2BB0000}"/>
    <cellStyle name="Финансовый 5 6 2 6 3" xfId="12671" xr:uid="{00000000-0005-0000-0000-0000D3BB0000}"/>
    <cellStyle name="Финансовый 5 6 2 6 3 2" xfId="36626" xr:uid="{00000000-0005-0000-0000-0000D4BB0000}"/>
    <cellStyle name="Финансовый 5 6 2 6 4" xfId="24649" xr:uid="{00000000-0005-0000-0000-0000D5BB0000}"/>
    <cellStyle name="Финансовый 5 6 2 7" xfId="2879" xr:uid="{00000000-0005-0000-0000-0000D6BB0000}"/>
    <cellStyle name="Финансовый 5 6 2 7 2" xfId="14858" xr:uid="{00000000-0005-0000-0000-0000D7BB0000}"/>
    <cellStyle name="Финансовый 5 6 2 7 2 2" xfId="38813" xr:uid="{00000000-0005-0000-0000-0000D8BB0000}"/>
    <cellStyle name="Финансовый 5 6 2 7 3" xfId="26836" xr:uid="{00000000-0005-0000-0000-0000D9BB0000}"/>
    <cellStyle name="Финансовый 5 6 2 8" xfId="4523" xr:uid="{00000000-0005-0000-0000-0000DABB0000}"/>
    <cellStyle name="Финансовый 5 6 2 8 2" xfId="16502" xr:uid="{00000000-0005-0000-0000-0000DBBB0000}"/>
    <cellStyle name="Финансовый 5 6 2 8 2 2" xfId="40457" xr:uid="{00000000-0005-0000-0000-0000DCBB0000}"/>
    <cellStyle name="Финансовый 5 6 2 8 3" xfId="28480" xr:uid="{00000000-0005-0000-0000-0000DDBB0000}"/>
    <cellStyle name="Финансовый 5 6 2 9" xfId="6310" xr:uid="{00000000-0005-0000-0000-0000DEBB0000}"/>
    <cellStyle name="Финансовый 5 6 2 9 2" xfId="18288" xr:uid="{00000000-0005-0000-0000-0000DFBB0000}"/>
    <cellStyle name="Финансовый 5 6 2 9 2 2" xfId="42243" xr:uid="{00000000-0005-0000-0000-0000E0BB0000}"/>
    <cellStyle name="Финансовый 5 6 2 9 3" xfId="30265" xr:uid="{00000000-0005-0000-0000-0000E1BB0000}"/>
    <cellStyle name="Финансовый 5 6 3" xfId="418" xr:uid="{00000000-0005-0000-0000-0000E2BB0000}"/>
    <cellStyle name="Финансовый 5 6 3 10" xfId="24377" xr:uid="{00000000-0005-0000-0000-0000E3BB0000}"/>
    <cellStyle name="Финансовый 5 6 3 11" xfId="48323" xr:uid="{00000000-0005-0000-0000-0000E4BB0000}"/>
    <cellStyle name="Финансовый 5 6 3 2" xfId="2197" xr:uid="{00000000-0005-0000-0000-0000E5BB0000}"/>
    <cellStyle name="Финансовый 5 6 3 2 2" xfId="3842" xr:uid="{00000000-0005-0000-0000-0000E6BB0000}"/>
    <cellStyle name="Финансовый 5 6 3 2 2 2" xfId="11582" xr:uid="{00000000-0005-0000-0000-0000E7BB0000}"/>
    <cellStyle name="Финансовый 5 6 3 2 2 2 2" xfId="23560" xr:uid="{00000000-0005-0000-0000-0000E8BB0000}"/>
    <cellStyle name="Финансовый 5 6 3 2 2 2 2 2" xfId="47515" xr:uid="{00000000-0005-0000-0000-0000E9BB0000}"/>
    <cellStyle name="Финансовый 5 6 3 2 2 2 3" xfId="35537" xr:uid="{00000000-0005-0000-0000-0000EABB0000}"/>
    <cellStyle name="Финансовый 5 6 3 2 2 3" xfId="15821" xr:uid="{00000000-0005-0000-0000-0000EBBB0000}"/>
    <cellStyle name="Финансовый 5 6 3 2 2 3 2" xfId="39776" xr:uid="{00000000-0005-0000-0000-0000ECBB0000}"/>
    <cellStyle name="Финансовый 5 6 3 2 2 4" xfId="27799" xr:uid="{00000000-0005-0000-0000-0000EDBB0000}"/>
    <cellStyle name="Финансовый 5 6 3 2 2 5" xfId="51068" xr:uid="{00000000-0005-0000-0000-0000EEBB0000}"/>
    <cellStyle name="Финансовый 5 6 3 2 3" xfId="5625" xr:uid="{00000000-0005-0000-0000-0000EFBB0000}"/>
    <cellStyle name="Финансовый 5 6 3 2 3 2" xfId="17603" xr:uid="{00000000-0005-0000-0000-0000F0BB0000}"/>
    <cellStyle name="Финансовый 5 6 3 2 3 2 2" xfId="41558" xr:uid="{00000000-0005-0000-0000-0000F1BB0000}"/>
    <cellStyle name="Финансовый 5 6 3 2 3 3" xfId="29580" xr:uid="{00000000-0005-0000-0000-0000F2BB0000}"/>
    <cellStyle name="Финансовый 5 6 3 2 4" xfId="8235" xr:uid="{00000000-0005-0000-0000-0000F3BB0000}"/>
    <cellStyle name="Финансовый 5 6 3 2 4 2" xfId="20213" xr:uid="{00000000-0005-0000-0000-0000F4BB0000}"/>
    <cellStyle name="Финансовый 5 6 3 2 4 2 2" xfId="44168" xr:uid="{00000000-0005-0000-0000-0000F5BB0000}"/>
    <cellStyle name="Финансовый 5 6 3 2 4 3" xfId="32190" xr:uid="{00000000-0005-0000-0000-0000F6BB0000}"/>
    <cellStyle name="Финансовый 5 6 3 2 5" xfId="10018" xr:uid="{00000000-0005-0000-0000-0000F7BB0000}"/>
    <cellStyle name="Финансовый 5 6 3 2 5 2" xfId="21996" xr:uid="{00000000-0005-0000-0000-0000F8BB0000}"/>
    <cellStyle name="Финансовый 5 6 3 2 5 2 2" xfId="45951" xr:uid="{00000000-0005-0000-0000-0000F9BB0000}"/>
    <cellStyle name="Финансовый 5 6 3 2 5 3" xfId="33973" xr:uid="{00000000-0005-0000-0000-0000FABB0000}"/>
    <cellStyle name="Финансовый 5 6 3 2 6" xfId="14176" xr:uid="{00000000-0005-0000-0000-0000FBBB0000}"/>
    <cellStyle name="Финансовый 5 6 3 2 6 2" xfId="38131" xr:uid="{00000000-0005-0000-0000-0000FCBB0000}"/>
    <cellStyle name="Финансовый 5 6 3 2 7" xfId="26154" xr:uid="{00000000-0005-0000-0000-0000FDBB0000}"/>
    <cellStyle name="Финансовый 5 6 3 2 8" xfId="49287" xr:uid="{00000000-0005-0000-0000-0000FEBB0000}"/>
    <cellStyle name="Финансовый 5 6 3 3" xfId="1231" xr:uid="{00000000-0005-0000-0000-0000FFBB0000}"/>
    <cellStyle name="Финансовый 5 6 3 3 2" xfId="7271" xr:uid="{00000000-0005-0000-0000-000000BC0000}"/>
    <cellStyle name="Финансовый 5 6 3 3 2 2" xfId="19249" xr:uid="{00000000-0005-0000-0000-000001BC0000}"/>
    <cellStyle name="Финансовый 5 6 3 3 2 2 2" xfId="43204" xr:uid="{00000000-0005-0000-0000-000002BC0000}"/>
    <cellStyle name="Финансовый 5 6 3 3 2 3" xfId="31226" xr:uid="{00000000-0005-0000-0000-000003BC0000}"/>
    <cellStyle name="Финансовый 5 6 3 3 3" xfId="10810" xr:uid="{00000000-0005-0000-0000-000004BC0000}"/>
    <cellStyle name="Финансовый 5 6 3 3 3 2" xfId="22788" xr:uid="{00000000-0005-0000-0000-000005BC0000}"/>
    <cellStyle name="Финансовый 5 6 3 3 3 2 2" xfId="46743" xr:uid="{00000000-0005-0000-0000-000006BC0000}"/>
    <cellStyle name="Финансовый 5 6 3 3 3 3" xfId="34765" xr:uid="{00000000-0005-0000-0000-000007BC0000}"/>
    <cellStyle name="Финансовый 5 6 3 3 4" xfId="13212" xr:uid="{00000000-0005-0000-0000-000008BC0000}"/>
    <cellStyle name="Финансовый 5 6 3 3 4 2" xfId="37167" xr:uid="{00000000-0005-0000-0000-000009BC0000}"/>
    <cellStyle name="Финансовый 5 6 3 3 5" xfId="25190" xr:uid="{00000000-0005-0000-0000-00000ABC0000}"/>
    <cellStyle name="Финансовый 5 6 3 3 6" xfId="50103" xr:uid="{00000000-0005-0000-0000-00000BBC0000}"/>
    <cellStyle name="Финансовый 5 6 3 4" xfId="838" xr:uid="{00000000-0005-0000-0000-00000CBC0000}"/>
    <cellStyle name="Финансовый 5 6 3 4 2" xfId="6878" xr:uid="{00000000-0005-0000-0000-00000DBC0000}"/>
    <cellStyle name="Финансовый 5 6 3 4 2 2" xfId="18856" xr:uid="{00000000-0005-0000-0000-00000EBC0000}"/>
    <cellStyle name="Финансовый 5 6 3 4 2 2 2" xfId="42811" xr:uid="{00000000-0005-0000-0000-00000FBC0000}"/>
    <cellStyle name="Финансовый 5 6 3 4 2 3" xfId="30833" xr:uid="{00000000-0005-0000-0000-000010BC0000}"/>
    <cellStyle name="Финансовый 5 6 3 4 3" xfId="12819" xr:uid="{00000000-0005-0000-0000-000011BC0000}"/>
    <cellStyle name="Финансовый 5 6 3 4 3 2" xfId="36774" xr:uid="{00000000-0005-0000-0000-000012BC0000}"/>
    <cellStyle name="Финансовый 5 6 3 4 4" xfId="24797" xr:uid="{00000000-0005-0000-0000-000013BC0000}"/>
    <cellStyle name="Финансовый 5 6 3 5" xfId="3015" xr:uid="{00000000-0005-0000-0000-000014BC0000}"/>
    <cellStyle name="Финансовый 5 6 3 5 2" xfId="14994" xr:uid="{00000000-0005-0000-0000-000015BC0000}"/>
    <cellStyle name="Финансовый 5 6 3 5 2 2" xfId="38949" xr:uid="{00000000-0005-0000-0000-000016BC0000}"/>
    <cellStyle name="Финансовый 5 6 3 5 3" xfId="26972" xr:uid="{00000000-0005-0000-0000-000017BC0000}"/>
    <cellStyle name="Финансовый 5 6 3 6" xfId="4659" xr:uid="{00000000-0005-0000-0000-000018BC0000}"/>
    <cellStyle name="Финансовый 5 6 3 6 2" xfId="16638" xr:uid="{00000000-0005-0000-0000-000019BC0000}"/>
    <cellStyle name="Финансовый 5 6 3 6 2 2" xfId="40593" xr:uid="{00000000-0005-0000-0000-00001ABC0000}"/>
    <cellStyle name="Финансовый 5 6 3 6 3" xfId="28616" xr:uid="{00000000-0005-0000-0000-00001BBC0000}"/>
    <cellStyle name="Финансовый 5 6 3 7" xfId="6458" xr:uid="{00000000-0005-0000-0000-00001CBC0000}"/>
    <cellStyle name="Финансовый 5 6 3 7 2" xfId="18436" xr:uid="{00000000-0005-0000-0000-00001DBC0000}"/>
    <cellStyle name="Финансовый 5 6 3 7 2 2" xfId="42391" xr:uid="{00000000-0005-0000-0000-00001EBC0000}"/>
    <cellStyle name="Финансовый 5 6 3 7 3" xfId="30413" xr:uid="{00000000-0005-0000-0000-00001FBC0000}"/>
    <cellStyle name="Финансовый 5 6 3 8" xfId="9053" xr:uid="{00000000-0005-0000-0000-000020BC0000}"/>
    <cellStyle name="Финансовый 5 6 3 8 2" xfId="21031" xr:uid="{00000000-0005-0000-0000-000021BC0000}"/>
    <cellStyle name="Финансовый 5 6 3 8 2 2" xfId="44986" xr:uid="{00000000-0005-0000-0000-000022BC0000}"/>
    <cellStyle name="Финансовый 5 6 3 8 3" xfId="33008" xr:uid="{00000000-0005-0000-0000-000023BC0000}"/>
    <cellStyle name="Финансовый 5 6 3 9" xfId="12399" xr:uid="{00000000-0005-0000-0000-000024BC0000}"/>
    <cellStyle name="Финансовый 5 6 3 9 2" xfId="36354" xr:uid="{00000000-0005-0000-0000-000025BC0000}"/>
    <cellStyle name="Финансовый 5 6 4" xfId="1549" xr:uid="{00000000-0005-0000-0000-000026BC0000}"/>
    <cellStyle name="Финансовый 5 6 4 2" xfId="1941" xr:uid="{00000000-0005-0000-0000-000027BC0000}"/>
    <cellStyle name="Финансовый 5 6 4 2 2" xfId="3586" xr:uid="{00000000-0005-0000-0000-000028BC0000}"/>
    <cellStyle name="Финансовый 5 6 4 2 2 2" xfId="11326" xr:uid="{00000000-0005-0000-0000-000029BC0000}"/>
    <cellStyle name="Финансовый 5 6 4 2 2 2 2" xfId="23304" xr:uid="{00000000-0005-0000-0000-00002ABC0000}"/>
    <cellStyle name="Финансовый 5 6 4 2 2 2 2 2" xfId="47259" xr:uid="{00000000-0005-0000-0000-00002BBC0000}"/>
    <cellStyle name="Финансовый 5 6 4 2 2 2 3" xfId="35281" xr:uid="{00000000-0005-0000-0000-00002CBC0000}"/>
    <cellStyle name="Финансовый 5 6 4 2 2 3" xfId="15565" xr:uid="{00000000-0005-0000-0000-00002DBC0000}"/>
    <cellStyle name="Финансовый 5 6 4 2 2 3 2" xfId="39520" xr:uid="{00000000-0005-0000-0000-00002EBC0000}"/>
    <cellStyle name="Финансовый 5 6 4 2 2 4" xfId="27543" xr:uid="{00000000-0005-0000-0000-00002FBC0000}"/>
    <cellStyle name="Финансовый 5 6 4 2 2 5" xfId="50812" xr:uid="{00000000-0005-0000-0000-000030BC0000}"/>
    <cellStyle name="Финансовый 5 6 4 2 3" xfId="5369" xr:uid="{00000000-0005-0000-0000-000031BC0000}"/>
    <cellStyle name="Финансовый 5 6 4 2 3 2" xfId="17347" xr:uid="{00000000-0005-0000-0000-000032BC0000}"/>
    <cellStyle name="Финансовый 5 6 4 2 3 2 2" xfId="41302" xr:uid="{00000000-0005-0000-0000-000033BC0000}"/>
    <cellStyle name="Финансовый 5 6 4 2 3 3" xfId="29324" xr:uid="{00000000-0005-0000-0000-000034BC0000}"/>
    <cellStyle name="Финансовый 5 6 4 2 4" xfId="7979" xr:uid="{00000000-0005-0000-0000-000035BC0000}"/>
    <cellStyle name="Финансовый 5 6 4 2 4 2" xfId="19957" xr:uid="{00000000-0005-0000-0000-000036BC0000}"/>
    <cellStyle name="Финансовый 5 6 4 2 4 2 2" xfId="43912" xr:uid="{00000000-0005-0000-0000-000037BC0000}"/>
    <cellStyle name="Финансовый 5 6 4 2 4 3" xfId="31934" xr:uid="{00000000-0005-0000-0000-000038BC0000}"/>
    <cellStyle name="Финансовый 5 6 4 2 5" xfId="9762" xr:uid="{00000000-0005-0000-0000-000039BC0000}"/>
    <cellStyle name="Финансовый 5 6 4 2 5 2" xfId="21740" xr:uid="{00000000-0005-0000-0000-00003ABC0000}"/>
    <cellStyle name="Финансовый 5 6 4 2 5 2 2" xfId="45695" xr:uid="{00000000-0005-0000-0000-00003BBC0000}"/>
    <cellStyle name="Финансовый 5 6 4 2 5 3" xfId="33717" xr:uid="{00000000-0005-0000-0000-00003CBC0000}"/>
    <cellStyle name="Финансовый 5 6 4 2 6" xfId="13920" xr:uid="{00000000-0005-0000-0000-00003DBC0000}"/>
    <cellStyle name="Финансовый 5 6 4 2 6 2" xfId="37875" xr:uid="{00000000-0005-0000-0000-00003EBC0000}"/>
    <cellStyle name="Финансовый 5 6 4 2 7" xfId="25898" xr:uid="{00000000-0005-0000-0000-00003FBC0000}"/>
    <cellStyle name="Финансовый 5 6 4 2 8" xfId="49031" xr:uid="{00000000-0005-0000-0000-000040BC0000}"/>
    <cellStyle name="Финансовый 5 6 4 3" xfId="4977" xr:uid="{00000000-0005-0000-0000-000041BC0000}"/>
    <cellStyle name="Финансовый 5 6 4 3 2" xfId="16955" xr:uid="{00000000-0005-0000-0000-000042BC0000}"/>
    <cellStyle name="Финансовый 5 6 4 3 2 2" xfId="40910" xr:uid="{00000000-0005-0000-0000-000043BC0000}"/>
    <cellStyle name="Финансовый 5 6 4 3 3" xfId="28932" xr:uid="{00000000-0005-0000-0000-000044BC0000}"/>
    <cellStyle name="Финансовый 5 6 4 3 4" xfId="50420" xr:uid="{00000000-0005-0000-0000-000045BC0000}"/>
    <cellStyle name="Финансовый 5 6 4 4" xfId="7587" xr:uid="{00000000-0005-0000-0000-000046BC0000}"/>
    <cellStyle name="Финансовый 5 6 4 4 2" xfId="19565" xr:uid="{00000000-0005-0000-0000-000047BC0000}"/>
    <cellStyle name="Финансовый 5 6 4 4 2 2" xfId="43520" xr:uid="{00000000-0005-0000-0000-000048BC0000}"/>
    <cellStyle name="Финансовый 5 6 4 4 3" xfId="31542" xr:uid="{00000000-0005-0000-0000-000049BC0000}"/>
    <cellStyle name="Финансовый 5 6 4 5" xfId="9370" xr:uid="{00000000-0005-0000-0000-00004ABC0000}"/>
    <cellStyle name="Финансовый 5 6 4 5 2" xfId="21348" xr:uid="{00000000-0005-0000-0000-00004BBC0000}"/>
    <cellStyle name="Финансовый 5 6 4 5 2 2" xfId="45303" xr:uid="{00000000-0005-0000-0000-00004CBC0000}"/>
    <cellStyle name="Финансовый 5 6 4 5 3" xfId="33325" xr:uid="{00000000-0005-0000-0000-00004DBC0000}"/>
    <cellStyle name="Финансовый 5 6 4 6" xfId="13528" xr:uid="{00000000-0005-0000-0000-00004EBC0000}"/>
    <cellStyle name="Финансовый 5 6 4 6 2" xfId="37483" xr:uid="{00000000-0005-0000-0000-00004FBC0000}"/>
    <cellStyle name="Финансовый 5 6 4 7" xfId="25506" xr:uid="{00000000-0005-0000-0000-000050BC0000}"/>
    <cellStyle name="Финансовый 5 6 4 8" xfId="48639" xr:uid="{00000000-0005-0000-0000-000051BC0000}"/>
    <cellStyle name="Финансовый 5 6 5" xfId="1817" xr:uid="{00000000-0005-0000-0000-000052BC0000}"/>
    <cellStyle name="Финансовый 5 6 5 2" xfId="3462" xr:uid="{00000000-0005-0000-0000-000053BC0000}"/>
    <cellStyle name="Финансовый 5 6 5 2 2" xfId="11210" xr:uid="{00000000-0005-0000-0000-000054BC0000}"/>
    <cellStyle name="Финансовый 5 6 5 2 2 2" xfId="23188" xr:uid="{00000000-0005-0000-0000-000055BC0000}"/>
    <cellStyle name="Финансовый 5 6 5 2 2 2 2" xfId="47143" xr:uid="{00000000-0005-0000-0000-000056BC0000}"/>
    <cellStyle name="Финансовый 5 6 5 2 2 3" xfId="35165" xr:uid="{00000000-0005-0000-0000-000057BC0000}"/>
    <cellStyle name="Финансовый 5 6 5 2 3" xfId="15441" xr:uid="{00000000-0005-0000-0000-000058BC0000}"/>
    <cellStyle name="Финансовый 5 6 5 2 3 2" xfId="39396" xr:uid="{00000000-0005-0000-0000-000059BC0000}"/>
    <cellStyle name="Финансовый 5 6 5 2 4" xfId="27419" xr:uid="{00000000-0005-0000-0000-00005ABC0000}"/>
    <cellStyle name="Финансовый 5 6 5 2 5" xfId="50688" xr:uid="{00000000-0005-0000-0000-00005BBC0000}"/>
    <cellStyle name="Финансовый 5 6 5 3" xfId="5245" xr:uid="{00000000-0005-0000-0000-00005CBC0000}"/>
    <cellStyle name="Финансовый 5 6 5 3 2" xfId="17223" xr:uid="{00000000-0005-0000-0000-00005DBC0000}"/>
    <cellStyle name="Финансовый 5 6 5 3 2 2" xfId="41178" xr:uid="{00000000-0005-0000-0000-00005EBC0000}"/>
    <cellStyle name="Финансовый 5 6 5 3 3" xfId="29200" xr:uid="{00000000-0005-0000-0000-00005FBC0000}"/>
    <cellStyle name="Финансовый 5 6 5 4" xfId="7855" xr:uid="{00000000-0005-0000-0000-000060BC0000}"/>
    <cellStyle name="Финансовый 5 6 5 4 2" xfId="19833" xr:uid="{00000000-0005-0000-0000-000061BC0000}"/>
    <cellStyle name="Финансовый 5 6 5 4 2 2" xfId="43788" xr:uid="{00000000-0005-0000-0000-000062BC0000}"/>
    <cellStyle name="Финансовый 5 6 5 4 3" xfId="31810" xr:uid="{00000000-0005-0000-0000-000063BC0000}"/>
    <cellStyle name="Финансовый 5 6 5 5" xfId="9638" xr:uid="{00000000-0005-0000-0000-000064BC0000}"/>
    <cellStyle name="Финансовый 5 6 5 5 2" xfId="21616" xr:uid="{00000000-0005-0000-0000-000065BC0000}"/>
    <cellStyle name="Финансовый 5 6 5 5 2 2" xfId="45571" xr:uid="{00000000-0005-0000-0000-000066BC0000}"/>
    <cellStyle name="Финансовый 5 6 5 5 3" xfId="33593" xr:uid="{00000000-0005-0000-0000-000067BC0000}"/>
    <cellStyle name="Финансовый 5 6 5 6" xfId="13796" xr:uid="{00000000-0005-0000-0000-000068BC0000}"/>
    <cellStyle name="Финансовый 5 6 5 6 2" xfId="37751" xr:uid="{00000000-0005-0000-0000-000069BC0000}"/>
    <cellStyle name="Финансовый 5 6 5 7" xfId="25774" xr:uid="{00000000-0005-0000-0000-00006ABC0000}"/>
    <cellStyle name="Финансовый 5 6 5 8" xfId="48907" xr:uid="{00000000-0005-0000-0000-00006BBC0000}"/>
    <cellStyle name="Финансовый 5 6 6" xfId="2462" xr:uid="{00000000-0005-0000-0000-00006CBC0000}"/>
    <cellStyle name="Финансовый 5 6 6 2" xfId="4107" xr:uid="{00000000-0005-0000-0000-00006DBC0000}"/>
    <cellStyle name="Финансовый 5 6 6 2 2" xfId="11839" xr:uid="{00000000-0005-0000-0000-00006EBC0000}"/>
    <cellStyle name="Финансовый 5 6 6 2 2 2" xfId="23817" xr:uid="{00000000-0005-0000-0000-00006FBC0000}"/>
    <cellStyle name="Финансовый 5 6 6 2 2 2 2" xfId="47772" xr:uid="{00000000-0005-0000-0000-000070BC0000}"/>
    <cellStyle name="Финансовый 5 6 6 2 2 3" xfId="35794" xr:uid="{00000000-0005-0000-0000-000071BC0000}"/>
    <cellStyle name="Финансовый 5 6 6 2 3" xfId="16086" xr:uid="{00000000-0005-0000-0000-000072BC0000}"/>
    <cellStyle name="Финансовый 5 6 6 2 3 2" xfId="40041" xr:uid="{00000000-0005-0000-0000-000073BC0000}"/>
    <cellStyle name="Финансовый 5 6 6 2 4" xfId="28064" xr:uid="{00000000-0005-0000-0000-000074BC0000}"/>
    <cellStyle name="Финансовый 5 6 6 2 5" xfId="51333" xr:uid="{00000000-0005-0000-0000-000075BC0000}"/>
    <cellStyle name="Финансовый 5 6 6 3" xfId="5890" xr:uid="{00000000-0005-0000-0000-000076BC0000}"/>
    <cellStyle name="Финансовый 5 6 6 3 2" xfId="17868" xr:uid="{00000000-0005-0000-0000-000077BC0000}"/>
    <cellStyle name="Финансовый 5 6 6 3 2 2" xfId="41823" xr:uid="{00000000-0005-0000-0000-000078BC0000}"/>
    <cellStyle name="Финансовый 5 6 6 3 3" xfId="29845" xr:uid="{00000000-0005-0000-0000-000079BC0000}"/>
    <cellStyle name="Финансовый 5 6 6 4" xfId="8500" xr:uid="{00000000-0005-0000-0000-00007ABC0000}"/>
    <cellStyle name="Финансовый 5 6 6 4 2" xfId="20478" xr:uid="{00000000-0005-0000-0000-00007BBC0000}"/>
    <cellStyle name="Финансовый 5 6 6 4 2 2" xfId="44433" xr:uid="{00000000-0005-0000-0000-00007CBC0000}"/>
    <cellStyle name="Финансовый 5 6 6 4 3" xfId="32455" xr:uid="{00000000-0005-0000-0000-00007DBC0000}"/>
    <cellStyle name="Финансовый 5 6 6 5" xfId="10283" xr:uid="{00000000-0005-0000-0000-00007EBC0000}"/>
    <cellStyle name="Финансовый 5 6 6 5 2" xfId="22261" xr:uid="{00000000-0005-0000-0000-00007FBC0000}"/>
    <cellStyle name="Финансовый 5 6 6 5 2 2" xfId="46216" xr:uid="{00000000-0005-0000-0000-000080BC0000}"/>
    <cellStyle name="Финансовый 5 6 6 5 3" xfId="34238" xr:uid="{00000000-0005-0000-0000-000081BC0000}"/>
    <cellStyle name="Финансовый 5 6 6 6" xfId="14441" xr:uid="{00000000-0005-0000-0000-000082BC0000}"/>
    <cellStyle name="Финансовый 5 6 6 6 2" xfId="38396" xr:uid="{00000000-0005-0000-0000-000083BC0000}"/>
    <cellStyle name="Финансовый 5 6 6 7" xfId="26419" xr:uid="{00000000-0005-0000-0000-000084BC0000}"/>
    <cellStyle name="Финансовый 5 6 6 8" xfId="49552" xr:uid="{00000000-0005-0000-0000-000085BC0000}"/>
    <cellStyle name="Финансовый 5 6 7" xfId="1689" xr:uid="{00000000-0005-0000-0000-000086BC0000}"/>
    <cellStyle name="Финансовый 5 6 7 2" xfId="3334" xr:uid="{00000000-0005-0000-0000-000087BC0000}"/>
    <cellStyle name="Финансовый 5 6 7 2 2" xfId="11082" xr:uid="{00000000-0005-0000-0000-000088BC0000}"/>
    <cellStyle name="Финансовый 5 6 7 2 2 2" xfId="23060" xr:uid="{00000000-0005-0000-0000-000089BC0000}"/>
    <cellStyle name="Финансовый 5 6 7 2 2 2 2" xfId="47015" xr:uid="{00000000-0005-0000-0000-00008ABC0000}"/>
    <cellStyle name="Финансовый 5 6 7 2 2 3" xfId="35037" xr:uid="{00000000-0005-0000-0000-00008BBC0000}"/>
    <cellStyle name="Финансовый 5 6 7 2 3" xfId="15313" xr:uid="{00000000-0005-0000-0000-00008CBC0000}"/>
    <cellStyle name="Финансовый 5 6 7 2 3 2" xfId="39268" xr:uid="{00000000-0005-0000-0000-00008DBC0000}"/>
    <cellStyle name="Финансовый 5 6 7 2 4" xfId="27291" xr:uid="{00000000-0005-0000-0000-00008EBC0000}"/>
    <cellStyle name="Финансовый 5 6 7 2 5" xfId="50560" xr:uid="{00000000-0005-0000-0000-00008FBC0000}"/>
    <cellStyle name="Финансовый 5 6 7 3" xfId="5117" xr:uid="{00000000-0005-0000-0000-000090BC0000}"/>
    <cellStyle name="Финансовый 5 6 7 3 2" xfId="17095" xr:uid="{00000000-0005-0000-0000-000091BC0000}"/>
    <cellStyle name="Финансовый 5 6 7 3 2 2" xfId="41050" xr:uid="{00000000-0005-0000-0000-000092BC0000}"/>
    <cellStyle name="Финансовый 5 6 7 3 3" xfId="29072" xr:uid="{00000000-0005-0000-0000-000093BC0000}"/>
    <cellStyle name="Финансовый 5 6 7 4" xfId="7727" xr:uid="{00000000-0005-0000-0000-000094BC0000}"/>
    <cellStyle name="Финансовый 5 6 7 4 2" xfId="19705" xr:uid="{00000000-0005-0000-0000-000095BC0000}"/>
    <cellStyle name="Финансовый 5 6 7 4 2 2" xfId="43660" xr:uid="{00000000-0005-0000-0000-000096BC0000}"/>
    <cellStyle name="Финансовый 5 6 7 4 3" xfId="31682" xr:uid="{00000000-0005-0000-0000-000097BC0000}"/>
    <cellStyle name="Финансовый 5 6 7 5" xfId="9510" xr:uid="{00000000-0005-0000-0000-000098BC0000}"/>
    <cellStyle name="Финансовый 5 6 7 5 2" xfId="21488" xr:uid="{00000000-0005-0000-0000-000099BC0000}"/>
    <cellStyle name="Финансовый 5 6 7 5 2 2" xfId="45443" xr:uid="{00000000-0005-0000-0000-00009ABC0000}"/>
    <cellStyle name="Финансовый 5 6 7 5 3" xfId="33465" xr:uid="{00000000-0005-0000-0000-00009BBC0000}"/>
    <cellStyle name="Финансовый 5 6 7 6" xfId="13668" xr:uid="{00000000-0005-0000-0000-00009CBC0000}"/>
    <cellStyle name="Финансовый 5 6 7 6 2" xfId="37623" xr:uid="{00000000-0005-0000-0000-00009DBC0000}"/>
    <cellStyle name="Финансовый 5 6 7 7" xfId="25646" xr:uid="{00000000-0005-0000-0000-00009EBC0000}"/>
    <cellStyle name="Финансовый 5 6 7 8" xfId="48779" xr:uid="{00000000-0005-0000-0000-00009FBC0000}"/>
    <cellStyle name="Финансовый 5 6 8" xfId="966" xr:uid="{00000000-0005-0000-0000-0000A0BC0000}"/>
    <cellStyle name="Финансовый 5 6 8 2" xfId="7006" xr:uid="{00000000-0005-0000-0000-0000A1BC0000}"/>
    <cellStyle name="Финансовый 5 6 8 2 2" xfId="18984" xr:uid="{00000000-0005-0000-0000-0000A2BC0000}"/>
    <cellStyle name="Финансовый 5 6 8 2 2 2" xfId="42939" xr:uid="{00000000-0005-0000-0000-0000A3BC0000}"/>
    <cellStyle name="Финансовый 5 6 8 2 3" xfId="30961" xr:uid="{00000000-0005-0000-0000-0000A4BC0000}"/>
    <cellStyle name="Финансовый 5 6 8 3" xfId="10554" xr:uid="{00000000-0005-0000-0000-0000A5BC0000}"/>
    <cellStyle name="Финансовый 5 6 8 3 2" xfId="22532" xr:uid="{00000000-0005-0000-0000-0000A6BC0000}"/>
    <cellStyle name="Финансовый 5 6 8 3 2 2" xfId="46487" xr:uid="{00000000-0005-0000-0000-0000A7BC0000}"/>
    <cellStyle name="Финансовый 5 6 8 3 3" xfId="34509" xr:uid="{00000000-0005-0000-0000-0000A8BC0000}"/>
    <cellStyle name="Финансовый 5 6 8 4" xfId="12947" xr:uid="{00000000-0005-0000-0000-0000A9BC0000}"/>
    <cellStyle name="Финансовый 5 6 8 4 2" xfId="36902" xr:uid="{00000000-0005-0000-0000-0000AABC0000}"/>
    <cellStyle name="Финансовый 5 6 8 5" xfId="24925" xr:uid="{00000000-0005-0000-0000-0000ABBC0000}"/>
    <cellStyle name="Финансовый 5 6 8 6" xfId="49831" xr:uid="{00000000-0005-0000-0000-0000ACBC0000}"/>
    <cellStyle name="Финансовый 5 6 9" xfId="554" xr:uid="{00000000-0005-0000-0000-0000ADBC0000}"/>
    <cellStyle name="Финансовый 5 6 9 2" xfId="6594" xr:uid="{00000000-0005-0000-0000-0000AEBC0000}"/>
    <cellStyle name="Финансовый 5 6 9 2 2" xfId="18572" xr:uid="{00000000-0005-0000-0000-0000AFBC0000}"/>
    <cellStyle name="Финансовый 5 6 9 2 2 2" xfId="42527" xr:uid="{00000000-0005-0000-0000-0000B0BC0000}"/>
    <cellStyle name="Финансовый 5 6 9 2 3" xfId="30549" xr:uid="{00000000-0005-0000-0000-0000B1BC0000}"/>
    <cellStyle name="Финансовый 5 6 9 3" xfId="12535" xr:uid="{00000000-0005-0000-0000-0000B2BC0000}"/>
    <cellStyle name="Финансовый 5 6 9 3 2" xfId="36490" xr:uid="{00000000-0005-0000-0000-0000B3BC0000}"/>
    <cellStyle name="Финансовый 5 6 9 4" xfId="24513" xr:uid="{00000000-0005-0000-0000-0000B4BC0000}"/>
    <cellStyle name="Финансовый 5 7" xfId="31" xr:uid="{00000000-0005-0000-0000-0000B5BC0000}"/>
    <cellStyle name="Финансовый 5 7 10" xfId="2643" xr:uid="{00000000-0005-0000-0000-0000B6BC0000}"/>
    <cellStyle name="Финансовый 5 7 10 2" xfId="14622" xr:uid="{00000000-0005-0000-0000-0000B7BC0000}"/>
    <cellStyle name="Финансовый 5 7 10 2 2" xfId="38577" xr:uid="{00000000-0005-0000-0000-0000B8BC0000}"/>
    <cellStyle name="Финансовый 5 7 10 3" xfId="26600" xr:uid="{00000000-0005-0000-0000-0000B9BC0000}"/>
    <cellStyle name="Финансовый 5 7 11" xfId="4286" xr:uid="{00000000-0005-0000-0000-0000BABC0000}"/>
    <cellStyle name="Финансовый 5 7 11 2" xfId="16265" xr:uid="{00000000-0005-0000-0000-0000BBBC0000}"/>
    <cellStyle name="Финансовый 5 7 11 2 2" xfId="40220" xr:uid="{00000000-0005-0000-0000-0000BCBC0000}"/>
    <cellStyle name="Финансовый 5 7 11 3" xfId="28243" xr:uid="{00000000-0005-0000-0000-0000BDBC0000}"/>
    <cellStyle name="Финансовый 5 7 12" xfId="6074" xr:uid="{00000000-0005-0000-0000-0000BEBC0000}"/>
    <cellStyle name="Финансовый 5 7 12 2" xfId="18052" xr:uid="{00000000-0005-0000-0000-0000BFBC0000}"/>
    <cellStyle name="Финансовый 5 7 12 2 2" xfId="42007" xr:uid="{00000000-0005-0000-0000-0000C0BC0000}"/>
    <cellStyle name="Финансовый 5 7 12 3" xfId="30029" xr:uid="{00000000-0005-0000-0000-0000C1BC0000}"/>
    <cellStyle name="Финансовый 5 7 13" xfId="8681" xr:uid="{00000000-0005-0000-0000-0000C2BC0000}"/>
    <cellStyle name="Финансовый 5 7 13 2" xfId="20659" xr:uid="{00000000-0005-0000-0000-0000C3BC0000}"/>
    <cellStyle name="Финансовый 5 7 13 2 2" xfId="44614" xr:uid="{00000000-0005-0000-0000-0000C4BC0000}"/>
    <cellStyle name="Финансовый 5 7 13 3" xfId="32636" xr:uid="{00000000-0005-0000-0000-0000C5BC0000}"/>
    <cellStyle name="Финансовый 5 7 14" xfId="12015" xr:uid="{00000000-0005-0000-0000-0000C6BC0000}"/>
    <cellStyle name="Финансовый 5 7 14 2" xfId="35970" xr:uid="{00000000-0005-0000-0000-0000C7BC0000}"/>
    <cellStyle name="Финансовый 5 7 15" xfId="23993" xr:uid="{00000000-0005-0000-0000-0000C8BC0000}"/>
    <cellStyle name="Финансовый 5 7 16" xfId="47951" xr:uid="{00000000-0005-0000-0000-0000C9BC0000}"/>
    <cellStyle name="Финансовый 5 7 2" xfId="169" xr:uid="{00000000-0005-0000-0000-0000CABC0000}"/>
    <cellStyle name="Финансовый 5 7 2 10" xfId="8817" xr:uid="{00000000-0005-0000-0000-0000CBBC0000}"/>
    <cellStyle name="Финансовый 5 7 2 10 2" xfId="20795" xr:uid="{00000000-0005-0000-0000-0000CCBC0000}"/>
    <cellStyle name="Финансовый 5 7 2 10 2 2" xfId="44750" xr:uid="{00000000-0005-0000-0000-0000CDBC0000}"/>
    <cellStyle name="Финансовый 5 7 2 10 3" xfId="32772" xr:uid="{00000000-0005-0000-0000-0000CEBC0000}"/>
    <cellStyle name="Финансовый 5 7 2 11" xfId="12151" xr:uid="{00000000-0005-0000-0000-0000CFBC0000}"/>
    <cellStyle name="Финансовый 5 7 2 11 2" xfId="36106" xr:uid="{00000000-0005-0000-0000-0000D0BC0000}"/>
    <cellStyle name="Финансовый 5 7 2 12" xfId="24129" xr:uid="{00000000-0005-0000-0000-0000D1BC0000}"/>
    <cellStyle name="Финансовый 5 7 2 13" xfId="48087" xr:uid="{00000000-0005-0000-0000-0000D2BC0000}"/>
    <cellStyle name="Финансовый 5 7 2 2" xfId="1267" xr:uid="{00000000-0005-0000-0000-0000D3BC0000}"/>
    <cellStyle name="Финансовый 5 7 2 2 2" xfId="2233" xr:uid="{00000000-0005-0000-0000-0000D4BC0000}"/>
    <cellStyle name="Финансовый 5 7 2 2 2 2" xfId="3878" xr:uid="{00000000-0005-0000-0000-0000D5BC0000}"/>
    <cellStyle name="Финансовый 5 7 2 2 2 2 2" xfId="11618" xr:uid="{00000000-0005-0000-0000-0000D6BC0000}"/>
    <cellStyle name="Финансовый 5 7 2 2 2 2 2 2" xfId="23596" xr:uid="{00000000-0005-0000-0000-0000D7BC0000}"/>
    <cellStyle name="Финансовый 5 7 2 2 2 2 2 2 2" xfId="47551" xr:uid="{00000000-0005-0000-0000-0000D8BC0000}"/>
    <cellStyle name="Финансовый 5 7 2 2 2 2 2 3" xfId="35573" xr:uid="{00000000-0005-0000-0000-0000D9BC0000}"/>
    <cellStyle name="Финансовый 5 7 2 2 2 2 3" xfId="15857" xr:uid="{00000000-0005-0000-0000-0000DABC0000}"/>
    <cellStyle name="Финансовый 5 7 2 2 2 2 3 2" xfId="39812" xr:uid="{00000000-0005-0000-0000-0000DBBC0000}"/>
    <cellStyle name="Финансовый 5 7 2 2 2 2 4" xfId="27835" xr:uid="{00000000-0005-0000-0000-0000DCBC0000}"/>
    <cellStyle name="Финансовый 5 7 2 2 2 2 5" xfId="51104" xr:uid="{00000000-0005-0000-0000-0000DDBC0000}"/>
    <cellStyle name="Финансовый 5 7 2 2 2 3" xfId="5661" xr:uid="{00000000-0005-0000-0000-0000DEBC0000}"/>
    <cellStyle name="Финансовый 5 7 2 2 2 3 2" xfId="17639" xr:uid="{00000000-0005-0000-0000-0000DFBC0000}"/>
    <cellStyle name="Финансовый 5 7 2 2 2 3 2 2" xfId="41594" xr:uid="{00000000-0005-0000-0000-0000E0BC0000}"/>
    <cellStyle name="Финансовый 5 7 2 2 2 3 3" xfId="29616" xr:uid="{00000000-0005-0000-0000-0000E1BC0000}"/>
    <cellStyle name="Финансовый 5 7 2 2 2 4" xfId="8271" xr:uid="{00000000-0005-0000-0000-0000E2BC0000}"/>
    <cellStyle name="Финансовый 5 7 2 2 2 4 2" xfId="20249" xr:uid="{00000000-0005-0000-0000-0000E3BC0000}"/>
    <cellStyle name="Финансовый 5 7 2 2 2 4 2 2" xfId="44204" xr:uid="{00000000-0005-0000-0000-0000E4BC0000}"/>
    <cellStyle name="Финансовый 5 7 2 2 2 4 3" xfId="32226" xr:uid="{00000000-0005-0000-0000-0000E5BC0000}"/>
    <cellStyle name="Финансовый 5 7 2 2 2 5" xfId="10054" xr:uid="{00000000-0005-0000-0000-0000E6BC0000}"/>
    <cellStyle name="Финансовый 5 7 2 2 2 5 2" xfId="22032" xr:uid="{00000000-0005-0000-0000-0000E7BC0000}"/>
    <cellStyle name="Финансовый 5 7 2 2 2 5 2 2" xfId="45987" xr:uid="{00000000-0005-0000-0000-0000E8BC0000}"/>
    <cellStyle name="Финансовый 5 7 2 2 2 5 3" xfId="34009" xr:uid="{00000000-0005-0000-0000-0000E9BC0000}"/>
    <cellStyle name="Финансовый 5 7 2 2 2 6" xfId="14212" xr:uid="{00000000-0005-0000-0000-0000EABC0000}"/>
    <cellStyle name="Финансовый 5 7 2 2 2 6 2" xfId="38167" xr:uid="{00000000-0005-0000-0000-0000EBBC0000}"/>
    <cellStyle name="Финансовый 5 7 2 2 2 7" xfId="26190" xr:uid="{00000000-0005-0000-0000-0000ECBC0000}"/>
    <cellStyle name="Финансовый 5 7 2 2 2 8" xfId="49323" xr:uid="{00000000-0005-0000-0000-0000EDBC0000}"/>
    <cellStyle name="Финансовый 5 7 2 2 3" xfId="3051" xr:uid="{00000000-0005-0000-0000-0000EEBC0000}"/>
    <cellStyle name="Финансовый 5 7 2 2 3 2" xfId="10846" xr:uid="{00000000-0005-0000-0000-0000EFBC0000}"/>
    <cellStyle name="Финансовый 5 7 2 2 3 2 2" xfId="22824" xr:uid="{00000000-0005-0000-0000-0000F0BC0000}"/>
    <cellStyle name="Финансовый 5 7 2 2 3 2 2 2" xfId="46779" xr:uid="{00000000-0005-0000-0000-0000F1BC0000}"/>
    <cellStyle name="Финансовый 5 7 2 2 3 2 3" xfId="34801" xr:uid="{00000000-0005-0000-0000-0000F2BC0000}"/>
    <cellStyle name="Финансовый 5 7 2 2 3 3" xfId="15030" xr:uid="{00000000-0005-0000-0000-0000F3BC0000}"/>
    <cellStyle name="Финансовый 5 7 2 2 3 3 2" xfId="38985" xr:uid="{00000000-0005-0000-0000-0000F4BC0000}"/>
    <cellStyle name="Финансовый 5 7 2 2 3 4" xfId="27008" xr:uid="{00000000-0005-0000-0000-0000F5BC0000}"/>
    <cellStyle name="Финансовый 5 7 2 2 3 5" xfId="50139" xr:uid="{00000000-0005-0000-0000-0000F6BC0000}"/>
    <cellStyle name="Финансовый 5 7 2 2 4" xfId="4695" xr:uid="{00000000-0005-0000-0000-0000F7BC0000}"/>
    <cellStyle name="Финансовый 5 7 2 2 4 2" xfId="16674" xr:uid="{00000000-0005-0000-0000-0000F8BC0000}"/>
    <cellStyle name="Финансовый 5 7 2 2 4 2 2" xfId="40629" xr:uid="{00000000-0005-0000-0000-0000F9BC0000}"/>
    <cellStyle name="Финансовый 5 7 2 2 4 3" xfId="28652" xr:uid="{00000000-0005-0000-0000-0000FABC0000}"/>
    <cellStyle name="Финансовый 5 7 2 2 5" xfId="7307" xr:uid="{00000000-0005-0000-0000-0000FBBC0000}"/>
    <cellStyle name="Финансовый 5 7 2 2 5 2" xfId="19285" xr:uid="{00000000-0005-0000-0000-0000FCBC0000}"/>
    <cellStyle name="Финансовый 5 7 2 2 5 2 2" xfId="43240" xr:uid="{00000000-0005-0000-0000-0000FDBC0000}"/>
    <cellStyle name="Финансовый 5 7 2 2 5 3" xfId="31262" xr:uid="{00000000-0005-0000-0000-0000FEBC0000}"/>
    <cellStyle name="Финансовый 5 7 2 2 6" xfId="9089" xr:uid="{00000000-0005-0000-0000-0000FFBC0000}"/>
    <cellStyle name="Финансовый 5 7 2 2 6 2" xfId="21067" xr:uid="{00000000-0005-0000-0000-000000BD0000}"/>
    <cellStyle name="Финансовый 5 7 2 2 6 2 2" xfId="45022" xr:uid="{00000000-0005-0000-0000-000001BD0000}"/>
    <cellStyle name="Финансовый 5 7 2 2 6 3" xfId="33044" xr:uid="{00000000-0005-0000-0000-000002BD0000}"/>
    <cellStyle name="Финансовый 5 7 2 2 7" xfId="13248" xr:uid="{00000000-0005-0000-0000-000003BD0000}"/>
    <cellStyle name="Финансовый 5 7 2 2 7 2" xfId="37203" xr:uid="{00000000-0005-0000-0000-000004BD0000}"/>
    <cellStyle name="Финансовый 5 7 2 2 8" xfId="25226" xr:uid="{00000000-0005-0000-0000-000005BD0000}"/>
    <cellStyle name="Финансовый 5 7 2 2 9" xfId="48359" xr:uid="{00000000-0005-0000-0000-000006BD0000}"/>
    <cellStyle name="Финансовый 5 7 2 3" xfId="1977" xr:uid="{00000000-0005-0000-0000-000007BD0000}"/>
    <cellStyle name="Финансовый 5 7 2 3 2" xfId="3622" xr:uid="{00000000-0005-0000-0000-000008BD0000}"/>
    <cellStyle name="Финансовый 5 7 2 3 2 2" xfId="11362" xr:uid="{00000000-0005-0000-0000-000009BD0000}"/>
    <cellStyle name="Финансовый 5 7 2 3 2 2 2" xfId="23340" xr:uid="{00000000-0005-0000-0000-00000ABD0000}"/>
    <cellStyle name="Финансовый 5 7 2 3 2 2 2 2" xfId="47295" xr:uid="{00000000-0005-0000-0000-00000BBD0000}"/>
    <cellStyle name="Финансовый 5 7 2 3 2 2 3" xfId="35317" xr:uid="{00000000-0005-0000-0000-00000CBD0000}"/>
    <cellStyle name="Финансовый 5 7 2 3 2 3" xfId="15601" xr:uid="{00000000-0005-0000-0000-00000DBD0000}"/>
    <cellStyle name="Финансовый 5 7 2 3 2 3 2" xfId="39556" xr:uid="{00000000-0005-0000-0000-00000EBD0000}"/>
    <cellStyle name="Финансовый 5 7 2 3 2 4" xfId="27579" xr:uid="{00000000-0005-0000-0000-00000FBD0000}"/>
    <cellStyle name="Финансовый 5 7 2 3 2 5" xfId="50848" xr:uid="{00000000-0005-0000-0000-000010BD0000}"/>
    <cellStyle name="Финансовый 5 7 2 3 3" xfId="5405" xr:uid="{00000000-0005-0000-0000-000011BD0000}"/>
    <cellStyle name="Финансовый 5 7 2 3 3 2" xfId="17383" xr:uid="{00000000-0005-0000-0000-000012BD0000}"/>
    <cellStyle name="Финансовый 5 7 2 3 3 2 2" xfId="41338" xr:uid="{00000000-0005-0000-0000-000013BD0000}"/>
    <cellStyle name="Финансовый 5 7 2 3 3 3" xfId="29360" xr:uid="{00000000-0005-0000-0000-000014BD0000}"/>
    <cellStyle name="Финансовый 5 7 2 3 4" xfId="8015" xr:uid="{00000000-0005-0000-0000-000015BD0000}"/>
    <cellStyle name="Финансовый 5 7 2 3 4 2" xfId="19993" xr:uid="{00000000-0005-0000-0000-000016BD0000}"/>
    <cellStyle name="Финансовый 5 7 2 3 4 2 2" xfId="43948" xr:uid="{00000000-0005-0000-0000-000017BD0000}"/>
    <cellStyle name="Финансовый 5 7 2 3 4 3" xfId="31970" xr:uid="{00000000-0005-0000-0000-000018BD0000}"/>
    <cellStyle name="Финансовый 5 7 2 3 5" xfId="9798" xr:uid="{00000000-0005-0000-0000-000019BD0000}"/>
    <cellStyle name="Финансовый 5 7 2 3 5 2" xfId="21776" xr:uid="{00000000-0005-0000-0000-00001ABD0000}"/>
    <cellStyle name="Финансовый 5 7 2 3 5 2 2" xfId="45731" xr:uid="{00000000-0005-0000-0000-00001BBD0000}"/>
    <cellStyle name="Финансовый 5 7 2 3 5 3" xfId="33753" xr:uid="{00000000-0005-0000-0000-00001CBD0000}"/>
    <cellStyle name="Финансовый 5 7 2 3 6" xfId="13956" xr:uid="{00000000-0005-0000-0000-00001DBD0000}"/>
    <cellStyle name="Финансовый 5 7 2 3 6 2" xfId="37911" xr:uid="{00000000-0005-0000-0000-00001EBD0000}"/>
    <cellStyle name="Финансовый 5 7 2 3 7" xfId="25934" xr:uid="{00000000-0005-0000-0000-00001FBD0000}"/>
    <cellStyle name="Финансовый 5 7 2 3 8" xfId="49067" xr:uid="{00000000-0005-0000-0000-000020BD0000}"/>
    <cellStyle name="Финансовый 5 7 2 4" xfId="2498" xr:uid="{00000000-0005-0000-0000-000021BD0000}"/>
    <cellStyle name="Финансовый 5 7 2 4 2" xfId="4143" xr:uid="{00000000-0005-0000-0000-000022BD0000}"/>
    <cellStyle name="Финансовый 5 7 2 4 2 2" xfId="11875" xr:uid="{00000000-0005-0000-0000-000023BD0000}"/>
    <cellStyle name="Финансовый 5 7 2 4 2 2 2" xfId="23853" xr:uid="{00000000-0005-0000-0000-000024BD0000}"/>
    <cellStyle name="Финансовый 5 7 2 4 2 2 2 2" xfId="47808" xr:uid="{00000000-0005-0000-0000-000025BD0000}"/>
    <cellStyle name="Финансовый 5 7 2 4 2 2 3" xfId="35830" xr:uid="{00000000-0005-0000-0000-000026BD0000}"/>
    <cellStyle name="Финансовый 5 7 2 4 2 3" xfId="16122" xr:uid="{00000000-0005-0000-0000-000027BD0000}"/>
    <cellStyle name="Финансовый 5 7 2 4 2 3 2" xfId="40077" xr:uid="{00000000-0005-0000-0000-000028BD0000}"/>
    <cellStyle name="Финансовый 5 7 2 4 2 4" xfId="28100" xr:uid="{00000000-0005-0000-0000-000029BD0000}"/>
    <cellStyle name="Финансовый 5 7 2 4 2 5" xfId="51369" xr:uid="{00000000-0005-0000-0000-00002ABD0000}"/>
    <cellStyle name="Финансовый 5 7 2 4 3" xfId="5926" xr:uid="{00000000-0005-0000-0000-00002BBD0000}"/>
    <cellStyle name="Финансовый 5 7 2 4 3 2" xfId="17904" xr:uid="{00000000-0005-0000-0000-00002CBD0000}"/>
    <cellStyle name="Финансовый 5 7 2 4 3 2 2" xfId="41859" xr:uid="{00000000-0005-0000-0000-00002DBD0000}"/>
    <cellStyle name="Финансовый 5 7 2 4 3 3" xfId="29881" xr:uid="{00000000-0005-0000-0000-00002EBD0000}"/>
    <cellStyle name="Финансовый 5 7 2 4 4" xfId="8536" xr:uid="{00000000-0005-0000-0000-00002FBD0000}"/>
    <cellStyle name="Финансовый 5 7 2 4 4 2" xfId="20514" xr:uid="{00000000-0005-0000-0000-000030BD0000}"/>
    <cellStyle name="Финансовый 5 7 2 4 4 2 2" xfId="44469" xr:uid="{00000000-0005-0000-0000-000031BD0000}"/>
    <cellStyle name="Финансовый 5 7 2 4 4 3" xfId="32491" xr:uid="{00000000-0005-0000-0000-000032BD0000}"/>
    <cellStyle name="Финансовый 5 7 2 4 5" xfId="10319" xr:uid="{00000000-0005-0000-0000-000033BD0000}"/>
    <cellStyle name="Финансовый 5 7 2 4 5 2" xfId="22297" xr:uid="{00000000-0005-0000-0000-000034BD0000}"/>
    <cellStyle name="Финансовый 5 7 2 4 5 2 2" xfId="46252" xr:uid="{00000000-0005-0000-0000-000035BD0000}"/>
    <cellStyle name="Финансовый 5 7 2 4 5 3" xfId="34274" xr:uid="{00000000-0005-0000-0000-000036BD0000}"/>
    <cellStyle name="Финансовый 5 7 2 4 6" xfId="14477" xr:uid="{00000000-0005-0000-0000-000037BD0000}"/>
    <cellStyle name="Финансовый 5 7 2 4 6 2" xfId="38432" xr:uid="{00000000-0005-0000-0000-000038BD0000}"/>
    <cellStyle name="Финансовый 5 7 2 4 7" xfId="26455" xr:uid="{00000000-0005-0000-0000-000039BD0000}"/>
    <cellStyle name="Финансовый 5 7 2 4 8" xfId="49588" xr:uid="{00000000-0005-0000-0000-00003ABD0000}"/>
    <cellStyle name="Финансовый 5 7 2 5" xfId="1002" xr:uid="{00000000-0005-0000-0000-00003BBD0000}"/>
    <cellStyle name="Финансовый 5 7 2 5 2" xfId="7042" xr:uid="{00000000-0005-0000-0000-00003CBD0000}"/>
    <cellStyle name="Финансовый 5 7 2 5 2 2" xfId="19020" xr:uid="{00000000-0005-0000-0000-00003DBD0000}"/>
    <cellStyle name="Финансовый 5 7 2 5 2 2 2" xfId="42975" xr:uid="{00000000-0005-0000-0000-00003EBD0000}"/>
    <cellStyle name="Финансовый 5 7 2 5 2 3" xfId="30997" xr:uid="{00000000-0005-0000-0000-00003FBD0000}"/>
    <cellStyle name="Финансовый 5 7 2 5 3" xfId="10590" xr:uid="{00000000-0005-0000-0000-000040BD0000}"/>
    <cellStyle name="Финансовый 5 7 2 5 3 2" xfId="22568" xr:uid="{00000000-0005-0000-0000-000041BD0000}"/>
    <cellStyle name="Финансовый 5 7 2 5 3 2 2" xfId="46523" xr:uid="{00000000-0005-0000-0000-000042BD0000}"/>
    <cellStyle name="Финансовый 5 7 2 5 3 3" xfId="34545" xr:uid="{00000000-0005-0000-0000-000043BD0000}"/>
    <cellStyle name="Финансовый 5 7 2 5 4" xfId="12983" xr:uid="{00000000-0005-0000-0000-000044BD0000}"/>
    <cellStyle name="Финансовый 5 7 2 5 4 2" xfId="36938" xr:uid="{00000000-0005-0000-0000-000045BD0000}"/>
    <cellStyle name="Финансовый 5 7 2 5 5" xfId="24961" xr:uid="{00000000-0005-0000-0000-000046BD0000}"/>
    <cellStyle name="Финансовый 5 7 2 5 6" xfId="49867" xr:uid="{00000000-0005-0000-0000-000047BD0000}"/>
    <cellStyle name="Финансовый 5 7 2 6" xfId="590" xr:uid="{00000000-0005-0000-0000-000048BD0000}"/>
    <cellStyle name="Финансовый 5 7 2 6 2" xfId="6630" xr:uid="{00000000-0005-0000-0000-000049BD0000}"/>
    <cellStyle name="Финансовый 5 7 2 6 2 2" xfId="18608" xr:uid="{00000000-0005-0000-0000-00004ABD0000}"/>
    <cellStyle name="Финансовый 5 7 2 6 2 2 2" xfId="42563" xr:uid="{00000000-0005-0000-0000-00004BBD0000}"/>
    <cellStyle name="Финансовый 5 7 2 6 2 3" xfId="30585" xr:uid="{00000000-0005-0000-0000-00004CBD0000}"/>
    <cellStyle name="Финансовый 5 7 2 6 3" xfId="12571" xr:uid="{00000000-0005-0000-0000-00004DBD0000}"/>
    <cellStyle name="Финансовый 5 7 2 6 3 2" xfId="36526" xr:uid="{00000000-0005-0000-0000-00004EBD0000}"/>
    <cellStyle name="Финансовый 5 7 2 6 4" xfId="24549" xr:uid="{00000000-0005-0000-0000-00004FBD0000}"/>
    <cellStyle name="Финансовый 5 7 2 7" xfId="2779" xr:uid="{00000000-0005-0000-0000-000050BD0000}"/>
    <cellStyle name="Финансовый 5 7 2 7 2" xfId="14758" xr:uid="{00000000-0005-0000-0000-000051BD0000}"/>
    <cellStyle name="Финансовый 5 7 2 7 2 2" xfId="38713" xr:uid="{00000000-0005-0000-0000-000052BD0000}"/>
    <cellStyle name="Финансовый 5 7 2 7 3" xfId="26736" xr:uid="{00000000-0005-0000-0000-000053BD0000}"/>
    <cellStyle name="Финансовый 5 7 2 8" xfId="4423" xr:uid="{00000000-0005-0000-0000-000054BD0000}"/>
    <cellStyle name="Финансовый 5 7 2 8 2" xfId="16402" xr:uid="{00000000-0005-0000-0000-000055BD0000}"/>
    <cellStyle name="Финансовый 5 7 2 8 2 2" xfId="40357" xr:uid="{00000000-0005-0000-0000-000056BD0000}"/>
    <cellStyle name="Финансовый 5 7 2 8 3" xfId="28380" xr:uid="{00000000-0005-0000-0000-000057BD0000}"/>
    <cellStyle name="Финансовый 5 7 2 9" xfId="6210" xr:uid="{00000000-0005-0000-0000-000058BD0000}"/>
    <cellStyle name="Финансовый 5 7 2 9 2" xfId="18188" xr:uid="{00000000-0005-0000-0000-000059BD0000}"/>
    <cellStyle name="Финансовый 5 7 2 9 2 2" xfId="42143" xr:uid="{00000000-0005-0000-0000-00005ABD0000}"/>
    <cellStyle name="Финансовый 5 7 2 9 3" xfId="30165" xr:uid="{00000000-0005-0000-0000-00005BBD0000}"/>
    <cellStyle name="Финансовый 5 7 3" xfId="318" xr:uid="{00000000-0005-0000-0000-00005CBD0000}"/>
    <cellStyle name="Финансовый 5 7 3 10" xfId="24277" xr:uid="{00000000-0005-0000-0000-00005DBD0000}"/>
    <cellStyle name="Финансовый 5 7 3 11" xfId="48223" xr:uid="{00000000-0005-0000-0000-00005EBD0000}"/>
    <cellStyle name="Финансовый 5 7 3 2" xfId="2105" xr:uid="{00000000-0005-0000-0000-00005FBD0000}"/>
    <cellStyle name="Финансовый 5 7 3 2 2" xfId="3750" xr:uid="{00000000-0005-0000-0000-000060BD0000}"/>
    <cellStyle name="Финансовый 5 7 3 2 2 2" xfId="11490" xr:uid="{00000000-0005-0000-0000-000061BD0000}"/>
    <cellStyle name="Финансовый 5 7 3 2 2 2 2" xfId="23468" xr:uid="{00000000-0005-0000-0000-000062BD0000}"/>
    <cellStyle name="Финансовый 5 7 3 2 2 2 2 2" xfId="47423" xr:uid="{00000000-0005-0000-0000-000063BD0000}"/>
    <cellStyle name="Финансовый 5 7 3 2 2 2 3" xfId="35445" xr:uid="{00000000-0005-0000-0000-000064BD0000}"/>
    <cellStyle name="Финансовый 5 7 3 2 2 3" xfId="15729" xr:uid="{00000000-0005-0000-0000-000065BD0000}"/>
    <cellStyle name="Финансовый 5 7 3 2 2 3 2" xfId="39684" xr:uid="{00000000-0005-0000-0000-000066BD0000}"/>
    <cellStyle name="Финансовый 5 7 3 2 2 4" xfId="27707" xr:uid="{00000000-0005-0000-0000-000067BD0000}"/>
    <cellStyle name="Финансовый 5 7 3 2 2 5" xfId="50976" xr:uid="{00000000-0005-0000-0000-000068BD0000}"/>
    <cellStyle name="Финансовый 5 7 3 2 3" xfId="5533" xr:uid="{00000000-0005-0000-0000-000069BD0000}"/>
    <cellStyle name="Финансовый 5 7 3 2 3 2" xfId="17511" xr:uid="{00000000-0005-0000-0000-00006ABD0000}"/>
    <cellStyle name="Финансовый 5 7 3 2 3 2 2" xfId="41466" xr:uid="{00000000-0005-0000-0000-00006BBD0000}"/>
    <cellStyle name="Финансовый 5 7 3 2 3 3" xfId="29488" xr:uid="{00000000-0005-0000-0000-00006CBD0000}"/>
    <cellStyle name="Финансовый 5 7 3 2 4" xfId="8143" xr:uid="{00000000-0005-0000-0000-00006DBD0000}"/>
    <cellStyle name="Финансовый 5 7 3 2 4 2" xfId="20121" xr:uid="{00000000-0005-0000-0000-00006EBD0000}"/>
    <cellStyle name="Финансовый 5 7 3 2 4 2 2" xfId="44076" xr:uid="{00000000-0005-0000-0000-00006FBD0000}"/>
    <cellStyle name="Финансовый 5 7 3 2 4 3" xfId="32098" xr:uid="{00000000-0005-0000-0000-000070BD0000}"/>
    <cellStyle name="Финансовый 5 7 3 2 5" xfId="9926" xr:uid="{00000000-0005-0000-0000-000071BD0000}"/>
    <cellStyle name="Финансовый 5 7 3 2 5 2" xfId="21904" xr:uid="{00000000-0005-0000-0000-000072BD0000}"/>
    <cellStyle name="Финансовый 5 7 3 2 5 2 2" xfId="45859" xr:uid="{00000000-0005-0000-0000-000073BD0000}"/>
    <cellStyle name="Финансовый 5 7 3 2 5 3" xfId="33881" xr:uid="{00000000-0005-0000-0000-000074BD0000}"/>
    <cellStyle name="Финансовый 5 7 3 2 6" xfId="14084" xr:uid="{00000000-0005-0000-0000-000075BD0000}"/>
    <cellStyle name="Финансовый 5 7 3 2 6 2" xfId="38039" xr:uid="{00000000-0005-0000-0000-000076BD0000}"/>
    <cellStyle name="Финансовый 5 7 3 2 7" xfId="26062" xr:uid="{00000000-0005-0000-0000-000077BD0000}"/>
    <cellStyle name="Финансовый 5 7 3 2 8" xfId="49195" xr:uid="{00000000-0005-0000-0000-000078BD0000}"/>
    <cellStyle name="Финансовый 5 7 3 3" xfId="1138" xr:uid="{00000000-0005-0000-0000-000079BD0000}"/>
    <cellStyle name="Финансовый 5 7 3 3 2" xfId="7178" xr:uid="{00000000-0005-0000-0000-00007ABD0000}"/>
    <cellStyle name="Финансовый 5 7 3 3 2 2" xfId="19156" xr:uid="{00000000-0005-0000-0000-00007BBD0000}"/>
    <cellStyle name="Финансовый 5 7 3 3 2 2 2" xfId="43111" xr:uid="{00000000-0005-0000-0000-00007CBD0000}"/>
    <cellStyle name="Финансовый 5 7 3 3 2 3" xfId="31133" xr:uid="{00000000-0005-0000-0000-00007DBD0000}"/>
    <cellStyle name="Финансовый 5 7 3 3 3" xfId="10718" xr:uid="{00000000-0005-0000-0000-00007EBD0000}"/>
    <cellStyle name="Финансовый 5 7 3 3 3 2" xfId="22696" xr:uid="{00000000-0005-0000-0000-00007FBD0000}"/>
    <cellStyle name="Финансовый 5 7 3 3 3 2 2" xfId="46651" xr:uid="{00000000-0005-0000-0000-000080BD0000}"/>
    <cellStyle name="Финансовый 5 7 3 3 3 3" xfId="34673" xr:uid="{00000000-0005-0000-0000-000081BD0000}"/>
    <cellStyle name="Финансовый 5 7 3 3 4" xfId="13119" xr:uid="{00000000-0005-0000-0000-000082BD0000}"/>
    <cellStyle name="Финансовый 5 7 3 3 4 2" xfId="37074" xr:uid="{00000000-0005-0000-0000-000083BD0000}"/>
    <cellStyle name="Финансовый 5 7 3 3 5" xfId="25097" xr:uid="{00000000-0005-0000-0000-000084BD0000}"/>
    <cellStyle name="Финансовый 5 7 3 3 6" xfId="50003" xr:uid="{00000000-0005-0000-0000-000085BD0000}"/>
    <cellStyle name="Финансовый 5 7 3 4" xfId="738" xr:uid="{00000000-0005-0000-0000-000086BD0000}"/>
    <cellStyle name="Финансовый 5 7 3 4 2" xfId="6778" xr:uid="{00000000-0005-0000-0000-000087BD0000}"/>
    <cellStyle name="Финансовый 5 7 3 4 2 2" xfId="18756" xr:uid="{00000000-0005-0000-0000-000088BD0000}"/>
    <cellStyle name="Финансовый 5 7 3 4 2 2 2" xfId="42711" xr:uid="{00000000-0005-0000-0000-000089BD0000}"/>
    <cellStyle name="Финансовый 5 7 3 4 2 3" xfId="30733" xr:uid="{00000000-0005-0000-0000-00008ABD0000}"/>
    <cellStyle name="Финансовый 5 7 3 4 3" xfId="12719" xr:uid="{00000000-0005-0000-0000-00008BBD0000}"/>
    <cellStyle name="Финансовый 5 7 3 4 3 2" xfId="36674" xr:uid="{00000000-0005-0000-0000-00008CBD0000}"/>
    <cellStyle name="Финансовый 5 7 3 4 4" xfId="24697" xr:uid="{00000000-0005-0000-0000-00008DBD0000}"/>
    <cellStyle name="Финансовый 5 7 3 5" xfId="2915" xr:uid="{00000000-0005-0000-0000-00008EBD0000}"/>
    <cellStyle name="Финансовый 5 7 3 5 2" xfId="14894" xr:uid="{00000000-0005-0000-0000-00008FBD0000}"/>
    <cellStyle name="Финансовый 5 7 3 5 2 2" xfId="38849" xr:uid="{00000000-0005-0000-0000-000090BD0000}"/>
    <cellStyle name="Финансовый 5 7 3 5 3" xfId="26872" xr:uid="{00000000-0005-0000-0000-000091BD0000}"/>
    <cellStyle name="Финансовый 5 7 3 6" xfId="4559" xr:uid="{00000000-0005-0000-0000-000092BD0000}"/>
    <cellStyle name="Финансовый 5 7 3 6 2" xfId="16538" xr:uid="{00000000-0005-0000-0000-000093BD0000}"/>
    <cellStyle name="Финансовый 5 7 3 6 2 2" xfId="40493" xr:uid="{00000000-0005-0000-0000-000094BD0000}"/>
    <cellStyle name="Финансовый 5 7 3 6 3" xfId="28516" xr:uid="{00000000-0005-0000-0000-000095BD0000}"/>
    <cellStyle name="Финансовый 5 7 3 7" xfId="6358" xr:uid="{00000000-0005-0000-0000-000096BD0000}"/>
    <cellStyle name="Финансовый 5 7 3 7 2" xfId="18336" xr:uid="{00000000-0005-0000-0000-000097BD0000}"/>
    <cellStyle name="Финансовый 5 7 3 7 2 2" xfId="42291" xr:uid="{00000000-0005-0000-0000-000098BD0000}"/>
    <cellStyle name="Финансовый 5 7 3 7 3" xfId="30313" xr:uid="{00000000-0005-0000-0000-000099BD0000}"/>
    <cellStyle name="Финансовый 5 7 3 8" xfId="8953" xr:uid="{00000000-0005-0000-0000-00009ABD0000}"/>
    <cellStyle name="Финансовый 5 7 3 8 2" xfId="20931" xr:uid="{00000000-0005-0000-0000-00009BBD0000}"/>
    <cellStyle name="Финансовый 5 7 3 8 2 2" xfId="44886" xr:uid="{00000000-0005-0000-0000-00009CBD0000}"/>
    <cellStyle name="Финансовый 5 7 3 8 3" xfId="32908" xr:uid="{00000000-0005-0000-0000-00009DBD0000}"/>
    <cellStyle name="Финансовый 5 7 3 9" xfId="12299" xr:uid="{00000000-0005-0000-0000-00009EBD0000}"/>
    <cellStyle name="Финансовый 5 7 3 9 2" xfId="36254" xr:uid="{00000000-0005-0000-0000-00009FBD0000}"/>
    <cellStyle name="Финансовый 5 7 4" xfId="1550" xr:uid="{00000000-0005-0000-0000-0000A0BD0000}"/>
    <cellStyle name="Финансовый 5 7 4 2" xfId="1841" xr:uid="{00000000-0005-0000-0000-0000A1BD0000}"/>
    <cellStyle name="Финансовый 5 7 4 2 2" xfId="3486" xr:uid="{00000000-0005-0000-0000-0000A2BD0000}"/>
    <cellStyle name="Финансовый 5 7 4 2 2 2" xfId="11234" xr:uid="{00000000-0005-0000-0000-0000A3BD0000}"/>
    <cellStyle name="Финансовый 5 7 4 2 2 2 2" xfId="23212" xr:uid="{00000000-0005-0000-0000-0000A4BD0000}"/>
    <cellStyle name="Финансовый 5 7 4 2 2 2 2 2" xfId="47167" xr:uid="{00000000-0005-0000-0000-0000A5BD0000}"/>
    <cellStyle name="Финансовый 5 7 4 2 2 2 3" xfId="35189" xr:uid="{00000000-0005-0000-0000-0000A6BD0000}"/>
    <cellStyle name="Финансовый 5 7 4 2 2 3" xfId="15465" xr:uid="{00000000-0005-0000-0000-0000A7BD0000}"/>
    <cellStyle name="Финансовый 5 7 4 2 2 3 2" xfId="39420" xr:uid="{00000000-0005-0000-0000-0000A8BD0000}"/>
    <cellStyle name="Финансовый 5 7 4 2 2 4" xfId="27443" xr:uid="{00000000-0005-0000-0000-0000A9BD0000}"/>
    <cellStyle name="Финансовый 5 7 4 2 2 5" xfId="50712" xr:uid="{00000000-0005-0000-0000-0000AABD0000}"/>
    <cellStyle name="Финансовый 5 7 4 2 3" xfId="5269" xr:uid="{00000000-0005-0000-0000-0000ABBD0000}"/>
    <cellStyle name="Финансовый 5 7 4 2 3 2" xfId="17247" xr:uid="{00000000-0005-0000-0000-0000ACBD0000}"/>
    <cellStyle name="Финансовый 5 7 4 2 3 2 2" xfId="41202" xr:uid="{00000000-0005-0000-0000-0000ADBD0000}"/>
    <cellStyle name="Финансовый 5 7 4 2 3 3" xfId="29224" xr:uid="{00000000-0005-0000-0000-0000AEBD0000}"/>
    <cellStyle name="Финансовый 5 7 4 2 4" xfId="7879" xr:uid="{00000000-0005-0000-0000-0000AFBD0000}"/>
    <cellStyle name="Финансовый 5 7 4 2 4 2" xfId="19857" xr:uid="{00000000-0005-0000-0000-0000B0BD0000}"/>
    <cellStyle name="Финансовый 5 7 4 2 4 2 2" xfId="43812" xr:uid="{00000000-0005-0000-0000-0000B1BD0000}"/>
    <cellStyle name="Финансовый 5 7 4 2 4 3" xfId="31834" xr:uid="{00000000-0005-0000-0000-0000B2BD0000}"/>
    <cellStyle name="Финансовый 5 7 4 2 5" xfId="9662" xr:uid="{00000000-0005-0000-0000-0000B3BD0000}"/>
    <cellStyle name="Финансовый 5 7 4 2 5 2" xfId="21640" xr:uid="{00000000-0005-0000-0000-0000B4BD0000}"/>
    <cellStyle name="Финансовый 5 7 4 2 5 2 2" xfId="45595" xr:uid="{00000000-0005-0000-0000-0000B5BD0000}"/>
    <cellStyle name="Финансовый 5 7 4 2 5 3" xfId="33617" xr:uid="{00000000-0005-0000-0000-0000B6BD0000}"/>
    <cellStyle name="Финансовый 5 7 4 2 6" xfId="13820" xr:uid="{00000000-0005-0000-0000-0000B7BD0000}"/>
    <cellStyle name="Финансовый 5 7 4 2 6 2" xfId="37775" xr:uid="{00000000-0005-0000-0000-0000B8BD0000}"/>
    <cellStyle name="Финансовый 5 7 4 2 7" xfId="25798" xr:uid="{00000000-0005-0000-0000-0000B9BD0000}"/>
    <cellStyle name="Финансовый 5 7 4 2 8" xfId="48931" xr:uid="{00000000-0005-0000-0000-0000BABD0000}"/>
    <cellStyle name="Финансовый 5 7 4 3" xfId="4978" xr:uid="{00000000-0005-0000-0000-0000BBBD0000}"/>
    <cellStyle name="Финансовый 5 7 4 3 2" xfId="16956" xr:uid="{00000000-0005-0000-0000-0000BCBD0000}"/>
    <cellStyle name="Финансовый 5 7 4 3 2 2" xfId="40911" xr:uid="{00000000-0005-0000-0000-0000BDBD0000}"/>
    <cellStyle name="Финансовый 5 7 4 3 3" xfId="28933" xr:uid="{00000000-0005-0000-0000-0000BEBD0000}"/>
    <cellStyle name="Финансовый 5 7 4 3 4" xfId="50421" xr:uid="{00000000-0005-0000-0000-0000BFBD0000}"/>
    <cellStyle name="Финансовый 5 7 4 4" xfId="7588" xr:uid="{00000000-0005-0000-0000-0000C0BD0000}"/>
    <cellStyle name="Финансовый 5 7 4 4 2" xfId="19566" xr:uid="{00000000-0005-0000-0000-0000C1BD0000}"/>
    <cellStyle name="Финансовый 5 7 4 4 2 2" xfId="43521" xr:uid="{00000000-0005-0000-0000-0000C2BD0000}"/>
    <cellStyle name="Финансовый 5 7 4 4 3" xfId="31543" xr:uid="{00000000-0005-0000-0000-0000C3BD0000}"/>
    <cellStyle name="Финансовый 5 7 4 5" xfId="9371" xr:uid="{00000000-0005-0000-0000-0000C4BD0000}"/>
    <cellStyle name="Финансовый 5 7 4 5 2" xfId="21349" xr:uid="{00000000-0005-0000-0000-0000C5BD0000}"/>
    <cellStyle name="Финансовый 5 7 4 5 2 2" xfId="45304" xr:uid="{00000000-0005-0000-0000-0000C6BD0000}"/>
    <cellStyle name="Финансовый 5 7 4 5 3" xfId="33326" xr:uid="{00000000-0005-0000-0000-0000C7BD0000}"/>
    <cellStyle name="Финансовый 5 7 4 6" xfId="13529" xr:uid="{00000000-0005-0000-0000-0000C8BD0000}"/>
    <cellStyle name="Финансовый 5 7 4 6 2" xfId="37484" xr:uid="{00000000-0005-0000-0000-0000C9BD0000}"/>
    <cellStyle name="Финансовый 5 7 4 7" xfId="25507" xr:uid="{00000000-0005-0000-0000-0000CABD0000}"/>
    <cellStyle name="Финансовый 5 7 4 8" xfId="48640" xr:uid="{00000000-0005-0000-0000-0000CBBD0000}"/>
    <cellStyle name="Финансовый 5 7 5" xfId="1725" xr:uid="{00000000-0005-0000-0000-0000CCBD0000}"/>
    <cellStyle name="Финансовый 5 7 5 2" xfId="3370" xr:uid="{00000000-0005-0000-0000-0000CDBD0000}"/>
    <cellStyle name="Финансовый 5 7 5 2 2" xfId="11118" xr:uid="{00000000-0005-0000-0000-0000CEBD0000}"/>
    <cellStyle name="Финансовый 5 7 5 2 2 2" xfId="23096" xr:uid="{00000000-0005-0000-0000-0000CFBD0000}"/>
    <cellStyle name="Финансовый 5 7 5 2 2 2 2" xfId="47051" xr:uid="{00000000-0005-0000-0000-0000D0BD0000}"/>
    <cellStyle name="Финансовый 5 7 5 2 2 3" xfId="35073" xr:uid="{00000000-0005-0000-0000-0000D1BD0000}"/>
    <cellStyle name="Финансовый 5 7 5 2 3" xfId="15349" xr:uid="{00000000-0005-0000-0000-0000D2BD0000}"/>
    <cellStyle name="Финансовый 5 7 5 2 3 2" xfId="39304" xr:uid="{00000000-0005-0000-0000-0000D3BD0000}"/>
    <cellStyle name="Финансовый 5 7 5 2 4" xfId="27327" xr:uid="{00000000-0005-0000-0000-0000D4BD0000}"/>
    <cellStyle name="Финансовый 5 7 5 2 5" xfId="50596" xr:uid="{00000000-0005-0000-0000-0000D5BD0000}"/>
    <cellStyle name="Финансовый 5 7 5 3" xfId="5153" xr:uid="{00000000-0005-0000-0000-0000D6BD0000}"/>
    <cellStyle name="Финансовый 5 7 5 3 2" xfId="17131" xr:uid="{00000000-0005-0000-0000-0000D7BD0000}"/>
    <cellStyle name="Финансовый 5 7 5 3 2 2" xfId="41086" xr:uid="{00000000-0005-0000-0000-0000D8BD0000}"/>
    <cellStyle name="Финансовый 5 7 5 3 3" xfId="29108" xr:uid="{00000000-0005-0000-0000-0000D9BD0000}"/>
    <cellStyle name="Финансовый 5 7 5 4" xfId="7763" xr:uid="{00000000-0005-0000-0000-0000DABD0000}"/>
    <cellStyle name="Финансовый 5 7 5 4 2" xfId="19741" xr:uid="{00000000-0005-0000-0000-0000DBBD0000}"/>
    <cellStyle name="Финансовый 5 7 5 4 2 2" xfId="43696" xr:uid="{00000000-0005-0000-0000-0000DCBD0000}"/>
    <cellStyle name="Финансовый 5 7 5 4 3" xfId="31718" xr:uid="{00000000-0005-0000-0000-0000DDBD0000}"/>
    <cellStyle name="Финансовый 5 7 5 5" xfId="9546" xr:uid="{00000000-0005-0000-0000-0000DEBD0000}"/>
    <cellStyle name="Финансовый 5 7 5 5 2" xfId="21524" xr:uid="{00000000-0005-0000-0000-0000DFBD0000}"/>
    <cellStyle name="Финансовый 5 7 5 5 2 2" xfId="45479" xr:uid="{00000000-0005-0000-0000-0000E0BD0000}"/>
    <cellStyle name="Финансовый 5 7 5 5 3" xfId="33501" xr:uid="{00000000-0005-0000-0000-0000E1BD0000}"/>
    <cellStyle name="Финансовый 5 7 5 6" xfId="13704" xr:uid="{00000000-0005-0000-0000-0000E2BD0000}"/>
    <cellStyle name="Финансовый 5 7 5 6 2" xfId="37659" xr:uid="{00000000-0005-0000-0000-0000E3BD0000}"/>
    <cellStyle name="Финансовый 5 7 5 7" xfId="25682" xr:uid="{00000000-0005-0000-0000-0000E4BD0000}"/>
    <cellStyle name="Финансовый 5 7 5 8" xfId="48815" xr:uid="{00000000-0005-0000-0000-0000E5BD0000}"/>
    <cellStyle name="Финансовый 5 7 6" xfId="2361" xr:uid="{00000000-0005-0000-0000-0000E6BD0000}"/>
    <cellStyle name="Финансовый 5 7 6 2" xfId="4006" xr:uid="{00000000-0005-0000-0000-0000E7BD0000}"/>
    <cellStyle name="Финансовый 5 7 6 2 2" xfId="11746" xr:uid="{00000000-0005-0000-0000-0000E8BD0000}"/>
    <cellStyle name="Финансовый 5 7 6 2 2 2" xfId="23724" xr:uid="{00000000-0005-0000-0000-0000E9BD0000}"/>
    <cellStyle name="Финансовый 5 7 6 2 2 2 2" xfId="47679" xr:uid="{00000000-0005-0000-0000-0000EABD0000}"/>
    <cellStyle name="Финансовый 5 7 6 2 2 3" xfId="35701" xr:uid="{00000000-0005-0000-0000-0000EBBD0000}"/>
    <cellStyle name="Финансовый 5 7 6 2 3" xfId="15985" xr:uid="{00000000-0005-0000-0000-0000ECBD0000}"/>
    <cellStyle name="Финансовый 5 7 6 2 3 2" xfId="39940" xr:uid="{00000000-0005-0000-0000-0000EDBD0000}"/>
    <cellStyle name="Финансовый 5 7 6 2 4" xfId="27963" xr:uid="{00000000-0005-0000-0000-0000EEBD0000}"/>
    <cellStyle name="Финансовый 5 7 6 2 5" xfId="51232" xr:uid="{00000000-0005-0000-0000-0000EFBD0000}"/>
    <cellStyle name="Финансовый 5 7 6 3" xfId="5789" xr:uid="{00000000-0005-0000-0000-0000F0BD0000}"/>
    <cellStyle name="Финансовый 5 7 6 3 2" xfId="17767" xr:uid="{00000000-0005-0000-0000-0000F1BD0000}"/>
    <cellStyle name="Финансовый 5 7 6 3 2 2" xfId="41722" xr:uid="{00000000-0005-0000-0000-0000F2BD0000}"/>
    <cellStyle name="Финансовый 5 7 6 3 3" xfId="29744" xr:uid="{00000000-0005-0000-0000-0000F3BD0000}"/>
    <cellStyle name="Финансовый 5 7 6 4" xfId="8399" xr:uid="{00000000-0005-0000-0000-0000F4BD0000}"/>
    <cellStyle name="Финансовый 5 7 6 4 2" xfId="20377" xr:uid="{00000000-0005-0000-0000-0000F5BD0000}"/>
    <cellStyle name="Финансовый 5 7 6 4 2 2" xfId="44332" xr:uid="{00000000-0005-0000-0000-0000F6BD0000}"/>
    <cellStyle name="Финансовый 5 7 6 4 3" xfId="32354" xr:uid="{00000000-0005-0000-0000-0000F7BD0000}"/>
    <cellStyle name="Финансовый 5 7 6 5" xfId="10182" xr:uid="{00000000-0005-0000-0000-0000F8BD0000}"/>
    <cellStyle name="Финансовый 5 7 6 5 2" xfId="22160" xr:uid="{00000000-0005-0000-0000-0000F9BD0000}"/>
    <cellStyle name="Финансовый 5 7 6 5 2 2" xfId="46115" xr:uid="{00000000-0005-0000-0000-0000FABD0000}"/>
    <cellStyle name="Финансовый 5 7 6 5 3" xfId="34137" xr:uid="{00000000-0005-0000-0000-0000FBBD0000}"/>
    <cellStyle name="Финансовый 5 7 6 6" xfId="14340" xr:uid="{00000000-0005-0000-0000-0000FCBD0000}"/>
    <cellStyle name="Финансовый 5 7 6 6 2" xfId="38295" xr:uid="{00000000-0005-0000-0000-0000FDBD0000}"/>
    <cellStyle name="Финансовый 5 7 6 7" xfId="26318" xr:uid="{00000000-0005-0000-0000-0000FEBD0000}"/>
    <cellStyle name="Финансовый 5 7 6 8" xfId="49451" xr:uid="{00000000-0005-0000-0000-0000FFBD0000}"/>
    <cellStyle name="Финансовый 5 7 7" xfId="1588" xr:uid="{00000000-0005-0000-0000-000000BE0000}"/>
    <cellStyle name="Финансовый 5 7 7 2" xfId="3233" xr:uid="{00000000-0005-0000-0000-000001BE0000}"/>
    <cellStyle name="Финансовый 5 7 7 2 2" xfId="10989" xr:uid="{00000000-0005-0000-0000-000002BE0000}"/>
    <cellStyle name="Финансовый 5 7 7 2 2 2" xfId="22967" xr:uid="{00000000-0005-0000-0000-000003BE0000}"/>
    <cellStyle name="Финансовый 5 7 7 2 2 2 2" xfId="46922" xr:uid="{00000000-0005-0000-0000-000004BE0000}"/>
    <cellStyle name="Финансовый 5 7 7 2 2 3" xfId="34944" xr:uid="{00000000-0005-0000-0000-000005BE0000}"/>
    <cellStyle name="Финансовый 5 7 7 2 3" xfId="15212" xr:uid="{00000000-0005-0000-0000-000006BE0000}"/>
    <cellStyle name="Финансовый 5 7 7 2 3 2" xfId="39167" xr:uid="{00000000-0005-0000-0000-000007BE0000}"/>
    <cellStyle name="Финансовый 5 7 7 2 4" xfId="27190" xr:uid="{00000000-0005-0000-0000-000008BE0000}"/>
    <cellStyle name="Финансовый 5 7 7 2 5" xfId="50459" xr:uid="{00000000-0005-0000-0000-000009BE0000}"/>
    <cellStyle name="Финансовый 5 7 7 3" xfId="5016" xr:uid="{00000000-0005-0000-0000-00000ABE0000}"/>
    <cellStyle name="Финансовый 5 7 7 3 2" xfId="16994" xr:uid="{00000000-0005-0000-0000-00000BBE0000}"/>
    <cellStyle name="Финансовый 5 7 7 3 2 2" xfId="40949" xr:uid="{00000000-0005-0000-0000-00000CBE0000}"/>
    <cellStyle name="Финансовый 5 7 7 3 3" xfId="28971" xr:uid="{00000000-0005-0000-0000-00000DBE0000}"/>
    <cellStyle name="Финансовый 5 7 7 4" xfId="7626" xr:uid="{00000000-0005-0000-0000-00000EBE0000}"/>
    <cellStyle name="Финансовый 5 7 7 4 2" xfId="19604" xr:uid="{00000000-0005-0000-0000-00000FBE0000}"/>
    <cellStyle name="Финансовый 5 7 7 4 2 2" xfId="43559" xr:uid="{00000000-0005-0000-0000-000010BE0000}"/>
    <cellStyle name="Финансовый 5 7 7 4 3" xfId="31581" xr:uid="{00000000-0005-0000-0000-000011BE0000}"/>
    <cellStyle name="Финансовый 5 7 7 5" xfId="9409" xr:uid="{00000000-0005-0000-0000-000012BE0000}"/>
    <cellStyle name="Финансовый 5 7 7 5 2" xfId="21387" xr:uid="{00000000-0005-0000-0000-000013BE0000}"/>
    <cellStyle name="Финансовый 5 7 7 5 2 2" xfId="45342" xr:uid="{00000000-0005-0000-0000-000014BE0000}"/>
    <cellStyle name="Финансовый 5 7 7 5 3" xfId="33364" xr:uid="{00000000-0005-0000-0000-000015BE0000}"/>
    <cellStyle name="Финансовый 5 7 7 6" xfId="13567" xr:uid="{00000000-0005-0000-0000-000016BE0000}"/>
    <cellStyle name="Финансовый 5 7 7 6 2" xfId="37522" xr:uid="{00000000-0005-0000-0000-000017BE0000}"/>
    <cellStyle name="Финансовый 5 7 7 7" xfId="25545" xr:uid="{00000000-0005-0000-0000-000018BE0000}"/>
    <cellStyle name="Финансовый 5 7 7 8" xfId="48678" xr:uid="{00000000-0005-0000-0000-000019BE0000}"/>
    <cellStyle name="Финансовый 5 7 8" xfId="874" xr:uid="{00000000-0005-0000-0000-00001ABE0000}"/>
    <cellStyle name="Финансовый 5 7 8 2" xfId="6914" xr:uid="{00000000-0005-0000-0000-00001BBE0000}"/>
    <cellStyle name="Финансовый 5 7 8 2 2" xfId="18892" xr:uid="{00000000-0005-0000-0000-00001CBE0000}"/>
    <cellStyle name="Финансовый 5 7 8 2 2 2" xfId="42847" xr:uid="{00000000-0005-0000-0000-00001DBE0000}"/>
    <cellStyle name="Финансовый 5 7 8 2 3" xfId="30869" xr:uid="{00000000-0005-0000-0000-00001EBE0000}"/>
    <cellStyle name="Финансовый 5 7 8 3" xfId="10462" xr:uid="{00000000-0005-0000-0000-00001FBE0000}"/>
    <cellStyle name="Финансовый 5 7 8 3 2" xfId="22440" xr:uid="{00000000-0005-0000-0000-000020BE0000}"/>
    <cellStyle name="Финансовый 5 7 8 3 2 2" xfId="46395" xr:uid="{00000000-0005-0000-0000-000021BE0000}"/>
    <cellStyle name="Финансовый 5 7 8 3 3" xfId="34417" xr:uid="{00000000-0005-0000-0000-000022BE0000}"/>
    <cellStyle name="Финансовый 5 7 8 4" xfId="12855" xr:uid="{00000000-0005-0000-0000-000023BE0000}"/>
    <cellStyle name="Финансовый 5 7 8 4 2" xfId="36810" xr:uid="{00000000-0005-0000-0000-000024BE0000}"/>
    <cellStyle name="Финансовый 5 7 8 5" xfId="24833" xr:uid="{00000000-0005-0000-0000-000025BE0000}"/>
    <cellStyle name="Финансовый 5 7 8 6" xfId="49731" xr:uid="{00000000-0005-0000-0000-000026BE0000}"/>
    <cellStyle name="Финансовый 5 7 9" xfId="454" xr:uid="{00000000-0005-0000-0000-000027BE0000}"/>
    <cellStyle name="Финансовый 5 7 9 2" xfId="6494" xr:uid="{00000000-0005-0000-0000-000028BE0000}"/>
    <cellStyle name="Финансовый 5 7 9 2 2" xfId="18472" xr:uid="{00000000-0005-0000-0000-000029BE0000}"/>
    <cellStyle name="Финансовый 5 7 9 2 2 2" xfId="42427" xr:uid="{00000000-0005-0000-0000-00002ABE0000}"/>
    <cellStyle name="Финансовый 5 7 9 2 3" xfId="30449" xr:uid="{00000000-0005-0000-0000-00002BBE0000}"/>
    <cellStyle name="Финансовый 5 7 9 3" xfId="12435" xr:uid="{00000000-0005-0000-0000-00002CBE0000}"/>
    <cellStyle name="Финансовый 5 7 9 3 2" xfId="36390" xr:uid="{00000000-0005-0000-0000-00002DBE0000}"/>
    <cellStyle name="Финансовый 5 7 9 4" xfId="24413" xr:uid="{00000000-0005-0000-0000-00002EBE0000}"/>
    <cellStyle name="Финансовый 5 8" xfId="19" xr:uid="{00000000-0005-0000-0000-00002FBE0000}"/>
    <cellStyle name="Финансовый 5 8 10" xfId="2631" xr:uid="{00000000-0005-0000-0000-000030BE0000}"/>
    <cellStyle name="Финансовый 5 8 10 2" xfId="14610" xr:uid="{00000000-0005-0000-0000-000031BE0000}"/>
    <cellStyle name="Финансовый 5 8 10 2 2" xfId="38565" xr:uid="{00000000-0005-0000-0000-000032BE0000}"/>
    <cellStyle name="Финансовый 5 8 10 3" xfId="26588" xr:uid="{00000000-0005-0000-0000-000033BE0000}"/>
    <cellStyle name="Финансовый 5 8 11" xfId="4274" xr:uid="{00000000-0005-0000-0000-000034BE0000}"/>
    <cellStyle name="Финансовый 5 8 11 2" xfId="16253" xr:uid="{00000000-0005-0000-0000-000035BE0000}"/>
    <cellStyle name="Финансовый 5 8 11 2 2" xfId="40208" xr:uid="{00000000-0005-0000-0000-000036BE0000}"/>
    <cellStyle name="Финансовый 5 8 11 3" xfId="28231" xr:uid="{00000000-0005-0000-0000-000037BE0000}"/>
    <cellStyle name="Финансовый 5 8 12" xfId="6062" xr:uid="{00000000-0005-0000-0000-000038BE0000}"/>
    <cellStyle name="Финансовый 5 8 12 2" xfId="18040" xr:uid="{00000000-0005-0000-0000-000039BE0000}"/>
    <cellStyle name="Финансовый 5 8 12 2 2" xfId="41995" xr:uid="{00000000-0005-0000-0000-00003ABE0000}"/>
    <cellStyle name="Финансовый 5 8 12 3" xfId="30017" xr:uid="{00000000-0005-0000-0000-00003BBE0000}"/>
    <cellStyle name="Финансовый 5 8 13" xfId="8669" xr:uid="{00000000-0005-0000-0000-00003CBE0000}"/>
    <cellStyle name="Финансовый 5 8 13 2" xfId="20647" xr:uid="{00000000-0005-0000-0000-00003DBE0000}"/>
    <cellStyle name="Финансовый 5 8 13 2 2" xfId="44602" xr:uid="{00000000-0005-0000-0000-00003EBE0000}"/>
    <cellStyle name="Финансовый 5 8 13 3" xfId="32624" xr:uid="{00000000-0005-0000-0000-00003FBE0000}"/>
    <cellStyle name="Финансовый 5 8 14" xfId="12003" xr:uid="{00000000-0005-0000-0000-000040BE0000}"/>
    <cellStyle name="Финансовый 5 8 14 2" xfId="35958" xr:uid="{00000000-0005-0000-0000-000041BE0000}"/>
    <cellStyle name="Финансовый 5 8 15" xfId="23981" xr:uid="{00000000-0005-0000-0000-000042BE0000}"/>
    <cellStyle name="Финансовый 5 8 16" xfId="47939" xr:uid="{00000000-0005-0000-0000-000043BE0000}"/>
    <cellStyle name="Финансовый 5 8 2" xfId="157" xr:uid="{00000000-0005-0000-0000-000044BE0000}"/>
    <cellStyle name="Финансовый 5 8 2 10" xfId="8805" xr:uid="{00000000-0005-0000-0000-000045BE0000}"/>
    <cellStyle name="Финансовый 5 8 2 10 2" xfId="20783" xr:uid="{00000000-0005-0000-0000-000046BE0000}"/>
    <cellStyle name="Финансовый 5 8 2 10 2 2" xfId="44738" xr:uid="{00000000-0005-0000-0000-000047BE0000}"/>
    <cellStyle name="Финансовый 5 8 2 10 3" xfId="32760" xr:uid="{00000000-0005-0000-0000-000048BE0000}"/>
    <cellStyle name="Финансовый 5 8 2 11" xfId="12139" xr:uid="{00000000-0005-0000-0000-000049BE0000}"/>
    <cellStyle name="Финансовый 5 8 2 11 2" xfId="36094" xr:uid="{00000000-0005-0000-0000-00004ABE0000}"/>
    <cellStyle name="Финансовый 5 8 2 12" xfId="24117" xr:uid="{00000000-0005-0000-0000-00004BBE0000}"/>
    <cellStyle name="Финансовый 5 8 2 13" xfId="48075" xr:uid="{00000000-0005-0000-0000-00004CBE0000}"/>
    <cellStyle name="Финансовый 5 8 2 2" xfId="1255" xr:uid="{00000000-0005-0000-0000-00004DBE0000}"/>
    <cellStyle name="Финансовый 5 8 2 2 2" xfId="2221" xr:uid="{00000000-0005-0000-0000-00004EBE0000}"/>
    <cellStyle name="Финансовый 5 8 2 2 2 2" xfId="3866" xr:uid="{00000000-0005-0000-0000-00004FBE0000}"/>
    <cellStyle name="Финансовый 5 8 2 2 2 2 2" xfId="11606" xr:uid="{00000000-0005-0000-0000-000050BE0000}"/>
    <cellStyle name="Финансовый 5 8 2 2 2 2 2 2" xfId="23584" xr:uid="{00000000-0005-0000-0000-000051BE0000}"/>
    <cellStyle name="Финансовый 5 8 2 2 2 2 2 2 2" xfId="47539" xr:uid="{00000000-0005-0000-0000-000052BE0000}"/>
    <cellStyle name="Финансовый 5 8 2 2 2 2 2 3" xfId="35561" xr:uid="{00000000-0005-0000-0000-000053BE0000}"/>
    <cellStyle name="Финансовый 5 8 2 2 2 2 3" xfId="15845" xr:uid="{00000000-0005-0000-0000-000054BE0000}"/>
    <cellStyle name="Финансовый 5 8 2 2 2 2 3 2" xfId="39800" xr:uid="{00000000-0005-0000-0000-000055BE0000}"/>
    <cellStyle name="Финансовый 5 8 2 2 2 2 4" xfId="27823" xr:uid="{00000000-0005-0000-0000-000056BE0000}"/>
    <cellStyle name="Финансовый 5 8 2 2 2 2 5" xfId="51092" xr:uid="{00000000-0005-0000-0000-000057BE0000}"/>
    <cellStyle name="Финансовый 5 8 2 2 2 3" xfId="5649" xr:uid="{00000000-0005-0000-0000-000058BE0000}"/>
    <cellStyle name="Финансовый 5 8 2 2 2 3 2" xfId="17627" xr:uid="{00000000-0005-0000-0000-000059BE0000}"/>
    <cellStyle name="Финансовый 5 8 2 2 2 3 2 2" xfId="41582" xr:uid="{00000000-0005-0000-0000-00005ABE0000}"/>
    <cellStyle name="Финансовый 5 8 2 2 2 3 3" xfId="29604" xr:uid="{00000000-0005-0000-0000-00005BBE0000}"/>
    <cellStyle name="Финансовый 5 8 2 2 2 4" xfId="8259" xr:uid="{00000000-0005-0000-0000-00005CBE0000}"/>
    <cellStyle name="Финансовый 5 8 2 2 2 4 2" xfId="20237" xr:uid="{00000000-0005-0000-0000-00005DBE0000}"/>
    <cellStyle name="Финансовый 5 8 2 2 2 4 2 2" xfId="44192" xr:uid="{00000000-0005-0000-0000-00005EBE0000}"/>
    <cellStyle name="Финансовый 5 8 2 2 2 4 3" xfId="32214" xr:uid="{00000000-0005-0000-0000-00005FBE0000}"/>
    <cellStyle name="Финансовый 5 8 2 2 2 5" xfId="10042" xr:uid="{00000000-0005-0000-0000-000060BE0000}"/>
    <cellStyle name="Финансовый 5 8 2 2 2 5 2" xfId="22020" xr:uid="{00000000-0005-0000-0000-000061BE0000}"/>
    <cellStyle name="Финансовый 5 8 2 2 2 5 2 2" xfId="45975" xr:uid="{00000000-0005-0000-0000-000062BE0000}"/>
    <cellStyle name="Финансовый 5 8 2 2 2 5 3" xfId="33997" xr:uid="{00000000-0005-0000-0000-000063BE0000}"/>
    <cellStyle name="Финансовый 5 8 2 2 2 6" xfId="14200" xr:uid="{00000000-0005-0000-0000-000064BE0000}"/>
    <cellStyle name="Финансовый 5 8 2 2 2 6 2" xfId="38155" xr:uid="{00000000-0005-0000-0000-000065BE0000}"/>
    <cellStyle name="Финансовый 5 8 2 2 2 7" xfId="26178" xr:uid="{00000000-0005-0000-0000-000066BE0000}"/>
    <cellStyle name="Финансовый 5 8 2 2 2 8" xfId="49311" xr:uid="{00000000-0005-0000-0000-000067BE0000}"/>
    <cellStyle name="Финансовый 5 8 2 2 3" xfId="3039" xr:uid="{00000000-0005-0000-0000-000068BE0000}"/>
    <cellStyle name="Финансовый 5 8 2 2 3 2" xfId="10834" xr:uid="{00000000-0005-0000-0000-000069BE0000}"/>
    <cellStyle name="Финансовый 5 8 2 2 3 2 2" xfId="22812" xr:uid="{00000000-0005-0000-0000-00006ABE0000}"/>
    <cellStyle name="Финансовый 5 8 2 2 3 2 2 2" xfId="46767" xr:uid="{00000000-0005-0000-0000-00006BBE0000}"/>
    <cellStyle name="Финансовый 5 8 2 2 3 2 3" xfId="34789" xr:uid="{00000000-0005-0000-0000-00006CBE0000}"/>
    <cellStyle name="Финансовый 5 8 2 2 3 3" xfId="15018" xr:uid="{00000000-0005-0000-0000-00006DBE0000}"/>
    <cellStyle name="Финансовый 5 8 2 2 3 3 2" xfId="38973" xr:uid="{00000000-0005-0000-0000-00006EBE0000}"/>
    <cellStyle name="Финансовый 5 8 2 2 3 4" xfId="26996" xr:uid="{00000000-0005-0000-0000-00006FBE0000}"/>
    <cellStyle name="Финансовый 5 8 2 2 3 5" xfId="50127" xr:uid="{00000000-0005-0000-0000-000070BE0000}"/>
    <cellStyle name="Финансовый 5 8 2 2 4" xfId="4683" xr:uid="{00000000-0005-0000-0000-000071BE0000}"/>
    <cellStyle name="Финансовый 5 8 2 2 4 2" xfId="16662" xr:uid="{00000000-0005-0000-0000-000072BE0000}"/>
    <cellStyle name="Финансовый 5 8 2 2 4 2 2" xfId="40617" xr:uid="{00000000-0005-0000-0000-000073BE0000}"/>
    <cellStyle name="Финансовый 5 8 2 2 4 3" xfId="28640" xr:uid="{00000000-0005-0000-0000-000074BE0000}"/>
    <cellStyle name="Финансовый 5 8 2 2 5" xfId="7295" xr:uid="{00000000-0005-0000-0000-000075BE0000}"/>
    <cellStyle name="Финансовый 5 8 2 2 5 2" xfId="19273" xr:uid="{00000000-0005-0000-0000-000076BE0000}"/>
    <cellStyle name="Финансовый 5 8 2 2 5 2 2" xfId="43228" xr:uid="{00000000-0005-0000-0000-000077BE0000}"/>
    <cellStyle name="Финансовый 5 8 2 2 5 3" xfId="31250" xr:uid="{00000000-0005-0000-0000-000078BE0000}"/>
    <cellStyle name="Финансовый 5 8 2 2 6" xfId="9077" xr:uid="{00000000-0005-0000-0000-000079BE0000}"/>
    <cellStyle name="Финансовый 5 8 2 2 6 2" xfId="21055" xr:uid="{00000000-0005-0000-0000-00007ABE0000}"/>
    <cellStyle name="Финансовый 5 8 2 2 6 2 2" xfId="45010" xr:uid="{00000000-0005-0000-0000-00007BBE0000}"/>
    <cellStyle name="Финансовый 5 8 2 2 6 3" xfId="33032" xr:uid="{00000000-0005-0000-0000-00007CBE0000}"/>
    <cellStyle name="Финансовый 5 8 2 2 7" xfId="13236" xr:uid="{00000000-0005-0000-0000-00007DBE0000}"/>
    <cellStyle name="Финансовый 5 8 2 2 7 2" xfId="37191" xr:uid="{00000000-0005-0000-0000-00007EBE0000}"/>
    <cellStyle name="Финансовый 5 8 2 2 8" xfId="25214" xr:uid="{00000000-0005-0000-0000-00007FBE0000}"/>
    <cellStyle name="Финансовый 5 8 2 2 9" xfId="48347" xr:uid="{00000000-0005-0000-0000-000080BE0000}"/>
    <cellStyle name="Финансовый 5 8 2 3" xfId="1965" xr:uid="{00000000-0005-0000-0000-000081BE0000}"/>
    <cellStyle name="Финансовый 5 8 2 3 2" xfId="3610" xr:uid="{00000000-0005-0000-0000-000082BE0000}"/>
    <cellStyle name="Финансовый 5 8 2 3 2 2" xfId="11350" xr:uid="{00000000-0005-0000-0000-000083BE0000}"/>
    <cellStyle name="Финансовый 5 8 2 3 2 2 2" xfId="23328" xr:uid="{00000000-0005-0000-0000-000084BE0000}"/>
    <cellStyle name="Финансовый 5 8 2 3 2 2 2 2" xfId="47283" xr:uid="{00000000-0005-0000-0000-000085BE0000}"/>
    <cellStyle name="Финансовый 5 8 2 3 2 2 3" xfId="35305" xr:uid="{00000000-0005-0000-0000-000086BE0000}"/>
    <cellStyle name="Финансовый 5 8 2 3 2 3" xfId="15589" xr:uid="{00000000-0005-0000-0000-000087BE0000}"/>
    <cellStyle name="Финансовый 5 8 2 3 2 3 2" xfId="39544" xr:uid="{00000000-0005-0000-0000-000088BE0000}"/>
    <cellStyle name="Финансовый 5 8 2 3 2 4" xfId="27567" xr:uid="{00000000-0005-0000-0000-000089BE0000}"/>
    <cellStyle name="Финансовый 5 8 2 3 2 5" xfId="50836" xr:uid="{00000000-0005-0000-0000-00008ABE0000}"/>
    <cellStyle name="Финансовый 5 8 2 3 3" xfId="5393" xr:uid="{00000000-0005-0000-0000-00008BBE0000}"/>
    <cellStyle name="Финансовый 5 8 2 3 3 2" xfId="17371" xr:uid="{00000000-0005-0000-0000-00008CBE0000}"/>
    <cellStyle name="Финансовый 5 8 2 3 3 2 2" xfId="41326" xr:uid="{00000000-0005-0000-0000-00008DBE0000}"/>
    <cellStyle name="Финансовый 5 8 2 3 3 3" xfId="29348" xr:uid="{00000000-0005-0000-0000-00008EBE0000}"/>
    <cellStyle name="Финансовый 5 8 2 3 4" xfId="8003" xr:uid="{00000000-0005-0000-0000-00008FBE0000}"/>
    <cellStyle name="Финансовый 5 8 2 3 4 2" xfId="19981" xr:uid="{00000000-0005-0000-0000-000090BE0000}"/>
    <cellStyle name="Финансовый 5 8 2 3 4 2 2" xfId="43936" xr:uid="{00000000-0005-0000-0000-000091BE0000}"/>
    <cellStyle name="Финансовый 5 8 2 3 4 3" xfId="31958" xr:uid="{00000000-0005-0000-0000-000092BE0000}"/>
    <cellStyle name="Финансовый 5 8 2 3 5" xfId="9786" xr:uid="{00000000-0005-0000-0000-000093BE0000}"/>
    <cellStyle name="Финансовый 5 8 2 3 5 2" xfId="21764" xr:uid="{00000000-0005-0000-0000-000094BE0000}"/>
    <cellStyle name="Финансовый 5 8 2 3 5 2 2" xfId="45719" xr:uid="{00000000-0005-0000-0000-000095BE0000}"/>
    <cellStyle name="Финансовый 5 8 2 3 5 3" xfId="33741" xr:uid="{00000000-0005-0000-0000-000096BE0000}"/>
    <cellStyle name="Финансовый 5 8 2 3 6" xfId="13944" xr:uid="{00000000-0005-0000-0000-000097BE0000}"/>
    <cellStyle name="Финансовый 5 8 2 3 6 2" xfId="37899" xr:uid="{00000000-0005-0000-0000-000098BE0000}"/>
    <cellStyle name="Финансовый 5 8 2 3 7" xfId="25922" xr:uid="{00000000-0005-0000-0000-000099BE0000}"/>
    <cellStyle name="Финансовый 5 8 2 3 8" xfId="49055" xr:uid="{00000000-0005-0000-0000-00009ABE0000}"/>
    <cellStyle name="Финансовый 5 8 2 4" xfId="2486" xr:uid="{00000000-0005-0000-0000-00009BBE0000}"/>
    <cellStyle name="Финансовый 5 8 2 4 2" xfId="4131" xr:uid="{00000000-0005-0000-0000-00009CBE0000}"/>
    <cellStyle name="Финансовый 5 8 2 4 2 2" xfId="11863" xr:uid="{00000000-0005-0000-0000-00009DBE0000}"/>
    <cellStyle name="Финансовый 5 8 2 4 2 2 2" xfId="23841" xr:uid="{00000000-0005-0000-0000-00009EBE0000}"/>
    <cellStyle name="Финансовый 5 8 2 4 2 2 2 2" xfId="47796" xr:uid="{00000000-0005-0000-0000-00009FBE0000}"/>
    <cellStyle name="Финансовый 5 8 2 4 2 2 3" xfId="35818" xr:uid="{00000000-0005-0000-0000-0000A0BE0000}"/>
    <cellStyle name="Финансовый 5 8 2 4 2 3" xfId="16110" xr:uid="{00000000-0005-0000-0000-0000A1BE0000}"/>
    <cellStyle name="Финансовый 5 8 2 4 2 3 2" xfId="40065" xr:uid="{00000000-0005-0000-0000-0000A2BE0000}"/>
    <cellStyle name="Финансовый 5 8 2 4 2 4" xfId="28088" xr:uid="{00000000-0005-0000-0000-0000A3BE0000}"/>
    <cellStyle name="Финансовый 5 8 2 4 2 5" xfId="51357" xr:uid="{00000000-0005-0000-0000-0000A4BE0000}"/>
    <cellStyle name="Финансовый 5 8 2 4 3" xfId="5914" xr:uid="{00000000-0005-0000-0000-0000A5BE0000}"/>
    <cellStyle name="Финансовый 5 8 2 4 3 2" xfId="17892" xr:uid="{00000000-0005-0000-0000-0000A6BE0000}"/>
    <cellStyle name="Финансовый 5 8 2 4 3 2 2" xfId="41847" xr:uid="{00000000-0005-0000-0000-0000A7BE0000}"/>
    <cellStyle name="Финансовый 5 8 2 4 3 3" xfId="29869" xr:uid="{00000000-0005-0000-0000-0000A8BE0000}"/>
    <cellStyle name="Финансовый 5 8 2 4 4" xfId="8524" xr:uid="{00000000-0005-0000-0000-0000A9BE0000}"/>
    <cellStyle name="Финансовый 5 8 2 4 4 2" xfId="20502" xr:uid="{00000000-0005-0000-0000-0000AABE0000}"/>
    <cellStyle name="Финансовый 5 8 2 4 4 2 2" xfId="44457" xr:uid="{00000000-0005-0000-0000-0000ABBE0000}"/>
    <cellStyle name="Финансовый 5 8 2 4 4 3" xfId="32479" xr:uid="{00000000-0005-0000-0000-0000ACBE0000}"/>
    <cellStyle name="Финансовый 5 8 2 4 5" xfId="10307" xr:uid="{00000000-0005-0000-0000-0000ADBE0000}"/>
    <cellStyle name="Финансовый 5 8 2 4 5 2" xfId="22285" xr:uid="{00000000-0005-0000-0000-0000AEBE0000}"/>
    <cellStyle name="Финансовый 5 8 2 4 5 2 2" xfId="46240" xr:uid="{00000000-0005-0000-0000-0000AFBE0000}"/>
    <cellStyle name="Финансовый 5 8 2 4 5 3" xfId="34262" xr:uid="{00000000-0005-0000-0000-0000B0BE0000}"/>
    <cellStyle name="Финансовый 5 8 2 4 6" xfId="14465" xr:uid="{00000000-0005-0000-0000-0000B1BE0000}"/>
    <cellStyle name="Финансовый 5 8 2 4 6 2" xfId="38420" xr:uid="{00000000-0005-0000-0000-0000B2BE0000}"/>
    <cellStyle name="Финансовый 5 8 2 4 7" xfId="26443" xr:uid="{00000000-0005-0000-0000-0000B3BE0000}"/>
    <cellStyle name="Финансовый 5 8 2 4 8" xfId="49576" xr:uid="{00000000-0005-0000-0000-0000B4BE0000}"/>
    <cellStyle name="Финансовый 5 8 2 5" xfId="990" xr:uid="{00000000-0005-0000-0000-0000B5BE0000}"/>
    <cellStyle name="Финансовый 5 8 2 5 2" xfId="7030" xr:uid="{00000000-0005-0000-0000-0000B6BE0000}"/>
    <cellStyle name="Финансовый 5 8 2 5 2 2" xfId="19008" xr:uid="{00000000-0005-0000-0000-0000B7BE0000}"/>
    <cellStyle name="Финансовый 5 8 2 5 2 2 2" xfId="42963" xr:uid="{00000000-0005-0000-0000-0000B8BE0000}"/>
    <cellStyle name="Финансовый 5 8 2 5 2 3" xfId="30985" xr:uid="{00000000-0005-0000-0000-0000B9BE0000}"/>
    <cellStyle name="Финансовый 5 8 2 5 3" xfId="10578" xr:uid="{00000000-0005-0000-0000-0000BABE0000}"/>
    <cellStyle name="Финансовый 5 8 2 5 3 2" xfId="22556" xr:uid="{00000000-0005-0000-0000-0000BBBE0000}"/>
    <cellStyle name="Финансовый 5 8 2 5 3 2 2" xfId="46511" xr:uid="{00000000-0005-0000-0000-0000BCBE0000}"/>
    <cellStyle name="Финансовый 5 8 2 5 3 3" xfId="34533" xr:uid="{00000000-0005-0000-0000-0000BDBE0000}"/>
    <cellStyle name="Финансовый 5 8 2 5 4" xfId="12971" xr:uid="{00000000-0005-0000-0000-0000BEBE0000}"/>
    <cellStyle name="Финансовый 5 8 2 5 4 2" xfId="36926" xr:uid="{00000000-0005-0000-0000-0000BFBE0000}"/>
    <cellStyle name="Финансовый 5 8 2 5 5" xfId="24949" xr:uid="{00000000-0005-0000-0000-0000C0BE0000}"/>
    <cellStyle name="Финансовый 5 8 2 5 6" xfId="49855" xr:uid="{00000000-0005-0000-0000-0000C1BE0000}"/>
    <cellStyle name="Финансовый 5 8 2 6" xfId="578" xr:uid="{00000000-0005-0000-0000-0000C2BE0000}"/>
    <cellStyle name="Финансовый 5 8 2 6 2" xfId="6618" xr:uid="{00000000-0005-0000-0000-0000C3BE0000}"/>
    <cellStyle name="Финансовый 5 8 2 6 2 2" xfId="18596" xr:uid="{00000000-0005-0000-0000-0000C4BE0000}"/>
    <cellStyle name="Финансовый 5 8 2 6 2 2 2" xfId="42551" xr:uid="{00000000-0005-0000-0000-0000C5BE0000}"/>
    <cellStyle name="Финансовый 5 8 2 6 2 3" xfId="30573" xr:uid="{00000000-0005-0000-0000-0000C6BE0000}"/>
    <cellStyle name="Финансовый 5 8 2 6 3" xfId="12559" xr:uid="{00000000-0005-0000-0000-0000C7BE0000}"/>
    <cellStyle name="Финансовый 5 8 2 6 3 2" xfId="36514" xr:uid="{00000000-0005-0000-0000-0000C8BE0000}"/>
    <cellStyle name="Финансовый 5 8 2 6 4" xfId="24537" xr:uid="{00000000-0005-0000-0000-0000C9BE0000}"/>
    <cellStyle name="Финансовый 5 8 2 7" xfId="2767" xr:uid="{00000000-0005-0000-0000-0000CABE0000}"/>
    <cellStyle name="Финансовый 5 8 2 7 2" xfId="14746" xr:uid="{00000000-0005-0000-0000-0000CBBE0000}"/>
    <cellStyle name="Финансовый 5 8 2 7 2 2" xfId="38701" xr:uid="{00000000-0005-0000-0000-0000CCBE0000}"/>
    <cellStyle name="Финансовый 5 8 2 7 3" xfId="26724" xr:uid="{00000000-0005-0000-0000-0000CDBE0000}"/>
    <cellStyle name="Финансовый 5 8 2 8" xfId="4411" xr:uid="{00000000-0005-0000-0000-0000CEBE0000}"/>
    <cellStyle name="Финансовый 5 8 2 8 2" xfId="16390" xr:uid="{00000000-0005-0000-0000-0000CFBE0000}"/>
    <cellStyle name="Финансовый 5 8 2 8 2 2" xfId="40345" xr:uid="{00000000-0005-0000-0000-0000D0BE0000}"/>
    <cellStyle name="Финансовый 5 8 2 8 3" xfId="28368" xr:uid="{00000000-0005-0000-0000-0000D1BE0000}"/>
    <cellStyle name="Финансовый 5 8 2 9" xfId="6198" xr:uid="{00000000-0005-0000-0000-0000D2BE0000}"/>
    <cellStyle name="Финансовый 5 8 2 9 2" xfId="18176" xr:uid="{00000000-0005-0000-0000-0000D3BE0000}"/>
    <cellStyle name="Финансовый 5 8 2 9 2 2" xfId="42131" xr:uid="{00000000-0005-0000-0000-0000D4BE0000}"/>
    <cellStyle name="Финансовый 5 8 2 9 3" xfId="30153" xr:uid="{00000000-0005-0000-0000-0000D5BE0000}"/>
    <cellStyle name="Финансовый 5 8 3" xfId="306" xr:uid="{00000000-0005-0000-0000-0000D6BE0000}"/>
    <cellStyle name="Финансовый 5 8 3 10" xfId="24265" xr:uid="{00000000-0005-0000-0000-0000D7BE0000}"/>
    <cellStyle name="Финансовый 5 8 3 11" xfId="48211" xr:uid="{00000000-0005-0000-0000-0000D8BE0000}"/>
    <cellStyle name="Финансовый 5 8 3 2" xfId="2093" xr:uid="{00000000-0005-0000-0000-0000D9BE0000}"/>
    <cellStyle name="Финансовый 5 8 3 2 2" xfId="3738" xr:uid="{00000000-0005-0000-0000-0000DABE0000}"/>
    <cellStyle name="Финансовый 5 8 3 2 2 2" xfId="11478" xr:uid="{00000000-0005-0000-0000-0000DBBE0000}"/>
    <cellStyle name="Финансовый 5 8 3 2 2 2 2" xfId="23456" xr:uid="{00000000-0005-0000-0000-0000DCBE0000}"/>
    <cellStyle name="Финансовый 5 8 3 2 2 2 2 2" xfId="47411" xr:uid="{00000000-0005-0000-0000-0000DDBE0000}"/>
    <cellStyle name="Финансовый 5 8 3 2 2 2 3" xfId="35433" xr:uid="{00000000-0005-0000-0000-0000DEBE0000}"/>
    <cellStyle name="Финансовый 5 8 3 2 2 3" xfId="15717" xr:uid="{00000000-0005-0000-0000-0000DFBE0000}"/>
    <cellStyle name="Финансовый 5 8 3 2 2 3 2" xfId="39672" xr:uid="{00000000-0005-0000-0000-0000E0BE0000}"/>
    <cellStyle name="Финансовый 5 8 3 2 2 4" xfId="27695" xr:uid="{00000000-0005-0000-0000-0000E1BE0000}"/>
    <cellStyle name="Финансовый 5 8 3 2 2 5" xfId="50964" xr:uid="{00000000-0005-0000-0000-0000E2BE0000}"/>
    <cellStyle name="Финансовый 5 8 3 2 3" xfId="5521" xr:uid="{00000000-0005-0000-0000-0000E3BE0000}"/>
    <cellStyle name="Финансовый 5 8 3 2 3 2" xfId="17499" xr:uid="{00000000-0005-0000-0000-0000E4BE0000}"/>
    <cellStyle name="Финансовый 5 8 3 2 3 2 2" xfId="41454" xr:uid="{00000000-0005-0000-0000-0000E5BE0000}"/>
    <cellStyle name="Финансовый 5 8 3 2 3 3" xfId="29476" xr:uid="{00000000-0005-0000-0000-0000E6BE0000}"/>
    <cellStyle name="Финансовый 5 8 3 2 4" xfId="8131" xr:uid="{00000000-0005-0000-0000-0000E7BE0000}"/>
    <cellStyle name="Финансовый 5 8 3 2 4 2" xfId="20109" xr:uid="{00000000-0005-0000-0000-0000E8BE0000}"/>
    <cellStyle name="Финансовый 5 8 3 2 4 2 2" xfId="44064" xr:uid="{00000000-0005-0000-0000-0000E9BE0000}"/>
    <cellStyle name="Финансовый 5 8 3 2 4 3" xfId="32086" xr:uid="{00000000-0005-0000-0000-0000EABE0000}"/>
    <cellStyle name="Финансовый 5 8 3 2 5" xfId="9914" xr:uid="{00000000-0005-0000-0000-0000EBBE0000}"/>
    <cellStyle name="Финансовый 5 8 3 2 5 2" xfId="21892" xr:uid="{00000000-0005-0000-0000-0000ECBE0000}"/>
    <cellStyle name="Финансовый 5 8 3 2 5 2 2" xfId="45847" xr:uid="{00000000-0005-0000-0000-0000EDBE0000}"/>
    <cellStyle name="Финансовый 5 8 3 2 5 3" xfId="33869" xr:uid="{00000000-0005-0000-0000-0000EEBE0000}"/>
    <cellStyle name="Финансовый 5 8 3 2 6" xfId="14072" xr:uid="{00000000-0005-0000-0000-0000EFBE0000}"/>
    <cellStyle name="Финансовый 5 8 3 2 6 2" xfId="38027" xr:uid="{00000000-0005-0000-0000-0000F0BE0000}"/>
    <cellStyle name="Финансовый 5 8 3 2 7" xfId="26050" xr:uid="{00000000-0005-0000-0000-0000F1BE0000}"/>
    <cellStyle name="Финансовый 5 8 3 2 8" xfId="49183" xr:uid="{00000000-0005-0000-0000-0000F2BE0000}"/>
    <cellStyle name="Финансовый 5 8 3 3" xfId="1126" xr:uid="{00000000-0005-0000-0000-0000F3BE0000}"/>
    <cellStyle name="Финансовый 5 8 3 3 2" xfId="7166" xr:uid="{00000000-0005-0000-0000-0000F4BE0000}"/>
    <cellStyle name="Финансовый 5 8 3 3 2 2" xfId="19144" xr:uid="{00000000-0005-0000-0000-0000F5BE0000}"/>
    <cellStyle name="Финансовый 5 8 3 3 2 2 2" xfId="43099" xr:uid="{00000000-0005-0000-0000-0000F6BE0000}"/>
    <cellStyle name="Финансовый 5 8 3 3 2 3" xfId="31121" xr:uid="{00000000-0005-0000-0000-0000F7BE0000}"/>
    <cellStyle name="Финансовый 5 8 3 3 3" xfId="10706" xr:uid="{00000000-0005-0000-0000-0000F8BE0000}"/>
    <cellStyle name="Финансовый 5 8 3 3 3 2" xfId="22684" xr:uid="{00000000-0005-0000-0000-0000F9BE0000}"/>
    <cellStyle name="Финансовый 5 8 3 3 3 2 2" xfId="46639" xr:uid="{00000000-0005-0000-0000-0000FABE0000}"/>
    <cellStyle name="Финансовый 5 8 3 3 3 3" xfId="34661" xr:uid="{00000000-0005-0000-0000-0000FBBE0000}"/>
    <cellStyle name="Финансовый 5 8 3 3 4" xfId="13107" xr:uid="{00000000-0005-0000-0000-0000FCBE0000}"/>
    <cellStyle name="Финансовый 5 8 3 3 4 2" xfId="37062" xr:uid="{00000000-0005-0000-0000-0000FDBE0000}"/>
    <cellStyle name="Финансовый 5 8 3 3 5" xfId="25085" xr:uid="{00000000-0005-0000-0000-0000FEBE0000}"/>
    <cellStyle name="Финансовый 5 8 3 3 6" xfId="49991" xr:uid="{00000000-0005-0000-0000-0000FFBE0000}"/>
    <cellStyle name="Финансовый 5 8 3 4" xfId="726" xr:uid="{00000000-0005-0000-0000-000000BF0000}"/>
    <cellStyle name="Финансовый 5 8 3 4 2" xfId="6766" xr:uid="{00000000-0005-0000-0000-000001BF0000}"/>
    <cellStyle name="Финансовый 5 8 3 4 2 2" xfId="18744" xr:uid="{00000000-0005-0000-0000-000002BF0000}"/>
    <cellStyle name="Финансовый 5 8 3 4 2 2 2" xfId="42699" xr:uid="{00000000-0005-0000-0000-000003BF0000}"/>
    <cellStyle name="Финансовый 5 8 3 4 2 3" xfId="30721" xr:uid="{00000000-0005-0000-0000-000004BF0000}"/>
    <cellStyle name="Финансовый 5 8 3 4 3" xfId="12707" xr:uid="{00000000-0005-0000-0000-000005BF0000}"/>
    <cellStyle name="Финансовый 5 8 3 4 3 2" xfId="36662" xr:uid="{00000000-0005-0000-0000-000006BF0000}"/>
    <cellStyle name="Финансовый 5 8 3 4 4" xfId="24685" xr:uid="{00000000-0005-0000-0000-000007BF0000}"/>
    <cellStyle name="Финансовый 5 8 3 5" xfId="2903" xr:uid="{00000000-0005-0000-0000-000008BF0000}"/>
    <cellStyle name="Финансовый 5 8 3 5 2" xfId="14882" xr:uid="{00000000-0005-0000-0000-000009BF0000}"/>
    <cellStyle name="Финансовый 5 8 3 5 2 2" xfId="38837" xr:uid="{00000000-0005-0000-0000-00000ABF0000}"/>
    <cellStyle name="Финансовый 5 8 3 5 3" xfId="26860" xr:uid="{00000000-0005-0000-0000-00000BBF0000}"/>
    <cellStyle name="Финансовый 5 8 3 6" xfId="4547" xr:uid="{00000000-0005-0000-0000-00000CBF0000}"/>
    <cellStyle name="Финансовый 5 8 3 6 2" xfId="16526" xr:uid="{00000000-0005-0000-0000-00000DBF0000}"/>
    <cellStyle name="Финансовый 5 8 3 6 2 2" xfId="40481" xr:uid="{00000000-0005-0000-0000-00000EBF0000}"/>
    <cellStyle name="Финансовый 5 8 3 6 3" xfId="28504" xr:uid="{00000000-0005-0000-0000-00000FBF0000}"/>
    <cellStyle name="Финансовый 5 8 3 7" xfId="6346" xr:uid="{00000000-0005-0000-0000-000010BF0000}"/>
    <cellStyle name="Финансовый 5 8 3 7 2" xfId="18324" xr:uid="{00000000-0005-0000-0000-000011BF0000}"/>
    <cellStyle name="Финансовый 5 8 3 7 2 2" xfId="42279" xr:uid="{00000000-0005-0000-0000-000012BF0000}"/>
    <cellStyle name="Финансовый 5 8 3 7 3" xfId="30301" xr:uid="{00000000-0005-0000-0000-000013BF0000}"/>
    <cellStyle name="Финансовый 5 8 3 8" xfId="8941" xr:uid="{00000000-0005-0000-0000-000014BF0000}"/>
    <cellStyle name="Финансовый 5 8 3 8 2" xfId="20919" xr:uid="{00000000-0005-0000-0000-000015BF0000}"/>
    <cellStyle name="Финансовый 5 8 3 8 2 2" xfId="44874" xr:uid="{00000000-0005-0000-0000-000016BF0000}"/>
    <cellStyle name="Финансовый 5 8 3 8 3" xfId="32896" xr:uid="{00000000-0005-0000-0000-000017BF0000}"/>
    <cellStyle name="Финансовый 5 8 3 9" xfId="12287" xr:uid="{00000000-0005-0000-0000-000018BF0000}"/>
    <cellStyle name="Финансовый 5 8 3 9 2" xfId="36242" xr:uid="{00000000-0005-0000-0000-000019BF0000}"/>
    <cellStyle name="Финансовый 5 8 4" xfId="1551" xr:uid="{00000000-0005-0000-0000-00001ABF0000}"/>
    <cellStyle name="Финансовый 5 8 4 2" xfId="1829" xr:uid="{00000000-0005-0000-0000-00001BBF0000}"/>
    <cellStyle name="Финансовый 5 8 4 2 2" xfId="3474" xr:uid="{00000000-0005-0000-0000-00001CBF0000}"/>
    <cellStyle name="Финансовый 5 8 4 2 2 2" xfId="11222" xr:uid="{00000000-0005-0000-0000-00001DBF0000}"/>
    <cellStyle name="Финансовый 5 8 4 2 2 2 2" xfId="23200" xr:uid="{00000000-0005-0000-0000-00001EBF0000}"/>
    <cellStyle name="Финансовый 5 8 4 2 2 2 2 2" xfId="47155" xr:uid="{00000000-0005-0000-0000-00001FBF0000}"/>
    <cellStyle name="Финансовый 5 8 4 2 2 2 3" xfId="35177" xr:uid="{00000000-0005-0000-0000-000020BF0000}"/>
    <cellStyle name="Финансовый 5 8 4 2 2 3" xfId="15453" xr:uid="{00000000-0005-0000-0000-000021BF0000}"/>
    <cellStyle name="Финансовый 5 8 4 2 2 3 2" xfId="39408" xr:uid="{00000000-0005-0000-0000-000022BF0000}"/>
    <cellStyle name="Финансовый 5 8 4 2 2 4" xfId="27431" xr:uid="{00000000-0005-0000-0000-000023BF0000}"/>
    <cellStyle name="Финансовый 5 8 4 2 2 5" xfId="50700" xr:uid="{00000000-0005-0000-0000-000024BF0000}"/>
    <cellStyle name="Финансовый 5 8 4 2 3" xfId="5257" xr:uid="{00000000-0005-0000-0000-000025BF0000}"/>
    <cellStyle name="Финансовый 5 8 4 2 3 2" xfId="17235" xr:uid="{00000000-0005-0000-0000-000026BF0000}"/>
    <cellStyle name="Финансовый 5 8 4 2 3 2 2" xfId="41190" xr:uid="{00000000-0005-0000-0000-000027BF0000}"/>
    <cellStyle name="Финансовый 5 8 4 2 3 3" xfId="29212" xr:uid="{00000000-0005-0000-0000-000028BF0000}"/>
    <cellStyle name="Финансовый 5 8 4 2 4" xfId="7867" xr:uid="{00000000-0005-0000-0000-000029BF0000}"/>
    <cellStyle name="Финансовый 5 8 4 2 4 2" xfId="19845" xr:uid="{00000000-0005-0000-0000-00002ABF0000}"/>
    <cellStyle name="Финансовый 5 8 4 2 4 2 2" xfId="43800" xr:uid="{00000000-0005-0000-0000-00002BBF0000}"/>
    <cellStyle name="Финансовый 5 8 4 2 4 3" xfId="31822" xr:uid="{00000000-0005-0000-0000-00002CBF0000}"/>
    <cellStyle name="Финансовый 5 8 4 2 5" xfId="9650" xr:uid="{00000000-0005-0000-0000-00002DBF0000}"/>
    <cellStyle name="Финансовый 5 8 4 2 5 2" xfId="21628" xr:uid="{00000000-0005-0000-0000-00002EBF0000}"/>
    <cellStyle name="Финансовый 5 8 4 2 5 2 2" xfId="45583" xr:uid="{00000000-0005-0000-0000-00002FBF0000}"/>
    <cellStyle name="Финансовый 5 8 4 2 5 3" xfId="33605" xr:uid="{00000000-0005-0000-0000-000030BF0000}"/>
    <cellStyle name="Финансовый 5 8 4 2 6" xfId="13808" xr:uid="{00000000-0005-0000-0000-000031BF0000}"/>
    <cellStyle name="Финансовый 5 8 4 2 6 2" xfId="37763" xr:uid="{00000000-0005-0000-0000-000032BF0000}"/>
    <cellStyle name="Финансовый 5 8 4 2 7" xfId="25786" xr:uid="{00000000-0005-0000-0000-000033BF0000}"/>
    <cellStyle name="Финансовый 5 8 4 2 8" xfId="48919" xr:uid="{00000000-0005-0000-0000-000034BF0000}"/>
    <cellStyle name="Финансовый 5 8 4 3" xfId="4979" xr:uid="{00000000-0005-0000-0000-000035BF0000}"/>
    <cellStyle name="Финансовый 5 8 4 3 2" xfId="16957" xr:uid="{00000000-0005-0000-0000-000036BF0000}"/>
    <cellStyle name="Финансовый 5 8 4 3 2 2" xfId="40912" xr:uid="{00000000-0005-0000-0000-000037BF0000}"/>
    <cellStyle name="Финансовый 5 8 4 3 3" xfId="28934" xr:uid="{00000000-0005-0000-0000-000038BF0000}"/>
    <cellStyle name="Финансовый 5 8 4 3 4" xfId="50422" xr:uid="{00000000-0005-0000-0000-000039BF0000}"/>
    <cellStyle name="Финансовый 5 8 4 4" xfId="7589" xr:uid="{00000000-0005-0000-0000-00003ABF0000}"/>
    <cellStyle name="Финансовый 5 8 4 4 2" xfId="19567" xr:uid="{00000000-0005-0000-0000-00003BBF0000}"/>
    <cellStyle name="Финансовый 5 8 4 4 2 2" xfId="43522" xr:uid="{00000000-0005-0000-0000-00003CBF0000}"/>
    <cellStyle name="Финансовый 5 8 4 4 3" xfId="31544" xr:uid="{00000000-0005-0000-0000-00003DBF0000}"/>
    <cellStyle name="Финансовый 5 8 4 5" xfId="9372" xr:uid="{00000000-0005-0000-0000-00003EBF0000}"/>
    <cellStyle name="Финансовый 5 8 4 5 2" xfId="21350" xr:uid="{00000000-0005-0000-0000-00003FBF0000}"/>
    <cellStyle name="Финансовый 5 8 4 5 2 2" xfId="45305" xr:uid="{00000000-0005-0000-0000-000040BF0000}"/>
    <cellStyle name="Финансовый 5 8 4 5 3" xfId="33327" xr:uid="{00000000-0005-0000-0000-000041BF0000}"/>
    <cellStyle name="Финансовый 5 8 4 6" xfId="13530" xr:uid="{00000000-0005-0000-0000-000042BF0000}"/>
    <cellStyle name="Финансовый 5 8 4 6 2" xfId="37485" xr:uid="{00000000-0005-0000-0000-000043BF0000}"/>
    <cellStyle name="Финансовый 5 8 4 7" xfId="25508" xr:uid="{00000000-0005-0000-0000-000044BF0000}"/>
    <cellStyle name="Финансовый 5 8 4 8" xfId="48641" xr:uid="{00000000-0005-0000-0000-000045BF0000}"/>
    <cellStyle name="Финансовый 5 8 5" xfId="1713" xr:uid="{00000000-0005-0000-0000-000046BF0000}"/>
    <cellStyle name="Финансовый 5 8 5 2" xfId="3358" xr:uid="{00000000-0005-0000-0000-000047BF0000}"/>
    <cellStyle name="Финансовый 5 8 5 2 2" xfId="11106" xr:uid="{00000000-0005-0000-0000-000048BF0000}"/>
    <cellStyle name="Финансовый 5 8 5 2 2 2" xfId="23084" xr:uid="{00000000-0005-0000-0000-000049BF0000}"/>
    <cellStyle name="Финансовый 5 8 5 2 2 2 2" xfId="47039" xr:uid="{00000000-0005-0000-0000-00004ABF0000}"/>
    <cellStyle name="Финансовый 5 8 5 2 2 3" xfId="35061" xr:uid="{00000000-0005-0000-0000-00004BBF0000}"/>
    <cellStyle name="Финансовый 5 8 5 2 3" xfId="15337" xr:uid="{00000000-0005-0000-0000-00004CBF0000}"/>
    <cellStyle name="Финансовый 5 8 5 2 3 2" xfId="39292" xr:uid="{00000000-0005-0000-0000-00004DBF0000}"/>
    <cellStyle name="Финансовый 5 8 5 2 4" xfId="27315" xr:uid="{00000000-0005-0000-0000-00004EBF0000}"/>
    <cellStyle name="Финансовый 5 8 5 2 5" xfId="50584" xr:uid="{00000000-0005-0000-0000-00004FBF0000}"/>
    <cellStyle name="Финансовый 5 8 5 3" xfId="5141" xr:uid="{00000000-0005-0000-0000-000050BF0000}"/>
    <cellStyle name="Финансовый 5 8 5 3 2" xfId="17119" xr:uid="{00000000-0005-0000-0000-000051BF0000}"/>
    <cellStyle name="Финансовый 5 8 5 3 2 2" xfId="41074" xr:uid="{00000000-0005-0000-0000-000052BF0000}"/>
    <cellStyle name="Финансовый 5 8 5 3 3" xfId="29096" xr:uid="{00000000-0005-0000-0000-000053BF0000}"/>
    <cellStyle name="Финансовый 5 8 5 4" xfId="7751" xr:uid="{00000000-0005-0000-0000-000054BF0000}"/>
    <cellStyle name="Финансовый 5 8 5 4 2" xfId="19729" xr:uid="{00000000-0005-0000-0000-000055BF0000}"/>
    <cellStyle name="Финансовый 5 8 5 4 2 2" xfId="43684" xr:uid="{00000000-0005-0000-0000-000056BF0000}"/>
    <cellStyle name="Финансовый 5 8 5 4 3" xfId="31706" xr:uid="{00000000-0005-0000-0000-000057BF0000}"/>
    <cellStyle name="Финансовый 5 8 5 5" xfId="9534" xr:uid="{00000000-0005-0000-0000-000058BF0000}"/>
    <cellStyle name="Финансовый 5 8 5 5 2" xfId="21512" xr:uid="{00000000-0005-0000-0000-000059BF0000}"/>
    <cellStyle name="Финансовый 5 8 5 5 2 2" xfId="45467" xr:uid="{00000000-0005-0000-0000-00005ABF0000}"/>
    <cellStyle name="Финансовый 5 8 5 5 3" xfId="33489" xr:uid="{00000000-0005-0000-0000-00005BBF0000}"/>
    <cellStyle name="Финансовый 5 8 5 6" xfId="13692" xr:uid="{00000000-0005-0000-0000-00005CBF0000}"/>
    <cellStyle name="Финансовый 5 8 5 6 2" xfId="37647" xr:uid="{00000000-0005-0000-0000-00005DBF0000}"/>
    <cellStyle name="Финансовый 5 8 5 7" xfId="25670" xr:uid="{00000000-0005-0000-0000-00005EBF0000}"/>
    <cellStyle name="Финансовый 5 8 5 8" xfId="48803" xr:uid="{00000000-0005-0000-0000-00005FBF0000}"/>
    <cellStyle name="Финансовый 5 8 6" xfId="2349" xr:uid="{00000000-0005-0000-0000-000060BF0000}"/>
    <cellStyle name="Финансовый 5 8 6 2" xfId="3994" xr:uid="{00000000-0005-0000-0000-000061BF0000}"/>
    <cellStyle name="Финансовый 5 8 6 2 2" xfId="11734" xr:uid="{00000000-0005-0000-0000-000062BF0000}"/>
    <cellStyle name="Финансовый 5 8 6 2 2 2" xfId="23712" xr:uid="{00000000-0005-0000-0000-000063BF0000}"/>
    <cellStyle name="Финансовый 5 8 6 2 2 2 2" xfId="47667" xr:uid="{00000000-0005-0000-0000-000064BF0000}"/>
    <cellStyle name="Финансовый 5 8 6 2 2 3" xfId="35689" xr:uid="{00000000-0005-0000-0000-000065BF0000}"/>
    <cellStyle name="Финансовый 5 8 6 2 3" xfId="15973" xr:uid="{00000000-0005-0000-0000-000066BF0000}"/>
    <cellStyle name="Финансовый 5 8 6 2 3 2" xfId="39928" xr:uid="{00000000-0005-0000-0000-000067BF0000}"/>
    <cellStyle name="Финансовый 5 8 6 2 4" xfId="27951" xr:uid="{00000000-0005-0000-0000-000068BF0000}"/>
    <cellStyle name="Финансовый 5 8 6 2 5" xfId="51220" xr:uid="{00000000-0005-0000-0000-000069BF0000}"/>
    <cellStyle name="Финансовый 5 8 6 3" xfId="5777" xr:uid="{00000000-0005-0000-0000-00006ABF0000}"/>
    <cellStyle name="Финансовый 5 8 6 3 2" xfId="17755" xr:uid="{00000000-0005-0000-0000-00006BBF0000}"/>
    <cellStyle name="Финансовый 5 8 6 3 2 2" xfId="41710" xr:uid="{00000000-0005-0000-0000-00006CBF0000}"/>
    <cellStyle name="Финансовый 5 8 6 3 3" xfId="29732" xr:uid="{00000000-0005-0000-0000-00006DBF0000}"/>
    <cellStyle name="Финансовый 5 8 6 4" xfId="8387" xr:uid="{00000000-0005-0000-0000-00006EBF0000}"/>
    <cellStyle name="Финансовый 5 8 6 4 2" xfId="20365" xr:uid="{00000000-0005-0000-0000-00006FBF0000}"/>
    <cellStyle name="Финансовый 5 8 6 4 2 2" xfId="44320" xr:uid="{00000000-0005-0000-0000-000070BF0000}"/>
    <cellStyle name="Финансовый 5 8 6 4 3" xfId="32342" xr:uid="{00000000-0005-0000-0000-000071BF0000}"/>
    <cellStyle name="Финансовый 5 8 6 5" xfId="10170" xr:uid="{00000000-0005-0000-0000-000072BF0000}"/>
    <cellStyle name="Финансовый 5 8 6 5 2" xfId="22148" xr:uid="{00000000-0005-0000-0000-000073BF0000}"/>
    <cellStyle name="Финансовый 5 8 6 5 2 2" xfId="46103" xr:uid="{00000000-0005-0000-0000-000074BF0000}"/>
    <cellStyle name="Финансовый 5 8 6 5 3" xfId="34125" xr:uid="{00000000-0005-0000-0000-000075BF0000}"/>
    <cellStyle name="Финансовый 5 8 6 6" xfId="14328" xr:uid="{00000000-0005-0000-0000-000076BF0000}"/>
    <cellStyle name="Финансовый 5 8 6 6 2" xfId="38283" xr:uid="{00000000-0005-0000-0000-000077BF0000}"/>
    <cellStyle name="Финансовый 5 8 6 7" xfId="26306" xr:uid="{00000000-0005-0000-0000-000078BF0000}"/>
    <cellStyle name="Финансовый 5 8 6 8" xfId="49439" xr:uid="{00000000-0005-0000-0000-000079BF0000}"/>
    <cellStyle name="Финансовый 5 8 7" xfId="1576" xr:uid="{00000000-0005-0000-0000-00007ABF0000}"/>
    <cellStyle name="Финансовый 5 8 7 2" xfId="3221" xr:uid="{00000000-0005-0000-0000-00007BBF0000}"/>
    <cellStyle name="Финансовый 5 8 7 2 2" xfId="10977" xr:uid="{00000000-0005-0000-0000-00007CBF0000}"/>
    <cellStyle name="Финансовый 5 8 7 2 2 2" xfId="22955" xr:uid="{00000000-0005-0000-0000-00007DBF0000}"/>
    <cellStyle name="Финансовый 5 8 7 2 2 2 2" xfId="46910" xr:uid="{00000000-0005-0000-0000-00007EBF0000}"/>
    <cellStyle name="Финансовый 5 8 7 2 2 3" xfId="34932" xr:uid="{00000000-0005-0000-0000-00007FBF0000}"/>
    <cellStyle name="Финансовый 5 8 7 2 3" xfId="15200" xr:uid="{00000000-0005-0000-0000-000080BF0000}"/>
    <cellStyle name="Финансовый 5 8 7 2 3 2" xfId="39155" xr:uid="{00000000-0005-0000-0000-000081BF0000}"/>
    <cellStyle name="Финансовый 5 8 7 2 4" xfId="27178" xr:uid="{00000000-0005-0000-0000-000082BF0000}"/>
    <cellStyle name="Финансовый 5 8 7 2 5" xfId="50447" xr:uid="{00000000-0005-0000-0000-000083BF0000}"/>
    <cellStyle name="Финансовый 5 8 7 3" xfId="5004" xr:uid="{00000000-0005-0000-0000-000084BF0000}"/>
    <cellStyle name="Финансовый 5 8 7 3 2" xfId="16982" xr:uid="{00000000-0005-0000-0000-000085BF0000}"/>
    <cellStyle name="Финансовый 5 8 7 3 2 2" xfId="40937" xr:uid="{00000000-0005-0000-0000-000086BF0000}"/>
    <cellStyle name="Финансовый 5 8 7 3 3" xfId="28959" xr:uid="{00000000-0005-0000-0000-000087BF0000}"/>
    <cellStyle name="Финансовый 5 8 7 4" xfId="7614" xr:uid="{00000000-0005-0000-0000-000088BF0000}"/>
    <cellStyle name="Финансовый 5 8 7 4 2" xfId="19592" xr:uid="{00000000-0005-0000-0000-000089BF0000}"/>
    <cellStyle name="Финансовый 5 8 7 4 2 2" xfId="43547" xr:uid="{00000000-0005-0000-0000-00008ABF0000}"/>
    <cellStyle name="Финансовый 5 8 7 4 3" xfId="31569" xr:uid="{00000000-0005-0000-0000-00008BBF0000}"/>
    <cellStyle name="Финансовый 5 8 7 5" xfId="9397" xr:uid="{00000000-0005-0000-0000-00008CBF0000}"/>
    <cellStyle name="Финансовый 5 8 7 5 2" xfId="21375" xr:uid="{00000000-0005-0000-0000-00008DBF0000}"/>
    <cellStyle name="Финансовый 5 8 7 5 2 2" xfId="45330" xr:uid="{00000000-0005-0000-0000-00008EBF0000}"/>
    <cellStyle name="Финансовый 5 8 7 5 3" xfId="33352" xr:uid="{00000000-0005-0000-0000-00008FBF0000}"/>
    <cellStyle name="Финансовый 5 8 7 6" xfId="13555" xr:uid="{00000000-0005-0000-0000-000090BF0000}"/>
    <cellStyle name="Финансовый 5 8 7 6 2" xfId="37510" xr:uid="{00000000-0005-0000-0000-000091BF0000}"/>
    <cellStyle name="Финансовый 5 8 7 7" xfId="25533" xr:uid="{00000000-0005-0000-0000-000092BF0000}"/>
    <cellStyle name="Финансовый 5 8 7 8" xfId="48666" xr:uid="{00000000-0005-0000-0000-000093BF0000}"/>
    <cellStyle name="Финансовый 5 8 8" xfId="862" xr:uid="{00000000-0005-0000-0000-000094BF0000}"/>
    <cellStyle name="Финансовый 5 8 8 2" xfId="6902" xr:uid="{00000000-0005-0000-0000-000095BF0000}"/>
    <cellStyle name="Финансовый 5 8 8 2 2" xfId="18880" xr:uid="{00000000-0005-0000-0000-000096BF0000}"/>
    <cellStyle name="Финансовый 5 8 8 2 2 2" xfId="42835" xr:uid="{00000000-0005-0000-0000-000097BF0000}"/>
    <cellStyle name="Финансовый 5 8 8 2 3" xfId="30857" xr:uid="{00000000-0005-0000-0000-000098BF0000}"/>
    <cellStyle name="Финансовый 5 8 8 3" xfId="10450" xr:uid="{00000000-0005-0000-0000-000099BF0000}"/>
    <cellStyle name="Финансовый 5 8 8 3 2" xfId="22428" xr:uid="{00000000-0005-0000-0000-00009ABF0000}"/>
    <cellStyle name="Финансовый 5 8 8 3 2 2" xfId="46383" xr:uid="{00000000-0005-0000-0000-00009BBF0000}"/>
    <cellStyle name="Финансовый 5 8 8 3 3" xfId="34405" xr:uid="{00000000-0005-0000-0000-00009CBF0000}"/>
    <cellStyle name="Финансовый 5 8 8 4" xfId="12843" xr:uid="{00000000-0005-0000-0000-00009DBF0000}"/>
    <cellStyle name="Финансовый 5 8 8 4 2" xfId="36798" xr:uid="{00000000-0005-0000-0000-00009EBF0000}"/>
    <cellStyle name="Финансовый 5 8 8 5" xfId="24821" xr:uid="{00000000-0005-0000-0000-00009FBF0000}"/>
    <cellStyle name="Финансовый 5 8 8 6" xfId="49719" xr:uid="{00000000-0005-0000-0000-0000A0BF0000}"/>
    <cellStyle name="Финансовый 5 8 9" xfId="442" xr:uid="{00000000-0005-0000-0000-0000A1BF0000}"/>
    <cellStyle name="Финансовый 5 8 9 2" xfId="6482" xr:uid="{00000000-0005-0000-0000-0000A2BF0000}"/>
    <cellStyle name="Финансовый 5 8 9 2 2" xfId="18460" xr:uid="{00000000-0005-0000-0000-0000A3BF0000}"/>
    <cellStyle name="Финансовый 5 8 9 2 2 2" xfId="42415" xr:uid="{00000000-0005-0000-0000-0000A4BF0000}"/>
    <cellStyle name="Финансовый 5 8 9 2 3" xfId="30437" xr:uid="{00000000-0005-0000-0000-0000A5BF0000}"/>
    <cellStyle name="Финансовый 5 8 9 3" xfId="12423" xr:uid="{00000000-0005-0000-0000-0000A6BF0000}"/>
    <cellStyle name="Финансовый 5 8 9 3 2" xfId="36378" xr:uid="{00000000-0005-0000-0000-0000A7BF0000}"/>
    <cellStyle name="Финансовый 5 8 9 4" xfId="24401" xr:uid="{00000000-0005-0000-0000-0000A8BF0000}"/>
    <cellStyle name="Финансовый 5 9" xfId="145" xr:uid="{00000000-0005-0000-0000-0000A9BF0000}"/>
    <cellStyle name="Финансовый 5 9 10" xfId="8793" xr:uid="{00000000-0005-0000-0000-0000AABF0000}"/>
    <cellStyle name="Финансовый 5 9 10 2" xfId="20771" xr:uid="{00000000-0005-0000-0000-0000ABBF0000}"/>
    <cellStyle name="Финансовый 5 9 10 2 2" xfId="44726" xr:uid="{00000000-0005-0000-0000-0000ACBF0000}"/>
    <cellStyle name="Финансовый 5 9 10 3" xfId="32748" xr:uid="{00000000-0005-0000-0000-0000ADBF0000}"/>
    <cellStyle name="Финансовый 5 9 11" xfId="12127" xr:uid="{00000000-0005-0000-0000-0000AEBF0000}"/>
    <cellStyle name="Финансовый 5 9 11 2" xfId="36082" xr:uid="{00000000-0005-0000-0000-0000AFBF0000}"/>
    <cellStyle name="Финансовый 5 9 12" xfId="24105" xr:uid="{00000000-0005-0000-0000-0000B0BF0000}"/>
    <cellStyle name="Финансовый 5 9 13" xfId="48063" xr:uid="{00000000-0005-0000-0000-0000B1BF0000}"/>
    <cellStyle name="Финансовый 5 9 2" xfId="1243" xr:uid="{00000000-0005-0000-0000-0000B2BF0000}"/>
    <cellStyle name="Финансовый 5 9 2 2" xfId="2209" xr:uid="{00000000-0005-0000-0000-0000B3BF0000}"/>
    <cellStyle name="Финансовый 5 9 2 2 2" xfId="3854" xr:uid="{00000000-0005-0000-0000-0000B4BF0000}"/>
    <cellStyle name="Финансовый 5 9 2 2 2 2" xfId="11594" xr:uid="{00000000-0005-0000-0000-0000B5BF0000}"/>
    <cellStyle name="Финансовый 5 9 2 2 2 2 2" xfId="23572" xr:uid="{00000000-0005-0000-0000-0000B6BF0000}"/>
    <cellStyle name="Финансовый 5 9 2 2 2 2 2 2" xfId="47527" xr:uid="{00000000-0005-0000-0000-0000B7BF0000}"/>
    <cellStyle name="Финансовый 5 9 2 2 2 2 3" xfId="35549" xr:uid="{00000000-0005-0000-0000-0000B8BF0000}"/>
    <cellStyle name="Финансовый 5 9 2 2 2 3" xfId="15833" xr:uid="{00000000-0005-0000-0000-0000B9BF0000}"/>
    <cellStyle name="Финансовый 5 9 2 2 2 3 2" xfId="39788" xr:uid="{00000000-0005-0000-0000-0000BABF0000}"/>
    <cellStyle name="Финансовый 5 9 2 2 2 4" xfId="27811" xr:uid="{00000000-0005-0000-0000-0000BBBF0000}"/>
    <cellStyle name="Финансовый 5 9 2 2 2 5" xfId="51080" xr:uid="{00000000-0005-0000-0000-0000BCBF0000}"/>
    <cellStyle name="Финансовый 5 9 2 2 3" xfId="5637" xr:uid="{00000000-0005-0000-0000-0000BDBF0000}"/>
    <cellStyle name="Финансовый 5 9 2 2 3 2" xfId="17615" xr:uid="{00000000-0005-0000-0000-0000BEBF0000}"/>
    <cellStyle name="Финансовый 5 9 2 2 3 2 2" xfId="41570" xr:uid="{00000000-0005-0000-0000-0000BFBF0000}"/>
    <cellStyle name="Финансовый 5 9 2 2 3 3" xfId="29592" xr:uid="{00000000-0005-0000-0000-0000C0BF0000}"/>
    <cellStyle name="Финансовый 5 9 2 2 4" xfId="8247" xr:uid="{00000000-0005-0000-0000-0000C1BF0000}"/>
    <cellStyle name="Финансовый 5 9 2 2 4 2" xfId="20225" xr:uid="{00000000-0005-0000-0000-0000C2BF0000}"/>
    <cellStyle name="Финансовый 5 9 2 2 4 2 2" xfId="44180" xr:uid="{00000000-0005-0000-0000-0000C3BF0000}"/>
    <cellStyle name="Финансовый 5 9 2 2 4 3" xfId="32202" xr:uid="{00000000-0005-0000-0000-0000C4BF0000}"/>
    <cellStyle name="Финансовый 5 9 2 2 5" xfId="10030" xr:uid="{00000000-0005-0000-0000-0000C5BF0000}"/>
    <cellStyle name="Финансовый 5 9 2 2 5 2" xfId="22008" xr:uid="{00000000-0005-0000-0000-0000C6BF0000}"/>
    <cellStyle name="Финансовый 5 9 2 2 5 2 2" xfId="45963" xr:uid="{00000000-0005-0000-0000-0000C7BF0000}"/>
    <cellStyle name="Финансовый 5 9 2 2 5 3" xfId="33985" xr:uid="{00000000-0005-0000-0000-0000C8BF0000}"/>
    <cellStyle name="Финансовый 5 9 2 2 6" xfId="14188" xr:uid="{00000000-0005-0000-0000-0000C9BF0000}"/>
    <cellStyle name="Финансовый 5 9 2 2 6 2" xfId="38143" xr:uid="{00000000-0005-0000-0000-0000CABF0000}"/>
    <cellStyle name="Финансовый 5 9 2 2 7" xfId="26166" xr:uid="{00000000-0005-0000-0000-0000CBBF0000}"/>
    <cellStyle name="Финансовый 5 9 2 2 8" xfId="49299" xr:uid="{00000000-0005-0000-0000-0000CCBF0000}"/>
    <cellStyle name="Финансовый 5 9 2 3" xfId="3027" xr:uid="{00000000-0005-0000-0000-0000CDBF0000}"/>
    <cellStyle name="Финансовый 5 9 2 3 2" xfId="10822" xr:uid="{00000000-0005-0000-0000-0000CEBF0000}"/>
    <cellStyle name="Финансовый 5 9 2 3 2 2" xfId="22800" xr:uid="{00000000-0005-0000-0000-0000CFBF0000}"/>
    <cellStyle name="Финансовый 5 9 2 3 2 2 2" xfId="46755" xr:uid="{00000000-0005-0000-0000-0000D0BF0000}"/>
    <cellStyle name="Финансовый 5 9 2 3 2 3" xfId="34777" xr:uid="{00000000-0005-0000-0000-0000D1BF0000}"/>
    <cellStyle name="Финансовый 5 9 2 3 3" xfId="15006" xr:uid="{00000000-0005-0000-0000-0000D2BF0000}"/>
    <cellStyle name="Финансовый 5 9 2 3 3 2" xfId="38961" xr:uid="{00000000-0005-0000-0000-0000D3BF0000}"/>
    <cellStyle name="Финансовый 5 9 2 3 4" xfId="26984" xr:uid="{00000000-0005-0000-0000-0000D4BF0000}"/>
    <cellStyle name="Финансовый 5 9 2 3 5" xfId="50115" xr:uid="{00000000-0005-0000-0000-0000D5BF0000}"/>
    <cellStyle name="Финансовый 5 9 2 4" xfId="4671" xr:uid="{00000000-0005-0000-0000-0000D6BF0000}"/>
    <cellStyle name="Финансовый 5 9 2 4 2" xfId="16650" xr:uid="{00000000-0005-0000-0000-0000D7BF0000}"/>
    <cellStyle name="Финансовый 5 9 2 4 2 2" xfId="40605" xr:uid="{00000000-0005-0000-0000-0000D8BF0000}"/>
    <cellStyle name="Финансовый 5 9 2 4 3" xfId="28628" xr:uid="{00000000-0005-0000-0000-0000D9BF0000}"/>
    <cellStyle name="Финансовый 5 9 2 5" xfId="7283" xr:uid="{00000000-0005-0000-0000-0000DABF0000}"/>
    <cellStyle name="Финансовый 5 9 2 5 2" xfId="19261" xr:uid="{00000000-0005-0000-0000-0000DBBF0000}"/>
    <cellStyle name="Финансовый 5 9 2 5 2 2" xfId="43216" xr:uid="{00000000-0005-0000-0000-0000DCBF0000}"/>
    <cellStyle name="Финансовый 5 9 2 5 3" xfId="31238" xr:uid="{00000000-0005-0000-0000-0000DDBF0000}"/>
    <cellStyle name="Финансовый 5 9 2 6" xfId="9065" xr:uid="{00000000-0005-0000-0000-0000DEBF0000}"/>
    <cellStyle name="Финансовый 5 9 2 6 2" xfId="21043" xr:uid="{00000000-0005-0000-0000-0000DFBF0000}"/>
    <cellStyle name="Финансовый 5 9 2 6 2 2" xfId="44998" xr:uid="{00000000-0005-0000-0000-0000E0BF0000}"/>
    <cellStyle name="Финансовый 5 9 2 6 3" xfId="33020" xr:uid="{00000000-0005-0000-0000-0000E1BF0000}"/>
    <cellStyle name="Финансовый 5 9 2 7" xfId="13224" xr:uid="{00000000-0005-0000-0000-0000E2BF0000}"/>
    <cellStyle name="Финансовый 5 9 2 7 2" xfId="37179" xr:uid="{00000000-0005-0000-0000-0000E3BF0000}"/>
    <cellStyle name="Финансовый 5 9 2 8" xfId="25202" xr:uid="{00000000-0005-0000-0000-0000E4BF0000}"/>
    <cellStyle name="Финансовый 5 9 2 9" xfId="48335" xr:uid="{00000000-0005-0000-0000-0000E5BF0000}"/>
    <cellStyle name="Финансовый 5 9 3" xfId="1953" xr:uid="{00000000-0005-0000-0000-0000E6BF0000}"/>
    <cellStyle name="Финансовый 5 9 3 2" xfId="3598" xr:uid="{00000000-0005-0000-0000-0000E7BF0000}"/>
    <cellStyle name="Финансовый 5 9 3 2 2" xfId="11338" xr:uid="{00000000-0005-0000-0000-0000E8BF0000}"/>
    <cellStyle name="Финансовый 5 9 3 2 2 2" xfId="23316" xr:uid="{00000000-0005-0000-0000-0000E9BF0000}"/>
    <cellStyle name="Финансовый 5 9 3 2 2 2 2" xfId="47271" xr:uid="{00000000-0005-0000-0000-0000EABF0000}"/>
    <cellStyle name="Финансовый 5 9 3 2 2 3" xfId="35293" xr:uid="{00000000-0005-0000-0000-0000EBBF0000}"/>
    <cellStyle name="Финансовый 5 9 3 2 3" xfId="15577" xr:uid="{00000000-0005-0000-0000-0000ECBF0000}"/>
    <cellStyle name="Финансовый 5 9 3 2 3 2" xfId="39532" xr:uid="{00000000-0005-0000-0000-0000EDBF0000}"/>
    <cellStyle name="Финансовый 5 9 3 2 4" xfId="27555" xr:uid="{00000000-0005-0000-0000-0000EEBF0000}"/>
    <cellStyle name="Финансовый 5 9 3 2 5" xfId="50824" xr:uid="{00000000-0005-0000-0000-0000EFBF0000}"/>
    <cellStyle name="Финансовый 5 9 3 3" xfId="5381" xr:uid="{00000000-0005-0000-0000-0000F0BF0000}"/>
    <cellStyle name="Финансовый 5 9 3 3 2" xfId="17359" xr:uid="{00000000-0005-0000-0000-0000F1BF0000}"/>
    <cellStyle name="Финансовый 5 9 3 3 2 2" xfId="41314" xr:uid="{00000000-0005-0000-0000-0000F2BF0000}"/>
    <cellStyle name="Финансовый 5 9 3 3 3" xfId="29336" xr:uid="{00000000-0005-0000-0000-0000F3BF0000}"/>
    <cellStyle name="Финансовый 5 9 3 4" xfId="7991" xr:uid="{00000000-0005-0000-0000-0000F4BF0000}"/>
    <cellStyle name="Финансовый 5 9 3 4 2" xfId="19969" xr:uid="{00000000-0005-0000-0000-0000F5BF0000}"/>
    <cellStyle name="Финансовый 5 9 3 4 2 2" xfId="43924" xr:uid="{00000000-0005-0000-0000-0000F6BF0000}"/>
    <cellStyle name="Финансовый 5 9 3 4 3" xfId="31946" xr:uid="{00000000-0005-0000-0000-0000F7BF0000}"/>
    <cellStyle name="Финансовый 5 9 3 5" xfId="9774" xr:uid="{00000000-0005-0000-0000-0000F8BF0000}"/>
    <cellStyle name="Финансовый 5 9 3 5 2" xfId="21752" xr:uid="{00000000-0005-0000-0000-0000F9BF0000}"/>
    <cellStyle name="Финансовый 5 9 3 5 2 2" xfId="45707" xr:uid="{00000000-0005-0000-0000-0000FABF0000}"/>
    <cellStyle name="Финансовый 5 9 3 5 3" xfId="33729" xr:uid="{00000000-0005-0000-0000-0000FBBF0000}"/>
    <cellStyle name="Финансовый 5 9 3 6" xfId="13932" xr:uid="{00000000-0005-0000-0000-0000FCBF0000}"/>
    <cellStyle name="Финансовый 5 9 3 6 2" xfId="37887" xr:uid="{00000000-0005-0000-0000-0000FDBF0000}"/>
    <cellStyle name="Финансовый 5 9 3 7" xfId="25910" xr:uid="{00000000-0005-0000-0000-0000FEBF0000}"/>
    <cellStyle name="Финансовый 5 9 3 8" xfId="49043" xr:uid="{00000000-0005-0000-0000-0000FFBF0000}"/>
    <cellStyle name="Финансовый 5 9 4" xfId="2474" xr:uid="{00000000-0005-0000-0000-000000C00000}"/>
    <cellStyle name="Финансовый 5 9 4 2" xfId="4119" xr:uid="{00000000-0005-0000-0000-000001C00000}"/>
    <cellStyle name="Финансовый 5 9 4 2 2" xfId="11851" xr:uid="{00000000-0005-0000-0000-000002C00000}"/>
    <cellStyle name="Финансовый 5 9 4 2 2 2" xfId="23829" xr:uid="{00000000-0005-0000-0000-000003C00000}"/>
    <cellStyle name="Финансовый 5 9 4 2 2 2 2" xfId="47784" xr:uid="{00000000-0005-0000-0000-000004C00000}"/>
    <cellStyle name="Финансовый 5 9 4 2 2 3" xfId="35806" xr:uid="{00000000-0005-0000-0000-000005C00000}"/>
    <cellStyle name="Финансовый 5 9 4 2 3" xfId="16098" xr:uid="{00000000-0005-0000-0000-000006C00000}"/>
    <cellStyle name="Финансовый 5 9 4 2 3 2" xfId="40053" xr:uid="{00000000-0005-0000-0000-000007C00000}"/>
    <cellStyle name="Финансовый 5 9 4 2 4" xfId="28076" xr:uid="{00000000-0005-0000-0000-000008C00000}"/>
    <cellStyle name="Финансовый 5 9 4 2 5" xfId="51345" xr:uid="{00000000-0005-0000-0000-000009C00000}"/>
    <cellStyle name="Финансовый 5 9 4 3" xfId="5902" xr:uid="{00000000-0005-0000-0000-00000AC00000}"/>
    <cellStyle name="Финансовый 5 9 4 3 2" xfId="17880" xr:uid="{00000000-0005-0000-0000-00000BC00000}"/>
    <cellStyle name="Финансовый 5 9 4 3 2 2" xfId="41835" xr:uid="{00000000-0005-0000-0000-00000CC00000}"/>
    <cellStyle name="Финансовый 5 9 4 3 3" xfId="29857" xr:uid="{00000000-0005-0000-0000-00000DC00000}"/>
    <cellStyle name="Финансовый 5 9 4 4" xfId="8512" xr:uid="{00000000-0005-0000-0000-00000EC00000}"/>
    <cellStyle name="Финансовый 5 9 4 4 2" xfId="20490" xr:uid="{00000000-0005-0000-0000-00000FC00000}"/>
    <cellStyle name="Финансовый 5 9 4 4 2 2" xfId="44445" xr:uid="{00000000-0005-0000-0000-000010C00000}"/>
    <cellStyle name="Финансовый 5 9 4 4 3" xfId="32467" xr:uid="{00000000-0005-0000-0000-000011C00000}"/>
    <cellStyle name="Финансовый 5 9 4 5" xfId="10295" xr:uid="{00000000-0005-0000-0000-000012C00000}"/>
    <cellStyle name="Финансовый 5 9 4 5 2" xfId="22273" xr:uid="{00000000-0005-0000-0000-000013C00000}"/>
    <cellStyle name="Финансовый 5 9 4 5 2 2" xfId="46228" xr:uid="{00000000-0005-0000-0000-000014C00000}"/>
    <cellStyle name="Финансовый 5 9 4 5 3" xfId="34250" xr:uid="{00000000-0005-0000-0000-000015C00000}"/>
    <cellStyle name="Финансовый 5 9 4 6" xfId="14453" xr:uid="{00000000-0005-0000-0000-000016C00000}"/>
    <cellStyle name="Финансовый 5 9 4 6 2" xfId="38408" xr:uid="{00000000-0005-0000-0000-000017C00000}"/>
    <cellStyle name="Финансовый 5 9 4 7" xfId="26431" xr:uid="{00000000-0005-0000-0000-000018C00000}"/>
    <cellStyle name="Финансовый 5 9 4 8" xfId="49564" xr:uid="{00000000-0005-0000-0000-000019C00000}"/>
    <cellStyle name="Финансовый 5 9 5" xfId="978" xr:uid="{00000000-0005-0000-0000-00001AC00000}"/>
    <cellStyle name="Финансовый 5 9 5 2" xfId="7018" xr:uid="{00000000-0005-0000-0000-00001BC00000}"/>
    <cellStyle name="Финансовый 5 9 5 2 2" xfId="18996" xr:uid="{00000000-0005-0000-0000-00001CC00000}"/>
    <cellStyle name="Финансовый 5 9 5 2 2 2" xfId="42951" xr:uid="{00000000-0005-0000-0000-00001DC00000}"/>
    <cellStyle name="Финансовый 5 9 5 2 3" xfId="30973" xr:uid="{00000000-0005-0000-0000-00001EC00000}"/>
    <cellStyle name="Финансовый 5 9 5 3" xfId="10566" xr:uid="{00000000-0005-0000-0000-00001FC00000}"/>
    <cellStyle name="Финансовый 5 9 5 3 2" xfId="22544" xr:uid="{00000000-0005-0000-0000-000020C00000}"/>
    <cellStyle name="Финансовый 5 9 5 3 2 2" xfId="46499" xr:uid="{00000000-0005-0000-0000-000021C00000}"/>
    <cellStyle name="Финансовый 5 9 5 3 3" xfId="34521" xr:uid="{00000000-0005-0000-0000-000022C00000}"/>
    <cellStyle name="Финансовый 5 9 5 4" xfId="12959" xr:uid="{00000000-0005-0000-0000-000023C00000}"/>
    <cellStyle name="Финансовый 5 9 5 4 2" xfId="36914" xr:uid="{00000000-0005-0000-0000-000024C00000}"/>
    <cellStyle name="Финансовый 5 9 5 5" xfId="24937" xr:uid="{00000000-0005-0000-0000-000025C00000}"/>
    <cellStyle name="Финансовый 5 9 5 6" xfId="49843" xr:uid="{00000000-0005-0000-0000-000026C00000}"/>
    <cellStyle name="Финансовый 5 9 6" xfId="566" xr:uid="{00000000-0005-0000-0000-000027C00000}"/>
    <cellStyle name="Финансовый 5 9 6 2" xfId="6606" xr:uid="{00000000-0005-0000-0000-000028C00000}"/>
    <cellStyle name="Финансовый 5 9 6 2 2" xfId="18584" xr:uid="{00000000-0005-0000-0000-000029C00000}"/>
    <cellStyle name="Финансовый 5 9 6 2 2 2" xfId="42539" xr:uid="{00000000-0005-0000-0000-00002AC00000}"/>
    <cellStyle name="Финансовый 5 9 6 2 3" xfId="30561" xr:uid="{00000000-0005-0000-0000-00002BC00000}"/>
    <cellStyle name="Финансовый 5 9 6 3" xfId="12547" xr:uid="{00000000-0005-0000-0000-00002CC00000}"/>
    <cellStyle name="Финансовый 5 9 6 3 2" xfId="36502" xr:uid="{00000000-0005-0000-0000-00002DC00000}"/>
    <cellStyle name="Финансовый 5 9 6 4" xfId="24525" xr:uid="{00000000-0005-0000-0000-00002EC00000}"/>
    <cellStyle name="Финансовый 5 9 7" xfId="2755" xr:uid="{00000000-0005-0000-0000-00002FC00000}"/>
    <cellStyle name="Финансовый 5 9 7 2" xfId="14734" xr:uid="{00000000-0005-0000-0000-000030C00000}"/>
    <cellStyle name="Финансовый 5 9 7 2 2" xfId="38689" xr:uid="{00000000-0005-0000-0000-000031C00000}"/>
    <cellStyle name="Финансовый 5 9 7 3" xfId="26712" xr:uid="{00000000-0005-0000-0000-000032C00000}"/>
    <cellStyle name="Финансовый 5 9 8" xfId="4399" xr:uid="{00000000-0005-0000-0000-000033C00000}"/>
    <cellStyle name="Финансовый 5 9 8 2" xfId="16378" xr:uid="{00000000-0005-0000-0000-000034C00000}"/>
    <cellStyle name="Финансовый 5 9 8 2 2" xfId="40333" xr:uid="{00000000-0005-0000-0000-000035C00000}"/>
    <cellStyle name="Финансовый 5 9 8 3" xfId="28356" xr:uid="{00000000-0005-0000-0000-000036C00000}"/>
    <cellStyle name="Финансовый 5 9 9" xfId="6186" xr:uid="{00000000-0005-0000-0000-000037C00000}"/>
    <cellStyle name="Финансовый 5 9 9 2" xfId="18164" xr:uid="{00000000-0005-0000-0000-000038C00000}"/>
    <cellStyle name="Финансовый 5 9 9 2 2" xfId="42119" xr:uid="{00000000-0005-0000-0000-000039C00000}"/>
    <cellStyle name="Финансовый 5 9 9 3" xfId="30141" xr:uid="{00000000-0005-0000-0000-00003AC00000}"/>
    <cellStyle name="Финансовый 50" xfId="11982" xr:uid="{00000000-0005-0000-0000-00003BC00000}"/>
    <cellStyle name="Финансовый 50 2" xfId="23960" xr:uid="{00000000-0005-0000-0000-00003CC00000}"/>
    <cellStyle name="Финансовый 50 2 2" xfId="47915" xr:uid="{00000000-0005-0000-0000-00003DC00000}"/>
    <cellStyle name="Финансовый 50 3" xfId="35937" xr:uid="{00000000-0005-0000-0000-00003EC00000}"/>
    <cellStyle name="Финансовый 51" xfId="11985" xr:uid="{00000000-0005-0000-0000-00003FC00000}"/>
    <cellStyle name="Финансовый 51 2" xfId="35940" xr:uid="{00000000-0005-0000-0000-000040C00000}"/>
    <cellStyle name="Финансовый 52" xfId="16832" xr:uid="{00000000-0005-0000-0000-000041C00000}"/>
    <cellStyle name="Финансовый 52 2" xfId="40787" xr:uid="{00000000-0005-0000-0000-000042C00000}"/>
    <cellStyle name="Финансовый 53" xfId="47919" xr:uid="{00000000-0005-0000-0000-000043C00000}"/>
    <cellStyle name="Финансовый 54" xfId="47920" xr:uid="{00000000-0005-0000-0000-000044C00000}"/>
    <cellStyle name="Финансовый 55" xfId="47918" xr:uid="{00000000-0005-0000-0000-000045C00000}"/>
    <cellStyle name="Финансовый 56" xfId="23963" xr:uid="{00000000-0005-0000-0000-000046C00000}"/>
    <cellStyle name="Финансовый 57" xfId="47921" xr:uid="{00000000-0005-0000-0000-000047C00000}"/>
    <cellStyle name="Финансовый 58" xfId="50297" xr:uid="{00000000-0005-0000-0000-000048C00000}"/>
    <cellStyle name="Финансовый 59" xfId="51494" xr:uid="{00000000-0005-0000-0000-000049C00000}"/>
    <cellStyle name="Финансовый 6" xfId="37" xr:uid="{00000000-0005-0000-0000-00004AC00000}"/>
    <cellStyle name="Финансовый 6 10" xfId="880" xr:uid="{00000000-0005-0000-0000-00004BC00000}"/>
    <cellStyle name="Финансовый 6 10 2" xfId="6920" xr:uid="{00000000-0005-0000-0000-00004CC00000}"/>
    <cellStyle name="Финансовый 6 10 2 2" xfId="18898" xr:uid="{00000000-0005-0000-0000-00004DC00000}"/>
    <cellStyle name="Финансовый 6 10 2 2 2" xfId="42853" xr:uid="{00000000-0005-0000-0000-00004EC00000}"/>
    <cellStyle name="Финансовый 6 10 2 3" xfId="30875" xr:uid="{00000000-0005-0000-0000-00004FC00000}"/>
    <cellStyle name="Финансовый 6 10 3" xfId="10468" xr:uid="{00000000-0005-0000-0000-000050C00000}"/>
    <cellStyle name="Финансовый 6 10 3 2" xfId="22446" xr:uid="{00000000-0005-0000-0000-000051C00000}"/>
    <cellStyle name="Финансовый 6 10 3 2 2" xfId="46401" xr:uid="{00000000-0005-0000-0000-000052C00000}"/>
    <cellStyle name="Финансовый 6 10 3 3" xfId="34423" xr:uid="{00000000-0005-0000-0000-000053C00000}"/>
    <cellStyle name="Финансовый 6 10 4" xfId="12861" xr:uid="{00000000-0005-0000-0000-000054C00000}"/>
    <cellStyle name="Финансовый 6 10 4 2" xfId="36816" xr:uid="{00000000-0005-0000-0000-000055C00000}"/>
    <cellStyle name="Финансовый 6 10 5" xfId="24839" xr:uid="{00000000-0005-0000-0000-000056C00000}"/>
    <cellStyle name="Финансовый 6 10 6" xfId="49737" xr:uid="{00000000-0005-0000-0000-000057C00000}"/>
    <cellStyle name="Финансовый 6 11" xfId="460" xr:uid="{00000000-0005-0000-0000-000058C00000}"/>
    <cellStyle name="Финансовый 6 11 2" xfId="6500" xr:uid="{00000000-0005-0000-0000-000059C00000}"/>
    <cellStyle name="Финансовый 6 11 2 2" xfId="18478" xr:uid="{00000000-0005-0000-0000-00005AC00000}"/>
    <cellStyle name="Финансовый 6 11 2 2 2" xfId="42433" xr:uid="{00000000-0005-0000-0000-00005BC00000}"/>
    <cellStyle name="Финансовый 6 11 2 3" xfId="30455" xr:uid="{00000000-0005-0000-0000-00005CC00000}"/>
    <cellStyle name="Финансовый 6 11 3" xfId="12441" xr:uid="{00000000-0005-0000-0000-00005DC00000}"/>
    <cellStyle name="Финансовый 6 11 3 2" xfId="36396" xr:uid="{00000000-0005-0000-0000-00005EC00000}"/>
    <cellStyle name="Финансовый 6 11 4" xfId="24419" xr:uid="{00000000-0005-0000-0000-00005FC00000}"/>
    <cellStyle name="Финансовый 6 12" xfId="2649" xr:uid="{00000000-0005-0000-0000-000060C00000}"/>
    <cellStyle name="Финансовый 6 12 2" xfId="14628" xr:uid="{00000000-0005-0000-0000-000061C00000}"/>
    <cellStyle name="Финансовый 6 12 2 2" xfId="38583" xr:uid="{00000000-0005-0000-0000-000062C00000}"/>
    <cellStyle name="Финансовый 6 12 3" xfId="26606" xr:uid="{00000000-0005-0000-0000-000063C00000}"/>
    <cellStyle name="Финансовый 6 13" xfId="4292" xr:uid="{00000000-0005-0000-0000-000064C00000}"/>
    <cellStyle name="Финансовый 6 13 2" xfId="16271" xr:uid="{00000000-0005-0000-0000-000065C00000}"/>
    <cellStyle name="Финансовый 6 13 2 2" xfId="40226" xr:uid="{00000000-0005-0000-0000-000066C00000}"/>
    <cellStyle name="Финансовый 6 13 3" xfId="28249" xr:uid="{00000000-0005-0000-0000-000067C00000}"/>
    <cellStyle name="Финансовый 6 14" xfId="6080" xr:uid="{00000000-0005-0000-0000-000068C00000}"/>
    <cellStyle name="Финансовый 6 14 2" xfId="18058" xr:uid="{00000000-0005-0000-0000-000069C00000}"/>
    <cellStyle name="Финансовый 6 14 2 2" xfId="42013" xr:uid="{00000000-0005-0000-0000-00006AC00000}"/>
    <cellStyle name="Финансовый 6 14 3" xfId="30035" xr:uid="{00000000-0005-0000-0000-00006BC00000}"/>
    <cellStyle name="Финансовый 6 15" xfId="8687" xr:uid="{00000000-0005-0000-0000-00006CC00000}"/>
    <cellStyle name="Финансовый 6 15 2" xfId="20665" xr:uid="{00000000-0005-0000-0000-00006DC00000}"/>
    <cellStyle name="Финансовый 6 15 2 2" xfId="44620" xr:uid="{00000000-0005-0000-0000-00006EC00000}"/>
    <cellStyle name="Финансовый 6 15 3" xfId="32642" xr:uid="{00000000-0005-0000-0000-00006FC00000}"/>
    <cellStyle name="Финансовый 6 16" xfId="12021" xr:uid="{00000000-0005-0000-0000-000070C00000}"/>
    <cellStyle name="Финансовый 6 16 2" xfId="35976" xr:uid="{00000000-0005-0000-0000-000071C00000}"/>
    <cellStyle name="Финансовый 6 17" xfId="23999" xr:uid="{00000000-0005-0000-0000-000072C00000}"/>
    <cellStyle name="Финансовый 6 18" xfId="47957" xr:uid="{00000000-0005-0000-0000-000073C00000}"/>
    <cellStyle name="Финансовый 6 2" xfId="119" xr:uid="{00000000-0005-0000-0000-000074C00000}"/>
    <cellStyle name="Финансовый 6 2 10" xfId="2729" xr:uid="{00000000-0005-0000-0000-000075C00000}"/>
    <cellStyle name="Финансовый 6 2 10 2" xfId="14708" xr:uid="{00000000-0005-0000-0000-000076C00000}"/>
    <cellStyle name="Финансовый 6 2 10 2 2" xfId="38663" xr:uid="{00000000-0005-0000-0000-000077C00000}"/>
    <cellStyle name="Финансовый 6 2 10 3" xfId="26686" xr:uid="{00000000-0005-0000-0000-000078C00000}"/>
    <cellStyle name="Финансовый 6 2 11" xfId="4373" xr:uid="{00000000-0005-0000-0000-000079C00000}"/>
    <cellStyle name="Финансовый 6 2 11 2" xfId="16352" xr:uid="{00000000-0005-0000-0000-00007AC00000}"/>
    <cellStyle name="Финансовый 6 2 11 2 2" xfId="40307" xr:uid="{00000000-0005-0000-0000-00007BC00000}"/>
    <cellStyle name="Финансовый 6 2 11 3" xfId="28330" xr:uid="{00000000-0005-0000-0000-00007CC00000}"/>
    <cellStyle name="Финансовый 6 2 12" xfId="6160" xr:uid="{00000000-0005-0000-0000-00007DC00000}"/>
    <cellStyle name="Финансовый 6 2 12 2" xfId="18138" xr:uid="{00000000-0005-0000-0000-00007EC00000}"/>
    <cellStyle name="Финансовый 6 2 12 2 2" xfId="42093" xr:uid="{00000000-0005-0000-0000-00007FC00000}"/>
    <cellStyle name="Финансовый 6 2 12 3" xfId="30115" xr:uid="{00000000-0005-0000-0000-000080C00000}"/>
    <cellStyle name="Финансовый 6 2 13" xfId="8767" xr:uid="{00000000-0005-0000-0000-000081C00000}"/>
    <cellStyle name="Финансовый 6 2 13 2" xfId="20745" xr:uid="{00000000-0005-0000-0000-000082C00000}"/>
    <cellStyle name="Финансовый 6 2 13 2 2" xfId="44700" xr:uid="{00000000-0005-0000-0000-000083C00000}"/>
    <cellStyle name="Финансовый 6 2 13 3" xfId="32722" xr:uid="{00000000-0005-0000-0000-000084C00000}"/>
    <cellStyle name="Финансовый 6 2 14" xfId="12101" xr:uid="{00000000-0005-0000-0000-000085C00000}"/>
    <cellStyle name="Финансовый 6 2 14 2" xfId="36056" xr:uid="{00000000-0005-0000-0000-000086C00000}"/>
    <cellStyle name="Финансовый 6 2 15" xfId="24079" xr:uid="{00000000-0005-0000-0000-000087C00000}"/>
    <cellStyle name="Финансовый 6 2 16" xfId="48037" xr:uid="{00000000-0005-0000-0000-000088C00000}"/>
    <cellStyle name="Финансовый 6 2 2" xfId="255" xr:uid="{00000000-0005-0000-0000-000089C00000}"/>
    <cellStyle name="Финансовый 6 2 2 10" xfId="8903" xr:uid="{00000000-0005-0000-0000-00008AC00000}"/>
    <cellStyle name="Финансовый 6 2 2 10 2" xfId="20881" xr:uid="{00000000-0005-0000-0000-00008BC00000}"/>
    <cellStyle name="Финансовый 6 2 2 10 2 2" xfId="44836" xr:uid="{00000000-0005-0000-0000-00008CC00000}"/>
    <cellStyle name="Финансовый 6 2 2 10 3" xfId="32858" xr:uid="{00000000-0005-0000-0000-00008DC00000}"/>
    <cellStyle name="Финансовый 6 2 2 11" xfId="12237" xr:uid="{00000000-0005-0000-0000-00008EC00000}"/>
    <cellStyle name="Финансовый 6 2 2 11 2" xfId="36192" xr:uid="{00000000-0005-0000-0000-00008FC00000}"/>
    <cellStyle name="Финансовый 6 2 2 12" xfId="24215" xr:uid="{00000000-0005-0000-0000-000090C00000}"/>
    <cellStyle name="Финансовый 6 2 2 13" xfId="48173" xr:uid="{00000000-0005-0000-0000-000091C00000}"/>
    <cellStyle name="Финансовый 6 2 2 2" xfId="1353" xr:uid="{00000000-0005-0000-0000-000092C00000}"/>
    <cellStyle name="Финансовый 6 2 2 2 2" xfId="2311" xr:uid="{00000000-0005-0000-0000-000093C00000}"/>
    <cellStyle name="Финансовый 6 2 2 2 2 2" xfId="3956" xr:uid="{00000000-0005-0000-0000-000094C00000}"/>
    <cellStyle name="Финансовый 6 2 2 2 2 2 2" xfId="11696" xr:uid="{00000000-0005-0000-0000-000095C00000}"/>
    <cellStyle name="Финансовый 6 2 2 2 2 2 2 2" xfId="23674" xr:uid="{00000000-0005-0000-0000-000096C00000}"/>
    <cellStyle name="Финансовый 6 2 2 2 2 2 2 2 2" xfId="47629" xr:uid="{00000000-0005-0000-0000-000097C00000}"/>
    <cellStyle name="Финансовый 6 2 2 2 2 2 2 3" xfId="35651" xr:uid="{00000000-0005-0000-0000-000098C00000}"/>
    <cellStyle name="Финансовый 6 2 2 2 2 2 3" xfId="15935" xr:uid="{00000000-0005-0000-0000-000099C00000}"/>
    <cellStyle name="Финансовый 6 2 2 2 2 2 3 2" xfId="39890" xr:uid="{00000000-0005-0000-0000-00009AC00000}"/>
    <cellStyle name="Финансовый 6 2 2 2 2 2 4" xfId="27913" xr:uid="{00000000-0005-0000-0000-00009BC00000}"/>
    <cellStyle name="Финансовый 6 2 2 2 2 2 5" xfId="51182" xr:uid="{00000000-0005-0000-0000-00009CC00000}"/>
    <cellStyle name="Финансовый 6 2 2 2 2 3" xfId="5739" xr:uid="{00000000-0005-0000-0000-00009DC00000}"/>
    <cellStyle name="Финансовый 6 2 2 2 2 3 2" xfId="17717" xr:uid="{00000000-0005-0000-0000-00009EC00000}"/>
    <cellStyle name="Финансовый 6 2 2 2 2 3 2 2" xfId="41672" xr:uid="{00000000-0005-0000-0000-00009FC00000}"/>
    <cellStyle name="Финансовый 6 2 2 2 2 3 3" xfId="29694" xr:uid="{00000000-0005-0000-0000-0000A0C00000}"/>
    <cellStyle name="Финансовый 6 2 2 2 2 4" xfId="8349" xr:uid="{00000000-0005-0000-0000-0000A1C00000}"/>
    <cellStyle name="Финансовый 6 2 2 2 2 4 2" xfId="20327" xr:uid="{00000000-0005-0000-0000-0000A2C00000}"/>
    <cellStyle name="Финансовый 6 2 2 2 2 4 2 2" xfId="44282" xr:uid="{00000000-0005-0000-0000-0000A3C00000}"/>
    <cellStyle name="Финансовый 6 2 2 2 2 4 3" xfId="32304" xr:uid="{00000000-0005-0000-0000-0000A4C00000}"/>
    <cellStyle name="Финансовый 6 2 2 2 2 5" xfId="10132" xr:uid="{00000000-0005-0000-0000-0000A5C00000}"/>
    <cellStyle name="Финансовый 6 2 2 2 2 5 2" xfId="22110" xr:uid="{00000000-0005-0000-0000-0000A6C00000}"/>
    <cellStyle name="Финансовый 6 2 2 2 2 5 2 2" xfId="46065" xr:uid="{00000000-0005-0000-0000-0000A7C00000}"/>
    <cellStyle name="Финансовый 6 2 2 2 2 5 3" xfId="34087" xr:uid="{00000000-0005-0000-0000-0000A8C00000}"/>
    <cellStyle name="Финансовый 6 2 2 2 2 6" xfId="14290" xr:uid="{00000000-0005-0000-0000-0000A9C00000}"/>
    <cellStyle name="Финансовый 6 2 2 2 2 6 2" xfId="38245" xr:uid="{00000000-0005-0000-0000-0000AAC00000}"/>
    <cellStyle name="Финансовый 6 2 2 2 2 7" xfId="26268" xr:uid="{00000000-0005-0000-0000-0000ABC00000}"/>
    <cellStyle name="Финансовый 6 2 2 2 2 8" xfId="49401" xr:uid="{00000000-0005-0000-0000-0000ACC00000}"/>
    <cellStyle name="Финансовый 6 2 2 2 3" xfId="3137" xr:uid="{00000000-0005-0000-0000-0000ADC00000}"/>
    <cellStyle name="Финансовый 6 2 2 2 3 2" xfId="10924" xr:uid="{00000000-0005-0000-0000-0000AEC00000}"/>
    <cellStyle name="Финансовый 6 2 2 2 3 2 2" xfId="22902" xr:uid="{00000000-0005-0000-0000-0000AFC00000}"/>
    <cellStyle name="Финансовый 6 2 2 2 3 2 2 2" xfId="46857" xr:uid="{00000000-0005-0000-0000-0000B0C00000}"/>
    <cellStyle name="Финансовый 6 2 2 2 3 2 3" xfId="34879" xr:uid="{00000000-0005-0000-0000-0000B1C00000}"/>
    <cellStyle name="Финансовый 6 2 2 2 3 3" xfId="15116" xr:uid="{00000000-0005-0000-0000-0000B2C00000}"/>
    <cellStyle name="Финансовый 6 2 2 2 3 3 2" xfId="39071" xr:uid="{00000000-0005-0000-0000-0000B3C00000}"/>
    <cellStyle name="Финансовый 6 2 2 2 3 4" xfId="27094" xr:uid="{00000000-0005-0000-0000-0000B4C00000}"/>
    <cellStyle name="Финансовый 6 2 2 2 3 5" xfId="50225" xr:uid="{00000000-0005-0000-0000-0000B5C00000}"/>
    <cellStyle name="Финансовый 6 2 2 2 4" xfId="4781" xr:uid="{00000000-0005-0000-0000-0000B6C00000}"/>
    <cellStyle name="Финансовый 6 2 2 2 4 2" xfId="16760" xr:uid="{00000000-0005-0000-0000-0000B7C00000}"/>
    <cellStyle name="Финансовый 6 2 2 2 4 2 2" xfId="40715" xr:uid="{00000000-0005-0000-0000-0000B8C00000}"/>
    <cellStyle name="Финансовый 6 2 2 2 4 3" xfId="28738" xr:uid="{00000000-0005-0000-0000-0000B9C00000}"/>
    <cellStyle name="Финансовый 6 2 2 2 5" xfId="7393" xr:uid="{00000000-0005-0000-0000-0000BAC00000}"/>
    <cellStyle name="Финансовый 6 2 2 2 5 2" xfId="19371" xr:uid="{00000000-0005-0000-0000-0000BBC00000}"/>
    <cellStyle name="Финансовый 6 2 2 2 5 2 2" xfId="43326" xr:uid="{00000000-0005-0000-0000-0000BCC00000}"/>
    <cellStyle name="Финансовый 6 2 2 2 5 3" xfId="31348" xr:uid="{00000000-0005-0000-0000-0000BDC00000}"/>
    <cellStyle name="Финансовый 6 2 2 2 6" xfId="9175" xr:uid="{00000000-0005-0000-0000-0000BEC00000}"/>
    <cellStyle name="Финансовый 6 2 2 2 6 2" xfId="21153" xr:uid="{00000000-0005-0000-0000-0000BFC00000}"/>
    <cellStyle name="Финансовый 6 2 2 2 6 2 2" xfId="45108" xr:uid="{00000000-0005-0000-0000-0000C0C00000}"/>
    <cellStyle name="Финансовый 6 2 2 2 6 3" xfId="33130" xr:uid="{00000000-0005-0000-0000-0000C1C00000}"/>
    <cellStyle name="Финансовый 6 2 2 2 7" xfId="13334" xr:uid="{00000000-0005-0000-0000-0000C2C00000}"/>
    <cellStyle name="Финансовый 6 2 2 2 7 2" xfId="37289" xr:uid="{00000000-0005-0000-0000-0000C3C00000}"/>
    <cellStyle name="Финансовый 6 2 2 2 8" xfId="25312" xr:uid="{00000000-0005-0000-0000-0000C4C00000}"/>
    <cellStyle name="Финансовый 6 2 2 2 9" xfId="48445" xr:uid="{00000000-0005-0000-0000-0000C5C00000}"/>
    <cellStyle name="Финансовый 6 2 2 3" xfId="2055" xr:uid="{00000000-0005-0000-0000-0000C6C00000}"/>
    <cellStyle name="Финансовый 6 2 2 3 2" xfId="3700" xr:uid="{00000000-0005-0000-0000-0000C7C00000}"/>
    <cellStyle name="Финансовый 6 2 2 3 2 2" xfId="11440" xr:uid="{00000000-0005-0000-0000-0000C8C00000}"/>
    <cellStyle name="Финансовый 6 2 2 3 2 2 2" xfId="23418" xr:uid="{00000000-0005-0000-0000-0000C9C00000}"/>
    <cellStyle name="Финансовый 6 2 2 3 2 2 2 2" xfId="47373" xr:uid="{00000000-0005-0000-0000-0000CAC00000}"/>
    <cellStyle name="Финансовый 6 2 2 3 2 2 3" xfId="35395" xr:uid="{00000000-0005-0000-0000-0000CBC00000}"/>
    <cellStyle name="Финансовый 6 2 2 3 2 3" xfId="15679" xr:uid="{00000000-0005-0000-0000-0000CCC00000}"/>
    <cellStyle name="Финансовый 6 2 2 3 2 3 2" xfId="39634" xr:uid="{00000000-0005-0000-0000-0000CDC00000}"/>
    <cellStyle name="Финансовый 6 2 2 3 2 4" xfId="27657" xr:uid="{00000000-0005-0000-0000-0000CEC00000}"/>
    <cellStyle name="Финансовый 6 2 2 3 2 5" xfId="50926" xr:uid="{00000000-0005-0000-0000-0000CFC00000}"/>
    <cellStyle name="Финансовый 6 2 2 3 3" xfId="5483" xr:uid="{00000000-0005-0000-0000-0000D0C00000}"/>
    <cellStyle name="Финансовый 6 2 2 3 3 2" xfId="17461" xr:uid="{00000000-0005-0000-0000-0000D1C00000}"/>
    <cellStyle name="Финансовый 6 2 2 3 3 2 2" xfId="41416" xr:uid="{00000000-0005-0000-0000-0000D2C00000}"/>
    <cellStyle name="Финансовый 6 2 2 3 3 3" xfId="29438" xr:uid="{00000000-0005-0000-0000-0000D3C00000}"/>
    <cellStyle name="Финансовый 6 2 2 3 4" xfId="8093" xr:uid="{00000000-0005-0000-0000-0000D4C00000}"/>
    <cellStyle name="Финансовый 6 2 2 3 4 2" xfId="20071" xr:uid="{00000000-0005-0000-0000-0000D5C00000}"/>
    <cellStyle name="Финансовый 6 2 2 3 4 2 2" xfId="44026" xr:uid="{00000000-0005-0000-0000-0000D6C00000}"/>
    <cellStyle name="Финансовый 6 2 2 3 4 3" xfId="32048" xr:uid="{00000000-0005-0000-0000-0000D7C00000}"/>
    <cellStyle name="Финансовый 6 2 2 3 5" xfId="9876" xr:uid="{00000000-0005-0000-0000-0000D8C00000}"/>
    <cellStyle name="Финансовый 6 2 2 3 5 2" xfId="21854" xr:uid="{00000000-0005-0000-0000-0000D9C00000}"/>
    <cellStyle name="Финансовый 6 2 2 3 5 2 2" xfId="45809" xr:uid="{00000000-0005-0000-0000-0000DAC00000}"/>
    <cellStyle name="Финансовый 6 2 2 3 5 3" xfId="33831" xr:uid="{00000000-0005-0000-0000-0000DBC00000}"/>
    <cellStyle name="Финансовый 6 2 2 3 6" xfId="14034" xr:uid="{00000000-0005-0000-0000-0000DCC00000}"/>
    <cellStyle name="Финансовый 6 2 2 3 6 2" xfId="37989" xr:uid="{00000000-0005-0000-0000-0000DDC00000}"/>
    <cellStyle name="Финансовый 6 2 2 3 7" xfId="26012" xr:uid="{00000000-0005-0000-0000-0000DEC00000}"/>
    <cellStyle name="Финансовый 6 2 2 3 8" xfId="49145" xr:uid="{00000000-0005-0000-0000-0000DFC00000}"/>
    <cellStyle name="Финансовый 6 2 2 4" xfId="2584" xr:uid="{00000000-0005-0000-0000-0000E0C00000}"/>
    <cellStyle name="Финансовый 6 2 2 4 2" xfId="4229" xr:uid="{00000000-0005-0000-0000-0000E1C00000}"/>
    <cellStyle name="Финансовый 6 2 2 4 2 2" xfId="11953" xr:uid="{00000000-0005-0000-0000-0000E2C00000}"/>
    <cellStyle name="Финансовый 6 2 2 4 2 2 2" xfId="23931" xr:uid="{00000000-0005-0000-0000-0000E3C00000}"/>
    <cellStyle name="Финансовый 6 2 2 4 2 2 2 2" xfId="47886" xr:uid="{00000000-0005-0000-0000-0000E4C00000}"/>
    <cellStyle name="Финансовый 6 2 2 4 2 2 3" xfId="35908" xr:uid="{00000000-0005-0000-0000-0000E5C00000}"/>
    <cellStyle name="Финансовый 6 2 2 4 2 3" xfId="16208" xr:uid="{00000000-0005-0000-0000-0000E6C00000}"/>
    <cellStyle name="Финансовый 6 2 2 4 2 3 2" xfId="40163" xr:uid="{00000000-0005-0000-0000-0000E7C00000}"/>
    <cellStyle name="Финансовый 6 2 2 4 2 4" xfId="28186" xr:uid="{00000000-0005-0000-0000-0000E8C00000}"/>
    <cellStyle name="Финансовый 6 2 2 4 2 5" xfId="51455" xr:uid="{00000000-0005-0000-0000-0000E9C00000}"/>
    <cellStyle name="Финансовый 6 2 2 4 3" xfId="6012" xr:uid="{00000000-0005-0000-0000-0000EAC00000}"/>
    <cellStyle name="Финансовый 6 2 2 4 3 2" xfId="17990" xr:uid="{00000000-0005-0000-0000-0000EBC00000}"/>
    <cellStyle name="Финансовый 6 2 2 4 3 2 2" xfId="41945" xr:uid="{00000000-0005-0000-0000-0000ECC00000}"/>
    <cellStyle name="Финансовый 6 2 2 4 3 3" xfId="29967" xr:uid="{00000000-0005-0000-0000-0000EDC00000}"/>
    <cellStyle name="Финансовый 6 2 2 4 4" xfId="8622" xr:uid="{00000000-0005-0000-0000-0000EEC00000}"/>
    <cellStyle name="Финансовый 6 2 2 4 4 2" xfId="20600" xr:uid="{00000000-0005-0000-0000-0000EFC00000}"/>
    <cellStyle name="Финансовый 6 2 2 4 4 2 2" xfId="44555" xr:uid="{00000000-0005-0000-0000-0000F0C00000}"/>
    <cellStyle name="Финансовый 6 2 2 4 4 3" xfId="32577" xr:uid="{00000000-0005-0000-0000-0000F1C00000}"/>
    <cellStyle name="Финансовый 6 2 2 4 5" xfId="10405" xr:uid="{00000000-0005-0000-0000-0000F2C00000}"/>
    <cellStyle name="Финансовый 6 2 2 4 5 2" xfId="22383" xr:uid="{00000000-0005-0000-0000-0000F3C00000}"/>
    <cellStyle name="Финансовый 6 2 2 4 5 2 2" xfId="46338" xr:uid="{00000000-0005-0000-0000-0000F4C00000}"/>
    <cellStyle name="Финансовый 6 2 2 4 5 3" xfId="34360" xr:uid="{00000000-0005-0000-0000-0000F5C00000}"/>
    <cellStyle name="Финансовый 6 2 2 4 6" xfId="14563" xr:uid="{00000000-0005-0000-0000-0000F6C00000}"/>
    <cellStyle name="Финансовый 6 2 2 4 6 2" xfId="38518" xr:uid="{00000000-0005-0000-0000-0000F7C00000}"/>
    <cellStyle name="Финансовый 6 2 2 4 7" xfId="26541" xr:uid="{00000000-0005-0000-0000-0000F8C00000}"/>
    <cellStyle name="Финансовый 6 2 2 4 8" xfId="49674" xr:uid="{00000000-0005-0000-0000-0000F9C00000}"/>
    <cellStyle name="Финансовый 6 2 2 5" xfId="1088" xr:uid="{00000000-0005-0000-0000-0000FAC00000}"/>
    <cellStyle name="Финансовый 6 2 2 5 2" xfId="7128" xr:uid="{00000000-0005-0000-0000-0000FBC00000}"/>
    <cellStyle name="Финансовый 6 2 2 5 2 2" xfId="19106" xr:uid="{00000000-0005-0000-0000-0000FCC00000}"/>
    <cellStyle name="Финансовый 6 2 2 5 2 2 2" xfId="43061" xr:uid="{00000000-0005-0000-0000-0000FDC00000}"/>
    <cellStyle name="Финансовый 6 2 2 5 2 3" xfId="31083" xr:uid="{00000000-0005-0000-0000-0000FEC00000}"/>
    <cellStyle name="Финансовый 6 2 2 5 3" xfId="10668" xr:uid="{00000000-0005-0000-0000-0000FFC00000}"/>
    <cellStyle name="Финансовый 6 2 2 5 3 2" xfId="22646" xr:uid="{00000000-0005-0000-0000-000000C10000}"/>
    <cellStyle name="Финансовый 6 2 2 5 3 2 2" xfId="46601" xr:uid="{00000000-0005-0000-0000-000001C10000}"/>
    <cellStyle name="Финансовый 6 2 2 5 3 3" xfId="34623" xr:uid="{00000000-0005-0000-0000-000002C10000}"/>
    <cellStyle name="Финансовый 6 2 2 5 4" xfId="13069" xr:uid="{00000000-0005-0000-0000-000003C10000}"/>
    <cellStyle name="Финансовый 6 2 2 5 4 2" xfId="37024" xr:uid="{00000000-0005-0000-0000-000004C10000}"/>
    <cellStyle name="Финансовый 6 2 2 5 5" xfId="25047" xr:uid="{00000000-0005-0000-0000-000005C10000}"/>
    <cellStyle name="Финансовый 6 2 2 5 6" xfId="49953" xr:uid="{00000000-0005-0000-0000-000006C10000}"/>
    <cellStyle name="Финансовый 6 2 2 6" xfId="676" xr:uid="{00000000-0005-0000-0000-000007C10000}"/>
    <cellStyle name="Финансовый 6 2 2 6 2" xfId="6716" xr:uid="{00000000-0005-0000-0000-000008C10000}"/>
    <cellStyle name="Финансовый 6 2 2 6 2 2" xfId="18694" xr:uid="{00000000-0005-0000-0000-000009C10000}"/>
    <cellStyle name="Финансовый 6 2 2 6 2 2 2" xfId="42649" xr:uid="{00000000-0005-0000-0000-00000AC10000}"/>
    <cellStyle name="Финансовый 6 2 2 6 2 3" xfId="30671" xr:uid="{00000000-0005-0000-0000-00000BC10000}"/>
    <cellStyle name="Финансовый 6 2 2 6 3" xfId="12657" xr:uid="{00000000-0005-0000-0000-00000CC10000}"/>
    <cellStyle name="Финансовый 6 2 2 6 3 2" xfId="36612" xr:uid="{00000000-0005-0000-0000-00000DC10000}"/>
    <cellStyle name="Финансовый 6 2 2 6 4" xfId="24635" xr:uid="{00000000-0005-0000-0000-00000EC10000}"/>
    <cellStyle name="Финансовый 6 2 2 7" xfId="2865" xr:uid="{00000000-0005-0000-0000-00000FC10000}"/>
    <cellStyle name="Финансовый 6 2 2 7 2" xfId="14844" xr:uid="{00000000-0005-0000-0000-000010C10000}"/>
    <cellStyle name="Финансовый 6 2 2 7 2 2" xfId="38799" xr:uid="{00000000-0005-0000-0000-000011C10000}"/>
    <cellStyle name="Финансовый 6 2 2 7 3" xfId="26822" xr:uid="{00000000-0005-0000-0000-000012C10000}"/>
    <cellStyle name="Финансовый 6 2 2 8" xfId="4509" xr:uid="{00000000-0005-0000-0000-000013C10000}"/>
    <cellStyle name="Финансовый 6 2 2 8 2" xfId="16488" xr:uid="{00000000-0005-0000-0000-000014C10000}"/>
    <cellStyle name="Финансовый 6 2 2 8 2 2" xfId="40443" xr:uid="{00000000-0005-0000-0000-000015C10000}"/>
    <cellStyle name="Финансовый 6 2 2 8 3" xfId="28466" xr:uid="{00000000-0005-0000-0000-000016C10000}"/>
    <cellStyle name="Финансовый 6 2 2 9" xfId="6296" xr:uid="{00000000-0005-0000-0000-000017C10000}"/>
    <cellStyle name="Финансовый 6 2 2 9 2" xfId="18274" xr:uid="{00000000-0005-0000-0000-000018C10000}"/>
    <cellStyle name="Финансовый 6 2 2 9 2 2" xfId="42229" xr:uid="{00000000-0005-0000-0000-000019C10000}"/>
    <cellStyle name="Финансовый 6 2 2 9 3" xfId="30251" xr:uid="{00000000-0005-0000-0000-00001AC10000}"/>
    <cellStyle name="Финансовый 6 2 3" xfId="404" xr:uid="{00000000-0005-0000-0000-00001BC10000}"/>
    <cellStyle name="Финансовый 6 2 3 10" xfId="24363" xr:uid="{00000000-0005-0000-0000-00001CC10000}"/>
    <cellStyle name="Финансовый 6 2 3 11" xfId="48309" xr:uid="{00000000-0005-0000-0000-00001DC10000}"/>
    <cellStyle name="Финансовый 6 2 3 2" xfId="2183" xr:uid="{00000000-0005-0000-0000-00001EC10000}"/>
    <cellStyle name="Финансовый 6 2 3 2 2" xfId="3828" xr:uid="{00000000-0005-0000-0000-00001FC10000}"/>
    <cellStyle name="Финансовый 6 2 3 2 2 2" xfId="11568" xr:uid="{00000000-0005-0000-0000-000020C10000}"/>
    <cellStyle name="Финансовый 6 2 3 2 2 2 2" xfId="23546" xr:uid="{00000000-0005-0000-0000-000021C10000}"/>
    <cellStyle name="Финансовый 6 2 3 2 2 2 2 2" xfId="47501" xr:uid="{00000000-0005-0000-0000-000022C10000}"/>
    <cellStyle name="Финансовый 6 2 3 2 2 2 3" xfId="35523" xr:uid="{00000000-0005-0000-0000-000023C10000}"/>
    <cellStyle name="Финансовый 6 2 3 2 2 3" xfId="15807" xr:uid="{00000000-0005-0000-0000-000024C10000}"/>
    <cellStyle name="Финансовый 6 2 3 2 2 3 2" xfId="39762" xr:uid="{00000000-0005-0000-0000-000025C10000}"/>
    <cellStyle name="Финансовый 6 2 3 2 2 4" xfId="27785" xr:uid="{00000000-0005-0000-0000-000026C10000}"/>
    <cellStyle name="Финансовый 6 2 3 2 2 5" xfId="51054" xr:uid="{00000000-0005-0000-0000-000027C10000}"/>
    <cellStyle name="Финансовый 6 2 3 2 3" xfId="5611" xr:uid="{00000000-0005-0000-0000-000028C10000}"/>
    <cellStyle name="Финансовый 6 2 3 2 3 2" xfId="17589" xr:uid="{00000000-0005-0000-0000-000029C10000}"/>
    <cellStyle name="Финансовый 6 2 3 2 3 2 2" xfId="41544" xr:uid="{00000000-0005-0000-0000-00002AC10000}"/>
    <cellStyle name="Финансовый 6 2 3 2 3 3" xfId="29566" xr:uid="{00000000-0005-0000-0000-00002BC10000}"/>
    <cellStyle name="Финансовый 6 2 3 2 4" xfId="8221" xr:uid="{00000000-0005-0000-0000-00002CC10000}"/>
    <cellStyle name="Финансовый 6 2 3 2 4 2" xfId="20199" xr:uid="{00000000-0005-0000-0000-00002DC10000}"/>
    <cellStyle name="Финансовый 6 2 3 2 4 2 2" xfId="44154" xr:uid="{00000000-0005-0000-0000-00002EC10000}"/>
    <cellStyle name="Финансовый 6 2 3 2 4 3" xfId="32176" xr:uid="{00000000-0005-0000-0000-00002FC10000}"/>
    <cellStyle name="Финансовый 6 2 3 2 5" xfId="10004" xr:uid="{00000000-0005-0000-0000-000030C10000}"/>
    <cellStyle name="Финансовый 6 2 3 2 5 2" xfId="21982" xr:uid="{00000000-0005-0000-0000-000031C10000}"/>
    <cellStyle name="Финансовый 6 2 3 2 5 2 2" xfId="45937" xr:uid="{00000000-0005-0000-0000-000032C10000}"/>
    <cellStyle name="Финансовый 6 2 3 2 5 3" xfId="33959" xr:uid="{00000000-0005-0000-0000-000033C10000}"/>
    <cellStyle name="Финансовый 6 2 3 2 6" xfId="14162" xr:uid="{00000000-0005-0000-0000-000034C10000}"/>
    <cellStyle name="Финансовый 6 2 3 2 6 2" xfId="38117" xr:uid="{00000000-0005-0000-0000-000035C10000}"/>
    <cellStyle name="Финансовый 6 2 3 2 7" xfId="26140" xr:uid="{00000000-0005-0000-0000-000036C10000}"/>
    <cellStyle name="Финансовый 6 2 3 2 8" xfId="49273" xr:uid="{00000000-0005-0000-0000-000037C10000}"/>
    <cellStyle name="Финансовый 6 2 3 3" xfId="1217" xr:uid="{00000000-0005-0000-0000-000038C10000}"/>
    <cellStyle name="Финансовый 6 2 3 3 2" xfId="7257" xr:uid="{00000000-0005-0000-0000-000039C10000}"/>
    <cellStyle name="Финансовый 6 2 3 3 2 2" xfId="19235" xr:uid="{00000000-0005-0000-0000-00003AC10000}"/>
    <cellStyle name="Финансовый 6 2 3 3 2 2 2" xfId="43190" xr:uid="{00000000-0005-0000-0000-00003BC10000}"/>
    <cellStyle name="Финансовый 6 2 3 3 2 3" xfId="31212" xr:uid="{00000000-0005-0000-0000-00003CC10000}"/>
    <cellStyle name="Финансовый 6 2 3 3 3" xfId="10796" xr:uid="{00000000-0005-0000-0000-00003DC10000}"/>
    <cellStyle name="Финансовый 6 2 3 3 3 2" xfId="22774" xr:uid="{00000000-0005-0000-0000-00003EC10000}"/>
    <cellStyle name="Финансовый 6 2 3 3 3 2 2" xfId="46729" xr:uid="{00000000-0005-0000-0000-00003FC10000}"/>
    <cellStyle name="Финансовый 6 2 3 3 3 3" xfId="34751" xr:uid="{00000000-0005-0000-0000-000040C10000}"/>
    <cellStyle name="Финансовый 6 2 3 3 4" xfId="13198" xr:uid="{00000000-0005-0000-0000-000041C10000}"/>
    <cellStyle name="Финансовый 6 2 3 3 4 2" xfId="37153" xr:uid="{00000000-0005-0000-0000-000042C10000}"/>
    <cellStyle name="Финансовый 6 2 3 3 5" xfId="25176" xr:uid="{00000000-0005-0000-0000-000043C10000}"/>
    <cellStyle name="Финансовый 6 2 3 3 6" xfId="50089" xr:uid="{00000000-0005-0000-0000-000044C10000}"/>
    <cellStyle name="Финансовый 6 2 3 4" xfId="824" xr:uid="{00000000-0005-0000-0000-000045C10000}"/>
    <cellStyle name="Финансовый 6 2 3 4 2" xfId="6864" xr:uid="{00000000-0005-0000-0000-000046C10000}"/>
    <cellStyle name="Финансовый 6 2 3 4 2 2" xfId="18842" xr:uid="{00000000-0005-0000-0000-000047C10000}"/>
    <cellStyle name="Финансовый 6 2 3 4 2 2 2" xfId="42797" xr:uid="{00000000-0005-0000-0000-000048C10000}"/>
    <cellStyle name="Финансовый 6 2 3 4 2 3" xfId="30819" xr:uid="{00000000-0005-0000-0000-000049C10000}"/>
    <cellStyle name="Финансовый 6 2 3 4 3" xfId="12805" xr:uid="{00000000-0005-0000-0000-00004AC10000}"/>
    <cellStyle name="Финансовый 6 2 3 4 3 2" xfId="36760" xr:uid="{00000000-0005-0000-0000-00004BC10000}"/>
    <cellStyle name="Финансовый 6 2 3 4 4" xfId="24783" xr:uid="{00000000-0005-0000-0000-00004CC10000}"/>
    <cellStyle name="Финансовый 6 2 3 5" xfId="3001" xr:uid="{00000000-0005-0000-0000-00004DC10000}"/>
    <cellStyle name="Финансовый 6 2 3 5 2" xfId="14980" xr:uid="{00000000-0005-0000-0000-00004EC10000}"/>
    <cellStyle name="Финансовый 6 2 3 5 2 2" xfId="38935" xr:uid="{00000000-0005-0000-0000-00004FC10000}"/>
    <cellStyle name="Финансовый 6 2 3 5 3" xfId="26958" xr:uid="{00000000-0005-0000-0000-000050C10000}"/>
    <cellStyle name="Финансовый 6 2 3 6" xfId="4645" xr:uid="{00000000-0005-0000-0000-000051C10000}"/>
    <cellStyle name="Финансовый 6 2 3 6 2" xfId="16624" xr:uid="{00000000-0005-0000-0000-000052C10000}"/>
    <cellStyle name="Финансовый 6 2 3 6 2 2" xfId="40579" xr:uid="{00000000-0005-0000-0000-000053C10000}"/>
    <cellStyle name="Финансовый 6 2 3 6 3" xfId="28602" xr:uid="{00000000-0005-0000-0000-000054C10000}"/>
    <cellStyle name="Финансовый 6 2 3 7" xfId="6444" xr:uid="{00000000-0005-0000-0000-000055C10000}"/>
    <cellStyle name="Финансовый 6 2 3 7 2" xfId="18422" xr:uid="{00000000-0005-0000-0000-000056C10000}"/>
    <cellStyle name="Финансовый 6 2 3 7 2 2" xfId="42377" xr:uid="{00000000-0005-0000-0000-000057C10000}"/>
    <cellStyle name="Финансовый 6 2 3 7 3" xfId="30399" xr:uid="{00000000-0005-0000-0000-000058C10000}"/>
    <cellStyle name="Финансовый 6 2 3 8" xfId="9039" xr:uid="{00000000-0005-0000-0000-000059C10000}"/>
    <cellStyle name="Финансовый 6 2 3 8 2" xfId="21017" xr:uid="{00000000-0005-0000-0000-00005AC10000}"/>
    <cellStyle name="Финансовый 6 2 3 8 2 2" xfId="44972" xr:uid="{00000000-0005-0000-0000-00005BC10000}"/>
    <cellStyle name="Финансовый 6 2 3 8 3" xfId="32994" xr:uid="{00000000-0005-0000-0000-00005CC10000}"/>
    <cellStyle name="Финансовый 6 2 3 9" xfId="12385" xr:uid="{00000000-0005-0000-0000-00005DC10000}"/>
    <cellStyle name="Финансовый 6 2 3 9 2" xfId="36340" xr:uid="{00000000-0005-0000-0000-00005EC10000}"/>
    <cellStyle name="Финансовый 6 2 4" xfId="1553" xr:uid="{00000000-0005-0000-0000-00005FC10000}"/>
    <cellStyle name="Финансовый 6 2 4 2" xfId="1927" xr:uid="{00000000-0005-0000-0000-000060C10000}"/>
    <cellStyle name="Финансовый 6 2 4 2 2" xfId="3572" xr:uid="{00000000-0005-0000-0000-000061C10000}"/>
    <cellStyle name="Финансовый 6 2 4 2 2 2" xfId="11312" xr:uid="{00000000-0005-0000-0000-000062C10000}"/>
    <cellStyle name="Финансовый 6 2 4 2 2 2 2" xfId="23290" xr:uid="{00000000-0005-0000-0000-000063C10000}"/>
    <cellStyle name="Финансовый 6 2 4 2 2 2 2 2" xfId="47245" xr:uid="{00000000-0005-0000-0000-000064C10000}"/>
    <cellStyle name="Финансовый 6 2 4 2 2 2 3" xfId="35267" xr:uid="{00000000-0005-0000-0000-000065C10000}"/>
    <cellStyle name="Финансовый 6 2 4 2 2 3" xfId="15551" xr:uid="{00000000-0005-0000-0000-000066C10000}"/>
    <cellStyle name="Финансовый 6 2 4 2 2 3 2" xfId="39506" xr:uid="{00000000-0005-0000-0000-000067C10000}"/>
    <cellStyle name="Финансовый 6 2 4 2 2 4" xfId="27529" xr:uid="{00000000-0005-0000-0000-000068C10000}"/>
    <cellStyle name="Финансовый 6 2 4 2 2 5" xfId="50798" xr:uid="{00000000-0005-0000-0000-000069C10000}"/>
    <cellStyle name="Финансовый 6 2 4 2 3" xfId="5355" xr:uid="{00000000-0005-0000-0000-00006AC10000}"/>
    <cellStyle name="Финансовый 6 2 4 2 3 2" xfId="17333" xr:uid="{00000000-0005-0000-0000-00006BC10000}"/>
    <cellStyle name="Финансовый 6 2 4 2 3 2 2" xfId="41288" xr:uid="{00000000-0005-0000-0000-00006CC10000}"/>
    <cellStyle name="Финансовый 6 2 4 2 3 3" xfId="29310" xr:uid="{00000000-0005-0000-0000-00006DC10000}"/>
    <cellStyle name="Финансовый 6 2 4 2 4" xfId="7965" xr:uid="{00000000-0005-0000-0000-00006EC10000}"/>
    <cellStyle name="Финансовый 6 2 4 2 4 2" xfId="19943" xr:uid="{00000000-0005-0000-0000-00006FC10000}"/>
    <cellStyle name="Финансовый 6 2 4 2 4 2 2" xfId="43898" xr:uid="{00000000-0005-0000-0000-000070C10000}"/>
    <cellStyle name="Финансовый 6 2 4 2 4 3" xfId="31920" xr:uid="{00000000-0005-0000-0000-000071C10000}"/>
    <cellStyle name="Финансовый 6 2 4 2 5" xfId="9748" xr:uid="{00000000-0005-0000-0000-000072C10000}"/>
    <cellStyle name="Финансовый 6 2 4 2 5 2" xfId="21726" xr:uid="{00000000-0005-0000-0000-000073C10000}"/>
    <cellStyle name="Финансовый 6 2 4 2 5 2 2" xfId="45681" xr:uid="{00000000-0005-0000-0000-000074C10000}"/>
    <cellStyle name="Финансовый 6 2 4 2 5 3" xfId="33703" xr:uid="{00000000-0005-0000-0000-000075C10000}"/>
    <cellStyle name="Финансовый 6 2 4 2 6" xfId="13906" xr:uid="{00000000-0005-0000-0000-000076C10000}"/>
    <cellStyle name="Финансовый 6 2 4 2 6 2" xfId="37861" xr:uid="{00000000-0005-0000-0000-000077C10000}"/>
    <cellStyle name="Финансовый 6 2 4 2 7" xfId="25884" xr:uid="{00000000-0005-0000-0000-000078C10000}"/>
    <cellStyle name="Финансовый 6 2 4 2 8" xfId="49017" xr:uid="{00000000-0005-0000-0000-000079C10000}"/>
    <cellStyle name="Финансовый 6 2 4 3" xfId="4981" xr:uid="{00000000-0005-0000-0000-00007AC10000}"/>
    <cellStyle name="Финансовый 6 2 4 3 2" xfId="16959" xr:uid="{00000000-0005-0000-0000-00007BC10000}"/>
    <cellStyle name="Финансовый 6 2 4 3 2 2" xfId="40914" xr:uid="{00000000-0005-0000-0000-00007CC10000}"/>
    <cellStyle name="Финансовый 6 2 4 3 3" xfId="28936" xr:uid="{00000000-0005-0000-0000-00007DC10000}"/>
    <cellStyle name="Финансовый 6 2 4 3 4" xfId="50424" xr:uid="{00000000-0005-0000-0000-00007EC10000}"/>
    <cellStyle name="Финансовый 6 2 4 4" xfId="7591" xr:uid="{00000000-0005-0000-0000-00007FC10000}"/>
    <cellStyle name="Финансовый 6 2 4 4 2" xfId="19569" xr:uid="{00000000-0005-0000-0000-000080C10000}"/>
    <cellStyle name="Финансовый 6 2 4 4 2 2" xfId="43524" xr:uid="{00000000-0005-0000-0000-000081C10000}"/>
    <cellStyle name="Финансовый 6 2 4 4 3" xfId="31546" xr:uid="{00000000-0005-0000-0000-000082C10000}"/>
    <cellStyle name="Финансовый 6 2 4 5" xfId="9374" xr:uid="{00000000-0005-0000-0000-000083C10000}"/>
    <cellStyle name="Финансовый 6 2 4 5 2" xfId="21352" xr:uid="{00000000-0005-0000-0000-000084C10000}"/>
    <cellStyle name="Финансовый 6 2 4 5 2 2" xfId="45307" xr:uid="{00000000-0005-0000-0000-000085C10000}"/>
    <cellStyle name="Финансовый 6 2 4 5 3" xfId="33329" xr:uid="{00000000-0005-0000-0000-000086C10000}"/>
    <cellStyle name="Финансовый 6 2 4 6" xfId="13532" xr:uid="{00000000-0005-0000-0000-000087C10000}"/>
    <cellStyle name="Финансовый 6 2 4 6 2" xfId="37487" xr:uid="{00000000-0005-0000-0000-000088C10000}"/>
    <cellStyle name="Финансовый 6 2 4 7" xfId="25510" xr:uid="{00000000-0005-0000-0000-000089C10000}"/>
    <cellStyle name="Финансовый 6 2 4 8" xfId="48643" xr:uid="{00000000-0005-0000-0000-00008AC10000}"/>
    <cellStyle name="Финансовый 6 2 5" xfId="1803" xr:uid="{00000000-0005-0000-0000-00008BC10000}"/>
    <cellStyle name="Финансовый 6 2 5 2" xfId="3448" xr:uid="{00000000-0005-0000-0000-00008CC10000}"/>
    <cellStyle name="Финансовый 6 2 5 2 2" xfId="11196" xr:uid="{00000000-0005-0000-0000-00008DC10000}"/>
    <cellStyle name="Финансовый 6 2 5 2 2 2" xfId="23174" xr:uid="{00000000-0005-0000-0000-00008EC10000}"/>
    <cellStyle name="Финансовый 6 2 5 2 2 2 2" xfId="47129" xr:uid="{00000000-0005-0000-0000-00008FC10000}"/>
    <cellStyle name="Финансовый 6 2 5 2 2 3" xfId="35151" xr:uid="{00000000-0005-0000-0000-000090C10000}"/>
    <cellStyle name="Финансовый 6 2 5 2 3" xfId="15427" xr:uid="{00000000-0005-0000-0000-000091C10000}"/>
    <cellStyle name="Финансовый 6 2 5 2 3 2" xfId="39382" xr:uid="{00000000-0005-0000-0000-000092C10000}"/>
    <cellStyle name="Финансовый 6 2 5 2 4" xfId="27405" xr:uid="{00000000-0005-0000-0000-000093C10000}"/>
    <cellStyle name="Финансовый 6 2 5 2 5" xfId="50674" xr:uid="{00000000-0005-0000-0000-000094C10000}"/>
    <cellStyle name="Финансовый 6 2 5 3" xfId="5231" xr:uid="{00000000-0005-0000-0000-000095C10000}"/>
    <cellStyle name="Финансовый 6 2 5 3 2" xfId="17209" xr:uid="{00000000-0005-0000-0000-000096C10000}"/>
    <cellStyle name="Финансовый 6 2 5 3 2 2" xfId="41164" xr:uid="{00000000-0005-0000-0000-000097C10000}"/>
    <cellStyle name="Финансовый 6 2 5 3 3" xfId="29186" xr:uid="{00000000-0005-0000-0000-000098C10000}"/>
    <cellStyle name="Финансовый 6 2 5 4" xfId="7841" xr:uid="{00000000-0005-0000-0000-000099C10000}"/>
    <cellStyle name="Финансовый 6 2 5 4 2" xfId="19819" xr:uid="{00000000-0005-0000-0000-00009AC10000}"/>
    <cellStyle name="Финансовый 6 2 5 4 2 2" xfId="43774" xr:uid="{00000000-0005-0000-0000-00009BC10000}"/>
    <cellStyle name="Финансовый 6 2 5 4 3" xfId="31796" xr:uid="{00000000-0005-0000-0000-00009CC10000}"/>
    <cellStyle name="Финансовый 6 2 5 5" xfId="9624" xr:uid="{00000000-0005-0000-0000-00009DC10000}"/>
    <cellStyle name="Финансовый 6 2 5 5 2" xfId="21602" xr:uid="{00000000-0005-0000-0000-00009EC10000}"/>
    <cellStyle name="Финансовый 6 2 5 5 2 2" xfId="45557" xr:uid="{00000000-0005-0000-0000-00009FC10000}"/>
    <cellStyle name="Финансовый 6 2 5 5 3" xfId="33579" xr:uid="{00000000-0005-0000-0000-0000A0C10000}"/>
    <cellStyle name="Финансовый 6 2 5 6" xfId="13782" xr:uid="{00000000-0005-0000-0000-0000A1C10000}"/>
    <cellStyle name="Финансовый 6 2 5 6 2" xfId="37737" xr:uid="{00000000-0005-0000-0000-0000A2C10000}"/>
    <cellStyle name="Финансовый 6 2 5 7" xfId="25760" xr:uid="{00000000-0005-0000-0000-0000A3C10000}"/>
    <cellStyle name="Финансовый 6 2 5 8" xfId="48893" xr:uid="{00000000-0005-0000-0000-0000A4C10000}"/>
    <cellStyle name="Финансовый 6 2 6" xfId="2448" xr:uid="{00000000-0005-0000-0000-0000A5C10000}"/>
    <cellStyle name="Финансовый 6 2 6 2" xfId="4093" xr:uid="{00000000-0005-0000-0000-0000A6C10000}"/>
    <cellStyle name="Финансовый 6 2 6 2 2" xfId="11825" xr:uid="{00000000-0005-0000-0000-0000A7C10000}"/>
    <cellStyle name="Финансовый 6 2 6 2 2 2" xfId="23803" xr:uid="{00000000-0005-0000-0000-0000A8C10000}"/>
    <cellStyle name="Финансовый 6 2 6 2 2 2 2" xfId="47758" xr:uid="{00000000-0005-0000-0000-0000A9C10000}"/>
    <cellStyle name="Финансовый 6 2 6 2 2 3" xfId="35780" xr:uid="{00000000-0005-0000-0000-0000AAC10000}"/>
    <cellStyle name="Финансовый 6 2 6 2 3" xfId="16072" xr:uid="{00000000-0005-0000-0000-0000ABC10000}"/>
    <cellStyle name="Финансовый 6 2 6 2 3 2" xfId="40027" xr:uid="{00000000-0005-0000-0000-0000ACC10000}"/>
    <cellStyle name="Финансовый 6 2 6 2 4" xfId="28050" xr:uid="{00000000-0005-0000-0000-0000ADC10000}"/>
    <cellStyle name="Финансовый 6 2 6 2 5" xfId="51319" xr:uid="{00000000-0005-0000-0000-0000AEC10000}"/>
    <cellStyle name="Финансовый 6 2 6 3" xfId="5876" xr:uid="{00000000-0005-0000-0000-0000AFC10000}"/>
    <cellStyle name="Финансовый 6 2 6 3 2" xfId="17854" xr:uid="{00000000-0005-0000-0000-0000B0C10000}"/>
    <cellStyle name="Финансовый 6 2 6 3 2 2" xfId="41809" xr:uid="{00000000-0005-0000-0000-0000B1C10000}"/>
    <cellStyle name="Финансовый 6 2 6 3 3" xfId="29831" xr:uid="{00000000-0005-0000-0000-0000B2C10000}"/>
    <cellStyle name="Финансовый 6 2 6 4" xfId="8486" xr:uid="{00000000-0005-0000-0000-0000B3C10000}"/>
    <cellStyle name="Финансовый 6 2 6 4 2" xfId="20464" xr:uid="{00000000-0005-0000-0000-0000B4C10000}"/>
    <cellStyle name="Финансовый 6 2 6 4 2 2" xfId="44419" xr:uid="{00000000-0005-0000-0000-0000B5C10000}"/>
    <cellStyle name="Финансовый 6 2 6 4 3" xfId="32441" xr:uid="{00000000-0005-0000-0000-0000B6C10000}"/>
    <cellStyle name="Финансовый 6 2 6 5" xfId="10269" xr:uid="{00000000-0005-0000-0000-0000B7C10000}"/>
    <cellStyle name="Финансовый 6 2 6 5 2" xfId="22247" xr:uid="{00000000-0005-0000-0000-0000B8C10000}"/>
    <cellStyle name="Финансовый 6 2 6 5 2 2" xfId="46202" xr:uid="{00000000-0005-0000-0000-0000B9C10000}"/>
    <cellStyle name="Финансовый 6 2 6 5 3" xfId="34224" xr:uid="{00000000-0005-0000-0000-0000BAC10000}"/>
    <cellStyle name="Финансовый 6 2 6 6" xfId="14427" xr:uid="{00000000-0005-0000-0000-0000BBC10000}"/>
    <cellStyle name="Финансовый 6 2 6 6 2" xfId="38382" xr:uid="{00000000-0005-0000-0000-0000BCC10000}"/>
    <cellStyle name="Финансовый 6 2 6 7" xfId="26405" xr:uid="{00000000-0005-0000-0000-0000BDC10000}"/>
    <cellStyle name="Финансовый 6 2 6 8" xfId="49538" xr:uid="{00000000-0005-0000-0000-0000BEC10000}"/>
    <cellStyle name="Финансовый 6 2 7" xfId="1675" xr:uid="{00000000-0005-0000-0000-0000BFC10000}"/>
    <cellStyle name="Финансовый 6 2 7 2" xfId="3320" xr:uid="{00000000-0005-0000-0000-0000C0C10000}"/>
    <cellStyle name="Финансовый 6 2 7 2 2" xfId="11068" xr:uid="{00000000-0005-0000-0000-0000C1C10000}"/>
    <cellStyle name="Финансовый 6 2 7 2 2 2" xfId="23046" xr:uid="{00000000-0005-0000-0000-0000C2C10000}"/>
    <cellStyle name="Финансовый 6 2 7 2 2 2 2" xfId="47001" xr:uid="{00000000-0005-0000-0000-0000C3C10000}"/>
    <cellStyle name="Финансовый 6 2 7 2 2 3" xfId="35023" xr:uid="{00000000-0005-0000-0000-0000C4C10000}"/>
    <cellStyle name="Финансовый 6 2 7 2 3" xfId="15299" xr:uid="{00000000-0005-0000-0000-0000C5C10000}"/>
    <cellStyle name="Финансовый 6 2 7 2 3 2" xfId="39254" xr:uid="{00000000-0005-0000-0000-0000C6C10000}"/>
    <cellStyle name="Финансовый 6 2 7 2 4" xfId="27277" xr:uid="{00000000-0005-0000-0000-0000C7C10000}"/>
    <cellStyle name="Финансовый 6 2 7 2 5" xfId="50546" xr:uid="{00000000-0005-0000-0000-0000C8C10000}"/>
    <cellStyle name="Финансовый 6 2 7 3" xfId="5103" xr:uid="{00000000-0005-0000-0000-0000C9C10000}"/>
    <cellStyle name="Финансовый 6 2 7 3 2" xfId="17081" xr:uid="{00000000-0005-0000-0000-0000CAC10000}"/>
    <cellStyle name="Финансовый 6 2 7 3 2 2" xfId="41036" xr:uid="{00000000-0005-0000-0000-0000CBC10000}"/>
    <cellStyle name="Финансовый 6 2 7 3 3" xfId="29058" xr:uid="{00000000-0005-0000-0000-0000CCC10000}"/>
    <cellStyle name="Финансовый 6 2 7 4" xfId="7713" xr:uid="{00000000-0005-0000-0000-0000CDC10000}"/>
    <cellStyle name="Финансовый 6 2 7 4 2" xfId="19691" xr:uid="{00000000-0005-0000-0000-0000CEC10000}"/>
    <cellStyle name="Финансовый 6 2 7 4 2 2" xfId="43646" xr:uid="{00000000-0005-0000-0000-0000CFC10000}"/>
    <cellStyle name="Финансовый 6 2 7 4 3" xfId="31668" xr:uid="{00000000-0005-0000-0000-0000D0C10000}"/>
    <cellStyle name="Финансовый 6 2 7 5" xfId="9496" xr:uid="{00000000-0005-0000-0000-0000D1C10000}"/>
    <cellStyle name="Финансовый 6 2 7 5 2" xfId="21474" xr:uid="{00000000-0005-0000-0000-0000D2C10000}"/>
    <cellStyle name="Финансовый 6 2 7 5 2 2" xfId="45429" xr:uid="{00000000-0005-0000-0000-0000D3C10000}"/>
    <cellStyle name="Финансовый 6 2 7 5 3" xfId="33451" xr:uid="{00000000-0005-0000-0000-0000D4C10000}"/>
    <cellStyle name="Финансовый 6 2 7 6" xfId="13654" xr:uid="{00000000-0005-0000-0000-0000D5C10000}"/>
    <cellStyle name="Финансовый 6 2 7 6 2" xfId="37609" xr:uid="{00000000-0005-0000-0000-0000D6C10000}"/>
    <cellStyle name="Финансовый 6 2 7 7" xfId="25632" xr:uid="{00000000-0005-0000-0000-0000D7C10000}"/>
    <cellStyle name="Финансовый 6 2 7 8" xfId="48765" xr:uid="{00000000-0005-0000-0000-0000D8C10000}"/>
    <cellStyle name="Финансовый 6 2 8" xfId="952" xr:uid="{00000000-0005-0000-0000-0000D9C10000}"/>
    <cellStyle name="Финансовый 6 2 8 2" xfId="6992" xr:uid="{00000000-0005-0000-0000-0000DAC10000}"/>
    <cellStyle name="Финансовый 6 2 8 2 2" xfId="18970" xr:uid="{00000000-0005-0000-0000-0000DBC10000}"/>
    <cellStyle name="Финансовый 6 2 8 2 2 2" xfId="42925" xr:uid="{00000000-0005-0000-0000-0000DCC10000}"/>
    <cellStyle name="Финансовый 6 2 8 2 3" xfId="30947" xr:uid="{00000000-0005-0000-0000-0000DDC10000}"/>
    <cellStyle name="Финансовый 6 2 8 3" xfId="10540" xr:uid="{00000000-0005-0000-0000-0000DEC10000}"/>
    <cellStyle name="Финансовый 6 2 8 3 2" xfId="22518" xr:uid="{00000000-0005-0000-0000-0000DFC10000}"/>
    <cellStyle name="Финансовый 6 2 8 3 2 2" xfId="46473" xr:uid="{00000000-0005-0000-0000-0000E0C10000}"/>
    <cellStyle name="Финансовый 6 2 8 3 3" xfId="34495" xr:uid="{00000000-0005-0000-0000-0000E1C10000}"/>
    <cellStyle name="Финансовый 6 2 8 4" xfId="12933" xr:uid="{00000000-0005-0000-0000-0000E2C10000}"/>
    <cellStyle name="Финансовый 6 2 8 4 2" xfId="36888" xr:uid="{00000000-0005-0000-0000-0000E3C10000}"/>
    <cellStyle name="Финансовый 6 2 8 5" xfId="24911" xr:uid="{00000000-0005-0000-0000-0000E4C10000}"/>
    <cellStyle name="Финансовый 6 2 8 6" xfId="49817" xr:uid="{00000000-0005-0000-0000-0000E5C10000}"/>
    <cellStyle name="Финансовый 6 2 9" xfId="540" xr:uid="{00000000-0005-0000-0000-0000E6C10000}"/>
    <cellStyle name="Финансовый 6 2 9 2" xfId="6580" xr:uid="{00000000-0005-0000-0000-0000E7C10000}"/>
    <cellStyle name="Финансовый 6 2 9 2 2" xfId="18558" xr:uid="{00000000-0005-0000-0000-0000E8C10000}"/>
    <cellStyle name="Финансовый 6 2 9 2 2 2" xfId="42513" xr:uid="{00000000-0005-0000-0000-0000E9C10000}"/>
    <cellStyle name="Финансовый 6 2 9 2 3" xfId="30535" xr:uid="{00000000-0005-0000-0000-0000EAC10000}"/>
    <cellStyle name="Финансовый 6 2 9 3" xfId="12521" xr:uid="{00000000-0005-0000-0000-0000EBC10000}"/>
    <cellStyle name="Финансовый 6 2 9 3 2" xfId="36476" xr:uid="{00000000-0005-0000-0000-0000ECC10000}"/>
    <cellStyle name="Финансовый 6 2 9 4" xfId="24499" xr:uid="{00000000-0005-0000-0000-0000EDC10000}"/>
    <cellStyle name="Финансовый 6 3" xfId="83" xr:uid="{00000000-0005-0000-0000-0000EEC10000}"/>
    <cellStyle name="Финансовый 6 3 10" xfId="2693" xr:uid="{00000000-0005-0000-0000-0000EFC10000}"/>
    <cellStyle name="Финансовый 6 3 10 2" xfId="14672" xr:uid="{00000000-0005-0000-0000-0000F0C10000}"/>
    <cellStyle name="Финансовый 6 3 10 2 2" xfId="38627" xr:uid="{00000000-0005-0000-0000-0000F1C10000}"/>
    <cellStyle name="Финансовый 6 3 10 3" xfId="26650" xr:uid="{00000000-0005-0000-0000-0000F2C10000}"/>
    <cellStyle name="Финансовый 6 3 11" xfId="4337" xr:uid="{00000000-0005-0000-0000-0000F3C10000}"/>
    <cellStyle name="Финансовый 6 3 11 2" xfId="16316" xr:uid="{00000000-0005-0000-0000-0000F4C10000}"/>
    <cellStyle name="Финансовый 6 3 11 2 2" xfId="40271" xr:uid="{00000000-0005-0000-0000-0000F5C10000}"/>
    <cellStyle name="Финансовый 6 3 11 3" xfId="28294" xr:uid="{00000000-0005-0000-0000-0000F6C10000}"/>
    <cellStyle name="Финансовый 6 3 12" xfId="6124" xr:uid="{00000000-0005-0000-0000-0000F7C10000}"/>
    <cellStyle name="Финансовый 6 3 12 2" xfId="18102" xr:uid="{00000000-0005-0000-0000-0000F8C10000}"/>
    <cellStyle name="Финансовый 6 3 12 2 2" xfId="42057" xr:uid="{00000000-0005-0000-0000-0000F9C10000}"/>
    <cellStyle name="Финансовый 6 3 12 3" xfId="30079" xr:uid="{00000000-0005-0000-0000-0000FAC10000}"/>
    <cellStyle name="Финансовый 6 3 13" xfId="8731" xr:uid="{00000000-0005-0000-0000-0000FBC10000}"/>
    <cellStyle name="Финансовый 6 3 13 2" xfId="20709" xr:uid="{00000000-0005-0000-0000-0000FCC10000}"/>
    <cellStyle name="Финансовый 6 3 13 2 2" xfId="44664" xr:uid="{00000000-0005-0000-0000-0000FDC10000}"/>
    <cellStyle name="Финансовый 6 3 13 3" xfId="32686" xr:uid="{00000000-0005-0000-0000-0000FEC10000}"/>
    <cellStyle name="Финансовый 6 3 14" xfId="12065" xr:uid="{00000000-0005-0000-0000-0000FFC10000}"/>
    <cellStyle name="Финансовый 6 3 14 2" xfId="36020" xr:uid="{00000000-0005-0000-0000-000000C20000}"/>
    <cellStyle name="Финансовый 6 3 15" xfId="24043" xr:uid="{00000000-0005-0000-0000-000001C20000}"/>
    <cellStyle name="Финансовый 6 3 16" xfId="48001" xr:uid="{00000000-0005-0000-0000-000002C20000}"/>
    <cellStyle name="Финансовый 6 3 2" xfId="219" xr:uid="{00000000-0005-0000-0000-000003C20000}"/>
    <cellStyle name="Финансовый 6 3 2 10" xfId="8867" xr:uid="{00000000-0005-0000-0000-000004C20000}"/>
    <cellStyle name="Финансовый 6 3 2 10 2" xfId="20845" xr:uid="{00000000-0005-0000-0000-000005C20000}"/>
    <cellStyle name="Финансовый 6 3 2 10 2 2" xfId="44800" xr:uid="{00000000-0005-0000-0000-000006C20000}"/>
    <cellStyle name="Финансовый 6 3 2 10 3" xfId="32822" xr:uid="{00000000-0005-0000-0000-000007C20000}"/>
    <cellStyle name="Финансовый 6 3 2 11" xfId="12201" xr:uid="{00000000-0005-0000-0000-000008C20000}"/>
    <cellStyle name="Финансовый 6 3 2 11 2" xfId="36156" xr:uid="{00000000-0005-0000-0000-000009C20000}"/>
    <cellStyle name="Финансовый 6 3 2 12" xfId="24179" xr:uid="{00000000-0005-0000-0000-00000AC20000}"/>
    <cellStyle name="Финансовый 6 3 2 13" xfId="48137" xr:uid="{00000000-0005-0000-0000-00000BC20000}"/>
    <cellStyle name="Финансовый 6 3 2 2" xfId="1317" xr:uid="{00000000-0005-0000-0000-00000CC20000}"/>
    <cellStyle name="Финансовый 6 3 2 2 2" xfId="2275" xr:uid="{00000000-0005-0000-0000-00000DC20000}"/>
    <cellStyle name="Финансовый 6 3 2 2 2 2" xfId="3920" xr:uid="{00000000-0005-0000-0000-00000EC20000}"/>
    <cellStyle name="Финансовый 6 3 2 2 2 2 2" xfId="11660" xr:uid="{00000000-0005-0000-0000-00000FC20000}"/>
    <cellStyle name="Финансовый 6 3 2 2 2 2 2 2" xfId="23638" xr:uid="{00000000-0005-0000-0000-000010C20000}"/>
    <cellStyle name="Финансовый 6 3 2 2 2 2 2 2 2" xfId="47593" xr:uid="{00000000-0005-0000-0000-000011C20000}"/>
    <cellStyle name="Финансовый 6 3 2 2 2 2 2 3" xfId="35615" xr:uid="{00000000-0005-0000-0000-000012C20000}"/>
    <cellStyle name="Финансовый 6 3 2 2 2 2 3" xfId="15899" xr:uid="{00000000-0005-0000-0000-000013C20000}"/>
    <cellStyle name="Финансовый 6 3 2 2 2 2 3 2" xfId="39854" xr:uid="{00000000-0005-0000-0000-000014C20000}"/>
    <cellStyle name="Финансовый 6 3 2 2 2 2 4" xfId="27877" xr:uid="{00000000-0005-0000-0000-000015C20000}"/>
    <cellStyle name="Финансовый 6 3 2 2 2 2 5" xfId="51146" xr:uid="{00000000-0005-0000-0000-000016C20000}"/>
    <cellStyle name="Финансовый 6 3 2 2 2 3" xfId="5703" xr:uid="{00000000-0005-0000-0000-000017C20000}"/>
    <cellStyle name="Финансовый 6 3 2 2 2 3 2" xfId="17681" xr:uid="{00000000-0005-0000-0000-000018C20000}"/>
    <cellStyle name="Финансовый 6 3 2 2 2 3 2 2" xfId="41636" xr:uid="{00000000-0005-0000-0000-000019C20000}"/>
    <cellStyle name="Финансовый 6 3 2 2 2 3 3" xfId="29658" xr:uid="{00000000-0005-0000-0000-00001AC20000}"/>
    <cellStyle name="Финансовый 6 3 2 2 2 4" xfId="8313" xr:uid="{00000000-0005-0000-0000-00001BC20000}"/>
    <cellStyle name="Финансовый 6 3 2 2 2 4 2" xfId="20291" xr:uid="{00000000-0005-0000-0000-00001CC20000}"/>
    <cellStyle name="Финансовый 6 3 2 2 2 4 2 2" xfId="44246" xr:uid="{00000000-0005-0000-0000-00001DC20000}"/>
    <cellStyle name="Финансовый 6 3 2 2 2 4 3" xfId="32268" xr:uid="{00000000-0005-0000-0000-00001EC20000}"/>
    <cellStyle name="Финансовый 6 3 2 2 2 5" xfId="10096" xr:uid="{00000000-0005-0000-0000-00001FC20000}"/>
    <cellStyle name="Финансовый 6 3 2 2 2 5 2" xfId="22074" xr:uid="{00000000-0005-0000-0000-000020C20000}"/>
    <cellStyle name="Финансовый 6 3 2 2 2 5 2 2" xfId="46029" xr:uid="{00000000-0005-0000-0000-000021C20000}"/>
    <cellStyle name="Финансовый 6 3 2 2 2 5 3" xfId="34051" xr:uid="{00000000-0005-0000-0000-000022C20000}"/>
    <cellStyle name="Финансовый 6 3 2 2 2 6" xfId="14254" xr:uid="{00000000-0005-0000-0000-000023C20000}"/>
    <cellStyle name="Финансовый 6 3 2 2 2 6 2" xfId="38209" xr:uid="{00000000-0005-0000-0000-000024C20000}"/>
    <cellStyle name="Финансовый 6 3 2 2 2 7" xfId="26232" xr:uid="{00000000-0005-0000-0000-000025C20000}"/>
    <cellStyle name="Финансовый 6 3 2 2 2 8" xfId="49365" xr:uid="{00000000-0005-0000-0000-000026C20000}"/>
    <cellStyle name="Финансовый 6 3 2 2 3" xfId="3101" xr:uid="{00000000-0005-0000-0000-000027C20000}"/>
    <cellStyle name="Финансовый 6 3 2 2 3 2" xfId="10888" xr:uid="{00000000-0005-0000-0000-000028C20000}"/>
    <cellStyle name="Финансовый 6 3 2 2 3 2 2" xfId="22866" xr:uid="{00000000-0005-0000-0000-000029C20000}"/>
    <cellStyle name="Финансовый 6 3 2 2 3 2 2 2" xfId="46821" xr:uid="{00000000-0005-0000-0000-00002AC20000}"/>
    <cellStyle name="Финансовый 6 3 2 2 3 2 3" xfId="34843" xr:uid="{00000000-0005-0000-0000-00002BC20000}"/>
    <cellStyle name="Финансовый 6 3 2 2 3 3" xfId="15080" xr:uid="{00000000-0005-0000-0000-00002CC20000}"/>
    <cellStyle name="Финансовый 6 3 2 2 3 3 2" xfId="39035" xr:uid="{00000000-0005-0000-0000-00002DC20000}"/>
    <cellStyle name="Финансовый 6 3 2 2 3 4" xfId="27058" xr:uid="{00000000-0005-0000-0000-00002EC20000}"/>
    <cellStyle name="Финансовый 6 3 2 2 3 5" xfId="50189" xr:uid="{00000000-0005-0000-0000-00002FC20000}"/>
    <cellStyle name="Финансовый 6 3 2 2 4" xfId="4745" xr:uid="{00000000-0005-0000-0000-000030C20000}"/>
    <cellStyle name="Финансовый 6 3 2 2 4 2" xfId="16724" xr:uid="{00000000-0005-0000-0000-000031C20000}"/>
    <cellStyle name="Финансовый 6 3 2 2 4 2 2" xfId="40679" xr:uid="{00000000-0005-0000-0000-000032C20000}"/>
    <cellStyle name="Финансовый 6 3 2 2 4 3" xfId="28702" xr:uid="{00000000-0005-0000-0000-000033C20000}"/>
    <cellStyle name="Финансовый 6 3 2 2 5" xfId="7357" xr:uid="{00000000-0005-0000-0000-000034C20000}"/>
    <cellStyle name="Финансовый 6 3 2 2 5 2" xfId="19335" xr:uid="{00000000-0005-0000-0000-000035C20000}"/>
    <cellStyle name="Финансовый 6 3 2 2 5 2 2" xfId="43290" xr:uid="{00000000-0005-0000-0000-000036C20000}"/>
    <cellStyle name="Финансовый 6 3 2 2 5 3" xfId="31312" xr:uid="{00000000-0005-0000-0000-000037C20000}"/>
    <cellStyle name="Финансовый 6 3 2 2 6" xfId="9139" xr:uid="{00000000-0005-0000-0000-000038C20000}"/>
    <cellStyle name="Финансовый 6 3 2 2 6 2" xfId="21117" xr:uid="{00000000-0005-0000-0000-000039C20000}"/>
    <cellStyle name="Финансовый 6 3 2 2 6 2 2" xfId="45072" xr:uid="{00000000-0005-0000-0000-00003AC20000}"/>
    <cellStyle name="Финансовый 6 3 2 2 6 3" xfId="33094" xr:uid="{00000000-0005-0000-0000-00003BC20000}"/>
    <cellStyle name="Финансовый 6 3 2 2 7" xfId="13298" xr:uid="{00000000-0005-0000-0000-00003CC20000}"/>
    <cellStyle name="Финансовый 6 3 2 2 7 2" xfId="37253" xr:uid="{00000000-0005-0000-0000-00003DC20000}"/>
    <cellStyle name="Финансовый 6 3 2 2 8" xfId="25276" xr:uid="{00000000-0005-0000-0000-00003EC20000}"/>
    <cellStyle name="Финансовый 6 3 2 2 9" xfId="48409" xr:uid="{00000000-0005-0000-0000-00003FC20000}"/>
    <cellStyle name="Финансовый 6 3 2 3" xfId="2019" xr:uid="{00000000-0005-0000-0000-000040C20000}"/>
    <cellStyle name="Финансовый 6 3 2 3 2" xfId="3664" xr:uid="{00000000-0005-0000-0000-000041C20000}"/>
    <cellStyle name="Финансовый 6 3 2 3 2 2" xfId="11404" xr:uid="{00000000-0005-0000-0000-000042C20000}"/>
    <cellStyle name="Финансовый 6 3 2 3 2 2 2" xfId="23382" xr:uid="{00000000-0005-0000-0000-000043C20000}"/>
    <cellStyle name="Финансовый 6 3 2 3 2 2 2 2" xfId="47337" xr:uid="{00000000-0005-0000-0000-000044C20000}"/>
    <cellStyle name="Финансовый 6 3 2 3 2 2 3" xfId="35359" xr:uid="{00000000-0005-0000-0000-000045C20000}"/>
    <cellStyle name="Финансовый 6 3 2 3 2 3" xfId="15643" xr:uid="{00000000-0005-0000-0000-000046C20000}"/>
    <cellStyle name="Финансовый 6 3 2 3 2 3 2" xfId="39598" xr:uid="{00000000-0005-0000-0000-000047C20000}"/>
    <cellStyle name="Финансовый 6 3 2 3 2 4" xfId="27621" xr:uid="{00000000-0005-0000-0000-000048C20000}"/>
    <cellStyle name="Финансовый 6 3 2 3 2 5" xfId="50890" xr:uid="{00000000-0005-0000-0000-000049C20000}"/>
    <cellStyle name="Финансовый 6 3 2 3 3" xfId="5447" xr:uid="{00000000-0005-0000-0000-00004AC20000}"/>
    <cellStyle name="Финансовый 6 3 2 3 3 2" xfId="17425" xr:uid="{00000000-0005-0000-0000-00004BC20000}"/>
    <cellStyle name="Финансовый 6 3 2 3 3 2 2" xfId="41380" xr:uid="{00000000-0005-0000-0000-00004CC20000}"/>
    <cellStyle name="Финансовый 6 3 2 3 3 3" xfId="29402" xr:uid="{00000000-0005-0000-0000-00004DC20000}"/>
    <cellStyle name="Финансовый 6 3 2 3 4" xfId="8057" xr:uid="{00000000-0005-0000-0000-00004EC20000}"/>
    <cellStyle name="Финансовый 6 3 2 3 4 2" xfId="20035" xr:uid="{00000000-0005-0000-0000-00004FC20000}"/>
    <cellStyle name="Финансовый 6 3 2 3 4 2 2" xfId="43990" xr:uid="{00000000-0005-0000-0000-000050C20000}"/>
    <cellStyle name="Финансовый 6 3 2 3 4 3" xfId="32012" xr:uid="{00000000-0005-0000-0000-000051C20000}"/>
    <cellStyle name="Финансовый 6 3 2 3 5" xfId="9840" xr:uid="{00000000-0005-0000-0000-000052C20000}"/>
    <cellStyle name="Финансовый 6 3 2 3 5 2" xfId="21818" xr:uid="{00000000-0005-0000-0000-000053C20000}"/>
    <cellStyle name="Финансовый 6 3 2 3 5 2 2" xfId="45773" xr:uid="{00000000-0005-0000-0000-000054C20000}"/>
    <cellStyle name="Финансовый 6 3 2 3 5 3" xfId="33795" xr:uid="{00000000-0005-0000-0000-000055C20000}"/>
    <cellStyle name="Финансовый 6 3 2 3 6" xfId="13998" xr:uid="{00000000-0005-0000-0000-000056C20000}"/>
    <cellStyle name="Финансовый 6 3 2 3 6 2" xfId="37953" xr:uid="{00000000-0005-0000-0000-000057C20000}"/>
    <cellStyle name="Финансовый 6 3 2 3 7" xfId="25976" xr:uid="{00000000-0005-0000-0000-000058C20000}"/>
    <cellStyle name="Финансовый 6 3 2 3 8" xfId="49109" xr:uid="{00000000-0005-0000-0000-000059C20000}"/>
    <cellStyle name="Финансовый 6 3 2 4" xfId="2548" xr:uid="{00000000-0005-0000-0000-00005AC20000}"/>
    <cellStyle name="Финансовый 6 3 2 4 2" xfId="4193" xr:uid="{00000000-0005-0000-0000-00005BC20000}"/>
    <cellStyle name="Финансовый 6 3 2 4 2 2" xfId="11917" xr:uid="{00000000-0005-0000-0000-00005CC20000}"/>
    <cellStyle name="Финансовый 6 3 2 4 2 2 2" xfId="23895" xr:uid="{00000000-0005-0000-0000-00005DC20000}"/>
    <cellStyle name="Финансовый 6 3 2 4 2 2 2 2" xfId="47850" xr:uid="{00000000-0005-0000-0000-00005EC20000}"/>
    <cellStyle name="Финансовый 6 3 2 4 2 2 3" xfId="35872" xr:uid="{00000000-0005-0000-0000-00005FC20000}"/>
    <cellStyle name="Финансовый 6 3 2 4 2 3" xfId="16172" xr:uid="{00000000-0005-0000-0000-000060C20000}"/>
    <cellStyle name="Финансовый 6 3 2 4 2 3 2" xfId="40127" xr:uid="{00000000-0005-0000-0000-000061C20000}"/>
    <cellStyle name="Финансовый 6 3 2 4 2 4" xfId="28150" xr:uid="{00000000-0005-0000-0000-000062C20000}"/>
    <cellStyle name="Финансовый 6 3 2 4 2 5" xfId="51419" xr:uid="{00000000-0005-0000-0000-000063C20000}"/>
    <cellStyle name="Финансовый 6 3 2 4 3" xfId="5976" xr:uid="{00000000-0005-0000-0000-000064C20000}"/>
    <cellStyle name="Финансовый 6 3 2 4 3 2" xfId="17954" xr:uid="{00000000-0005-0000-0000-000065C20000}"/>
    <cellStyle name="Финансовый 6 3 2 4 3 2 2" xfId="41909" xr:uid="{00000000-0005-0000-0000-000066C20000}"/>
    <cellStyle name="Финансовый 6 3 2 4 3 3" xfId="29931" xr:uid="{00000000-0005-0000-0000-000067C20000}"/>
    <cellStyle name="Финансовый 6 3 2 4 4" xfId="8586" xr:uid="{00000000-0005-0000-0000-000068C20000}"/>
    <cellStyle name="Финансовый 6 3 2 4 4 2" xfId="20564" xr:uid="{00000000-0005-0000-0000-000069C20000}"/>
    <cellStyle name="Финансовый 6 3 2 4 4 2 2" xfId="44519" xr:uid="{00000000-0005-0000-0000-00006AC20000}"/>
    <cellStyle name="Финансовый 6 3 2 4 4 3" xfId="32541" xr:uid="{00000000-0005-0000-0000-00006BC20000}"/>
    <cellStyle name="Финансовый 6 3 2 4 5" xfId="10369" xr:uid="{00000000-0005-0000-0000-00006CC20000}"/>
    <cellStyle name="Финансовый 6 3 2 4 5 2" xfId="22347" xr:uid="{00000000-0005-0000-0000-00006DC20000}"/>
    <cellStyle name="Финансовый 6 3 2 4 5 2 2" xfId="46302" xr:uid="{00000000-0005-0000-0000-00006EC20000}"/>
    <cellStyle name="Финансовый 6 3 2 4 5 3" xfId="34324" xr:uid="{00000000-0005-0000-0000-00006FC20000}"/>
    <cellStyle name="Финансовый 6 3 2 4 6" xfId="14527" xr:uid="{00000000-0005-0000-0000-000070C20000}"/>
    <cellStyle name="Финансовый 6 3 2 4 6 2" xfId="38482" xr:uid="{00000000-0005-0000-0000-000071C20000}"/>
    <cellStyle name="Финансовый 6 3 2 4 7" xfId="26505" xr:uid="{00000000-0005-0000-0000-000072C20000}"/>
    <cellStyle name="Финансовый 6 3 2 4 8" xfId="49638" xr:uid="{00000000-0005-0000-0000-000073C20000}"/>
    <cellStyle name="Финансовый 6 3 2 5" xfId="1052" xr:uid="{00000000-0005-0000-0000-000074C20000}"/>
    <cellStyle name="Финансовый 6 3 2 5 2" xfId="7092" xr:uid="{00000000-0005-0000-0000-000075C20000}"/>
    <cellStyle name="Финансовый 6 3 2 5 2 2" xfId="19070" xr:uid="{00000000-0005-0000-0000-000076C20000}"/>
    <cellStyle name="Финансовый 6 3 2 5 2 2 2" xfId="43025" xr:uid="{00000000-0005-0000-0000-000077C20000}"/>
    <cellStyle name="Финансовый 6 3 2 5 2 3" xfId="31047" xr:uid="{00000000-0005-0000-0000-000078C20000}"/>
    <cellStyle name="Финансовый 6 3 2 5 3" xfId="10632" xr:uid="{00000000-0005-0000-0000-000079C20000}"/>
    <cellStyle name="Финансовый 6 3 2 5 3 2" xfId="22610" xr:uid="{00000000-0005-0000-0000-00007AC20000}"/>
    <cellStyle name="Финансовый 6 3 2 5 3 2 2" xfId="46565" xr:uid="{00000000-0005-0000-0000-00007BC20000}"/>
    <cellStyle name="Финансовый 6 3 2 5 3 3" xfId="34587" xr:uid="{00000000-0005-0000-0000-00007CC20000}"/>
    <cellStyle name="Финансовый 6 3 2 5 4" xfId="13033" xr:uid="{00000000-0005-0000-0000-00007DC20000}"/>
    <cellStyle name="Финансовый 6 3 2 5 4 2" xfId="36988" xr:uid="{00000000-0005-0000-0000-00007EC20000}"/>
    <cellStyle name="Финансовый 6 3 2 5 5" xfId="25011" xr:uid="{00000000-0005-0000-0000-00007FC20000}"/>
    <cellStyle name="Финансовый 6 3 2 5 6" xfId="49917" xr:uid="{00000000-0005-0000-0000-000080C20000}"/>
    <cellStyle name="Финансовый 6 3 2 6" xfId="640" xr:uid="{00000000-0005-0000-0000-000081C20000}"/>
    <cellStyle name="Финансовый 6 3 2 6 2" xfId="6680" xr:uid="{00000000-0005-0000-0000-000082C20000}"/>
    <cellStyle name="Финансовый 6 3 2 6 2 2" xfId="18658" xr:uid="{00000000-0005-0000-0000-000083C20000}"/>
    <cellStyle name="Финансовый 6 3 2 6 2 2 2" xfId="42613" xr:uid="{00000000-0005-0000-0000-000084C20000}"/>
    <cellStyle name="Финансовый 6 3 2 6 2 3" xfId="30635" xr:uid="{00000000-0005-0000-0000-000085C20000}"/>
    <cellStyle name="Финансовый 6 3 2 6 3" xfId="12621" xr:uid="{00000000-0005-0000-0000-000086C20000}"/>
    <cellStyle name="Финансовый 6 3 2 6 3 2" xfId="36576" xr:uid="{00000000-0005-0000-0000-000087C20000}"/>
    <cellStyle name="Финансовый 6 3 2 6 4" xfId="24599" xr:uid="{00000000-0005-0000-0000-000088C20000}"/>
    <cellStyle name="Финансовый 6 3 2 7" xfId="2829" xr:uid="{00000000-0005-0000-0000-000089C20000}"/>
    <cellStyle name="Финансовый 6 3 2 7 2" xfId="14808" xr:uid="{00000000-0005-0000-0000-00008AC20000}"/>
    <cellStyle name="Финансовый 6 3 2 7 2 2" xfId="38763" xr:uid="{00000000-0005-0000-0000-00008BC20000}"/>
    <cellStyle name="Финансовый 6 3 2 7 3" xfId="26786" xr:uid="{00000000-0005-0000-0000-00008CC20000}"/>
    <cellStyle name="Финансовый 6 3 2 8" xfId="4473" xr:uid="{00000000-0005-0000-0000-00008DC20000}"/>
    <cellStyle name="Финансовый 6 3 2 8 2" xfId="16452" xr:uid="{00000000-0005-0000-0000-00008EC20000}"/>
    <cellStyle name="Финансовый 6 3 2 8 2 2" xfId="40407" xr:uid="{00000000-0005-0000-0000-00008FC20000}"/>
    <cellStyle name="Финансовый 6 3 2 8 3" xfId="28430" xr:uid="{00000000-0005-0000-0000-000090C20000}"/>
    <cellStyle name="Финансовый 6 3 2 9" xfId="6260" xr:uid="{00000000-0005-0000-0000-000091C20000}"/>
    <cellStyle name="Финансовый 6 3 2 9 2" xfId="18238" xr:uid="{00000000-0005-0000-0000-000092C20000}"/>
    <cellStyle name="Финансовый 6 3 2 9 2 2" xfId="42193" xr:uid="{00000000-0005-0000-0000-000093C20000}"/>
    <cellStyle name="Финансовый 6 3 2 9 3" xfId="30215" xr:uid="{00000000-0005-0000-0000-000094C20000}"/>
    <cellStyle name="Финансовый 6 3 3" xfId="368" xr:uid="{00000000-0005-0000-0000-000095C20000}"/>
    <cellStyle name="Финансовый 6 3 3 10" xfId="24327" xr:uid="{00000000-0005-0000-0000-000096C20000}"/>
    <cellStyle name="Финансовый 6 3 3 11" xfId="48273" xr:uid="{00000000-0005-0000-0000-000097C20000}"/>
    <cellStyle name="Финансовый 6 3 3 2" xfId="2147" xr:uid="{00000000-0005-0000-0000-000098C20000}"/>
    <cellStyle name="Финансовый 6 3 3 2 2" xfId="3792" xr:uid="{00000000-0005-0000-0000-000099C20000}"/>
    <cellStyle name="Финансовый 6 3 3 2 2 2" xfId="11532" xr:uid="{00000000-0005-0000-0000-00009AC20000}"/>
    <cellStyle name="Финансовый 6 3 3 2 2 2 2" xfId="23510" xr:uid="{00000000-0005-0000-0000-00009BC20000}"/>
    <cellStyle name="Финансовый 6 3 3 2 2 2 2 2" xfId="47465" xr:uid="{00000000-0005-0000-0000-00009CC20000}"/>
    <cellStyle name="Финансовый 6 3 3 2 2 2 3" xfId="35487" xr:uid="{00000000-0005-0000-0000-00009DC20000}"/>
    <cellStyle name="Финансовый 6 3 3 2 2 3" xfId="15771" xr:uid="{00000000-0005-0000-0000-00009EC20000}"/>
    <cellStyle name="Финансовый 6 3 3 2 2 3 2" xfId="39726" xr:uid="{00000000-0005-0000-0000-00009FC20000}"/>
    <cellStyle name="Финансовый 6 3 3 2 2 4" xfId="27749" xr:uid="{00000000-0005-0000-0000-0000A0C20000}"/>
    <cellStyle name="Финансовый 6 3 3 2 2 5" xfId="51018" xr:uid="{00000000-0005-0000-0000-0000A1C20000}"/>
    <cellStyle name="Финансовый 6 3 3 2 3" xfId="5575" xr:uid="{00000000-0005-0000-0000-0000A2C20000}"/>
    <cellStyle name="Финансовый 6 3 3 2 3 2" xfId="17553" xr:uid="{00000000-0005-0000-0000-0000A3C20000}"/>
    <cellStyle name="Финансовый 6 3 3 2 3 2 2" xfId="41508" xr:uid="{00000000-0005-0000-0000-0000A4C20000}"/>
    <cellStyle name="Финансовый 6 3 3 2 3 3" xfId="29530" xr:uid="{00000000-0005-0000-0000-0000A5C20000}"/>
    <cellStyle name="Финансовый 6 3 3 2 4" xfId="8185" xr:uid="{00000000-0005-0000-0000-0000A6C20000}"/>
    <cellStyle name="Финансовый 6 3 3 2 4 2" xfId="20163" xr:uid="{00000000-0005-0000-0000-0000A7C20000}"/>
    <cellStyle name="Финансовый 6 3 3 2 4 2 2" xfId="44118" xr:uid="{00000000-0005-0000-0000-0000A8C20000}"/>
    <cellStyle name="Финансовый 6 3 3 2 4 3" xfId="32140" xr:uid="{00000000-0005-0000-0000-0000A9C20000}"/>
    <cellStyle name="Финансовый 6 3 3 2 5" xfId="9968" xr:uid="{00000000-0005-0000-0000-0000AAC20000}"/>
    <cellStyle name="Финансовый 6 3 3 2 5 2" xfId="21946" xr:uid="{00000000-0005-0000-0000-0000ABC20000}"/>
    <cellStyle name="Финансовый 6 3 3 2 5 2 2" xfId="45901" xr:uid="{00000000-0005-0000-0000-0000ACC20000}"/>
    <cellStyle name="Финансовый 6 3 3 2 5 3" xfId="33923" xr:uid="{00000000-0005-0000-0000-0000ADC20000}"/>
    <cellStyle name="Финансовый 6 3 3 2 6" xfId="14126" xr:uid="{00000000-0005-0000-0000-0000AEC20000}"/>
    <cellStyle name="Финансовый 6 3 3 2 6 2" xfId="38081" xr:uid="{00000000-0005-0000-0000-0000AFC20000}"/>
    <cellStyle name="Финансовый 6 3 3 2 7" xfId="26104" xr:uid="{00000000-0005-0000-0000-0000B0C20000}"/>
    <cellStyle name="Финансовый 6 3 3 2 8" xfId="49237" xr:uid="{00000000-0005-0000-0000-0000B1C20000}"/>
    <cellStyle name="Финансовый 6 3 3 3" xfId="1181" xr:uid="{00000000-0005-0000-0000-0000B2C20000}"/>
    <cellStyle name="Финансовый 6 3 3 3 2" xfId="7221" xr:uid="{00000000-0005-0000-0000-0000B3C20000}"/>
    <cellStyle name="Финансовый 6 3 3 3 2 2" xfId="19199" xr:uid="{00000000-0005-0000-0000-0000B4C20000}"/>
    <cellStyle name="Финансовый 6 3 3 3 2 2 2" xfId="43154" xr:uid="{00000000-0005-0000-0000-0000B5C20000}"/>
    <cellStyle name="Финансовый 6 3 3 3 2 3" xfId="31176" xr:uid="{00000000-0005-0000-0000-0000B6C20000}"/>
    <cellStyle name="Финансовый 6 3 3 3 3" xfId="10760" xr:uid="{00000000-0005-0000-0000-0000B7C20000}"/>
    <cellStyle name="Финансовый 6 3 3 3 3 2" xfId="22738" xr:uid="{00000000-0005-0000-0000-0000B8C20000}"/>
    <cellStyle name="Финансовый 6 3 3 3 3 2 2" xfId="46693" xr:uid="{00000000-0005-0000-0000-0000B9C20000}"/>
    <cellStyle name="Финансовый 6 3 3 3 3 3" xfId="34715" xr:uid="{00000000-0005-0000-0000-0000BAC20000}"/>
    <cellStyle name="Финансовый 6 3 3 3 4" xfId="13162" xr:uid="{00000000-0005-0000-0000-0000BBC20000}"/>
    <cellStyle name="Финансовый 6 3 3 3 4 2" xfId="37117" xr:uid="{00000000-0005-0000-0000-0000BCC20000}"/>
    <cellStyle name="Финансовый 6 3 3 3 5" xfId="25140" xr:uid="{00000000-0005-0000-0000-0000BDC20000}"/>
    <cellStyle name="Финансовый 6 3 3 3 6" xfId="50053" xr:uid="{00000000-0005-0000-0000-0000BEC20000}"/>
    <cellStyle name="Финансовый 6 3 3 4" xfId="788" xr:uid="{00000000-0005-0000-0000-0000BFC20000}"/>
    <cellStyle name="Финансовый 6 3 3 4 2" xfId="6828" xr:uid="{00000000-0005-0000-0000-0000C0C20000}"/>
    <cellStyle name="Финансовый 6 3 3 4 2 2" xfId="18806" xr:uid="{00000000-0005-0000-0000-0000C1C20000}"/>
    <cellStyle name="Финансовый 6 3 3 4 2 2 2" xfId="42761" xr:uid="{00000000-0005-0000-0000-0000C2C20000}"/>
    <cellStyle name="Финансовый 6 3 3 4 2 3" xfId="30783" xr:uid="{00000000-0005-0000-0000-0000C3C20000}"/>
    <cellStyle name="Финансовый 6 3 3 4 3" xfId="12769" xr:uid="{00000000-0005-0000-0000-0000C4C20000}"/>
    <cellStyle name="Финансовый 6 3 3 4 3 2" xfId="36724" xr:uid="{00000000-0005-0000-0000-0000C5C20000}"/>
    <cellStyle name="Финансовый 6 3 3 4 4" xfId="24747" xr:uid="{00000000-0005-0000-0000-0000C6C20000}"/>
    <cellStyle name="Финансовый 6 3 3 5" xfId="2965" xr:uid="{00000000-0005-0000-0000-0000C7C20000}"/>
    <cellStyle name="Финансовый 6 3 3 5 2" xfId="14944" xr:uid="{00000000-0005-0000-0000-0000C8C20000}"/>
    <cellStyle name="Финансовый 6 3 3 5 2 2" xfId="38899" xr:uid="{00000000-0005-0000-0000-0000C9C20000}"/>
    <cellStyle name="Финансовый 6 3 3 5 3" xfId="26922" xr:uid="{00000000-0005-0000-0000-0000CAC20000}"/>
    <cellStyle name="Финансовый 6 3 3 6" xfId="4609" xr:uid="{00000000-0005-0000-0000-0000CBC20000}"/>
    <cellStyle name="Финансовый 6 3 3 6 2" xfId="16588" xr:uid="{00000000-0005-0000-0000-0000CCC20000}"/>
    <cellStyle name="Финансовый 6 3 3 6 2 2" xfId="40543" xr:uid="{00000000-0005-0000-0000-0000CDC20000}"/>
    <cellStyle name="Финансовый 6 3 3 6 3" xfId="28566" xr:uid="{00000000-0005-0000-0000-0000CEC20000}"/>
    <cellStyle name="Финансовый 6 3 3 7" xfId="6408" xr:uid="{00000000-0005-0000-0000-0000CFC20000}"/>
    <cellStyle name="Финансовый 6 3 3 7 2" xfId="18386" xr:uid="{00000000-0005-0000-0000-0000D0C20000}"/>
    <cellStyle name="Финансовый 6 3 3 7 2 2" xfId="42341" xr:uid="{00000000-0005-0000-0000-0000D1C20000}"/>
    <cellStyle name="Финансовый 6 3 3 7 3" xfId="30363" xr:uid="{00000000-0005-0000-0000-0000D2C20000}"/>
    <cellStyle name="Финансовый 6 3 3 8" xfId="9003" xr:uid="{00000000-0005-0000-0000-0000D3C20000}"/>
    <cellStyle name="Финансовый 6 3 3 8 2" xfId="20981" xr:uid="{00000000-0005-0000-0000-0000D4C20000}"/>
    <cellStyle name="Финансовый 6 3 3 8 2 2" xfId="44936" xr:uid="{00000000-0005-0000-0000-0000D5C20000}"/>
    <cellStyle name="Финансовый 6 3 3 8 3" xfId="32958" xr:uid="{00000000-0005-0000-0000-0000D6C20000}"/>
    <cellStyle name="Финансовый 6 3 3 9" xfId="12349" xr:uid="{00000000-0005-0000-0000-0000D7C20000}"/>
    <cellStyle name="Финансовый 6 3 3 9 2" xfId="36304" xr:uid="{00000000-0005-0000-0000-0000D8C20000}"/>
    <cellStyle name="Финансовый 6 3 4" xfId="1443" xr:uid="{00000000-0005-0000-0000-0000D9C20000}"/>
    <cellStyle name="Финансовый 6 3 4 2" xfId="1891" xr:uid="{00000000-0005-0000-0000-0000DAC20000}"/>
    <cellStyle name="Финансовый 6 3 4 2 2" xfId="3536" xr:uid="{00000000-0005-0000-0000-0000DBC20000}"/>
    <cellStyle name="Финансовый 6 3 4 2 2 2" xfId="11276" xr:uid="{00000000-0005-0000-0000-0000DCC20000}"/>
    <cellStyle name="Финансовый 6 3 4 2 2 2 2" xfId="23254" xr:uid="{00000000-0005-0000-0000-0000DDC20000}"/>
    <cellStyle name="Финансовый 6 3 4 2 2 2 2 2" xfId="47209" xr:uid="{00000000-0005-0000-0000-0000DEC20000}"/>
    <cellStyle name="Финансовый 6 3 4 2 2 2 3" xfId="35231" xr:uid="{00000000-0005-0000-0000-0000DFC20000}"/>
    <cellStyle name="Финансовый 6 3 4 2 2 3" xfId="15515" xr:uid="{00000000-0005-0000-0000-0000E0C20000}"/>
    <cellStyle name="Финансовый 6 3 4 2 2 3 2" xfId="39470" xr:uid="{00000000-0005-0000-0000-0000E1C20000}"/>
    <cellStyle name="Финансовый 6 3 4 2 2 4" xfId="27493" xr:uid="{00000000-0005-0000-0000-0000E2C20000}"/>
    <cellStyle name="Финансовый 6 3 4 2 2 5" xfId="50762" xr:uid="{00000000-0005-0000-0000-0000E3C20000}"/>
    <cellStyle name="Финансовый 6 3 4 2 3" xfId="5319" xr:uid="{00000000-0005-0000-0000-0000E4C20000}"/>
    <cellStyle name="Финансовый 6 3 4 2 3 2" xfId="17297" xr:uid="{00000000-0005-0000-0000-0000E5C20000}"/>
    <cellStyle name="Финансовый 6 3 4 2 3 2 2" xfId="41252" xr:uid="{00000000-0005-0000-0000-0000E6C20000}"/>
    <cellStyle name="Финансовый 6 3 4 2 3 3" xfId="29274" xr:uid="{00000000-0005-0000-0000-0000E7C20000}"/>
    <cellStyle name="Финансовый 6 3 4 2 4" xfId="7929" xr:uid="{00000000-0005-0000-0000-0000E8C20000}"/>
    <cellStyle name="Финансовый 6 3 4 2 4 2" xfId="19907" xr:uid="{00000000-0005-0000-0000-0000E9C20000}"/>
    <cellStyle name="Финансовый 6 3 4 2 4 2 2" xfId="43862" xr:uid="{00000000-0005-0000-0000-0000EAC20000}"/>
    <cellStyle name="Финансовый 6 3 4 2 4 3" xfId="31884" xr:uid="{00000000-0005-0000-0000-0000EBC20000}"/>
    <cellStyle name="Финансовый 6 3 4 2 5" xfId="9712" xr:uid="{00000000-0005-0000-0000-0000ECC20000}"/>
    <cellStyle name="Финансовый 6 3 4 2 5 2" xfId="21690" xr:uid="{00000000-0005-0000-0000-0000EDC20000}"/>
    <cellStyle name="Финансовый 6 3 4 2 5 2 2" xfId="45645" xr:uid="{00000000-0005-0000-0000-0000EEC20000}"/>
    <cellStyle name="Финансовый 6 3 4 2 5 3" xfId="33667" xr:uid="{00000000-0005-0000-0000-0000EFC20000}"/>
    <cellStyle name="Финансовый 6 3 4 2 6" xfId="13870" xr:uid="{00000000-0005-0000-0000-0000F0C20000}"/>
    <cellStyle name="Финансовый 6 3 4 2 6 2" xfId="37825" xr:uid="{00000000-0005-0000-0000-0000F1C20000}"/>
    <cellStyle name="Финансовый 6 3 4 2 7" xfId="25848" xr:uid="{00000000-0005-0000-0000-0000F2C20000}"/>
    <cellStyle name="Финансовый 6 3 4 2 8" xfId="48981" xr:uid="{00000000-0005-0000-0000-0000F3C20000}"/>
    <cellStyle name="Финансовый 6 3 4 3" xfId="4871" xr:uid="{00000000-0005-0000-0000-0000F4C20000}"/>
    <cellStyle name="Финансовый 6 3 4 3 2" xfId="16849" xr:uid="{00000000-0005-0000-0000-0000F5C20000}"/>
    <cellStyle name="Финансовый 6 3 4 3 2 2" xfId="40804" xr:uid="{00000000-0005-0000-0000-0000F6C20000}"/>
    <cellStyle name="Финансовый 6 3 4 3 3" xfId="28826" xr:uid="{00000000-0005-0000-0000-0000F7C20000}"/>
    <cellStyle name="Финансовый 6 3 4 3 4" xfId="50314" xr:uid="{00000000-0005-0000-0000-0000F8C20000}"/>
    <cellStyle name="Финансовый 6 3 4 4" xfId="7481" xr:uid="{00000000-0005-0000-0000-0000F9C20000}"/>
    <cellStyle name="Финансовый 6 3 4 4 2" xfId="19459" xr:uid="{00000000-0005-0000-0000-0000FAC20000}"/>
    <cellStyle name="Финансовый 6 3 4 4 2 2" xfId="43414" xr:uid="{00000000-0005-0000-0000-0000FBC20000}"/>
    <cellStyle name="Финансовый 6 3 4 4 3" xfId="31436" xr:uid="{00000000-0005-0000-0000-0000FCC20000}"/>
    <cellStyle name="Финансовый 6 3 4 5" xfId="9264" xr:uid="{00000000-0005-0000-0000-0000FDC20000}"/>
    <cellStyle name="Финансовый 6 3 4 5 2" xfId="21242" xr:uid="{00000000-0005-0000-0000-0000FEC20000}"/>
    <cellStyle name="Финансовый 6 3 4 5 2 2" xfId="45197" xr:uid="{00000000-0005-0000-0000-0000FFC20000}"/>
    <cellStyle name="Финансовый 6 3 4 5 3" xfId="33219" xr:uid="{00000000-0005-0000-0000-000000C30000}"/>
    <cellStyle name="Финансовый 6 3 4 6" xfId="13422" xr:uid="{00000000-0005-0000-0000-000001C30000}"/>
    <cellStyle name="Финансовый 6 3 4 6 2" xfId="37377" xr:uid="{00000000-0005-0000-0000-000002C30000}"/>
    <cellStyle name="Финансовый 6 3 4 7" xfId="25400" xr:uid="{00000000-0005-0000-0000-000003C30000}"/>
    <cellStyle name="Финансовый 6 3 4 8" xfId="48533" xr:uid="{00000000-0005-0000-0000-000004C30000}"/>
    <cellStyle name="Финансовый 6 3 5" xfId="1767" xr:uid="{00000000-0005-0000-0000-000005C30000}"/>
    <cellStyle name="Финансовый 6 3 5 2" xfId="3412" xr:uid="{00000000-0005-0000-0000-000006C30000}"/>
    <cellStyle name="Финансовый 6 3 5 2 2" xfId="11160" xr:uid="{00000000-0005-0000-0000-000007C30000}"/>
    <cellStyle name="Финансовый 6 3 5 2 2 2" xfId="23138" xr:uid="{00000000-0005-0000-0000-000008C30000}"/>
    <cellStyle name="Финансовый 6 3 5 2 2 2 2" xfId="47093" xr:uid="{00000000-0005-0000-0000-000009C30000}"/>
    <cellStyle name="Финансовый 6 3 5 2 2 3" xfId="35115" xr:uid="{00000000-0005-0000-0000-00000AC30000}"/>
    <cellStyle name="Финансовый 6 3 5 2 3" xfId="15391" xr:uid="{00000000-0005-0000-0000-00000BC30000}"/>
    <cellStyle name="Финансовый 6 3 5 2 3 2" xfId="39346" xr:uid="{00000000-0005-0000-0000-00000CC30000}"/>
    <cellStyle name="Финансовый 6 3 5 2 4" xfId="27369" xr:uid="{00000000-0005-0000-0000-00000DC30000}"/>
    <cellStyle name="Финансовый 6 3 5 2 5" xfId="50638" xr:uid="{00000000-0005-0000-0000-00000EC30000}"/>
    <cellStyle name="Финансовый 6 3 5 3" xfId="5195" xr:uid="{00000000-0005-0000-0000-00000FC30000}"/>
    <cellStyle name="Финансовый 6 3 5 3 2" xfId="17173" xr:uid="{00000000-0005-0000-0000-000010C30000}"/>
    <cellStyle name="Финансовый 6 3 5 3 2 2" xfId="41128" xr:uid="{00000000-0005-0000-0000-000011C30000}"/>
    <cellStyle name="Финансовый 6 3 5 3 3" xfId="29150" xr:uid="{00000000-0005-0000-0000-000012C30000}"/>
    <cellStyle name="Финансовый 6 3 5 4" xfId="7805" xr:uid="{00000000-0005-0000-0000-000013C30000}"/>
    <cellStyle name="Финансовый 6 3 5 4 2" xfId="19783" xr:uid="{00000000-0005-0000-0000-000014C30000}"/>
    <cellStyle name="Финансовый 6 3 5 4 2 2" xfId="43738" xr:uid="{00000000-0005-0000-0000-000015C30000}"/>
    <cellStyle name="Финансовый 6 3 5 4 3" xfId="31760" xr:uid="{00000000-0005-0000-0000-000016C30000}"/>
    <cellStyle name="Финансовый 6 3 5 5" xfId="9588" xr:uid="{00000000-0005-0000-0000-000017C30000}"/>
    <cellStyle name="Финансовый 6 3 5 5 2" xfId="21566" xr:uid="{00000000-0005-0000-0000-000018C30000}"/>
    <cellStyle name="Финансовый 6 3 5 5 2 2" xfId="45521" xr:uid="{00000000-0005-0000-0000-000019C30000}"/>
    <cellStyle name="Финансовый 6 3 5 5 3" xfId="33543" xr:uid="{00000000-0005-0000-0000-00001AC30000}"/>
    <cellStyle name="Финансовый 6 3 5 6" xfId="13746" xr:uid="{00000000-0005-0000-0000-00001BC30000}"/>
    <cellStyle name="Финансовый 6 3 5 6 2" xfId="37701" xr:uid="{00000000-0005-0000-0000-00001CC30000}"/>
    <cellStyle name="Финансовый 6 3 5 7" xfId="25724" xr:uid="{00000000-0005-0000-0000-00001DC30000}"/>
    <cellStyle name="Финансовый 6 3 5 8" xfId="48857" xr:uid="{00000000-0005-0000-0000-00001EC30000}"/>
    <cellStyle name="Финансовый 6 3 6" xfId="2412" xr:uid="{00000000-0005-0000-0000-00001FC30000}"/>
    <cellStyle name="Финансовый 6 3 6 2" xfId="4057" xr:uid="{00000000-0005-0000-0000-000020C30000}"/>
    <cellStyle name="Финансовый 6 3 6 2 2" xfId="11789" xr:uid="{00000000-0005-0000-0000-000021C30000}"/>
    <cellStyle name="Финансовый 6 3 6 2 2 2" xfId="23767" xr:uid="{00000000-0005-0000-0000-000022C30000}"/>
    <cellStyle name="Финансовый 6 3 6 2 2 2 2" xfId="47722" xr:uid="{00000000-0005-0000-0000-000023C30000}"/>
    <cellStyle name="Финансовый 6 3 6 2 2 3" xfId="35744" xr:uid="{00000000-0005-0000-0000-000024C30000}"/>
    <cellStyle name="Финансовый 6 3 6 2 3" xfId="16036" xr:uid="{00000000-0005-0000-0000-000025C30000}"/>
    <cellStyle name="Финансовый 6 3 6 2 3 2" xfId="39991" xr:uid="{00000000-0005-0000-0000-000026C30000}"/>
    <cellStyle name="Финансовый 6 3 6 2 4" xfId="28014" xr:uid="{00000000-0005-0000-0000-000027C30000}"/>
    <cellStyle name="Финансовый 6 3 6 2 5" xfId="51283" xr:uid="{00000000-0005-0000-0000-000028C30000}"/>
    <cellStyle name="Финансовый 6 3 6 3" xfId="5840" xr:uid="{00000000-0005-0000-0000-000029C30000}"/>
    <cellStyle name="Финансовый 6 3 6 3 2" xfId="17818" xr:uid="{00000000-0005-0000-0000-00002AC30000}"/>
    <cellStyle name="Финансовый 6 3 6 3 2 2" xfId="41773" xr:uid="{00000000-0005-0000-0000-00002BC30000}"/>
    <cellStyle name="Финансовый 6 3 6 3 3" xfId="29795" xr:uid="{00000000-0005-0000-0000-00002CC30000}"/>
    <cellStyle name="Финансовый 6 3 6 4" xfId="8450" xr:uid="{00000000-0005-0000-0000-00002DC30000}"/>
    <cellStyle name="Финансовый 6 3 6 4 2" xfId="20428" xr:uid="{00000000-0005-0000-0000-00002EC30000}"/>
    <cellStyle name="Финансовый 6 3 6 4 2 2" xfId="44383" xr:uid="{00000000-0005-0000-0000-00002FC30000}"/>
    <cellStyle name="Финансовый 6 3 6 4 3" xfId="32405" xr:uid="{00000000-0005-0000-0000-000030C30000}"/>
    <cellStyle name="Финансовый 6 3 6 5" xfId="10233" xr:uid="{00000000-0005-0000-0000-000031C30000}"/>
    <cellStyle name="Финансовый 6 3 6 5 2" xfId="22211" xr:uid="{00000000-0005-0000-0000-000032C30000}"/>
    <cellStyle name="Финансовый 6 3 6 5 2 2" xfId="46166" xr:uid="{00000000-0005-0000-0000-000033C30000}"/>
    <cellStyle name="Финансовый 6 3 6 5 3" xfId="34188" xr:uid="{00000000-0005-0000-0000-000034C30000}"/>
    <cellStyle name="Финансовый 6 3 6 6" xfId="14391" xr:uid="{00000000-0005-0000-0000-000035C30000}"/>
    <cellStyle name="Финансовый 6 3 6 6 2" xfId="38346" xr:uid="{00000000-0005-0000-0000-000036C30000}"/>
    <cellStyle name="Финансовый 6 3 6 7" xfId="26369" xr:uid="{00000000-0005-0000-0000-000037C30000}"/>
    <cellStyle name="Финансовый 6 3 6 8" xfId="49502" xr:uid="{00000000-0005-0000-0000-000038C30000}"/>
    <cellStyle name="Финансовый 6 3 7" xfId="1639" xr:uid="{00000000-0005-0000-0000-000039C30000}"/>
    <cellStyle name="Финансовый 6 3 7 2" xfId="3284" xr:uid="{00000000-0005-0000-0000-00003AC30000}"/>
    <cellStyle name="Финансовый 6 3 7 2 2" xfId="11032" xr:uid="{00000000-0005-0000-0000-00003BC30000}"/>
    <cellStyle name="Финансовый 6 3 7 2 2 2" xfId="23010" xr:uid="{00000000-0005-0000-0000-00003CC30000}"/>
    <cellStyle name="Финансовый 6 3 7 2 2 2 2" xfId="46965" xr:uid="{00000000-0005-0000-0000-00003DC30000}"/>
    <cellStyle name="Финансовый 6 3 7 2 2 3" xfId="34987" xr:uid="{00000000-0005-0000-0000-00003EC30000}"/>
    <cellStyle name="Финансовый 6 3 7 2 3" xfId="15263" xr:uid="{00000000-0005-0000-0000-00003FC30000}"/>
    <cellStyle name="Финансовый 6 3 7 2 3 2" xfId="39218" xr:uid="{00000000-0005-0000-0000-000040C30000}"/>
    <cellStyle name="Финансовый 6 3 7 2 4" xfId="27241" xr:uid="{00000000-0005-0000-0000-000041C30000}"/>
    <cellStyle name="Финансовый 6 3 7 2 5" xfId="50510" xr:uid="{00000000-0005-0000-0000-000042C30000}"/>
    <cellStyle name="Финансовый 6 3 7 3" xfId="5067" xr:uid="{00000000-0005-0000-0000-000043C30000}"/>
    <cellStyle name="Финансовый 6 3 7 3 2" xfId="17045" xr:uid="{00000000-0005-0000-0000-000044C30000}"/>
    <cellStyle name="Финансовый 6 3 7 3 2 2" xfId="41000" xr:uid="{00000000-0005-0000-0000-000045C30000}"/>
    <cellStyle name="Финансовый 6 3 7 3 3" xfId="29022" xr:uid="{00000000-0005-0000-0000-000046C30000}"/>
    <cellStyle name="Финансовый 6 3 7 4" xfId="7677" xr:uid="{00000000-0005-0000-0000-000047C30000}"/>
    <cellStyle name="Финансовый 6 3 7 4 2" xfId="19655" xr:uid="{00000000-0005-0000-0000-000048C30000}"/>
    <cellStyle name="Финансовый 6 3 7 4 2 2" xfId="43610" xr:uid="{00000000-0005-0000-0000-000049C30000}"/>
    <cellStyle name="Финансовый 6 3 7 4 3" xfId="31632" xr:uid="{00000000-0005-0000-0000-00004AC30000}"/>
    <cellStyle name="Финансовый 6 3 7 5" xfId="9460" xr:uid="{00000000-0005-0000-0000-00004BC30000}"/>
    <cellStyle name="Финансовый 6 3 7 5 2" xfId="21438" xr:uid="{00000000-0005-0000-0000-00004CC30000}"/>
    <cellStyle name="Финансовый 6 3 7 5 2 2" xfId="45393" xr:uid="{00000000-0005-0000-0000-00004DC30000}"/>
    <cellStyle name="Финансовый 6 3 7 5 3" xfId="33415" xr:uid="{00000000-0005-0000-0000-00004EC30000}"/>
    <cellStyle name="Финансовый 6 3 7 6" xfId="13618" xr:uid="{00000000-0005-0000-0000-00004FC30000}"/>
    <cellStyle name="Финансовый 6 3 7 6 2" xfId="37573" xr:uid="{00000000-0005-0000-0000-000050C30000}"/>
    <cellStyle name="Финансовый 6 3 7 7" xfId="25596" xr:uid="{00000000-0005-0000-0000-000051C30000}"/>
    <cellStyle name="Финансовый 6 3 7 8" xfId="48729" xr:uid="{00000000-0005-0000-0000-000052C30000}"/>
    <cellStyle name="Финансовый 6 3 8" xfId="916" xr:uid="{00000000-0005-0000-0000-000053C30000}"/>
    <cellStyle name="Финансовый 6 3 8 2" xfId="6956" xr:uid="{00000000-0005-0000-0000-000054C30000}"/>
    <cellStyle name="Финансовый 6 3 8 2 2" xfId="18934" xr:uid="{00000000-0005-0000-0000-000055C30000}"/>
    <cellStyle name="Финансовый 6 3 8 2 2 2" xfId="42889" xr:uid="{00000000-0005-0000-0000-000056C30000}"/>
    <cellStyle name="Финансовый 6 3 8 2 3" xfId="30911" xr:uid="{00000000-0005-0000-0000-000057C30000}"/>
    <cellStyle name="Финансовый 6 3 8 3" xfId="10504" xr:uid="{00000000-0005-0000-0000-000058C30000}"/>
    <cellStyle name="Финансовый 6 3 8 3 2" xfId="22482" xr:uid="{00000000-0005-0000-0000-000059C30000}"/>
    <cellStyle name="Финансовый 6 3 8 3 2 2" xfId="46437" xr:uid="{00000000-0005-0000-0000-00005AC30000}"/>
    <cellStyle name="Финансовый 6 3 8 3 3" xfId="34459" xr:uid="{00000000-0005-0000-0000-00005BC30000}"/>
    <cellStyle name="Финансовый 6 3 8 4" xfId="12897" xr:uid="{00000000-0005-0000-0000-00005CC30000}"/>
    <cellStyle name="Финансовый 6 3 8 4 2" xfId="36852" xr:uid="{00000000-0005-0000-0000-00005DC30000}"/>
    <cellStyle name="Финансовый 6 3 8 5" xfId="24875" xr:uid="{00000000-0005-0000-0000-00005EC30000}"/>
    <cellStyle name="Финансовый 6 3 8 6" xfId="49781" xr:uid="{00000000-0005-0000-0000-00005FC30000}"/>
    <cellStyle name="Финансовый 6 3 9" xfId="504" xr:uid="{00000000-0005-0000-0000-000060C30000}"/>
    <cellStyle name="Финансовый 6 3 9 2" xfId="6544" xr:uid="{00000000-0005-0000-0000-000061C30000}"/>
    <cellStyle name="Финансовый 6 3 9 2 2" xfId="18522" xr:uid="{00000000-0005-0000-0000-000062C30000}"/>
    <cellStyle name="Финансовый 6 3 9 2 2 2" xfId="42477" xr:uid="{00000000-0005-0000-0000-000063C30000}"/>
    <cellStyle name="Финансовый 6 3 9 2 3" xfId="30499" xr:uid="{00000000-0005-0000-0000-000064C30000}"/>
    <cellStyle name="Финансовый 6 3 9 3" xfId="12485" xr:uid="{00000000-0005-0000-0000-000065C30000}"/>
    <cellStyle name="Финансовый 6 3 9 3 2" xfId="36440" xr:uid="{00000000-0005-0000-0000-000066C30000}"/>
    <cellStyle name="Финансовый 6 3 9 4" xfId="24463" xr:uid="{00000000-0005-0000-0000-000067C30000}"/>
    <cellStyle name="Финансовый 6 4" xfId="175" xr:uid="{00000000-0005-0000-0000-000068C30000}"/>
    <cellStyle name="Финансовый 6 4 10" xfId="8823" xr:uid="{00000000-0005-0000-0000-000069C30000}"/>
    <cellStyle name="Финансовый 6 4 10 2" xfId="20801" xr:uid="{00000000-0005-0000-0000-00006AC30000}"/>
    <cellStyle name="Финансовый 6 4 10 2 2" xfId="44756" xr:uid="{00000000-0005-0000-0000-00006BC30000}"/>
    <cellStyle name="Финансовый 6 4 10 3" xfId="32778" xr:uid="{00000000-0005-0000-0000-00006CC30000}"/>
    <cellStyle name="Финансовый 6 4 11" xfId="12157" xr:uid="{00000000-0005-0000-0000-00006DC30000}"/>
    <cellStyle name="Финансовый 6 4 11 2" xfId="36112" xr:uid="{00000000-0005-0000-0000-00006EC30000}"/>
    <cellStyle name="Финансовый 6 4 12" xfId="24135" xr:uid="{00000000-0005-0000-0000-00006FC30000}"/>
    <cellStyle name="Финансовый 6 4 13" xfId="48093" xr:uid="{00000000-0005-0000-0000-000070C30000}"/>
    <cellStyle name="Финансовый 6 4 2" xfId="1273" xr:uid="{00000000-0005-0000-0000-000071C30000}"/>
    <cellStyle name="Финансовый 6 4 2 2" xfId="2239" xr:uid="{00000000-0005-0000-0000-000072C30000}"/>
    <cellStyle name="Финансовый 6 4 2 2 2" xfId="3884" xr:uid="{00000000-0005-0000-0000-000073C30000}"/>
    <cellStyle name="Финансовый 6 4 2 2 2 2" xfId="11624" xr:uid="{00000000-0005-0000-0000-000074C30000}"/>
    <cellStyle name="Финансовый 6 4 2 2 2 2 2" xfId="23602" xr:uid="{00000000-0005-0000-0000-000075C30000}"/>
    <cellStyle name="Финансовый 6 4 2 2 2 2 2 2" xfId="47557" xr:uid="{00000000-0005-0000-0000-000076C30000}"/>
    <cellStyle name="Финансовый 6 4 2 2 2 2 3" xfId="35579" xr:uid="{00000000-0005-0000-0000-000077C30000}"/>
    <cellStyle name="Финансовый 6 4 2 2 2 3" xfId="15863" xr:uid="{00000000-0005-0000-0000-000078C30000}"/>
    <cellStyle name="Финансовый 6 4 2 2 2 3 2" xfId="39818" xr:uid="{00000000-0005-0000-0000-000079C30000}"/>
    <cellStyle name="Финансовый 6 4 2 2 2 4" xfId="27841" xr:uid="{00000000-0005-0000-0000-00007AC30000}"/>
    <cellStyle name="Финансовый 6 4 2 2 2 5" xfId="51110" xr:uid="{00000000-0005-0000-0000-00007BC30000}"/>
    <cellStyle name="Финансовый 6 4 2 2 3" xfId="5667" xr:uid="{00000000-0005-0000-0000-00007CC30000}"/>
    <cellStyle name="Финансовый 6 4 2 2 3 2" xfId="17645" xr:uid="{00000000-0005-0000-0000-00007DC30000}"/>
    <cellStyle name="Финансовый 6 4 2 2 3 2 2" xfId="41600" xr:uid="{00000000-0005-0000-0000-00007EC30000}"/>
    <cellStyle name="Финансовый 6 4 2 2 3 3" xfId="29622" xr:uid="{00000000-0005-0000-0000-00007FC30000}"/>
    <cellStyle name="Финансовый 6 4 2 2 4" xfId="8277" xr:uid="{00000000-0005-0000-0000-000080C30000}"/>
    <cellStyle name="Финансовый 6 4 2 2 4 2" xfId="20255" xr:uid="{00000000-0005-0000-0000-000081C30000}"/>
    <cellStyle name="Финансовый 6 4 2 2 4 2 2" xfId="44210" xr:uid="{00000000-0005-0000-0000-000082C30000}"/>
    <cellStyle name="Финансовый 6 4 2 2 4 3" xfId="32232" xr:uid="{00000000-0005-0000-0000-000083C30000}"/>
    <cellStyle name="Финансовый 6 4 2 2 5" xfId="10060" xr:uid="{00000000-0005-0000-0000-000084C30000}"/>
    <cellStyle name="Финансовый 6 4 2 2 5 2" xfId="22038" xr:uid="{00000000-0005-0000-0000-000085C30000}"/>
    <cellStyle name="Финансовый 6 4 2 2 5 2 2" xfId="45993" xr:uid="{00000000-0005-0000-0000-000086C30000}"/>
    <cellStyle name="Финансовый 6 4 2 2 5 3" xfId="34015" xr:uid="{00000000-0005-0000-0000-000087C30000}"/>
    <cellStyle name="Финансовый 6 4 2 2 6" xfId="14218" xr:uid="{00000000-0005-0000-0000-000088C30000}"/>
    <cellStyle name="Финансовый 6 4 2 2 6 2" xfId="38173" xr:uid="{00000000-0005-0000-0000-000089C30000}"/>
    <cellStyle name="Финансовый 6 4 2 2 7" xfId="26196" xr:uid="{00000000-0005-0000-0000-00008AC30000}"/>
    <cellStyle name="Финансовый 6 4 2 2 8" xfId="49329" xr:uid="{00000000-0005-0000-0000-00008BC30000}"/>
    <cellStyle name="Финансовый 6 4 2 3" xfId="3057" xr:uid="{00000000-0005-0000-0000-00008CC30000}"/>
    <cellStyle name="Финансовый 6 4 2 3 2" xfId="10852" xr:uid="{00000000-0005-0000-0000-00008DC30000}"/>
    <cellStyle name="Финансовый 6 4 2 3 2 2" xfId="22830" xr:uid="{00000000-0005-0000-0000-00008EC30000}"/>
    <cellStyle name="Финансовый 6 4 2 3 2 2 2" xfId="46785" xr:uid="{00000000-0005-0000-0000-00008FC30000}"/>
    <cellStyle name="Финансовый 6 4 2 3 2 3" xfId="34807" xr:uid="{00000000-0005-0000-0000-000090C30000}"/>
    <cellStyle name="Финансовый 6 4 2 3 3" xfId="15036" xr:uid="{00000000-0005-0000-0000-000091C30000}"/>
    <cellStyle name="Финансовый 6 4 2 3 3 2" xfId="38991" xr:uid="{00000000-0005-0000-0000-000092C30000}"/>
    <cellStyle name="Финансовый 6 4 2 3 4" xfId="27014" xr:uid="{00000000-0005-0000-0000-000093C30000}"/>
    <cellStyle name="Финансовый 6 4 2 3 5" xfId="50145" xr:uid="{00000000-0005-0000-0000-000094C30000}"/>
    <cellStyle name="Финансовый 6 4 2 4" xfId="4701" xr:uid="{00000000-0005-0000-0000-000095C30000}"/>
    <cellStyle name="Финансовый 6 4 2 4 2" xfId="16680" xr:uid="{00000000-0005-0000-0000-000096C30000}"/>
    <cellStyle name="Финансовый 6 4 2 4 2 2" xfId="40635" xr:uid="{00000000-0005-0000-0000-000097C30000}"/>
    <cellStyle name="Финансовый 6 4 2 4 3" xfId="28658" xr:uid="{00000000-0005-0000-0000-000098C30000}"/>
    <cellStyle name="Финансовый 6 4 2 5" xfId="7313" xr:uid="{00000000-0005-0000-0000-000099C30000}"/>
    <cellStyle name="Финансовый 6 4 2 5 2" xfId="19291" xr:uid="{00000000-0005-0000-0000-00009AC30000}"/>
    <cellStyle name="Финансовый 6 4 2 5 2 2" xfId="43246" xr:uid="{00000000-0005-0000-0000-00009BC30000}"/>
    <cellStyle name="Финансовый 6 4 2 5 3" xfId="31268" xr:uid="{00000000-0005-0000-0000-00009CC30000}"/>
    <cellStyle name="Финансовый 6 4 2 6" xfId="9095" xr:uid="{00000000-0005-0000-0000-00009DC30000}"/>
    <cellStyle name="Финансовый 6 4 2 6 2" xfId="21073" xr:uid="{00000000-0005-0000-0000-00009EC30000}"/>
    <cellStyle name="Финансовый 6 4 2 6 2 2" xfId="45028" xr:uid="{00000000-0005-0000-0000-00009FC30000}"/>
    <cellStyle name="Финансовый 6 4 2 6 3" xfId="33050" xr:uid="{00000000-0005-0000-0000-0000A0C30000}"/>
    <cellStyle name="Финансовый 6 4 2 7" xfId="13254" xr:uid="{00000000-0005-0000-0000-0000A1C30000}"/>
    <cellStyle name="Финансовый 6 4 2 7 2" xfId="37209" xr:uid="{00000000-0005-0000-0000-0000A2C30000}"/>
    <cellStyle name="Финансовый 6 4 2 8" xfId="25232" xr:uid="{00000000-0005-0000-0000-0000A3C30000}"/>
    <cellStyle name="Финансовый 6 4 2 9" xfId="48365" xr:uid="{00000000-0005-0000-0000-0000A4C30000}"/>
    <cellStyle name="Финансовый 6 4 3" xfId="1983" xr:uid="{00000000-0005-0000-0000-0000A5C30000}"/>
    <cellStyle name="Финансовый 6 4 3 2" xfId="3628" xr:uid="{00000000-0005-0000-0000-0000A6C30000}"/>
    <cellStyle name="Финансовый 6 4 3 2 2" xfId="11368" xr:uid="{00000000-0005-0000-0000-0000A7C30000}"/>
    <cellStyle name="Финансовый 6 4 3 2 2 2" xfId="23346" xr:uid="{00000000-0005-0000-0000-0000A8C30000}"/>
    <cellStyle name="Финансовый 6 4 3 2 2 2 2" xfId="47301" xr:uid="{00000000-0005-0000-0000-0000A9C30000}"/>
    <cellStyle name="Финансовый 6 4 3 2 2 3" xfId="35323" xr:uid="{00000000-0005-0000-0000-0000AAC30000}"/>
    <cellStyle name="Финансовый 6 4 3 2 3" xfId="15607" xr:uid="{00000000-0005-0000-0000-0000ABC30000}"/>
    <cellStyle name="Финансовый 6 4 3 2 3 2" xfId="39562" xr:uid="{00000000-0005-0000-0000-0000ACC30000}"/>
    <cellStyle name="Финансовый 6 4 3 2 4" xfId="27585" xr:uid="{00000000-0005-0000-0000-0000ADC30000}"/>
    <cellStyle name="Финансовый 6 4 3 2 5" xfId="50854" xr:uid="{00000000-0005-0000-0000-0000AEC30000}"/>
    <cellStyle name="Финансовый 6 4 3 3" xfId="5411" xr:uid="{00000000-0005-0000-0000-0000AFC30000}"/>
    <cellStyle name="Финансовый 6 4 3 3 2" xfId="17389" xr:uid="{00000000-0005-0000-0000-0000B0C30000}"/>
    <cellStyle name="Финансовый 6 4 3 3 2 2" xfId="41344" xr:uid="{00000000-0005-0000-0000-0000B1C30000}"/>
    <cellStyle name="Финансовый 6 4 3 3 3" xfId="29366" xr:uid="{00000000-0005-0000-0000-0000B2C30000}"/>
    <cellStyle name="Финансовый 6 4 3 4" xfId="8021" xr:uid="{00000000-0005-0000-0000-0000B3C30000}"/>
    <cellStyle name="Финансовый 6 4 3 4 2" xfId="19999" xr:uid="{00000000-0005-0000-0000-0000B4C30000}"/>
    <cellStyle name="Финансовый 6 4 3 4 2 2" xfId="43954" xr:uid="{00000000-0005-0000-0000-0000B5C30000}"/>
    <cellStyle name="Финансовый 6 4 3 4 3" xfId="31976" xr:uid="{00000000-0005-0000-0000-0000B6C30000}"/>
    <cellStyle name="Финансовый 6 4 3 5" xfId="9804" xr:uid="{00000000-0005-0000-0000-0000B7C30000}"/>
    <cellStyle name="Финансовый 6 4 3 5 2" xfId="21782" xr:uid="{00000000-0005-0000-0000-0000B8C30000}"/>
    <cellStyle name="Финансовый 6 4 3 5 2 2" xfId="45737" xr:uid="{00000000-0005-0000-0000-0000B9C30000}"/>
    <cellStyle name="Финансовый 6 4 3 5 3" xfId="33759" xr:uid="{00000000-0005-0000-0000-0000BAC30000}"/>
    <cellStyle name="Финансовый 6 4 3 6" xfId="13962" xr:uid="{00000000-0005-0000-0000-0000BBC30000}"/>
    <cellStyle name="Финансовый 6 4 3 6 2" xfId="37917" xr:uid="{00000000-0005-0000-0000-0000BCC30000}"/>
    <cellStyle name="Финансовый 6 4 3 7" xfId="25940" xr:uid="{00000000-0005-0000-0000-0000BDC30000}"/>
    <cellStyle name="Финансовый 6 4 3 8" xfId="49073" xr:uid="{00000000-0005-0000-0000-0000BEC30000}"/>
    <cellStyle name="Финансовый 6 4 4" xfId="2504" xr:uid="{00000000-0005-0000-0000-0000BFC30000}"/>
    <cellStyle name="Финансовый 6 4 4 2" xfId="4149" xr:uid="{00000000-0005-0000-0000-0000C0C30000}"/>
    <cellStyle name="Финансовый 6 4 4 2 2" xfId="11881" xr:uid="{00000000-0005-0000-0000-0000C1C30000}"/>
    <cellStyle name="Финансовый 6 4 4 2 2 2" xfId="23859" xr:uid="{00000000-0005-0000-0000-0000C2C30000}"/>
    <cellStyle name="Финансовый 6 4 4 2 2 2 2" xfId="47814" xr:uid="{00000000-0005-0000-0000-0000C3C30000}"/>
    <cellStyle name="Финансовый 6 4 4 2 2 3" xfId="35836" xr:uid="{00000000-0005-0000-0000-0000C4C30000}"/>
    <cellStyle name="Финансовый 6 4 4 2 3" xfId="16128" xr:uid="{00000000-0005-0000-0000-0000C5C30000}"/>
    <cellStyle name="Финансовый 6 4 4 2 3 2" xfId="40083" xr:uid="{00000000-0005-0000-0000-0000C6C30000}"/>
    <cellStyle name="Финансовый 6 4 4 2 4" xfId="28106" xr:uid="{00000000-0005-0000-0000-0000C7C30000}"/>
    <cellStyle name="Финансовый 6 4 4 2 5" xfId="51375" xr:uid="{00000000-0005-0000-0000-0000C8C30000}"/>
    <cellStyle name="Финансовый 6 4 4 3" xfId="5932" xr:uid="{00000000-0005-0000-0000-0000C9C30000}"/>
    <cellStyle name="Финансовый 6 4 4 3 2" xfId="17910" xr:uid="{00000000-0005-0000-0000-0000CAC30000}"/>
    <cellStyle name="Финансовый 6 4 4 3 2 2" xfId="41865" xr:uid="{00000000-0005-0000-0000-0000CBC30000}"/>
    <cellStyle name="Финансовый 6 4 4 3 3" xfId="29887" xr:uid="{00000000-0005-0000-0000-0000CCC30000}"/>
    <cellStyle name="Финансовый 6 4 4 4" xfId="8542" xr:uid="{00000000-0005-0000-0000-0000CDC30000}"/>
    <cellStyle name="Финансовый 6 4 4 4 2" xfId="20520" xr:uid="{00000000-0005-0000-0000-0000CEC30000}"/>
    <cellStyle name="Финансовый 6 4 4 4 2 2" xfId="44475" xr:uid="{00000000-0005-0000-0000-0000CFC30000}"/>
    <cellStyle name="Финансовый 6 4 4 4 3" xfId="32497" xr:uid="{00000000-0005-0000-0000-0000D0C30000}"/>
    <cellStyle name="Финансовый 6 4 4 5" xfId="10325" xr:uid="{00000000-0005-0000-0000-0000D1C30000}"/>
    <cellStyle name="Финансовый 6 4 4 5 2" xfId="22303" xr:uid="{00000000-0005-0000-0000-0000D2C30000}"/>
    <cellStyle name="Финансовый 6 4 4 5 2 2" xfId="46258" xr:uid="{00000000-0005-0000-0000-0000D3C30000}"/>
    <cellStyle name="Финансовый 6 4 4 5 3" xfId="34280" xr:uid="{00000000-0005-0000-0000-0000D4C30000}"/>
    <cellStyle name="Финансовый 6 4 4 6" xfId="14483" xr:uid="{00000000-0005-0000-0000-0000D5C30000}"/>
    <cellStyle name="Финансовый 6 4 4 6 2" xfId="38438" xr:uid="{00000000-0005-0000-0000-0000D6C30000}"/>
    <cellStyle name="Финансовый 6 4 4 7" xfId="26461" xr:uid="{00000000-0005-0000-0000-0000D7C30000}"/>
    <cellStyle name="Финансовый 6 4 4 8" xfId="49594" xr:uid="{00000000-0005-0000-0000-0000D8C30000}"/>
    <cellStyle name="Финансовый 6 4 5" xfId="1008" xr:uid="{00000000-0005-0000-0000-0000D9C30000}"/>
    <cellStyle name="Финансовый 6 4 5 2" xfId="7048" xr:uid="{00000000-0005-0000-0000-0000DAC30000}"/>
    <cellStyle name="Финансовый 6 4 5 2 2" xfId="19026" xr:uid="{00000000-0005-0000-0000-0000DBC30000}"/>
    <cellStyle name="Финансовый 6 4 5 2 2 2" xfId="42981" xr:uid="{00000000-0005-0000-0000-0000DCC30000}"/>
    <cellStyle name="Финансовый 6 4 5 2 3" xfId="31003" xr:uid="{00000000-0005-0000-0000-0000DDC30000}"/>
    <cellStyle name="Финансовый 6 4 5 3" xfId="10596" xr:uid="{00000000-0005-0000-0000-0000DEC30000}"/>
    <cellStyle name="Финансовый 6 4 5 3 2" xfId="22574" xr:uid="{00000000-0005-0000-0000-0000DFC30000}"/>
    <cellStyle name="Финансовый 6 4 5 3 2 2" xfId="46529" xr:uid="{00000000-0005-0000-0000-0000E0C30000}"/>
    <cellStyle name="Финансовый 6 4 5 3 3" xfId="34551" xr:uid="{00000000-0005-0000-0000-0000E1C30000}"/>
    <cellStyle name="Финансовый 6 4 5 4" xfId="12989" xr:uid="{00000000-0005-0000-0000-0000E2C30000}"/>
    <cellStyle name="Финансовый 6 4 5 4 2" xfId="36944" xr:uid="{00000000-0005-0000-0000-0000E3C30000}"/>
    <cellStyle name="Финансовый 6 4 5 5" xfId="24967" xr:uid="{00000000-0005-0000-0000-0000E4C30000}"/>
    <cellStyle name="Финансовый 6 4 5 6" xfId="49873" xr:uid="{00000000-0005-0000-0000-0000E5C30000}"/>
    <cellStyle name="Финансовый 6 4 6" xfId="596" xr:uid="{00000000-0005-0000-0000-0000E6C30000}"/>
    <cellStyle name="Финансовый 6 4 6 2" xfId="6636" xr:uid="{00000000-0005-0000-0000-0000E7C30000}"/>
    <cellStyle name="Финансовый 6 4 6 2 2" xfId="18614" xr:uid="{00000000-0005-0000-0000-0000E8C30000}"/>
    <cellStyle name="Финансовый 6 4 6 2 2 2" xfId="42569" xr:uid="{00000000-0005-0000-0000-0000E9C30000}"/>
    <cellStyle name="Финансовый 6 4 6 2 3" xfId="30591" xr:uid="{00000000-0005-0000-0000-0000EAC30000}"/>
    <cellStyle name="Финансовый 6 4 6 3" xfId="12577" xr:uid="{00000000-0005-0000-0000-0000EBC30000}"/>
    <cellStyle name="Финансовый 6 4 6 3 2" xfId="36532" xr:uid="{00000000-0005-0000-0000-0000ECC30000}"/>
    <cellStyle name="Финансовый 6 4 6 4" xfId="24555" xr:uid="{00000000-0005-0000-0000-0000EDC30000}"/>
    <cellStyle name="Финансовый 6 4 7" xfId="2785" xr:uid="{00000000-0005-0000-0000-0000EEC30000}"/>
    <cellStyle name="Финансовый 6 4 7 2" xfId="14764" xr:uid="{00000000-0005-0000-0000-0000EFC30000}"/>
    <cellStyle name="Финансовый 6 4 7 2 2" xfId="38719" xr:uid="{00000000-0005-0000-0000-0000F0C30000}"/>
    <cellStyle name="Финансовый 6 4 7 3" xfId="26742" xr:uid="{00000000-0005-0000-0000-0000F1C30000}"/>
    <cellStyle name="Финансовый 6 4 8" xfId="4429" xr:uid="{00000000-0005-0000-0000-0000F2C30000}"/>
    <cellStyle name="Финансовый 6 4 8 2" xfId="16408" xr:uid="{00000000-0005-0000-0000-0000F3C30000}"/>
    <cellStyle name="Финансовый 6 4 8 2 2" xfId="40363" xr:uid="{00000000-0005-0000-0000-0000F4C30000}"/>
    <cellStyle name="Финансовый 6 4 8 3" xfId="28386" xr:uid="{00000000-0005-0000-0000-0000F5C30000}"/>
    <cellStyle name="Финансовый 6 4 9" xfId="6216" xr:uid="{00000000-0005-0000-0000-0000F6C30000}"/>
    <cellStyle name="Финансовый 6 4 9 2" xfId="18194" xr:uid="{00000000-0005-0000-0000-0000F7C30000}"/>
    <cellStyle name="Финансовый 6 4 9 2 2" xfId="42149" xr:uid="{00000000-0005-0000-0000-0000F8C30000}"/>
    <cellStyle name="Финансовый 6 4 9 3" xfId="30171" xr:uid="{00000000-0005-0000-0000-0000F9C30000}"/>
    <cellStyle name="Финансовый 6 5" xfId="324" xr:uid="{00000000-0005-0000-0000-0000FAC30000}"/>
    <cellStyle name="Финансовый 6 5 10" xfId="24283" xr:uid="{00000000-0005-0000-0000-0000FBC30000}"/>
    <cellStyle name="Финансовый 6 5 11" xfId="48229" xr:uid="{00000000-0005-0000-0000-0000FCC30000}"/>
    <cellStyle name="Финансовый 6 5 2" xfId="2111" xr:uid="{00000000-0005-0000-0000-0000FDC30000}"/>
    <cellStyle name="Финансовый 6 5 2 2" xfId="3756" xr:uid="{00000000-0005-0000-0000-0000FEC30000}"/>
    <cellStyle name="Финансовый 6 5 2 2 2" xfId="11496" xr:uid="{00000000-0005-0000-0000-0000FFC30000}"/>
    <cellStyle name="Финансовый 6 5 2 2 2 2" xfId="23474" xr:uid="{00000000-0005-0000-0000-000000C40000}"/>
    <cellStyle name="Финансовый 6 5 2 2 2 2 2" xfId="47429" xr:uid="{00000000-0005-0000-0000-000001C40000}"/>
    <cellStyle name="Финансовый 6 5 2 2 2 3" xfId="35451" xr:uid="{00000000-0005-0000-0000-000002C40000}"/>
    <cellStyle name="Финансовый 6 5 2 2 3" xfId="15735" xr:uid="{00000000-0005-0000-0000-000003C40000}"/>
    <cellStyle name="Финансовый 6 5 2 2 3 2" xfId="39690" xr:uid="{00000000-0005-0000-0000-000004C40000}"/>
    <cellStyle name="Финансовый 6 5 2 2 4" xfId="27713" xr:uid="{00000000-0005-0000-0000-000005C40000}"/>
    <cellStyle name="Финансовый 6 5 2 2 5" xfId="50982" xr:uid="{00000000-0005-0000-0000-000006C40000}"/>
    <cellStyle name="Финансовый 6 5 2 3" xfId="5539" xr:uid="{00000000-0005-0000-0000-000007C40000}"/>
    <cellStyle name="Финансовый 6 5 2 3 2" xfId="17517" xr:uid="{00000000-0005-0000-0000-000008C40000}"/>
    <cellStyle name="Финансовый 6 5 2 3 2 2" xfId="41472" xr:uid="{00000000-0005-0000-0000-000009C40000}"/>
    <cellStyle name="Финансовый 6 5 2 3 3" xfId="29494" xr:uid="{00000000-0005-0000-0000-00000AC40000}"/>
    <cellStyle name="Финансовый 6 5 2 4" xfId="8149" xr:uid="{00000000-0005-0000-0000-00000BC40000}"/>
    <cellStyle name="Финансовый 6 5 2 4 2" xfId="20127" xr:uid="{00000000-0005-0000-0000-00000CC40000}"/>
    <cellStyle name="Финансовый 6 5 2 4 2 2" xfId="44082" xr:uid="{00000000-0005-0000-0000-00000DC40000}"/>
    <cellStyle name="Финансовый 6 5 2 4 3" xfId="32104" xr:uid="{00000000-0005-0000-0000-00000EC40000}"/>
    <cellStyle name="Финансовый 6 5 2 5" xfId="9932" xr:uid="{00000000-0005-0000-0000-00000FC40000}"/>
    <cellStyle name="Финансовый 6 5 2 5 2" xfId="21910" xr:uid="{00000000-0005-0000-0000-000010C40000}"/>
    <cellStyle name="Финансовый 6 5 2 5 2 2" xfId="45865" xr:uid="{00000000-0005-0000-0000-000011C40000}"/>
    <cellStyle name="Финансовый 6 5 2 5 3" xfId="33887" xr:uid="{00000000-0005-0000-0000-000012C40000}"/>
    <cellStyle name="Финансовый 6 5 2 6" xfId="14090" xr:uid="{00000000-0005-0000-0000-000013C40000}"/>
    <cellStyle name="Финансовый 6 5 2 6 2" xfId="38045" xr:uid="{00000000-0005-0000-0000-000014C40000}"/>
    <cellStyle name="Финансовый 6 5 2 7" xfId="26068" xr:uid="{00000000-0005-0000-0000-000015C40000}"/>
    <cellStyle name="Финансовый 6 5 2 8" xfId="49201" xr:uid="{00000000-0005-0000-0000-000016C40000}"/>
    <cellStyle name="Финансовый 6 5 3" xfId="1144" xr:uid="{00000000-0005-0000-0000-000017C40000}"/>
    <cellStyle name="Финансовый 6 5 3 2" xfId="7184" xr:uid="{00000000-0005-0000-0000-000018C40000}"/>
    <cellStyle name="Финансовый 6 5 3 2 2" xfId="19162" xr:uid="{00000000-0005-0000-0000-000019C40000}"/>
    <cellStyle name="Финансовый 6 5 3 2 2 2" xfId="43117" xr:uid="{00000000-0005-0000-0000-00001AC40000}"/>
    <cellStyle name="Финансовый 6 5 3 2 3" xfId="31139" xr:uid="{00000000-0005-0000-0000-00001BC40000}"/>
    <cellStyle name="Финансовый 6 5 3 3" xfId="10724" xr:uid="{00000000-0005-0000-0000-00001CC40000}"/>
    <cellStyle name="Финансовый 6 5 3 3 2" xfId="22702" xr:uid="{00000000-0005-0000-0000-00001DC40000}"/>
    <cellStyle name="Финансовый 6 5 3 3 2 2" xfId="46657" xr:uid="{00000000-0005-0000-0000-00001EC40000}"/>
    <cellStyle name="Финансовый 6 5 3 3 3" xfId="34679" xr:uid="{00000000-0005-0000-0000-00001FC40000}"/>
    <cellStyle name="Финансовый 6 5 3 4" xfId="13125" xr:uid="{00000000-0005-0000-0000-000020C40000}"/>
    <cellStyle name="Финансовый 6 5 3 4 2" xfId="37080" xr:uid="{00000000-0005-0000-0000-000021C40000}"/>
    <cellStyle name="Финансовый 6 5 3 5" xfId="25103" xr:uid="{00000000-0005-0000-0000-000022C40000}"/>
    <cellStyle name="Финансовый 6 5 3 6" xfId="50009" xr:uid="{00000000-0005-0000-0000-000023C40000}"/>
    <cellStyle name="Финансовый 6 5 4" xfId="744" xr:uid="{00000000-0005-0000-0000-000024C40000}"/>
    <cellStyle name="Финансовый 6 5 4 2" xfId="6784" xr:uid="{00000000-0005-0000-0000-000025C40000}"/>
    <cellStyle name="Финансовый 6 5 4 2 2" xfId="18762" xr:uid="{00000000-0005-0000-0000-000026C40000}"/>
    <cellStyle name="Финансовый 6 5 4 2 2 2" xfId="42717" xr:uid="{00000000-0005-0000-0000-000027C40000}"/>
    <cellStyle name="Финансовый 6 5 4 2 3" xfId="30739" xr:uid="{00000000-0005-0000-0000-000028C40000}"/>
    <cellStyle name="Финансовый 6 5 4 3" xfId="12725" xr:uid="{00000000-0005-0000-0000-000029C40000}"/>
    <cellStyle name="Финансовый 6 5 4 3 2" xfId="36680" xr:uid="{00000000-0005-0000-0000-00002AC40000}"/>
    <cellStyle name="Финансовый 6 5 4 4" xfId="24703" xr:uid="{00000000-0005-0000-0000-00002BC40000}"/>
    <cellStyle name="Финансовый 6 5 5" xfId="2921" xr:uid="{00000000-0005-0000-0000-00002CC40000}"/>
    <cellStyle name="Финансовый 6 5 5 2" xfId="14900" xr:uid="{00000000-0005-0000-0000-00002DC40000}"/>
    <cellStyle name="Финансовый 6 5 5 2 2" xfId="38855" xr:uid="{00000000-0005-0000-0000-00002EC40000}"/>
    <cellStyle name="Финансовый 6 5 5 3" xfId="26878" xr:uid="{00000000-0005-0000-0000-00002FC40000}"/>
    <cellStyle name="Финансовый 6 5 6" xfId="4565" xr:uid="{00000000-0005-0000-0000-000030C40000}"/>
    <cellStyle name="Финансовый 6 5 6 2" xfId="16544" xr:uid="{00000000-0005-0000-0000-000031C40000}"/>
    <cellStyle name="Финансовый 6 5 6 2 2" xfId="40499" xr:uid="{00000000-0005-0000-0000-000032C40000}"/>
    <cellStyle name="Финансовый 6 5 6 3" xfId="28522" xr:uid="{00000000-0005-0000-0000-000033C40000}"/>
    <cellStyle name="Финансовый 6 5 7" xfId="6364" xr:uid="{00000000-0005-0000-0000-000034C40000}"/>
    <cellStyle name="Финансовый 6 5 7 2" xfId="18342" xr:uid="{00000000-0005-0000-0000-000035C40000}"/>
    <cellStyle name="Финансовый 6 5 7 2 2" xfId="42297" xr:uid="{00000000-0005-0000-0000-000036C40000}"/>
    <cellStyle name="Финансовый 6 5 7 3" xfId="30319" xr:uid="{00000000-0005-0000-0000-000037C40000}"/>
    <cellStyle name="Финансовый 6 5 8" xfId="8959" xr:uid="{00000000-0005-0000-0000-000038C40000}"/>
    <cellStyle name="Финансовый 6 5 8 2" xfId="20937" xr:uid="{00000000-0005-0000-0000-000039C40000}"/>
    <cellStyle name="Финансовый 6 5 8 2 2" xfId="44892" xr:uid="{00000000-0005-0000-0000-00003AC40000}"/>
    <cellStyle name="Финансовый 6 5 8 3" xfId="32914" xr:uid="{00000000-0005-0000-0000-00003BC40000}"/>
    <cellStyle name="Финансовый 6 5 9" xfId="12305" xr:uid="{00000000-0005-0000-0000-00003CC40000}"/>
    <cellStyle name="Финансовый 6 5 9 2" xfId="36260" xr:uid="{00000000-0005-0000-0000-00003DC40000}"/>
    <cellStyle name="Финансовый 6 6" xfId="1552" xr:uid="{00000000-0005-0000-0000-00003EC40000}"/>
    <cellStyle name="Финансовый 6 6 2" xfId="1847" xr:uid="{00000000-0005-0000-0000-00003FC40000}"/>
    <cellStyle name="Финансовый 6 6 2 2" xfId="3492" xr:uid="{00000000-0005-0000-0000-000040C40000}"/>
    <cellStyle name="Финансовый 6 6 2 2 2" xfId="11240" xr:uid="{00000000-0005-0000-0000-000041C40000}"/>
    <cellStyle name="Финансовый 6 6 2 2 2 2" xfId="23218" xr:uid="{00000000-0005-0000-0000-000042C40000}"/>
    <cellStyle name="Финансовый 6 6 2 2 2 2 2" xfId="47173" xr:uid="{00000000-0005-0000-0000-000043C40000}"/>
    <cellStyle name="Финансовый 6 6 2 2 2 3" xfId="35195" xr:uid="{00000000-0005-0000-0000-000044C40000}"/>
    <cellStyle name="Финансовый 6 6 2 2 3" xfId="15471" xr:uid="{00000000-0005-0000-0000-000045C40000}"/>
    <cellStyle name="Финансовый 6 6 2 2 3 2" xfId="39426" xr:uid="{00000000-0005-0000-0000-000046C40000}"/>
    <cellStyle name="Финансовый 6 6 2 2 4" xfId="27449" xr:uid="{00000000-0005-0000-0000-000047C40000}"/>
    <cellStyle name="Финансовый 6 6 2 2 5" xfId="50718" xr:uid="{00000000-0005-0000-0000-000048C40000}"/>
    <cellStyle name="Финансовый 6 6 2 3" xfId="5275" xr:uid="{00000000-0005-0000-0000-000049C40000}"/>
    <cellStyle name="Финансовый 6 6 2 3 2" xfId="17253" xr:uid="{00000000-0005-0000-0000-00004AC40000}"/>
    <cellStyle name="Финансовый 6 6 2 3 2 2" xfId="41208" xr:uid="{00000000-0005-0000-0000-00004BC40000}"/>
    <cellStyle name="Финансовый 6 6 2 3 3" xfId="29230" xr:uid="{00000000-0005-0000-0000-00004CC40000}"/>
    <cellStyle name="Финансовый 6 6 2 4" xfId="7885" xr:uid="{00000000-0005-0000-0000-00004DC40000}"/>
    <cellStyle name="Финансовый 6 6 2 4 2" xfId="19863" xr:uid="{00000000-0005-0000-0000-00004EC40000}"/>
    <cellStyle name="Финансовый 6 6 2 4 2 2" xfId="43818" xr:uid="{00000000-0005-0000-0000-00004FC40000}"/>
    <cellStyle name="Финансовый 6 6 2 4 3" xfId="31840" xr:uid="{00000000-0005-0000-0000-000050C40000}"/>
    <cellStyle name="Финансовый 6 6 2 5" xfId="9668" xr:uid="{00000000-0005-0000-0000-000051C40000}"/>
    <cellStyle name="Финансовый 6 6 2 5 2" xfId="21646" xr:uid="{00000000-0005-0000-0000-000052C40000}"/>
    <cellStyle name="Финансовый 6 6 2 5 2 2" xfId="45601" xr:uid="{00000000-0005-0000-0000-000053C40000}"/>
    <cellStyle name="Финансовый 6 6 2 5 3" xfId="33623" xr:uid="{00000000-0005-0000-0000-000054C40000}"/>
    <cellStyle name="Финансовый 6 6 2 6" xfId="13826" xr:uid="{00000000-0005-0000-0000-000055C40000}"/>
    <cellStyle name="Финансовый 6 6 2 6 2" xfId="37781" xr:uid="{00000000-0005-0000-0000-000056C40000}"/>
    <cellStyle name="Финансовый 6 6 2 7" xfId="25804" xr:uid="{00000000-0005-0000-0000-000057C40000}"/>
    <cellStyle name="Финансовый 6 6 2 8" xfId="48937" xr:uid="{00000000-0005-0000-0000-000058C40000}"/>
    <cellStyle name="Финансовый 6 6 3" xfId="4980" xr:uid="{00000000-0005-0000-0000-000059C40000}"/>
    <cellStyle name="Финансовый 6 6 3 2" xfId="16958" xr:uid="{00000000-0005-0000-0000-00005AC40000}"/>
    <cellStyle name="Финансовый 6 6 3 2 2" xfId="40913" xr:uid="{00000000-0005-0000-0000-00005BC40000}"/>
    <cellStyle name="Финансовый 6 6 3 3" xfId="28935" xr:uid="{00000000-0005-0000-0000-00005CC40000}"/>
    <cellStyle name="Финансовый 6 6 3 4" xfId="50423" xr:uid="{00000000-0005-0000-0000-00005DC40000}"/>
    <cellStyle name="Финансовый 6 6 4" xfId="7590" xr:uid="{00000000-0005-0000-0000-00005EC40000}"/>
    <cellStyle name="Финансовый 6 6 4 2" xfId="19568" xr:uid="{00000000-0005-0000-0000-00005FC40000}"/>
    <cellStyle name="Финансовый 6 6 4 2 2" xfId="43523" xr:uid="{00000000-0005-0000-0000-000060C40000}"/>
    <cellStyle name="Финансовый 6 6 4 3" xfId="31545" xr:uid="{00000000-0005-0000-0000-000061C40000}"/>
    <cellStyle name="Финансовый 6 6 5" xfId="9373" xr:uid="{00000000-0005-0000-0000-000062C40000}"/>
    <cellStyle name="Финансовый 6 6 5 2" xfId="21351" xr:uid="{00000000-0005-0000-0000-000063C40000}"/>
    <cellStyle name="Финансовый 6 6 5 2 2" xfId="45306" xr:uid="{00000000-0005-0000-0000-000064C40000}"/>
    <cellStyle name="Финансовый 6 6 5 3" xfId="33328" xr:uid="{00000000-0005-0000-0000-000065C40000}"/>
    <cellStyle name="Финансовый 6 6 6" xfId="13531" xr:uid="{00000000-0005-0000-0000-000066C40000}"/>
    <cellStyle name="Финансовый 6 6 6 2" xfId="37486" xr:uid="{00000000-0005-0000-0000-000067C40000}"/>
    <cellStyle name="Финансовый 6 6 7" xfId="25509" xr:uid="{00000000-0005-0000-0000-000068C40000}"/>
    <cellStyle name="Финансовый 6 6 8" xfId="48642" xr:uid="{00000000-0005-0000-0000-000069C40000}"/>
    <cellStyle name="Финансовый 6 7" xfId="1731" xr:uid="{00000000-0005-0000-0000-00006AC40000}"/>
    <cellStyle name="Финансовый 6 7 2" xfId="3376" xr:uid="{00000000-0005-0000-0000-00006BC40000}"/>
    <cellStyle name="Финансовый 6 7 2 2" xfId="11124" xr:uid="{00000000-0005-0000-0000-00006CC40000}"/>
    <cellStyle name="Финансовый 6 7 2 2 2" xfId="23102" xr:uid="{00000000-0005-0000-0000-00006DC40000}"/>
    <cellStyle name="Финансовый 6 7 2 2 2 2" xfId="47057" xr:uid="{00000000-0005-0000-0000-00006EC40000}"/>
    <cellStyle name="Финансовый 6 7 2 2 3" xfId="35079" xr:uid="{00000000-0005-0000-0000-00006FC40000}"/>
    <cellStyle name="Финансовый 6 7 2 3" xfId="15355" xr:uid="{00000000-0005-0000-0000-000070C40000}"/>
    <cellStyle name="Финансовый 6 7 2 3 2" xfId="39310" xr:uid="{00000000-0005-0000-0000-000071C40000}"/>
    <cellStyle name="Финансовый 6 7 2 4" xfId="27333" xr:uid="{00000000-0005-0000-0000-000072C40000}"/>
    <cellStyle name="Финансовый 6 7 2 5" xfId="50602" xr:uid="{00000000-0005-0000-0000-000073C40000}"/>
    <cellStyle name="Финансовый 6 7 3" xfId="5159" xr:uid="{00000000-0005-0000-0000-000074C40000}"/>
    <cellStyle name="Финансовый 6 7 3 2" xfId="17137" xr:uid="{00000000-0005-0000-0000-000075C40000}"/>
    <cellStyle name="Финансовый 6 7 3 2 2" xfId="41092" xr:uid="{00000000-0005-0000-0000-000076C40000}"/>
    <cellStyle name="Финансовый 6 7 3 3" xfId="29114" xr:uid="{00000000-0005-0000-0000-000077C40000}"/>
    <cellStyle name="Финансовый 6 7 4" xfId="7769" xr:uid="{00000000-0005-0000-0000-000078C40000}"/>
    <cellStyle name="Финансовый 6 7 4 2" xfId="19747" xr:uid="{00000000-0005-0000-0000-000079C40000}"/>
    <cellStyle name="Финансовый 6 7 4 2 2" xfId="43702" xr:uid="{00000000-0005-0000-0000-00007AC40000}"/>
    <cellStyle name="Финансовый 6 7 4 3" xfId="31724" xr:uid="{00000000-0005-0000-0000-00007BC40000}"/>
    <cellStyle name="Финансовый 6 7 5" xfId="9552" xr:uid="{00000000-0005-0000-0000-00007CC40000}"/>
    <cellStyle name="Финансовый 6 7 5 2" xfId="21530" xr:uid="{00000000-0005-0000-0000-00007DC40000}"/>
    <cellStyle name="Финансовый 6 7 5 2 2" xfId="45485" xr:uid="{00000000-0005-0000-0000-00007EC40000}"/>
    <cellStyle name="Финансовый 6 7 5 3" xfId="33507" xr:uid="{00000000-0005-0000-0000-00007FC40000}"/>
    <cellStyle name="Финансовый 6 7 6" xfId="13710" xr:uid="{00000000-0005-0000-0000-000080C40000}"/>
    <cellStyle name="Финансовый 6 7 6 2" xfId="37665" xr:uid="{00000000-0005-0000-0000-000081C40000}"/>
    <cellStyle name="Финансовый 6 7 7" xfId="25688" xr:uid="{00000000-0005-0000-0000-000082C40000}"/>
    <cellStyle name="Финансовый 6 7 8" xfId="48821" xr:uid="{00000000-0005-0000-0000-000083C40000}"/>
    <cellStyle name="Финансовый 6 8" xfId="2367" xr:uid="{00000000-0005-0000-0000-000084C40000}"/>
    <cellStyle name="Финансовый 6 8 2" xfId="4012" xr:uid="{00000000-0005-0000-0000-000085C40000}"/>
    <cellStyle name="Финансовый 6 8 2 2" xfId="11752" xr:uid="{00000000-0005-0000-0000-000086C40000}"/>
    <cellStyle name="Финансовый 6 8 2 2 2" xfId="23730" xr:uid="{00000000-0005-0000-0000-000087C40000}"/>
    <cellStyle name="Финансовый 6 8 2 2 2 2" xfId="47685" xr:uid="{00000000-0005-0000-0000-000088C40000}"/>
    <cellStyle name="Финансовый 6 8 2 2 3" xfId="35707" xr:uid="{00000000-0005-0000-0000-000089C40000}"/>
    <cellStyle name="Финансовый 6 8 2 3" xfId="15991" xr:uid="{00000000-0005-0000-0000-00008AC40000}"/>
    <cellStyle name="Финансовый 6 8 2 3 2" xfId="39946" xr:uid="{00000000-0005-0000-0000-00008BC40000}"/>
    <cellStyle name="Финансовый 6 8 2 4" xfId="27969" xr:uid="{00000000-0005-0000-0000-00008CC40000}"/>
    <cellStyle name="Финансовый 6 8 2 5" xfId="51238" xr:uid="{00000000-0005-0000-0000-00008DC40000}"/>
    <cellStyle name="Финансовый 6 8 3" xfId="5795" xr:uid="{00000000-0005-0000-0000-00008EC40000}"/>
    <cellStyle name="Финансовый 6 8 3 2" xfId="17773" xr:uid="{00000000-0005-0000-0000-00008FC40000}"/>
    <cellStyle name="Финансовый 6 8 3 2 2" xfId="41728" xr:uid="{00000000-0005-0000-0000-000090C40000}"/>
    <cellStyle name="Финансовый 6 8 3 3" xfId="29750" xr:uid="{00000000-0005-0000-0000-000091C40000}"/>
    <cellStyle name="Финансовый 6 8 4" xfId="8405" xr:uid="{00000000-0005-0000-0000-000092C40000}"/>
    <cellStyle name="Финансовый 6 8 4 2" xfId="20383" xr:uid="{00000000-0005-0000-0000-000093C40000}"/>
    <cellStyle name="Финансовый 6 8 4 2 2" xfId="44338" xr:uid="{00000000-0005-0000-0000-000094C40000}"/>
    <cellStyle name="Финансовый 6 8 4 3" xfId="32360" xr:uid="{00000000-0005-0000-0000-000095C40000}"/>
    <cellStyle name="Финансовый 6 8 5" xfId="10188" xr:uid="{00000000-0005-0000-0000-000096C40000}"/>
    <cellStyle name="Финансовый 6 8 5 2" xfId="22166" xr:uid="{00000000-0005-0000-0000-000097C40000}"/>
    <cellStyle name="Финансовый 6 8 5 2 2" xfId="46121" xr:uid="{00000000-0005-0000-0000-000098C40000}"/>
    <cellStyle name="Финансовый 6 8 5 3" xfId="34143" xr:uid="{00000000-0005-0000-0000-000099C40000}"/>
    <cellStyle name="Финансовый 6 8 6" xfId="14346" xr:uid="{00000000-0005-0000-0000-00009AC40000}"/>
    <cellStyle name="Финансовый 6 8 6 2" xfId="38301" xr:uid="{00000000-0005-0000-0000-00009BC40000}"/>
    <cellStyle name="Финансовый 6 8 7" xfId="26324" xr:uid="{00000000-0005-0000-0000-00009CC40000}"/>
    <cellStyle name="Финансовый 6 8 8" xfId="49457" xr:uid="{00000000-0005-0000-0000-00009DC40000}"/>
    <cellStyle name="Финансовый 6 9" xfId="1594" xr:uid="{00000000-0005-0000-0000-00009EC40000}"/>
    <cellStyle name="Финансовый 6 9 2" xfId="3239" xr:uid="{00000000-0005-0000-0000-00009FC40000}"/>
    <cellStyle name="Финансовый 6 9 2 2" xfId="10995" xr:uid="{00000000-0005-0000-0000-0000A0C40000}"/>
    <cellStyle name="Финансовый 6 9 2 2 2" xfId="22973" xr:uid="{00000000-0005-0000-0000-0000A1C40000}"/>
    <cellStyle name="Финансовый 6 9 2 2 2 2" xfId="46928" xr:uid="{00000000-0005-0000-0000-0000A2C40000}"/>
    <cellStyle name="Финансовый 6 9 2 2 3" xfId="34950" xr:uid="{00000000-0005-0000-0000-0000A3C40000}"/>
    <cellStyle name="Финансовый 6 9 2 3" xfId="15218" xr:uid="{00000000-0005-0000-0000-0000A4C40000}"/>
    <cellStyle name="Финансовый 6 9 2 3 2" xfId="39173" xr:uid="{00000000-0005-0000-0000-0000A5C40000}"/>
    <cellStyle name="Финансовый 6 9 2 4" xfId="27196" xr:uid="{00000000-0005-0000-0000-0000A6C40000}"/>
    <cellStyle name="Финансовый 6 9 2 5" xfId="50465" xr:uid="{00000000-0005-0000-0000-0000A7C40000}"/>
    <cellStyle name="Финансовый 6 9 3" xfId="5022" xr:uid="{00000000-0005-0000-0000-0000A8C40000}"/>
    <cellStyle name="Финансовый 6 9 3 2" xfId="17000" xr:uid="{00000000-0005-0000-0000-0000A9C40000}"/>
    <cellStyle name="Финансовый 6 9 3 2 2" xfId="40955" xr:uid="{00000000-0005-0000-0000-0000AAC40000}"/>
    <cellStyle name="Финансовый 6 9 3 3" xfId="28977" xr:uid="{00000000-0005-0000-0000-0000ABC40000}"/>
    <cellStyle name="Финансовый 6 9 4" xfId="7632" xr:uid="{00000000-0005-0000-0000-0000ACC40000}"/>
    <cellStyle name="Финансовый 6 9 4 2" xfId="19610" xr:uid="{00000000-0005-0000-0000-0000ADC40000}"/>
    <cellStyle name="Финансовый 6 9 4 2 2" xfId="43565" xr:uid="{00000000-0005-0000-0000-0000AEC40000}"/>
    <cellStyle name="Финансовый 6 9 4 3" xfId="31587" xr:uid="{00000000-0005-0000-0000-0000AFC40000}"/>
    <cellStyle name="Финансовый 6 9 5" xfId="9415" xr:uid="{00000000-0005-0000-0000-0000B0C40000}"/>
    <cellStyle name="Финансовый 6 9 5 2" xfId="21393" xr:uid="{00000000-0005-0000-0000-0000B1C40000}"/>
    <cellStyle name="Финансовый 6 9 5 2 2" xfId="45348" xr:uid="{00000000-0005-0000-0000-0000B2C40000}"/>
    <cellStyle name="Финансовый 6 9 5 3" xfId="33370" xr:uid="{00000000-0005-0000-0000-0000B3C40000}"/>
    <cellStyle name="Финансовый 6 9 6" xfId="13573" xr:uid="{00000000-0005-0000-0000-0000B4C40000}"/>
    <cellStyle name="Финансовый 6 9 6 2" xfId="37528" xr:uid="{00000000-0005-0000-0000-0000B5C40000}"/>
    <cellStyle name="Финансовый 6 9 7" xfId="25551" xr:uid="{00000000-0005-0000-0000-0000B6C40000}"/>
    <cellStyle name="Финансовый 6 9 8" xfId="48684" xr:uid="{00000000-0005-0000-0000-0000B7C40000}"/>
    <cellStyle name="Финансовый 60" xfId="51493" xr:uid="{00000000-0005-0000-0000-0000B8C40000}"/>
    <cellStyle name="Финансовый 61" xfId="51495" xr:uid="{00000000-0005-0000-0000-0000B9C40000}"/>
    <cellStyle name="Финансовый 7" xfId="89" xr:uid="{00000000-0005-0000-0000-0000BAC40000}"/>
    <cellStyle name="Финансовый 7 10" xfId="2699" xr:uid="{00000000-0005-0000-0000-0000BBC40000}"/>
    <cellStyle name="Финансовый 7 10 2" xfId="14678" xr:uid="{00000000-0005-0000-0000-0000BCC40000}"/>
    <cellStyle name="Финансовый 7 10 2 2" xfId="38633" xr:uid="{00000000-0005-0000-0000-0000BDC40000}"/>
    <cellStyle name="Финансовый 7 10 3" xfId="26656" xr:uid="{00000000-0005-0000-0000-0000BEC40000}"/>
    <cellStyle name="Финансовый 7 11" xfId="4343" xr:uid="{00000000-0005-0000-0000-0000BFC40000}"/>
    <cellStyle name="Финансовый 7 11 2" xfId="16322" xr:uid="{00000000-0005-0000-0000-0000C0C40000}"/>
    <cellStyle name="Финансовый 7 11 2 2" xfId="40277" xr:uid="{00000000-0005-0000-0000-0000C1C40000}"/>
    <cellStyle name="Финансовый 7 11 3" xfId="28300" xr:uid="{00000000-0005-0000-0000-0000C2C40000}"/>
    <cellStyle name="Финансовый 7 12" xfId="6130" xr:uid="{00000000-0005-0000-0000-0000C3C40000}"/>
    <cellStyle name="Финансовый 7 12 2" xfId="18108" xr:uid="{00000000-0005-0000-0000-0000C4C40000}"/>
    <cellStyle name="Финансовый 7 12 2 2" xfId="42063" xr:uid="{00000000-0005-0000-0000-0000C5C40000}"/>
    <cellStyle name="Финансовый 7 12 3" xfId="30085" xr:uid="{00000000-0005-0000-0000-0000C6C40000}"/>
    <cellStyle name="Финансовый 7 13" xfId="8737" xr:uid="{00000000-0005-0000-0000-0000C7C40000}"/>
    <cellStyle name="Финансовый 7 13 2" xfId="20715" xr:uid="{00000000-0005-0000-0000-0000C8C40000}"/>
    <cellStyle name="Финансовый 7 13 2 2" xfId="44670" xr:uid="{00000000-0005-0000-0000-0000C9C40000}"/>
    <cellStyle name="Финансовый 7 13 3" xfId="32692" xr:uid="{00000000-0005-0000-0000-0000CAC40000}"/>
    <cellStyle name="Финансовый 7 14" xfId="12071" xr:uid="{00000000-0005-0000-0000-0000CBC40000}"/>
    <cellStyle name="Финансовый 7 14 2" xfId="36026" xr:uid="{00000000-0005-0000-0000-0000CCC40000}"/>
    <cellStyle name="Финансовый 7 15" xfId="24049" xr:uid="{00000000-0005-0000-0000-0000CDC40000}"/>
    <cellStyle name="Финансовый 7 16" xfId="48007" xr:uid="{00000000-0005-0000-0000-0000CEC40000}"/>
    <cellStyle name="Финансовый 7 2" xfId="225" xr:uid="{00000000-0005-0000-0000-0000CFC40000}"/>
    <cellStyle name="Финансовый 7 2 10" xfId="8873" xr:uid="{00000000-0005-0000-0000-0000D0C40000}"/>
    <cellStyle name="Финансовый 7 2 10 2" xfId="20851" xr:uid="{00000000-0005-0000-0000-0000D1C40000}"/>
    <cellStyle name="Финансовый 7 2 10 2 2" xfId="44806" xr:uid="{00000000-0005-0000-0000-0000D2C40000}"/>
    <cellStyle name="Финансовый 7 2 10 3" xfId="32828" xr:uid="{00000000-0005-0000-0000-0000D3C40000}"/>
    <cellStyle name="Финансовый 7 2 11" xfId="12207" xr:uid="{00000000-0005-0000-0000-0000D4C40000}"/>
    <cellStyle name="Финансовый 7 2 11 2" xfId="36162" xr:uid="{00000000-0005-0000-0000-0000D5C40000}"/>
    <cellStyle name="Финансовый 7 2 12" xfId="24185" xr:uid="{00000000-0005-0000-0000-0000D6C40000}"/>
    <cellStyle name="Финансовый 7 2 13" xfId="48143" xr:uid="{00000000-0005-0000-0000-0000D7C40000}"/>
    <cellStyle name="Финансовый 7 2 2" xfId="1323" xr:uid="{00000000-0005-0000-0000-0000D8C40000}"/>
    <cellStyle name="Финансовый 7 2 2 2" xfId="2281" xr:uid="{00000000-0005-0000-0000-0000D9C40000}"/>
    <cellStyle name="Финансовый 7 2 2 2 2" xfId="3926" xr:uid="{00000000-0005-0000-0000-0000DAC40000}"/>
    <cellStyle name="Финансовый 7 2 2 2 2 2" xfId="11666" xr:uid="{00000000-0005-0000-0000-0000DBC40000}"/>
    <cellStyle name="Финансовый 7 2 2 2 2 2 2" xfId="23644" xr:uid="{00000000-0005-0000-0000-0000DCC40000}"/>
    <cellStyle name="Финансовый 7 2 2 2 2 2 2 2" xfId="47599" xr:uid="{00000000-0005-0000-0000-0000DDC40000}"/>
    <cellStyle name="Финансовый 7 2 2 2 2 2 3" xfId="35621" xr:uid="{00000000-0005-0000-0000-0000DEC40000}"/>
    <cellStyle name="Финансовый 7 2 2 2 2 3" xfId="15905" xr:uid="{00000000-0005-0000-0000-0000DFC40000}"/>
    <cellStyle name="Финансовый 7 2 2 2 2 3 2" xfId="39860" xr:uid="{00000000-0005-0000-0000-0000E0C40000}"/>
    <cellStyle name="Финансовый 7 2 2 2 2 4" xfId="27883" xr:uid="{00000000-0005-0000-0000-0000E1C40000}"/>
    <cellStyle name="Финансовый 7 2 2 2 2 5" xfId="51152" xr:uid="{00000000-0005-0000-0000-0000E2C40000}"/>
    <cellStyle name="Финансовый 7 2 2 2 3" xfId="5709" xr:uid="{00000000-0005-0000-0000-0000E3C40000}"/>
    <cellStyle name="Финансовый 7 2 2 2 3 2" xfId="17687" xr:uid="{00000000-0005-0000-0000-0000E4C40000}"/>
    <cellStyle name="Финансовый 7 2 2 2 3 2 2" xfId="41642" xr:uid="{00000000-0005-0000-0000-0000E5C40000}"/>
    <cellStyle name="Финансовый 7 2 2 2 3 3" xfId="29664" xr:uid="{00000000-0005-0000-0000-0000E6C40000}"/>
    <cellStyle name="Финансовый 7 2 2 2 4" xfId="8319" xr:uid="{00000000-0005-0000-0000-0000E7C40000}"/>
    <cellStyle name="Финансовый 7 2 2 2 4 2" xfId="20297" xr:uid="{00000000-0005-0000-0000-0000E8C40000}"/>
    <cellStyle name="Финансовый 7 2 2 2 4 2 2" xfId="44252" xr:uid="{00000000-0005-0000-0000-0000E9C40000}"/>
    <cellStyle name="Финансовый 7 2 2 2 4 3" xfId="32274" xr:uid="{00000000-0005-0000-0000-0000EAC40000}"/>
    <cellStyle name="Финансовый 7 2 2 2 5" xfId="10102" xr:uid="{00000000-0005-0000-0000-0000EBC40000}"/>
    <cellStyle name="Финансовый 7 2 2 2 5 2" xfId="22080" xr:uid="{00000000-0005-0000-0000-0000ECC40000}"/>
    <cellStyle name="Финансовый 7 2 2 2 5 2 2" xfId="46035" xr:uid="{00000000-0005-0000-0000-0000EDC40000}"/>
    <cellStyle name="Финансовый 7 2 2 2 5 3" xfId="34057" xr:uid="{00000000-0005-0000-0000-0000EEC40000}"/>
    <cellStyle name="Финансовый 7 2 2 2 6" xfId="14260" xr:uid="{00000000-0005-0000-0000-0000EFC40000}"/>
    <cellStyle name="Финансовый 7 2 2 2 6 2" xfId="38215" xr:uid="{00000000-0005-0000-0000-0000F0C40000}"/>
    <cellStyle name="Финансовый 7 2 2 2 7" xfId="26238" xr:uid="{00000000-0005-0000-0000-0000F1C40000}"/>
    <cellStyle name="Финансовый 7 2 2 2 8" xfId="49371" xr:uid="{00000000-0005-0000-0000-0000F2C40000}"/>
    <cellStyle name="Финансовый 7 2 2 3" xfId="3107" xr:uid="{00000000-0005-0000-0000-0000F3C40000}"/>
    <cellStyle name="Финансовый 7 2 2 3 2" xfId="10894" xr:uid="{00000000-0005-0000-0000-0000F4C40000}"/>
    <cellStyle name="Финансовый 7 2 2 3 2 2" xfId="22872" xr:uid="{00000000-0005-0000-0000-0000F5C40000}"/>
    <cellStyle name="Финансовый 7 2 2 3 2 2 2" xfId="46827" xr:uid="{00000000-0005-0000-0000-0000F6C40000}"/>
    <cellStyle name="Финансовый 7 2 2 3 2 3" xfId="34849" xr:uid="{00000000-0005-0000-0000-0000F7C40000}"/>
    <cellStyle name="Финансовый 7 2 2 3 3" xfId="15086" xr:uid="{00000000-0005-0000-0000-0000F8C40000}"/>
    <cellStyle name="Финансовый 7 2 2 3 3 2" xfId="39041" xr:uid="{00000000-0005-0000-0000-0000F9C40000}"/>
    <cellStyle name="Финансовый 7 2 2 3 4" xfId="27064" xr:uid="{00000000-0005-0000-0000-0000FAC40000}"/>
    <cellStyle name="Финансовый 7 2 2 3 5" xfId="50195" xr:uid="{00000000-0005-0000-0000-0000FBC40000}"/>
    <cellStyle name="Финансовый 7 2 2 4" xfId="4751" xr:uid="{00000000-0005-0000-0000-0000FCC40000}"/>
    <cellStyle name="Финансовый 7 2 2 4 2" xfId="16730" xr:uid="{00000000-0005-0000-0000-0000FDC40000}"/>
    <cellStyle name="Финансовый 7 2 2 4 2 2" xfId="40685" xr:uid="{00000000-0005-0000-0000-0000FEC40000}"/>
    <cellStyle name="Финансовый 7 2 2 4 3" xfId="28708" xr:uid="{00000000-0005-0000-0000-0000FFC40000}"/>
    <cellStyle name="Финансовый 7 2 2 5" xfId="7363" xr:uid="{00000000-0005-0000-0000-000000C50000}"/>
    <cellStyle name="Финансовый 7 2 2 5 2" xfId="19341" xr:uid="{00000000-0005-0000-0000-000001C50000}"/>
    <cellStyle name="Финансовый 7 2 2 5 2 2" xfId="43296" xr:uid="{00000000-0005-0000-0000-000002C50000}"/>
    <cellStyle name="Финансовый 7 2 2 5 3" xfId="31318" xr:uid="{00000000-0005-0000-0000-000003C50000}"/>
    <cellStyle name="Финансовый 7 2 2 6" xfId="9145" xr:uid="{00000000-0005-0000-0000-000004C50000}"/>
    <cellStyle name="Финансовый 7 2 2 6 2" xfId="21123" xr:uid="{00000000-0005-0000-0000-000005C50000}"/>
    <cellStyle name="Финансовый 7 2 2 6 2 2" xfId="45078" xr:uid="{00000000-0005-0000-0000-000006C50000}"/>
    <cellStyle name="Финансовый 7 2 2 6 3" xfId="33100" xr:uid="{00000000-0005-0000-0000-000007C50000}"/>
    <cellStyle name="Финансовый 7 2 2 7" xfId="13304" xr:uid="{00000000-0005-0000-0000-000008C50000}"/>
    <cellStyle name="Финансовый 7 2 2 7 2" xfId="37259" xr:uid="{00000000-0005-0000-0000-000009C50000}"/>
    <cellStyle name="Финансовый 7 2 2 8" xfId="25282" xr:uid="{00000000-0005-0000-0000-00000AC50000}"/>
    <cellStyle name="Финансовый 7 2 2 9" xfId="48415" xr:uid="{00000000-0005-0000-0000-00000BC50000}"/>
    <cellStyle name="Финансовый 7 2 3" xfId="2025" xr:uid="{00000000-0005-0000-0000-00000CC50000}"/>
    <cellStyle name="Финансовый 7 2 3 2" xfId="3670" xr:uid="{00000000-0005-0000-0000-00000DC50000}"/>
    <cellStyle name="Финансовый 7 2 3 2 2" xfId="11410" xr:uid="{00000000-0005-0000-0000-00000EC50000}"/>
    <cellStyle name="Финансовый 7 2 3 2 2 2" xfId="23388" xr:uid="{00000000-0005-0000-0000-00000FC50000}"/>
    <cellStyle name="Финансовый 7 2 3 2 2 2 2" xfId="47343" xr:uid="{00000000-0005-0000-0000-000010C50000}"/>
    <cellStyle name="Финансовый 7 2 3 2 2 3" xfId="35365" xr:uid="{00000000-0005-0000-0000-000011C50000}"/>
    <cellStyle name="Финансовый 7 2 3 2 3" xfId="15649" xr:uid="{00000000-0005-0000-0000-000012C50000}"/>
    <cellStyle name="Финансовый 7 2 3 2 3 2" xfId="39604" xr:uid="{00000000-0005-0000-0000-000013C50000}"/>
    <cellStyle name="Финансовый 7 2 3 2 4" xfId="27627" xr:uid="{00000000-0005-0000-0000-000014C50000}"/>
    <cellStyle name="Финансовый 7 2 3 2 5" xfId="50896" xr:uid="{00000000-0005-0000-0000-000015C50000}"/>
    <cellStyle name="Финансовый 7 2 3 3" xfId="5453" xr:uid="{00000000-0005-0000-0000-000016C50000}"/>
    <cellStyle name="Финансовый 7 2 3 3 2" xfId="17431" xr:uid="{00000000-0005-0000-0000-000017C50000}"/>
    <cellStyle name="Финансовый 7 2 3 3 2 2" xfId="41386" xr:uid="{00000000-0005-0000-0000-000018C50000}"/>
    <cellStyle name="Финансовый 7 2 3 3 3" xfId="29408" xr:uid="{00000000-0005-0000-0000-000019C50000}"/>
    <cellStyle name="Финансовый 7 2 3 4" xfId="8063" xr:uid="{00000000-0005-0000-0000-00001AC50000}"/>
    <cellStyle name="Финансовый 7 2 3 4 2" xfId="20041" xr:uid="{00000000-0005-0000-0000-00001BC50000}"/>
    <cellStyle name="Финансовый 7 2 3 4 2 2" xfId="43996" xr:uid="{00000000-0005-0000-0000-00001CC50000}"/>
    <cellStyle name="Финансовый 7 2 3 4 3" xfId="32018" xr:uid="{00000000-0005-0000-0000-00001DC50000}"/>
    <cellStyle name="Финансовый 7 2 3 5" xfId="9846" xr:uid="{00000000-0005-0000-0000-00001EC50000}"/>
    <cellStyle name="Финансовый 7 2 3 5 2" xfId="21824" xr:uid="{00000000-0005-0000-0000-00001FC50000}"/>
    <cellStyle name="Финансовый 7 2 3 5 2 2" xfId="45779" xr:uid="{00000000-0005-0000-0000-000020C50000}"/>
    <cellStyle name="Финансовый 7 2 3 5 3" xfId="33801" xr:uid="{00000000-0005-0000-0000-000021C50000}"/>
    <cellStyle name="Финансовый 7 2 3 6" xfId="14004" xr:uid="{00000000-0005-0000-0000-000022C50000}"/>
    <cellStyle name="Финансовый 7 2 3 6 2" xfId="37959" xr:uid="{00000000-0005-0000-0000-000023C50000}"/>
    <cellStyle name="Финансовый 7 2 3 7" xfId="25982" xr:uid="{00000000-0005-0000-0000-000024C50000}"/>
    <cellStyle name="Финансовый 7 2 3 8" xfId="49115" xr:uid="{00000000-0005-0000-0000-000025C50000}"/>
    <cellStyle name="Финансовый 7 2 4" xfId="2554" xr:uid="{00000000-0005-0000-0000-000026C50000}"/>
    <cellStyle name="Финансовый 7 2 4 2" xfId="4199" xr:uid="{00000000-0005-0000-0000-000027C50000}"/>
    <cellStyle name="Финансовый 7 2 4 2 2" xfId="11923" xr:uid="{00000000-0005-0000-0000-000028C50000}"/>
    <cellStyle name="Финансовый 7 2 4 2 2 2" xfId="23901" xr:uid="{00000000-0005-0000-0000-000029C50000}"/>
    <cellStyle name="Финансовый 7 2 4 2 2 2 2" xfId="47856" xr:uid="{00000000-0005-0000-0000-00002AC50000}"/>
    <cellStyle name="Финансовый 7 2 4 2 2 3" xfId="35878" xr:uid="{00000000-0005-0000-0000-00002BC50000}"/>
    <cellStyle name="Финансовый 7 2 4 2 3" xfId="16178" xr:uid="{00000000-0005-0000-0000-00002CC50000}"/>
    <cellStyle name="Финансовый 7 2 4 2 3 2" xfId="40133" xr:uid="{00000000-0005-0000-0000-00002DC50000}"/>
    <cellStyle name="Финансовый 7 2 4 2 4" xfId="28156" xr:uid="{00000000-0005-0000-0000-00002EC50000}"/>
    <cellStyle name="Финансовый 7 2 4 2 5" xfId="51425" xr:uid="{00000000-0005-0000-0000-00002FC50000}"/>
    <cellStyle name="Финансовый 7 2 4 3" xfId="5982" xr:uid="{00000000-0005-0000-0000-000030C50000}"/>
    <cellStyle name="Финансовый 7 2 4 3 2" xfId="17960" xr:uid="{00000000-0005-0000-0000-000031C50000}"/>
    <cellStyle name="Финансовый 7 2 4 3 2 2" xfId="41915" xr:uid="{00000000-0005-0000-0000-000032C50000}"/>
    <cellStyle name="Финансовый 7 2 4 3 3" xfId="29937" xr:uid="{00000000-0005-0000-0000-000033C50000}"/>
    <cellStyle name="Финансовый 7 2 4 4" xfId="8592" xr:uid="{00000000-0005-0000-0000-000034C50000}"/>
    <cellStyle name="Финансовый 7 2 4 4 2" xfId="20570" xr:uid="{00000000-0005-0000-0000-000035C50000}"/>
    <cellStyle name="Финансовый 7 2 4 4 2 2" xfId="44525" xr:uid="{00000000-0005-0000-0000-000036C50000}"/>
    <cellStyle name="Финансовый 7 2 4 4 3" xfId="32547" xr:uid="{00000000-0005-0000-0000-000037C50000}"/>
    <cellStyle name="Финансовый 7 2 4 5" xfId="10375" xr:uid="{00000000-0005-0000-0000-000038C50000}"/>
    <cellStyle name="Финансовый 7 2 4 5 2" xfId="22353" xr:uid="{00000000-0005-0000-0000-000039C50000}"/>
    <cellStyle name="Финансовый 7 2 4 5 2 2" xfId="46308" xr:uid="{00000000-0005-0000-0000-00003AC50000}"/>
    <cellStyle name="Финансовый 7 2 4 5 3" xfId="34330" xr:uid="{00000000-0005-0000-0000-00003BC50000}"/>
    <cellStyle name="Финансовый 7 2 4 6" xfId="14533" xr:uid="{00000000-0005-0000-0000-00003CC50000}"/>
    <cellStyle name="Финансовый 7 2 4 6 2" xfId="38488" xr:uid="{00000000-0005-0000-0000-00003DC50000}"/>
    <cellStyle name="Финансовый 7 2 4 7" xfId="26511" xr:uid="{00000000-0005-0000-0000-00003EC50000}"/>
    <cellStyle name="Финансовый 7 2 4 8" xfId="49644" xr:uid="{00000000-0005-0000-0000-00003FC50000}"/>
    <cellStyle name="Финансовый 7 2 5" xfId="1058" xr:uid="{00000000-0005-0000-0000-000040C50000}"/>
    <cellStyle name="Финансовый 7 2 5 2" xfId="7098" xr:uid="{00000000-0005-0000-0000-000041C50000}"/>
    <cellStyle name="Финансовый 7 2 5 2 2" xfId="19076" xr:uid="{00000000-0005-0000-0000-000042C50000}"/>
    <cellStyle name="Финансовый 7 2 5 2 2 2" xfId="43031" xr:uid="{00000000-0005-0000-0000-000043C50000}"/>
    <cellStyle name="Финансовый 7 2 5 2 3" xfId="31053" xr:uid="{00000000-0005-0000-0000-000044C50000}"/>
    <cellStyle name="Финансовый 7 2 5 3" xfId="10638" xr:uid="{00000000-0005-0000-0000-000045C50000}"/>
    <cellStyle name="Финансовый 7 2 5 3 2" xfId="22616" xr:uid="{00000000-0005-0000-0000-000046C50000}"/>
    <cellStyle name="Финансовый 7 2 5 3 2 2" xfId="46571" xr:uid="{00000000-0005-0000-0000-000047C50000}"/>
    <cellStyle name="Финансовый 7 2 5 3 3" xfId="34593" xr:uid="{00000000-0005-0000-0000-000048C50000}"/>
    <cellStyle name="Финансовый 7 2 5 4" xfId="13039" xr:uid="{00000000-0005-0000-0000-000049C50000}"/>
    <cellStyle name="Финансовый 7 2 5 4 2" xfId="36994" xr:uid="{00000000-0005-0000-0000-00004AC50000}"/>
    <cellStyle name="Финансовый 7 2 5 5" xfId="25017" xr:uid="{00000000-0005-0000-0000-00004BC50000}"/>
    <cellStyle name="Финансовый 7 2 5 6" xfId="49923" xr:uid="{00000000-0005-0000-0000-00004CC50000}"/>
    <cellStyle name="Финансовый 7 2 6" xfId="646" xr:uid="{00000000-0005-0000-0000-00004DC50000}"/>
    <cellStyle name="Финансовый 7 2 6 2" xfId="6686" xr:uid="{00000000-0005-0000-0000-00004EC50000}"/>
    <cellStyle name="Финансовый 7 2 6 2 2" xfId="18664" xr:uid="{00000000-0005-0000-0000-00004FC50000}"/>
    <cellStyle name="Финансовый 7 2 6 2 2 2" xfId="42619" xr:uid="{00000000-0005-0000-0000-000050C50000}"/>
    <cellStyle name="Финансовый 7 2 6 2 3" xfId="30641" xr:uid="{00000000-0005-0000-0000-000051C50000}"/>
    <cellStyle name="Финансовый 7 2 6 3" xfId="12627" xr:uid="{00000000-0005-0000-0000-000052C50000}"/>
    <cellStyle name="Финансовый 7 2 6 3 2" xfId="36582" xr:uid="{00000000-0005-0000-0000-000053C50000}"/>
    <cellStyle name="Финансовый 7 2 6 4" xfId="24605" xr:uid="{00000000-0005-0000-0000-000054C50000}"/>
    <cellStyle name="Финансовый 7 2 7" xfId="2835" xr:uid="{00000000-0005-0000-0000-000055C50000}"/>
    <cellStyle name="Финансовый 7 2 7 2" xfId="14814" xr:uid="{00000000-0005-0000-0000-000056C50000}"/>
    <cellStyle name="Финансовый 7 2 7 2 2" xfId="38769" xr:uid="{00000000-0005-0000-0000-000057C50000}"/>
    <cellStyle name="Финансовый 7 2 7 3" xfId="26792" xr:uid="{00000000-0005-0000-0000-000058C50000}"/>
    <cellStyle name="Финансовый 7 2 8" xfId="4479" xr:uid="{00000000-0005-0000-0000-000059C50000}"/>
    <cellStyle name="Финансовый 7 2 8 2" xfId="16458" xr:uid="{00000000-0005-0000-0000-00005AC50000}"/>
    <cellStyle name="Финансовый 7 2 8 2 2" xfId="40413" xr:uid="{00000000-0005-0000-0000-00005BC50000}"/>
    <cellStyle name="Финансовый 7 2 8 3" xfId="28436" xr:uid="{00000000-0005-0000-0000-00005CC50000}"/>
    <cellStyle name="Финансовый 7 2 9" xfId="6266" xr:uid="{00000000-0005-0000-0000-00005DC50000}"/>
    <cellStyle name="Финансовый 7 2 9 2" xfId="18244" xr:uid="{00000000-0005-0000-0000-00005EC50000}"/>
    <cellStyle name="Финансовый 7 2 9 2 2" xfId="42199" xr:uid="{00000000-0005-0000-0000-00005FC50000}"/>
    <cellStyle name="Финансовый 7 2 9 3" xfId="30221" xr:uid="{00000000-0005-0000-0000-000060C50000}"/>
    <cellStyle name="Финансовый 7 3" xfId="374" xr:uid="{00000000-0005-0000-0000-000061C50000}"/>
    <cellStyle name="Финансовый 7 3 10" xfId="24333" xr:uid="{00000000-0005-0000-0000-000062C50000}"/>
    <cellStyle name="Финансовый 7 3 11" xfId="48279" xr:uid="{00000000-0005-0000-0000-000063C50000}"/>
    <cellStyle name="Финансовый 7 3 2" xfId="2153" xr:uid="{00000000-0005-0000-0000-000064C50000}"/>
    <cellStyle name="Финансовый 7 3 2 2" xfId="3798" xr:uid="{00000000-0005-0000-0000-000065C50000}"/>
    <cellStyle name="Финансовый 7 3 2 2 2" xfId="11538" xr:uid="{00000000-0005-0000-0000-000066C50000}"/>
    <cellStyle name="Финансовый 7 3 2 2 2 2" xfId="23516" xr:uid="{00000000-0005-0000-0000-000067C50000}"/>
    <cellStyle name="Финансовый 7 3 2 2 2 2 2" xfId="47471" xr:uid="{00000000-0005-0000-0000-000068C50000}"/>
    <cellStyle name="Финансовый 7 3 2 2 2 3" xfId="35493" xr:uid="{00000000-0005-0000-0000-000069C50000}"/>
    <cellStyle name="Финансовый 7 3 2 2 3" xfId="15777" xr:uid="{00000000-0005-0000-0000-00006AC50000}"/>
    <cellStyle name="Финансовый 7 3 2 2 3 2" xfId="39732" xr:uid="{00000000-0005-0000-0000-00006BC50000}"/>
    <cellStyle name="Финансовый 7 3 2 2 4" xfId="27755" xr:uid="{00000000-0005-0000-0000-00006CC50000}"/>
    <cellStyle name="Финансовый 7 3 2 2 5" xfId="51024" xr:uid="{00000000-0005-0000-0000-00006DC50000}"/>
    <cellStyle name="Финансовый 7 3 2 3" xfId="5581" xr:uid="{00000000-0005-0000-0000-00006EC50000}"/>
    <cellStyle name="Финансовый 7 3 2 3 2" xfId="17559" xr:uid="{00000000-0005-0000-0000-00006FC50000}"/>
    <cellStyle name="Финансовый 7 3 2 3 2 2" xfId="41514" xr:uid="{00000000-0005-0000-0000-000070C50000}"/>
    <cellStyle name="Финансовый 7 3 2 3 3" xfId="29536" xr:uid="{00000000-0005-0000-0000-000071C50000}"/>
    <cellStyle name="Финансовый 7 3 2 4" xfId="8191" xr:uid="{00000000-0005-0000-0000-000072C50000}"/>
    <cellStyle name="Финансовый 7 3 2 4 2" xfId="20169" xr:uid="{00000000-0005-0000-0000-000073C50000}"/>
    <cellStyle name="Финансовый 7 3 2 4 2 2" xfId="44124" xr:uid="{00000000-0005-0000-0000-000074C50000}"/>
    <cellStyle name="Финансовый 7 3 2 4 3" xfId="32146" xr:uid="{00000000-0005-0000-0000-000075C50000}"/>
    <cellStyle name="Финансовый 7 3 2 5" xfId="9974" xr:uid="{00000000-0005-0000-0000-000076C50000}"/>
    <cellStyle name="Финансовый 7 3 2 5 2" xfId="21952" xr:uid="{00000000-0005-0000-0000-000077C50000}"/>
    <cellStyle name="Финансовый 7 3 2 5 2 2" xfId="45907" xr:uid="{00000000-0005-0000-0000-000078C50000}"/>
    <cellStyle name="Финансовый 7 3 2 5 3" xfId="33929" xr:uid="{00000000-0005-0000-0000-000079C50000}"/>
    <cellStyle name="Финансовый 7 3 2 6" xfId="14132" xr:uid="{00000000-0005-0000-0000-00007AC50000}"/>
    <cellStyle name="Финансовый 7 3 2 6 2" xfId="38087" xr:uid="{00000000-0005-0000-0000-00007BC50000}"/>
    <cellStyle name="Финансовый 7 3 2 7" xfId="26110" xr:uid="{00000000-0005-0000-0000-00007CC50000}"/>
    <cellStyle name="Финансовый 7 3 2 8" xfId="49243" xr:uid="{00000000-0005-0000-0000-00007DC50000}"/>
    <cellStyle name="Финансовый 7 3 3" xfId="1187" xr:uid="{00000000-0005-0000-0000-00007EC50000}"/>
    <cellStyle name="Финансовый 7 3 3 2" xfId="7227" xr:uid="{00000000-0005-0000-0000-00007FC50000}"/>
    <cellStyle name="Финансовый 7 3 3 2 2" xfId="19205" xr:uid="{00000000-0005-0000-0000-000080C50000}"/>
    <cellStyle name="Финансовый 7 3 3 2 2 2" xfId="43160" xr:uid="{00000000-0005-0000-0000-000081C50000}"/>
    <cellStyle name="Финансовый 7 3 3 2 3" xfId="31182" xr:uid="{00000000-0005-0000-0000-000082C50000}"/>
    <cellStyle name="Финансовый 7 3 3 3" xfId="10766" xr:uid="{00000000-0005-0000-0000-000083C50000}"/>
    <cellStyle name="Финансовый 7 3 3 3 2" xfId="22744" xr:uid="{00000000-0005-0000-0000-000084C50000}"/>
    <cellStyle name="Финансовый 7 3 3 3 2 2" xfId="46699" xr:uid="{00000000-0005-0000-0000-000085C50000}"/>
    <cellStyle name="Финансовый 7 3 3 3 3" xfId="34721" xr:uid="{00000000-0005-0000-0000-000086C50000}"/>
    <cellStyle name="Финансовый 7 3 3 4" xfId="13168" xr:uid="{00000000-0005-0000-0000-000087C50000}"/>
    <cellStyle name="Финансовый 7 3 3 4 2" xfId="37123" xr:uid="{00000000-0005-0000-0000-000088C50000}"/>
    <cellStyle name="Финансовый 7 3 3 5" xfId="25146" xr:uid="{00000000-0005-0000-0000-000089C50000}"/>
    <cellStyle name="Финансовый 7 3 3 6" xfId="50059" xr:uid="{00000000-0005-0000-0000-00008AC50000}"/>
    <cellStyle name="Финансовый 7 3 4" xfId="794" xr:uid="{00000000-0005-0000-0000-00008BC50000}"/>
    <cellStyle name="Финансовый 7 3 4 2" xfId="6834" xr:uid="{00000000-0005-0000-0000-00008CC50000}"/>
    <cellStyle name="Финансовый 7 3 4 2 2" xfId="18812" xr:uid="{00000000-0005-0000-0000-00008DC50000}"/>
    <cellStyle name="Финансовый 7 3 4 2 2 2" xfId="42767" xr:uid="{00000000-0005-0000-0000-00008EC50000}"/>
    <cellStyle name="Финансовый 7 3 4 2 3" xfId="30789" xr:uid="{00000000-0005-0000-0000-00008FC50000}"/>
    <cellStyle name="Финансовый 7 3 4 3" xfId="12775" xr:uid="{00000000-0005-0000-0000-000090C50000}"/>
    <cellStyle name="Финансовый 7 3 4 3 2" xfId="36730" xr:uid="{00000000-0005-0000-0000-000091C50000}"/>
    <cellStyle name="Финансовый 7 3 4 4" xfId="24753" xr:uid="{00000000-0005-0000-0000-000092C50000}"/>
    <cellStyle name="Финансовый 7 3 5" xfId="2971" xr:uid="{00000000-0005-0000-0000-000093C50000}"/>
    <cellStyle name="Финансовый 7 3 5 2" xfId="14950" xr:uid="{00000000-0005-0000-0000-000094C50000}"/>
    <cellStyle name="Финансовый 7 3 5 2 2" xfId="38905" xr:uid="{00000000-0005-0000-0000-000095C50000}"/>
    <cellStyle name="Финансовый 7 3 5 3" xfId="26928" xr:uid="{00000000-0005-0000-0000-000096C50000}"/>
    <cellStyle name="Финансовый 7 3 6" xfId="4615" xr:uid="{00000000-0005-0000-0000-000097C50000}"/>
    <cellStyle name="Финансовый 7 3 6 2" xfId="16594" xr:uid="{00000000-0005-0000-0000-000098C50000}"/>
    <cellStyle name="Финансовый 7 3 6 2 2" xfId="40549" xr:uid="{00000000-0005-0000-0000-000099C50000}"/>
    <cellStyle name="Финансовый 7 3 6 3" xfId="28572" xr:uid="{00000000-0005-0000-0000-00009AC50000}"/>
    <cellStyle name="Финансовый 7 3 7" xfId="6414" xr:uid="{00000000-0005-0000-0000-00009BC50000}"/>
    <cellStyle name="Финансовый 7 3 7 2" xfId="18392" xr:uid="{00000000-0005-0000-0000-00009CC50000}"/>
    <cellStyle name="Финансовый 7 3 7 2 2" xfId="42347" xr:uid="{00000000-0005-0000-0000-00009DC50000}"/>
    <cellStyle name="Финансовый 7 3 7 3" xfId="30369" xr:uid="{00000000-0005-0000-0000-00009EC50000}"/>
    <cellStyle name="Финансовый 7 3 8" xfId="9009" xr:uid="{00000000-0005-0000-0000-00009FC50000}"/>
    <cellStyle name="Финансовый 7 3 8 2" xfId="20987" xr:uid="{00000000-0005-0000-0000-0000A0C50000}"/>
    <cellStyle name="Финансовый 7 3 8 2 2" xfId="44942" xr:uid="{00000000-0005-0000-0000-0000A1C50000}"/>
    <cellStyle name="Финансовый 7 3 8 3" xfId="32964" xr:uid="{00000000-0005-0000-0000-0000A2C50000}"/>
    <cellStyle name="Финансовый 7 3 9" xfId="12355" xr:uid="{00000000-0005-0000-0000-0000A3C50000}"/>
    <cellStyle name="Финансовый 7 3 9 2" xfId="36310" xr:uid="{00000000-0005-0000-0000-0000A4C50000}"/>
    <cellStyle name="Финансовый 7 4" xfId="1554" xr:uid="{00000000-0005-0000-0000-0000A5C50000}"/>
    <cellStyle name="Финансовый 7 4 2" xfId="1897" xr:uid="{00000000-0005-0000-0000-0000A6C50000}"/>
    <cellStyle name="Финансовый 7 4 2 2" xfId="3542" xr:uid="{00000000-0005-0000-0000-0000A7C50000}"/>
    <cellStyle name="Финансовый 7 4 2 2 2" xfId="11282" xr:uid="{00000000-0005-0000-0000-0000A8C50000}"/>
    <cellStyle name="Финансовый 7 4 2 2 2 2" xfId="23260" xr:uid="{00000000-0005-0000-0000-0000A9C50000}"/>
    <cellStyle name="Финансовый 7 4 2 2 2 2 2" xfId="47215" xr:uid="{00000000-0005-0000-0000-0000AAC50000}"/>
    <cellStyle name="Финансовый 7 4 2 2 2 3" xfId="35237" xr:uid="{00000000-0005-0000-0000-0000ABC50000}"/>
    <cellStyle name="Финансовый 7 4 2 2 3" xfId="15521" xr:uid="{00000000-0005-0000-0000-0000ACC50000}"/>
    <cellStyle name="Финансовый 7 4 2 2 3 2" xfId="39476" xr:uid="{00000000-0005-0000-0000-0000ADC50000}"/>
    <cellStyle name="Финансовый 7 4 2 2 4" xfId="27499" xr:uid="{00000000-0005-0000-0000-0000AEC50000}"/>
    <cellStyle name="Финансовый 7 4 2 2 5" xfId="50768" xr:uid="{00000000-0005-0000-0000-0000AFC50000}"/>
    <cellStyle name="Финансовый 7 4 2 3" xfId="5325" xr:uid="{00000000-0005-0000-0000-0000B0C50000}"/>
    <cellStyle name="Финансовый 7 4 2 3 2" xfId="17303" xr:uid="{00000000-0005-0000-0000-0000B1C50000}"/>
    <cellStyle name="Финансовый 7 4 2 3 2 2" xfId="41258" xr:uid="{00000000-0005-0000-0000-0000B2C50000}"/>
    <cellStyle name="Финансовый 7 4 2 3 3" xfId="29280" xr:uid="{00000000-0005-0000-0000-0000B3C50000}"/>
    <cellStyle name="Финансовый 7 4 2 4" xfId="7935" xr:uid="{00000000-0005-0000-0000-0000B4C50000}"/>
    <cellStyle name="Финансовый 7 4 2 4 2" xfId="19913" xr:uid="{00000000-0005-0000-0000-0000B5C50000}"/>
    <cellStyle name="Финансовый 7 4 2 4 2 2" xfId="43868" xr:uid="{00000000-0005-0000-0000-0000B6C50000}"/>
    <cellStyle name="Финансовый 7 4 2 4 3" xfId="31890" xr:uid="{00000000-0005-0000-0000-0000B7C50000}"/>
    <cellStyle name="Финансовый 7 4 2 5" xfId="9718" xr:uid="{00000000-0005-0000-0000-0000B8C50000}"/>
    <cellStyle name="Финансовый 7 4 2 5 2" xfId="21696" xr:uid="{00000000-0005-0000-0000-0000B9C50000}"/>
    <cellStyle name="Финансовый 7 4 2 5 2 2" xfId="45651" xr:uid="{00000000-0005-0000-0000-0000BAC50000}"/>
    <cellStyle name="Финансовый 7 4 2 5 3" xfId="33673" xr:uid="{00000000-0005-0000-0000-0000BBC50000}"/>
    <cellStyle name="Финансовый 7 4 2 6" xfId="13876" xr:uid="{00000000-0005-0000-0000-0000BCC50000}"/>
    <cellStyle name="Финансовый 7 4 2 6 2" xfId="37831" xr:uid="{00000000-0005-0000-0000-0000BDC50000}"/>
    <cellStyle name="Финансовый 7 4 2 7" xfId="25854" xr:uid="{00000000-0005-0000-0000-0000BEC50000}"/>
    <cellStyle name="Финансовый 7 4 2 8" xfId="48987" xr:uid="{00000000-0005-0000-0000-0000BFC50000}"/>
    <cellStyle name="Финансовый 7 4 3" xfId="4982" xr:uid="{00000000-0005-0000-0000-0000C0C50000}"/>
    <cellStyle name="Финансовый 7 4 3 2" xfId="16960" xr:uid="{00000000-0005-0000-0000-0000C1C50000}"/>
    <cellStyle name="Финансовый 7 4 3 2 2" xfId="40915" xr:uid="{00000000-0005-0000-0000-0000C2C50000}"/>
    <cellStyle name="Финансовый 7 4 3 3" xfId="28937" xr:uid="{00000000-0005-0000-0000-0000C3C50000}"/>
    <cellStyle name="Финансовый 7 4 3 4" xfId="50425" xr:uid="{00000000-0005-0000-0000-0000C4C50000}"/>
    <cellStyle name="Финансовый 7 4 4" xfId="7592" xr:uid="{00000000-0005-0000-0000-0000C5C50000}"/>
    <cellStyle name="Финансовый 7 4 4 2" xfId="19570" xr:uid="{00000000-0005-0000-0000-0000C6C50000}"/>
    <cellStyle name="Финансовый 7 4 4 2 2" xfId="43525" xr:uid="{00000000-0005-0000-0000-0000C7C50000}"/>
    <cellStyle name="Финансовый 7 4 4 3" xfId="31547" xr:uid="{00000000-0005-0000-0000-0000C8C50000}"/>
    <cellStyle name="Финансовый 7 4 5" xfId="9375" xr:uid="{00000000-0005-0000-0000-0000C9C50000}"/>
    <cellStyle name="Финансовый 7 4 5 2" xfId="21353" xr:uid="{00000000-0005-0000-0000-0000CAC50000}"/>
    <cellStyle name="Финансовый 7 4 5 2 2" xfId="45308" xr:uid="{00000000-0005-0000-0000-0000CBC50000}"/>
    <cellStyle name="Финансовый 7 4 5 3" xfId="33330" xr:uid="{00000000-0005-0000-0000-0000CCC50000}"/>
    <cellStyle name="Финансовый 7 4 6" xfId="13533" xr:uid="{00000000-0005-0000-0000-0000CDC50000}"/>
    <cellStyle name="Финансовый 7 4 6 2" xfId="37488" xr:uid="{00000000-0005-0000-0000-0000CEC50000}"/>
    <cellStyle name="Финансовый 7 4 7" xfId="25511" xr:uid="{00000000-0005-0000-0000-0000CFC50000}"/>
    <cellStyle name="Финансовый 7 4 8" xfId="48644" xr:uid="{00000000-0005-0000-0000-0000D0C50000}"/>
    <cellStyle name="Финансовый 7 5" xfId="1773" xr:uid="{00000000-0005-0000-0000-0000D1C50000}"/>
    <cellStyle name="Финансовый 7 5 2" xfId="3418" xr:uid="{00000000-0005-0000-0000-0000D2C50000}"/>
    <cellStyle name="Финансовый 7 5 2 2" xfId="11166" xr:uid="{00000000-0005-0000-0000-0000D3C50000}"/>
    <cellStyle name="Финансовый 7 5 2 2 2" xfId="23144" xr:uid="{00000000-0005-0000-0000-0000D4C50000}"/>
    <cellStyle name="Финансовый 7 5 2 2 2 2" xfId="47099" xr:uid="{00000000-0005-0000-0000-0000D5C50000}"/>
    <cellStyle name="Финансовый 7 5 2 2 3" xfId="35121" xr:uid="{00000000-0005-0000-0000-0000D6C50000}"/>
    <cellStyle name="Финансовый 7 5 2 3" xfId="15397" xr:uid="{00000000-0005-0000-0000-0000D7C50000}"/>
    <cellStyle name="Финансовый 7 5 2 3 2" xfId="39352" xr:uid="{00000000-0005-0000-0000-0000D8C50000}"/>
    <cellStyle name="Финансовый 7 5 2 4" xfId="27375" xr:uid="{00000000-0005-0000-0000-0000D9C50000}"/>
    <cellStyle name="Финансовый 7 5 2 5" xfId="50644" xr:uid="{00000000-0005-0000-0000-0000DAC50000}"/>
    <cellStyle name="Финансовый 7 5 3" xfId="5201" xr:uid="{00000000-0005-0000-0000-0000DBC50000}"/>
    <cellStyle name="Финансовый 7 5 3 2" xfId="17179" xr:uid="{00000000-0005-0000-0000-0000DCC50000}"/>
    <cellStyle name="Финансовый 7 5 3 2 2" xfId="41134" xr:uid="{00000000-0005-0000-0000-0000DDC50000}"/>
    <cellStyle name="Финансовый 7 5 3 3" xfId="29156" xr:uid="{00000000-0005-0000-0000-0000DEC50000}"/>
    <cellStyle name="Финансовый 7 5 4" xfId="7811" xr:uid="{00000000-0005-0000-0000-0000DFC50000}"/>
    <cellStyle name="Финансовый 7 5 4 2" xfId="19789" xr:uid="{00000000-0005-0000-0000-0000E0C50000}"/>
    <cellStyle name="Финансовый 7 5 4 2 2" xfId="43744" xr:uid="{00000000-0005-0000-0000-0000E1C50000}"/>
    <cellStyle name="Финансовый 7 5 4 3" xfId="31766" xr:uid="{00000000-0005-0000-0000-0000E2C50000}"/>
    <cellStyle name="Финансовый 7 5 5" xfId="9594" xr:uid="{00000000-0005-0000-0000-0000E3C50000}"/>
    <cellStyle name="Финансовый 7 5 5 2" xfId="21572" xr:uid="{00000000-0005-0000-0000-0000E4C50000}"/>
    <cellStyle name="Финансовый 7 5 5 2 2" xfId="45527" xr:uid="{00000000-0005-0000-0000-0000E5C50000}"/>
    <cellStyle name="Финансовый 7 5 5 3" xfId="33549" xr:uid="{00000000-0005-0000-0000-0000E6C50000}"/>
    <cellStyle name="Финансовый 7 5 6" xfId="13752" xr:uid="{00000000-0005-0000-0000-0000E7C50000}"/>
    <cellStyle name="Финансовый 7 5 6 2" xfId="37707" xr:uid="{00000000-0005-0000-0000-0000E8C50000}"/>
    <cellStyle name="Финансовый 7 5 7" xfId="25730" xr:uid="{00000000-0005-0000-0000-0000E9C50000}"/>
    <cellStyle name="Финансовый 7 5 8" xfId="48863" xr:uid="{00000000-0005-0000-0000-0000EAC50000}"/>
    <cellStyle name="Финансовый 7 6" xfId="2418" xr:uid="{00000000-0005-0000-0000-0000EBC50000}"/>
    <cellStyle name="Финансовый 7 6 2" xfId="4063" xr:uid="{00000000-0005-0000-0000-0000ECC50000}"/>
    <cellStyle name="Финансовый 7 6 2 2" xfId="11795" xr:uid="{00000000-0005-0000-0000-0000EDC50000}"/>
    <cellStyle name="Финансовый 7 6 2 2 2" xfId="23773" xr:uid="{00000000-0005-0000-0000-0000EEC50000}"/>
    <cellStyle name="Финансовый 7 6 2 2 2 2" xfId="47728" xr:uid="{00000000-0005-0000-0000-0000EFC50000}"/>
    <cellStyle name="Финансовый 7 6 2 2 3" xfId="35750" xr:uid="{00000000-0005-0000-0000-0000F0C50000}"/>
    <cellStyle name="Финансовый 7 6 2 3" xfId="16042" xr:uid="{00000000-0005-0000-0000-0000F1C50000}"/>
    <cellStyle name="Финансовый 7 6 2 3 2" xfId="39997" xr:uid="{00000000-0005-0000-0000-0000F2C50000}"/>
    <cellStyle name="Финансовый 7 6 2 4" xfId="28020" xr:uid="{00000000-0005-0000-0000-0000F3C50000}"/>
    <cellStyle name="Финансовый 7 6 2 5" xfId="51289" xr:uid="{00000000-0005-0000-0000-0000F4C50000}"/>
    <cellStyle name="Финансовый 7 6 3" xfId="5846" xr:uid="{00000000-0005-0000-0000-0000F5C50000}"/>
    <cellStyle name="Финансовый 7 6 3 2" xfId="17824" xr:uid="{00000000-0005-0000-0000-0000F6C50000}"/>
    <cellStyle name="Финансовый 7 6 3 2 2" xfId="41779" xr:uid="{00000000-0005-0000-0000-0000F7C50000}"/>
    <cellStyle name="Финансовый 7 6 3 3" xfId="29801" xr:uid="{00000000-0005-0000-0000-0000F8C50000}"/>
    <cellStyle name="Финансовый 7 6 4" xfId="8456" xr:uid="{00000000-0005-0000-0000-0000F9C50000}"/>
    <cellStyle name="Финансовый 7 6 4 2" xfId="20434" xr:uid="{00000000-0005-0000-0000-0000FAC50000}"/>
    <cellStyle name="Финансовый 7 6 4 2 2" xfId="44389" xr:uid="{00000000-0005-0000-0000-0000FBC50000}"/>
    <cellStyle name="Финансовый 7 6 4 3" xfId="32411" xr:uid="{00000000-0005-0000-0000-0000FCC50000}"/>
    <cellStyle name="Финансовый 7 6 5" xfId="10239" xr:uid="{00000000-0005-0000-0000-0000FDC50000}"/>
    <cellStyle name="Финансовый 7 6 5 2" xfId="22217" xr:uid="{00000000-0005-0000-0000-0000FEC50000}"/>
    <cellStyle name="Финансовый 7 6 5 2 2" xfId="46172" xr:uid="{00000000-0005-0000-0000-0000FFC50000}"/>
    <cellStyle name="Финансовый 7 6 5 3" xfId="34194" xr:uid="{00000000-0005-0000-0000-000000C60000}"/>
    <cellStyle name="Финансовый 7 6 6" xfId="14397" xr:uid="{00000000-0005-0000-0000-000001C60000}"/>
    <cellStyle name="Финансовый 7 6 6 2" xfId="38352" xr:uid="{00000000-0005-0000-0000-000002C60000}"/>
    <cellStyle name="Финансовый 7 6 7" xfId="26375" xr:uid="{00000000-0005-0000-0000-000003C60000}"/>
    <cellStyle name="Финансовый 7 6 8" xfId="49508" xr:uid="{00000000-0005-0000-0000-000004C60000}"/>
    <cellStyle name="Финансовый 7 7" xfId="1645" xr:uid="{00000000-0005-0000-0000-000005C60000}"/>
    <cellStyle name="Финансовый 7 7 2" xfId="3290" xr:uid="{00000000-0005-0000-0000-000006C60000}"/>
    <cellStyle name="Финансовый 7 7 2 2" xfId="11038" xr:uid="{00000000-0005-0000-0000-000007C60000}"/>
    <cellStyle name="Финансовый 7 7 2 2 2" xfId="23016" xr:uid="{00000000-0005-0000-0000-000008C60000}"/>
    <cellStyle name="Финансовый 7 7 2 2 2 2" xfId="46971" xr:uid="{00000000-0005-0000-0000-000009C60000}"/>
    <cellStyle name="Финансовый 7 7 2 2 3" xfId="34993" xr:uid="{00000000-0005-0000-0000-00000AC60000}"/>
    <cellStyle name="Финансовый 7 7 2 3" xfId="15269" xr:uid="{00000000-0005-0000-0000-00000BC60000}"/>
    <cellStyle name="Финансовый 7 7 2 3 2" xfId="39224" xr:uid="{00000000-0005-0000-0000-00000CC60000}"/>
    <cellStyle name="Финансовый 7 7 2 4" xfId="27247" xr:uid="{00000000-0005-0000-0000-00000DC60000}"/>
    <cellStyle name="Финансовый 7 7 2 5" xfId="50516" xr:uid="{00000000-0005-0000-0000-00000EC60000}"/>
    <cellStyle name="Финансовый 7 7 3" xfId="5073" xr:uid="{00000000-0005-0000-0000-00000FC60000}"/>
    <cellStyle name="Финансовый 7 7 3 2" xfId="17051" xr:uid="{00000000-0005-0000-0000-000010C60000}"/>
    <cellStyle name="Финансовый 7 7 3 2 2" xfId="41006" xr:uid="{00000000-0005-0000-0000-000011C60000}"/>
    <cellStyle name="Финансовый 7 7 3 3" xfId="29028" xr:uid="{00000000-0005-0000-0000-000012C60000}"/>
    <cellStyle name="Финансовый 7 7 4" xfId="7683" xr:uid="{00000000-0005-0000-0000-000013C60000}"/>
    <cellStyle name="Финансовый 7 7 4 2" xfId="19661" xr:uid="{00000000-0005-0000-0000-000014C60000}"/>
    <cellStyle name="Финансовый 7 7 4 2 2" xfId="43616" xr:uid="{00000000-0005-0000-0000-000015C60000}"/>
    <cellStyle name="Финансовый 7 7 4 3" xfId="31638" xr:uid="{00000000-0005-0000-0000-000016C60000}"/>
    <cellStyle name="Финансовый 7 7 5" xfId="9466" xr:uid="{00000000-0005-0000-0000-000017C60000}"/>
    <cellStyle name="Финансовый 7 7 5 2" xfId="21444" xr:uid="{00000000-0005-0000-0000-000018C60000}"/>
    <cellStyle name="Финансовый 7 7 5 2 2" xfId="45399" xr:uid="{00000000-0005-0000-0000-000019C60000}"/>
    <cellStyle name="Финансовый 7 7 5 3" xfId="33421" xr:uid="{00000000-0005-0000-0000-00001AC60000}"/>
    <cellStyle name="Финансовый 7 7 6" xfId="13624" xr:uid="{00000000-0005-0000-0000-00001BC60000}"/>
    <cellStyle name="Финансовый 7 7 6 2" xfId="37579" xr:uid="{00000000-0005-0000-0000-00001CC60000}"/>
    <cellStyle name="Финансовый 7 7 7" xfId="25602" xr:uid="{00000000-0005-0000-0000-00001DC60000}"/>
    <cellStyle name="Финансовый 7 7 8" xfId="48735" xr:uid="{00000000-0005-0000-0000-00001EC60000}"/>
    <cellStyle name="Финансовый 7 8" xfId="922" xr:uid="{00000000-0005-0000-0000-00001FC60000}"/>
    <cellStyle name="Финансовый 7 8 2" xfId="6962" xr:uid="{00000000-0005-0000-0000-000020C60000}"/>
    <cellStyle name="Финансовый 7 8 2 2" xfId="18940" xr:uid="{00000000-0005-0000-0000-000021C60000}"/>
    <cellStyle name="Финансовый 7 8 2 2 2" xfId="42895" xr:uid="{00000000-0005-0000-0000-000022C60000}"/>
    <cellStyle name="Финансовый 7 8 2 3" xfId="30917" xr:uid="{00000000-0005-0000-0000-000023C60000}"/>
    <cellStyle name="Финансовый 7 8 3" xfId="10510" xr:uid="{00000000-0005-0000-0000-000024C60000}"/>
    <cellStyle name="Финансовый 7 8 3 2" xfId="22488" xr:uid="{00000000-0005-0000-0000-000025C60000}"/>
    <cellStyle name="Финансовый 7 8 3 2 2" xfId="46443" xr:uid="{00000000-0005-0000-0000-000026C60000}"/>
    <cellStyle name="Финансовый 7 8 3 3" xfId="34465" xr:uid="{00000000-0005-0000-0000-000027C60000}"/>
    <cellStyle name="Финансовый 7 8 4" xfId="12903" xr:uid="{00000000-0005-0000-0000-000028C60000}"/>
    <cellStyle name="Финансовый 7 8 4 2" xfId="36858" xr:uid="{00000000-0005-0000-0000-000029C60000}"/>
    <cellStyle name="Финансовый 7 8 5" xfId="24881" xr:uid="{00000000-0005-0000-0000-00002AC60000}"/>
    <cellStyle name="Финансовый 7 8 6" xfId="49787" xr:uid="{00000000-0005-0000-0000-00002BC60000}"/>
    <cellStyle name="Финансовый 7 9" xfId="510" xr:uid="{00000000-0005-0000-0000-00002CC60000}"/>
    <cellStyle name="Финансовый 7 9 2" xfId="6550" xr:uid="{00000000-0005-0000-0000-00002DC60000}"/>
    <cellStyle name="Финансовый 7 9 2 2" xfId="18528" xr:uid="{00000000-0005-0000-0000-00002EC60000}"/>
    <cellStyle name="Финансовый 7 9 2 2 2" xfId="42483" xr:uid="{00000000-0005-0000-0000-00002FC60000}"/>
    <cellStyle name="Финансовый 7 9 2 3" xfId="30505" xr:uid="{00000000-0005-0000-0000-000030C60000}"/>
    <cellStyle name="Финансовый 7 9 3" xfId="12491" xr:uid="{00000000-0005-0000-0000-000031C60000}"/>
    <cellStyle name="Финансовый 7 9 3 2" xfId="36446" xr:uid="{00000000-0005-0000-0000-000032C60000}"/>
    <cellStyle name="Финансовый 7 9 4" xfId="24469" xr:uid="{00000000-0005-0000-0000-000033C60000}"/>
    <cellStyle name="Финансовый 8" xfId="95" xr:uid="{00000000-0005-0000-0000-000034C60000}"/>
    <cellStyle name="Финансовый 8 10" xfId="2705" xr:uid="{00000000-0005-0000-0000-000035C60000}"/>
    <cellStyle name="Финансовый 8 10 2" xfId="14684" xr:uid="{00000000-0005-0000-0000-000036C60000}"/>
    <cellStyle name="Финансовый 8 10 2 2" xfId="38639" xr:uid="{00000000-0005-0000-0000-000037C60000}"/>
    <cellStyle name="Финансовый 8 10 3" xfId="26662" xr:uid="{00000000-0005-0000-0000-000038C60000}"/>
    <cellStyle name="Финансовый 8 11" xfId="4349" xr:uid="{00000000-0005-0000-0000-000039C60000}"/>
    <cellStyle name="Финансовый 8 11 2" xfId="16328" xr:uid="{00000000-0005-0000-0000-00003AC60000}"/>
    <cellStyle name="Финансовый 8 11 2 2" xfId="40283" xr:uid="{00000000-0005-0000-0000-00003BC60000}"/>
    <cellStyle name="Финансовый 8 11 3" xfId="28306" xr:uid="{00000000-0005-0000-0000-00003CC60000}"/>
    <cellStyle name="Финансовый 8 12" xfId="6136" xr:uid="{00000000-0005-0000-0000-00003DC60000}"/>
    <cellStyle name="Финансовый 8 12 2" xfId="18114" xr:uid="{00000000-0005-0000-0000-00003EC60000}"/>
    <cellStyle name="Финансовый 8 12 2 2" xfId="42069" xr:uid="{00000000-0005-0000-0000-00003FC60000}"/>
    <cellStyle name="Финансовый 8 12 3" xfId="30091" xr:uid="{00000000-0005-0000-0000-000040C60000}"/>
    <cellStyle name="Финансовый 8 13" xfId="8743" xr:uid="{00000000-0005-0000-0000-000041C60000}"/>
    <cellStyle name="Финансовый 8 13 2" xfId="20721" xr:uid="{00000000-0005-0000-0000-000042C60000}"/>
    <cellStyle name="Финансовый 8 13 2 2" xfId="44676" xr:uid="{00000000-0005-0000-0000-000043C60000}"/>
    <cellStyle name="Финансовый 8 13 3" xfId="32698" xr:uid="{00000000-0005-0000-0000-000044C60000}"/>
    <cellStyle name="Финансовый 8 14" xfId="12077" xr:uid="{00000000-0005-0000-0000-000045C60000}"/>
    <cellStyle name="Финансовый 8 14 2" xfId="36032" xr:uid="{00000000-0005-0000-0000-000046C60000}"/>
    <cellStyle name="Финансовый 8 15" xfId="24055" xr:uid="{00000000-0005-0000-0000-000047C60000}"/>
    <cellStyle name="Финансовый 8 16" xfId="48013" xr:uid="{00000000-0005-0000-0000-000048C60000}"/>
    <cellStyle name="Финансовый 8 2" xfId="231" xr:uid="{00000000-0005-0000-0000-000049C60000}"/>
    <cellStyle name="Финансовый 8 2 10" xfId="8879" xr:uid="{00000000-0005-0000-0000-00004AC60000}"/>
    <cellStyle name="Финансовый 8 2 10 2" xfId="20857" xr:uid="{00000000-0005-0000-0000-00004BC60000}"/>
    <cellStyle name="Финансовый 8 2 10 2 2" xfId="44812" xr:uid="{00000000-0005-0000-0000-00004CC60000}"/>
    <cellStyle name="Финансовый 8 2 10 3" xfId="32834" xr:uid="{00000000-0005-0000-0000-00004DC60000}"/>
    <cellStyle name="Финансовый 8 2 11" xfId="12213" xr:uid="{00000000-0005-0000-0000-00004EC60000}"/>
    <cellStyle name="Финансовый 8 2 11 2" xfId="36168" xr:uid="{00000000-0005-0000-0000-00004FC60000}"/>
    <cellStyle name="Финансовый 8 2 12" xfId="24191" xr:uid="{00000000-0005-0000-0000-000050C60000}"/>
    <cellStyle name="Финансовый 8 2 13" xfId="48149" xr:uid="{00000000-0005-0000-0000-000051C60000}"/>
    <cellStyle name="Финансовый 8 2 2" xfId="1329" xr:uid="{00000000-0005-0000-0000-000052C60000}"/>
    <cellStyle name="Финансовый 8 2 2 2" xfId="2287" xr:uid="{00000000-0005-0000-0000-000053C60000}"/>
    <cellStyle name="Финансовый 8 2 2 2 2" xfId="3932" xr:uid="{00000000-0005-0000-0000-000054C60000}"/>
    <cellStyle name="Финансовый 8 2 2 2 2 2" xfId="11672" xr:uid="{00000000-0005-0000-0000-000055C60000}"/>
    <cellStyle name="Финансовый 8 2 2 2 2 2 2" xfId="23650" xr:uid="{00000000-0005-0000-0000-000056C60000}"/>
    <cellStyle name="Финансовый 8 2 2 2 2 2 2 2" xfId="47605" xr:uid="{00000000-0005-0000-0000-000057C60000}"/>
    <cellStyle name="Финансовый 8 2 2 2 2 2 3" xfId="35627" xr:uid="{00000000-0005-0000-0000-000058C60000}"/>
    <cellStyle name="Финансовый 8 2 2 2 2 3" xfId="15911" xr:uid="{00000000-0005-0000-0000-000059C60000}"/>
    <cellStyle name="Финансовый 8 2 2 2 2 3 2" xfId="39866" xr:uid="{00000000-0005-0000-0000-00005AC60000}"/>
    <cellStyle name="Финансовый 8 2 2 2 2 4" xfId="27889" xr:uid="{00000000-0005-0000-0000-00005BC60000}"/>
    <cellStyle name="Финансовый 8 2 2 2 2 5" xfId="51158" xr:uid="{00000000-0005-0000-0000-00005CC60000}"/>
    <cellStyle name="Финансовый 8 2 2 2 3" xfId="5715" xr:uid="{00000000-0005-0000-0000-00005DC60000}"/>
    <cellStyle name="Финансовый 8 2 2 2 3 2" xfId="17693" xr:uid="{00000000-0005-0000-0000-00005EC60000}"/>
    <cellStyle name="Финансовый 8 2 2 2 3 2 2" xfId="41648" xr:uid="{00000000-0005-0000-0000-00005FC60000}"/>
    <cellStyle name="Финансовый 8 2 2 2 3 3" xfId="29670" xr:uid="{00000000-0005-0000-0000-000060C60000}"/>
    <cellStyle name="Финансовый 8 2 2 2 4" xfId="8325" xr:uid="{00000000-0005-0000-0000-000061C60000}"/>
    <cellStyle name="Финансовый 8 2 2 2 4 2" xfId="20303" xr:uid="{00000000-0005-0000-0000-000062C60000}"/>
    <cellStyle name="Финансовый 8 2 2 2 4 2 2" xfId="44258" xr:uid="{00000000-0005-0000-0000-000063C60000}"/>
    <cellStyle name="Финансовый 8 2 2 2 4 3" xfId="32280" xr:uid="{00000000-0005-0000-0000-000064C60000}"/>
    <cellStyle name="Финансовый 8 2 2 2 5" xfId="10108" xr:uid="{00000000-0005-0000-0000-000065C60000}"/>
    <cellStyle name="Финансовый 8 2 2 2 5 2" xfId="22086" xr:uid="{00000000-0005-0000-0000-000066C60000}"/>
    <cellStyle name="Финансовый 8 2 2 2 5 2 2" xfId="46041" xr:uid="{00000000-0005-0000-0000-000067C60000}"/>
    <cellStyle name="Финансовый 8 2 2 2 5 3" xfId="34063" xr:uid="{00000000-0005-0000-0000-000068C60000}"/>
    <cellStyle name="Финансовый 8 2 2 2 6" xfId="14266" xr:uid="{00000000-0005-0000-0000-000069C60000}"/>
    <cellStyle name="Финансовый 8 2 2 2 6 2" xfId="38221" xr:uid="{00000000-0005-0000-0000-00006AC60000}"/>
    <cellStyle name="Финансовый 8 2 2 2 7" xfId="26244" xr:uid="{00000000-0005-0000-0000-00006BC60000}"/>
    <cellStyle name="Финансовый 8 2 2 2 8" xfId="49377" xr:uid="{00000000-0005-0000-0000-00006CC60000}"/>
    <cellStyle name="Финансовый 8 2 2 3" xfId="3113" xr:uid="{00000000-0005-0000-0000-00006DC60000}"/>
    <cellStyle name="Финансовый 8 2 2 3 2" xfId="10900" xr:uid="{00000000-0005-0000-0000-00006EC60000}"/>
    <cellStyle name="Финансовый 8 2 2 3 2 2" xfId="22878" xr:uid="{00000000-0005-0000-0000-00006FC60000}"/>
    <cellStyle name="Финансовый 8 2 2 3 2 2 2" xfId="46833" xr:uid="{00000000-0005-0000-0000-000070C60000}"/>
    <cellStyle name="Финансовый 8 2 2 3 2 3" xfId="34855" xr:uid="{00000000-0005-0000-0000-000071C60000}"/>
    <cellStyle name="Финансовый 8 2 2 3 3" xfId="15092" xr:uid="{00000000-0005-0000-0000-000072C60000}"/>
    <cellStyle name="Финансовый 8 2 2 3 3 2" xfId="39047" xr:uid="{00000000-0005-0000-0000-000073C60000}"/>
    <cellStyle name="Финансовый 8 2 2 3 4" xfId="27070" xr:uid="{00000000-0005-0000-0000-000074C60000}"/>
    <cellStyle name="Финансовый 8 2 2 3 5" xfId="50201" xr:uid="{00000000-0005-0000-0000-000075C60000}"/>
    <cellStyle name="Финансовый 8 2 2 4" xfId="4757" xr:uid="{00000000-0005-0000-0000-000076C60000}"/>
    <cellStyle name="Финансовый 8 2 2 4 2" xfId="16736" xr:uid="{00000000-0005-0000-0000-000077C60000}"/>
    <cellStyle name="Финансовый 8 2 2 4 2 2" xfId="40691" xr:uid="{00000000-0005-0000-0000-000078C60000}"/>
    <cellStyle name="Финансовый 8 2 2 4 3" xfId="28714" xr:uid="{00000000-0005-0000-0000-000079C60000}"/>
    <cellStyle name="Финансовый 8 2 2 5" xfId="7369" xr:uid="{00000000-0005-0000-0000-00007AC60000}"/>
    <cellStyle name="Финансовый 8 2 2 5 2" xfId="19347" xr:uid="{00000000-0005-0000-0000-00007BC60000}"/>
    <cellStyle name="Финансовый 8 2 2 5 2 2" xfId="43302" xr:uid="{00000000-0005-0000-0000-00007CC60000}"/>
    <cellStyle name="Финансовый 8 2 2 5 3" xfId="31324" xr:uid="{00000000-0005-0000-0000-00007DC60000}"/>
    <cellStyle name="Финансовый 8 2 2 6" xfId="9151" xr:uid="{00000000-0005-0000-0000-00007EC60000}"/>
    <cellStyle name="Финансовый 8 2 2 6 2" xfId="21129" xr:uid="{00000000-0005-0000-0000-00007FC60000}"/>
    <cellStyle name="Финансовый 8 2 2 6 2 2" xfId="45084" xr:uid="{00000000-0005-0000-0000-000080C60000}"/>
    <cellStyle name="Финансовый 8 2 2 6 3" xfId="33106" xr:uid="{00000000-0005-0000-0000-000081C60000}"/>
    <cellStyle name="Финансовый 8 2 2 7" xfId="13310" xr:uid="{00000000-0005-0000-0000-000082C60000}"/>
    <cellStyle name="Финансовый 8 2 2 7 2" xfId="37265" xr:uid="{00000000-0005-0000-0000-000083C60000}"/>
    <cellStyle name="Финансовый 8 2 2 8" xfId="25288" xr:uid="{00000000-0005-0000-0000-000084C60000}"/>
    <cellStyle name="Финансовый 8 2 2 9" xfId="48421" xr:uid="{00000000-0005-0000-0000-000085C60000}"/>
    <cellStyle name="Финансовый 8 2 3" xfId="2031" xr:uid="{00000000-0005-0000-0000-000086C60000}"/>
    <cellStyle name="Финансовый 8 2 3 2" xfId="3676" xr:uid="{00000000-0005-0000-0000-000087C60000}"/>
    <cellStyle name="Финансовый 8 2 3 2 2" xfId="11416" xr:uid="{00000000-0005-0000-0000-000088C60000}"/>
    <cellStyle name="Финансовый 8 2 3 2 2 2" xfId="23394" xr:uid="{00000000-0005-0000-0000-000089C60000}"/>
    <cellStyle name="Финансовый 8 2 3 2 2 2 2" xfId="47349" xr:uid="{00000000-0005-0000-0000-00008AC60000}"/>
    <cellStyle name="Финансовый 8 2 3 2 2 3" xfId="35371" xr:uid="{00000000-0005-0000-0000-00008BC60000}"/>
    <cellStyle name="Финансовый 8 2 3 2 3" xfId="15655" xr:uid="{00000000-0005-0000-0000-00008CC60000}"/>
    <cellStyle name="Финансовый 8 2 3 2 3 2" xfId="39610" xr:uid="{00000000-0005-0000-0000-00008DC60000}"/>
    <cellStyle name="Финансовый 8 2 3 2 4" xfId="27633" xr:uid="{00000000-0005-0000-0000-00008EC60000}"/>
    <cellStyle name="Финансовый 8 2 3 2 5" xfId="50902" xr:uid="{00000000-0005-0000-0000-00008FC60000}"/>
    <cellStyle name="Финансовый 8 2 3 3" xfId="5459" xr:uid="{00000000-0005-0000-0000-000090C60000}"/>
    <cellStyle name="Финансовый 8 2 3 3 2" xfId="17437" xr:uid="{00000000-0005-0000-0000-000091C60000}"/>
    <cellStyle name="Финансовый 8 2 3 3 2 2" xfId="41392" xr:uid="{00000000-0005-0000-0000-000092C60000}"/>
    <cellStyle name="Финансовый 8 2 3 3 3" xfId="29414" xr:uid="{00000000-0005-0000-0000-000093C60000}"/>
    <cellStyle name="Финансовый 8 2 3 4" xfId="8069" xr:uid="{00000000-0005-0000-0000-000094C60000}"/>
    <cellStyle name="Финансовый 8 2 3 4 2" xfId="20047" xr:uid="{00000000-0005-0000-0000-000095C60000}"/>
    <cellStyle name="Финансовый 8 2 3 4 2 2" xfId="44002" xr:uid="{00000000-0005-0000-0000-000096C60000}"/>
    <cellStyle name="Финансовый 8 2 3 4 3" xfId="32024" xr:uid="{00000000-0005-0000-0000-000097C60000}"/>
    <cellStyle name="Финансовый 8 2 3 5" xfId="9852" xr:uid="{00000000-0005-0000-0000-000098C60000}"/>
    <cellStyle name="Финансовый 8 2 3 5 2" xfId="21830" xr:uid="{00000000-0005-0000-0000-000099C60000}"/>
    <cellStyle name="Финансовый 8 2 3 5 2 2" xfId="45785" xr:uid="{00000000-0005-0000-0000-00009AC60000}"/>
    <cellStyle name="Финансовый 8 2 3 5 3" xfId="33807" xr:uid="{00000000-0005-0000-0000-00009BC60000}"/>
    <cellStyle name="Финансовый 8 2 3 6" xfId="14010" xr:uid="{00000000-0005-0000-0000-00009CC60000}"/>
    <cellStyle name="Финансовый 8 2 3 6 2" xfId="37965" xr:uid="{00000000-0005-0000-0000-00009DC60000}"/>
    <cellStyle name="Финансовый 8 2 3 7" xfId="25988" xr:uid="{00000000-0005-0000-0000-00009EC60000}"/>
    <cellStyle name="Финансовый 8 2 3 8" xfId="49121" xr:uid="{00000000-0005-0000-0000-00009FC60000}"/>
    <cellStyle name="Финансовый 8 2 4" xfId="2560" xr:uid="{00000000-0005-0000-0000-0000A0C60000}"/>
    <cellStyle name="Финансовый 8 2 4 2" xfId="4205" xr:uid="{00000000-0005-0000-0000-0000A1C60000}"/>
    <cellStyle name="Финансовый 8 2 4 2 2" xfId="11929" xr:uid="{00000000-0005-0000-0000-0000A2C60000}"/>
    <cellStyle name="Финансовый 8 2 4 2 2 2" xfId="23907" xr:uid="{00000000-0005-0000-0000-0000A3C60000}"/>
    <cellStyle name="Финансовый 8 2 4 2 2 2 2" xfId="47862" xr:uid="{00000000-0005-0000-0000-0000A4C60000}"/>
    <cellStyle name="Финансовый 8 2 4 2 2 3" xfId="35884" xr:uid="{00000000-0005-0000-0000-0000A5C60000}"/>
    <cellStyle name="Финансовый 8 2 4 2 3" xfId="16184" xr:uid="{00000000-0005-0000-0000-0000A6C60000}"/>
    <cellStyle name="Финансовый 8 2 4 2 3 2" xfId="40139" xr:uid="{00000000-0005-0000-0000-0000A7C60000}"/>
    <cellStyle name="Финансовый 8 2 4 2 4" xfId="28162" xr:uid="{00000000-0005-0000-0000-0000A8C60000}"/>
    <cellStyle name="Финансовый 8 2 4 2 5" xfId="51431" xr:uid="{00000000-0005-0000-0000-0000A9C60000}"/>
    <cellStyle name="Финансовый 8 2 4 3" xfId="5988" xr:uid="{00000000-0005-0000-0000-0000AAC60000}"/>
    <cellStyle name="Финансовый 8 2 4 3 2" xfId="17966" xr:uid="{00000000-0005-0000-0000-0000ABC60000}"/>
    <cellStyle name="Финансовый 8 2 4 3 2 2" xfId="41921" xr:uid="{00000000-0005-0000-0000-0000ACC60000}"/>
    <cellStyle name="Финансовый 8 2 4 3 3" xfId="29943" xr:uid="{00000000-0005-0000-0000-0000ADC60000}"/>
    <cellStyle name="Финансовый 8 2 4 4" xfId="8598" xr:uid="{00000000-0005-0000-0000-0000AEC60000}"/>
    <cellStyle name="Финансовый 8 2 4 4 2" xfId="20576" xr:uid="{00000000-0005-0000-0000-0000AFC60000}"/>
    <cellStyle name="Финансовый 8 2 4 4 2 2" xfId="44531" xr:uid="{00000000-0005-0000-0000-0000B0C60000}"/>
    <cellStyle name="Финансовый 8 2 4 4 3" xfId="32553" xr:uid="{00000000-0005-0000-0000-0000B1C60000}"/>
    <cellStyle name="Финансовый 8 2 4 5" xfId="10381" xr:uid="{00000000-0005-0000-0000-0000B2C60000}"/>
    <cellStyle name="Финансовый 8 2 4 5 2" xfId="22359" xr:uid="{00000000-0005-0000-0000-0000B3C60000}"/>
    <cellStyle name="Финансовый 8 2 4 5 2 2" xfId="46314" xr:uid="{00000000-0005-0000-0000-0000B4C60000}"/>
    <cellStyle name="Финансовый 8 2 4 5 3" xfId="34336" xr:uid="{00000000-0005-0000-0000-0000B5C60000}"/>
    <cellStyle name="Финансовый 8 2 4 6" xfId="14539" xr:uid="{00000000-0005-0000-0000-0000B6C60000}"/>
    <cellStyle name="Финансовый 8 2 4 6 2" xfId="38494" xr:uid="{00000000-0005-0000-0000-0000B7C60000}"/>
    <cellStyle name="Финансовый 8 2 4 7" xfId="26517" xr:uid="{00000000-0005-0000-0000-0000B8C60000}"/>
    <cellStyle name="Финансовый 8 2 4 8" xfId="49650" xr:uid="{00000000-0005-0000-0000-0000B9C60000}"/>
    <cellStyle name="Финансовый 8 2 5" xfId="1064" xr:uid="{00000000-0005-0000-0000-0000BAC60000}"/>
    <cellStyle name="Финансовый 8 2 5 2" xfId="7104" xr:uid="{00000000-0005-0000-0000-0000BBC60000}"/>
    <cellStyle name="Финансовый 8 2 5 2 2" xfId="19082" xr:uid="{00000000-0005-0000-0000-0000BCC60000}"/>
    <cellStyle name="Финансовый 8 2 5 2 2 2" xfId="43037" xr:uid="{00000000-0005-0000-0000-0000BDC60000}"/>
    <cellStyle name="Финансовый 8 2 5 2 3" xfId="31059" xr:uid="{00000000-0005-0000-0000-0000BEC60000}"/>
    <cellStyle name="Финансовый 8 2 5 3" xfId="10644" xr:uid="{00000000-0005-0000-0000-0000BFC60000}"/>
    <cellStyle name="Финансовый 8 2 5 3 2" xfId="22622" xr:uid="{00000000-0005-0000-0000-0000C0C60000}"/>
    <cellStyle name="Финансовый 8 2 5 3 2 2" xfId="46577" xr:uid="{00000000-0005-0000-0000-0000C1C60000}"/>
    <cellStyle name="Финансовый 8 2 5 3 3" xfId="34599" xr:uid="{00000000-0005-0000-0000-0000C2C60000}"/>
    <cellStyle name="Финансовый 8 2 5 4" xfId="13045" xr:uid="{00000000-0005-0000-0000-0000C3C60000}"/>
    <cellStyle name="Финансовый 8 2 5 4 2" xfId="37000" xr:uid="{00000000-0005-0000-0000-0000C4C60000}"/>
    <cellStyle name="Финансовый 8 2 5 5" xfId="25023" xr:uid="{00000000-0005-0000-0000-0000C5C60000}"/>
    <cellStyle name="Финансовый 8 2 5 6" xfId="49929" xr:uid="{00000000-0005-0000-0000-0000C6C60000}"/>
    <cellStyle name="Финансовый 8 2 6" xfId="652" xr:uid="{00000000-0005-0000-0000-0000C7C60000}"/>
    <cellStyle name="Финансовый 8 2 6 2" xfId="6692" xr:uid="{00000000-0005-0000-0000-0000C8C60000}"/>
    <cellStyle name="Финансовый 8 2 6 2 2" xfId="18670" xr:uid="{00000000-0005-0000-0000-0000C9C60000}"/>
    <cellStyle name="Финансовый 8 2 6 2 2 2" xfId="42625" xr:uid="{00000000-0005-0000-0000-0000CAC60000}"/>
    <cellStyle name="Финансовый 8 2 6 2 3" xfId="30647" xr:uid="{00000000-0005-0000-0000-0000CBC60000}"/>
    <cellStyle name="Финансовый 8 2 6 3" xfId="12633" xr:uid="{00000000-0005-0000-0000-0000CCC60000}"/>
    <cellStyle name="Финансовый 8 2 6 3 2" xfId="36588" xr:uid="{00000000-0005-0000-0000-0000CDC60000}"/>
    <cellStyle name="Финансовый 8 2 6 4" xfId="24611" xr:uid="{00000000-0005-0000-0000-0000CEC60000}"/>
    <cellStyle name="Финансовый 8 2 7" xfId="2841" xr:uid="{00000000-0005-0000-0000-0000CFC60000}"/>
    <cellStyle name="Финансовый 8 2 7 2" xfId="14820" xr:uid="{00000000-0005-0000-0000-0000D0C60000}"/>
    <cellStyle name="Финансовый 8 2 7 2 2" xfId="38775" xr:uid="{00000000-0005-0000-0000-0000D1C60000}"/>
    <cellStyle name="Финансовый 8 2 7 3" xfId="26798" xr:uid="{00000000-0005-0000-0000-0000D2C60000}"/>
    <cellStyle name="Финансовый 8 2 8" xfId="4485" xr:uid="{00000000-0005-0000-0000-0000D3C60000}"/>
    <cellStyle name="Финансовый 8 2 8 2" xfId="16464" xr:uid="{00000000-0005-0000-0000-0000D4C60000}"/>
    <cellStyle name="Финансовый 8 2 8 2 2" xfId="40419" xr:uid="{00000000-0005-0000-0000-0000D5C60000}"/>
    <cellStyle name="Финансовый 8 2 8 3" xfId="28442" xr:uid="{00000000-0005-0000-0000-0000D6C60000}"/>
    <cellStyle name="Финансовый 8 2 9" xfId="6272" xr:uid="{00000000-0005-0000-0000-0000D7C60000}"/>
    <cellStyle name="Финансовый 8 2 9 2" xfId="18250" xr:uid="{00000000-0005-0000-0000-0000D8C60000}"/>
    <cellStyle name="Финансовый 8 2 9 2 2" xfId="42205" xr:uid="{00000000-0005-0000-0000-0000D9C60000}"/>
    <cellStyle name="Финансовый 8 2 9 3" xfId="30227" xr:uid="{00000000-0005-0000-0000-0000DAC60000}"/>
    <cellStyle name="Финансовый 8 3" xfId="380" xr:uid="{00000000-0005-0000-0000-0000DBC60000}"/>
    <cellStyle name="Финансовый 8 3 10" xfId="24339" xr:uid="{00000000-0005-0000-0000-0000DCC60000}"/>
    <cellStyle name="Финансовый 8 3 11" xfId="48285" xr:uid="{00000000-0005-0000-0000-0000DDC60000}"/>
    <cellStyle name="Финансовый 8 3 2" xfId="2159" xr:uid="{00000000-0005-0000-0000-0000DEC60000}"/>
    <cellStyle name="Финансовый 8 3 2 2" xfId="3804" xr:uid="{00000000-0005-0000-0000-0000DFC60000}"/>
    <cellStyle name="Финансовый 8 3 2 2 2" xfId="11544" xr:uid="{00000000-0005-0000-0000-0000E0C60000}"/>
    <cellStyle name="Финансовый 8 3 2 2 2 2" xfId="23522" xr:uid="{00000000-0005-0000-0000-0000E1C60000}"/>
    <cellStyle name="Финансовый 8 3 2 2 2 2 2" xfId="47477" xr:uid="{00000000-0005-0000-0000-0000E2C60000}"/>
    <cellStyle name="Финансовый 8 3 2 2 2 3" xfId="35499" xr:uid="{00000000-0005-0000-0000-0000E3C60000}"/>
    <cellStyle name="Финансовый 8 3 2 2 3" xfId="15783" xr:uid="{00000000-0005-0000-0000-0000E4C60000}"/>
    <cellStyle name="Финансовый 8 3 2 2 3 2" xfId="39738" xr:uid="{00000000-0005-0000-0000-0000E5C60000}"/>
    <cellStyle name="Финансовый 8 3 2 2 4" xfId="27761" xr:uid="{00000000-0005-0000-0000-0000E6C60000}"/>
    <cellStyle name="Финансовый 8 3 2 2 5" xfId="51030" xr:uid="{00000000-0005-0000-0000-0000E7C60000}"/>
    <cellStyle name="Финансовый 8 3 2 3" xfId="5587" xr:uid="{00000000-0005-0000-0000-0000E8C60000}"/>
    <cellStyle name="Финансовый 8 3 2 3 2" xfId="17565" xr:uid="{00000000-0005-0000-0000-0000E9C60000}"/>
    <cellStyle name="Финансовый 8 3 2 3 2 2" xfId="41520" xr:uid="{00000000-0005-0000-0000-0000EAC60000}"/>
    <cellStyle name="Финансовый 8 3 2 3 3" xfId="29542" xr:uid="{00000000-0005-0000-0000-0000EBC60000}"/>
    <cellStyle name="Финансовый 8 3 2 4" xfId="8197" xr:uid="{00000000-0005-0000-0000-0000ECC60000}"/>
    <cellStyle name="Финансовый 8 3 2 4 2" xfId="20175" xr:uid="{00000000-0005-0000-0000-0000EDC60000}"/>
    <cellStyle name="Финансовый 8 3 2 4 2 2" xfId="44130" xr:uid="{00000000-0005-0000-0000-0000EEC60000}"/>
    <cellStyle name="Финансовый 8 3 2 4 3" xfId="32152" xr:uid="{00000000-0005-0000-0000-0000EFC60000}"/>
    <cellStyle name="Финансовый 8 3 2 5" xfId="9980" xr:uid="{00000000-0005-0000-0000-0000F0C60000}"/>
    <cellStyle name="Финансовый 8 3 2 5 2" xfId="21958" xr:uid="{00000000-0005-0000-0000-0000F1C60000}"/>
    <cellStyle name="Финансовый 8 3 2 5 2 2" xfId="45913" xr:uid="{00000000-0005-0000-0000-0000F2C60000}"/>
    <cellStyle name="Финансовый 8 3 2 5 3" xfId="33935" xr:uid="{00000000-0005-0000-0000-0000F3C60000}"/>
    <cellStyle name="Финансовый 8 3 2 6" xfId="14138" xr:uid="{00000000-0005-0000-0000-0000F4C60000}"/>
    <cellStyle name="Финансовый 8 3 2 6 2" xfId="38093" xr:uid="{00000000-0005-0000-0000-0000F5C60000}"/>
    <cellStyle name="Финансовый 8 3 2 7" xfId="26116" xr:uid="{00000000-0005-0000-0000-0000F6C60000}"/>
    <cellStyle name="Финансовый 8 3 2 8" xfId="49249" xr:uid="{00000000-0005-0000-0000-0000F7C60000}"/>
    <cellStyle name="Финансовый 8 3 3" xfId="1193" xr:uid="{00000000-0005-0000-0000-0000F8C60000}"/>
    <cellStyle name="Финансовый 8 3 3 2" xfId="7233" xr:uid="{00000000-0005-0000-0000-0000F9C60000}"/>
    <cellStyle name="Финансовый 8 3 3 2 2" xfId="19211" xr:uid="{00000000-0005-0000-0000-0000FAC60000}"/>
    <cellStyle name="Финансовый 8 3 3 2 2 2" xfId="43166" xr:uid="{00000000-0005-0000-0000-0000FBC60000}"/>
    <cellStyle name="Финансовый 8 3 3 2 3" xfId="31188" xr:uid="{00000000-0005-0000-0000-0000FCC60000}"/>
    <cellStyle name="Финансовый 8 3 3 3" xfId="10772" xr:uid="{00000000-0005-0000-0000-0000FDC60000}"/>
    <cellStyle name="Финансовый 8 3 3 3 2" xfId="22750" xr:uid="{00000000-0005-0000-0000-0000FEC60000}"/>
    <cellStyle name="Финансовый 8 3 3 3 2 2" xfId="46705" xr:uid="{00000000-0005-0000-0000-0000FFC60000}"/>
    <cellStyle name="Финансовый 8 3 3 3 3" xfId="34727" xr:uid="{00000000-0005-0000-0000-000000C70000}"/>
    <cellStyle name="Финансовый 8 3 3 4" xfId="13174" xr:uid="{00000000-0005-0000-0000-000001C70000}"/>
    <cellStyle name="Финансовый 8 3 3 4 2" xfId="37129" xr:uid="{00000000-0005-0000-0000-000002C70000}"/>
    <cellStyle name="Финансовый 8 3 3 5" xfId="25152" xr:uid="{00000000-0005-0000-0000-000003C70000}"/>
    <cellStyle name="Финансовый 8 3 3 6" xfId="50065" xr:uid="{00000000-0005-0000-0000-000004C70000}"/>
    <cellStyle name="Финансовый 8 3 4" xfId="800" xr:uid="{00000000-0005-0000-0000-000005C70000}"/>
    <cellStyle name="Финансовый 8 3 4 2" xfId="6840" xr:uid="{00000000-0005-0000-0000-000006C70000}"/>
    <cellStyle name="Финансовый 8 3 4 2 2" xfId="18818" xr:uid="{00000000-0005-0000-0000-000007C70000}"/>
    <cellStyle name="Финансовый 8 3 4 2 2 2" xfId="42773" xr:uid="{00000000-0005-0000-0000-000008C70000}"/>
    <cellStyle name="Финансовый 8 3 4 2 3" xfId="30795" xr:uid="{00000000-0005-0000-0000-000009C70000}"/>
    <cellStyle name="Финансовый 8 3 4 3" xfId="12781" xr:uid="{00000000-0005-0000-0000-00000AC70000}"/>
    <cellStyle name="Финансовый 8 3 4 3 2" xfId="36736" xr:uid="{00000000-0005-0000-0000-00000BC70000}"/>
    <cellStyle name="Финансовый 8 3 4 4" xfId="24759" xr:uid="{00000000-0005-0000-0000-00000CC70000}"/>
    <cellStyle name="Финансовый 8 3 5" xfId="2977" xr:uid="{00000000-0005-0000-0000-00000DC70000}"/>
    <cellStyle name="Финансовый 8 3 5 2" xfId="14956" xr:uid="{00000000-0005-0000-0000-00000EC70000}"/>
    <cellStyle name="Финансовый 8 3 5 2 2" xfId="38911" xr:uid="{00000000-0005-0000-0000-00000FC70000}"/>
    <cellStyle name="Финансовый 8 3 5 3" xfId="26934" xr:uid="{00000000-0005-0000-0000-000010C70000}"/>
    <cellStyle name="Финансовый 8 3 6" xfId="4621" xr:uid="{00000000-0005-0000-0000-000011C70000}"/>
    <cellStyle name="Финансовый 8 3 6 2" xfId="16600" xr:uid="{00000000-0005-0000-0000-000012C70000}"/>
    <cellStyle name="Финансовый 8 3 6 2 2" xfId="40555" xr:uid="{00000000-0005-0000-0000-000013C70000}"/>
    <cellStyle name="Финансовый 8 3 6 3" xfId="28578" xr:uid="{00000000-0005-0000-0000-000014C70000}"/>
    <cellStyle name="Финансовый 8 3 7" xfId="6420" xr:uid="{00000000-0005-0000-0000-000015C70000}"/>
    <cellStyle name="Финансовый 8 3 7 2" xfId="18398" xr:uid="{00000000-0005-0000-0000-000016C70000}"/>
    <cellStyle name="Финансовый 8 3 7 2 2" xfId="42353" xr:uid="{00000000-0005-0000-0000-000017C70000}"/>
    <cellStyle name="Финансовый 8 3 7 3" xfId="30375" xr:uid="{00000000-0005-0000-0000-000018C70000}"/>
    <cellStyle name="Финансовый 8 3 8" xfId="9015" xr:uid="{00000000-0005-0000-0000-000019C70000}"/>
    <cellStyle name="Финансовый 8 3 8 2" xfId="20993" xr:uid="{00000000-0005-0000-0000-00001AC70000}"/>
    <cellStyle name="Финансовый 8 3 8 2 2" xfId="44948" xr:uid="{00000000-0005-0000-0000-00001BC70000}"/>
    <cellStyle name="Финансовый 8 3 8 3" xfId="32970" xr:uid="{00000000-0005-0000-0000-00001CC70000}"/>
    <cellStyle name="Финансовый 8 3 9" xfId="12361" xr:uid="{00000000-0005-0000-0000-00001DC70000}"/>
    <cellStyle name="Финансовый 8 3 9 2" xfId="36316" xr:uid="{00000000-0005-0000-0000-00001EC70000}"/>
    <cellStyle name="Финансовый 8 4" xfId="1555" xr:uid="{00000000-0005-0000-0000-00001FC70000}"/>
    <cellStyle name="Финансовый 8 4 2" xfId="1903" xr:uid="{00000000-0005-0000-0000-000020C70000}"/>
    <cellStyle name="Финансовый 8 4 2 2" xfId="3548" xr:uid="{00000000-0005-0000-0000-000021C70000}"/>
    <cellStyle name="Финансовый 8 4 2 2 2" xfId="11288" xr:uid="{00000000-0005-0000-0000-000022C70000}"/>
    <cellStyle name="Финансовый 8 4 2 2 2 2" xfId="23266" xr:uid="{00000000-0005-0000-0000-000023C70000}"/>
    <cellStyle name="Финансовый 8 4 2 2 2 2 2" xfId="47221" xr:uid="{00000000-0005-0000-0000-000024C70000}"/>
    <cellStyle name="Финансовый 8 4 2 2 2 3" xfId="35243" xr:uid="{00000000-0005-0000-0000-000025C70000}"/>
    <cellStyle name="Финансовый 8 4 2 2 3" xfId="15527" xr:uid="{00000000-0005-0000-0000-000026C70000}"/>
    <cellStyle name="Финансовый 8 4 2 2 3 2" xfId="39482" xr:uid="{00000000-0005-0000-0000-000027C70000}"/>
    <cellStyle name="Финансовый 8 4 2 2 4" xfId="27505" xr:uid="{00000000-0005-0000-0000-000028C70000}"/>
    <cellStyle name="Финансовый 8 4 2 2 5" xfId="50774" xr:uid="{00000000-0005-0000-0000-000029C70000}"/>
    <cellStyle name="Финансовый 8 4 2 3" xfId="5331" xr:uid="{00000000-0005-0000-0000-00002AC70000}"/>
    <cellStyle name="Финансовый 8 4 2 3 2" xfId="17309" xr:uid="{00000000-0005-0000-0000-00002BC70000}"/>
    <cellStyle name="Финансовый 8 4 2 3 2 2" xfId="41264" xr:uid="{00000000-0005-0000-0000-00002CC70000}"/>
    <cellStyle name="Финансовый 8 4 2 3 3" xfId="29286" xr:uid="{00000000-0005-0000-0000-00002DC70000}"/>
    <cellStyle name="Финансовый 8 4 2 4" xfId="7941" xr:uid="{00000000-0005-0000-0000-00002EC70000}"/>
    <cellStyle name="Финансовый 8 4 2 4 2" xfId="19919" xr:uid="{00000000-0005-0000-0000-00002FC70000}"/>
    <cellStyle name="Финансовый 8 4 2 4 2 2" xfId="43874" xr:uid="{00000000-0005-0000-0000-000030C70000}"/>
    <cellStyle name="Финансовый 8 4 2 4 3" xfId="31896" xr:uid="{00000000-0005-0000-0000-000031C70000}"/>
    <cellStyle name="Финансовый 8 4 2 5" xfId="9724" xr:uid="{00000000-0005-0000-0000-000032C70000}"/>
    <cellStyle name="Финансовый 8 4 2 5 2" xfId="21702" xr:uid="{00000000-0005-0000-0000-000033C70000}"/>
    <cellStyle name="Финансовый 8 4 2 5 2 2" xfId="45657" xr:uid="{00000000-0005-0000-0000-000034C70000}"/>
    <cellStyle name="Финансовый 8 4 2 5 3" xfId="33679" xr:uid="{00000000-0005-0000-0000-000035C70000}"/>
    <cellStyle name="Финансовый 8 4 2 6" xfId="13882" xr:uid="{00000000-0005-0000-0000-000036C70000}"/>
    <cellStyle name="Финансовый 8 4 2 6 2" xfId="37837" xr:uid="{00000000-0005-0000-0000-000037C70000}"/>
    <cellStyle name="Финансовый 8 4 2 7" xfId="25860" xr:uid="{00000000-0005-0000-0000-000038C70000}"/>
    <cellStyle name="Финансовый 8 4 2 8" xfId="48993" xr:uid="{00000000-0005-0000-0000-000039C70000}"/>
    <cellStyle name="Финансовый 8 4 3" xfId="4983" xr:uid="{00000000-0005-0000-0000-00003AC70000}"/>
    <cellStyle name="Финансовый 8 4 3 2" xfId="16961" xr:uid="{00000000-0005-0000-0000-00003BC70000}"/>
    <cellStyle name="Финансовый 8 4 3 2 2" xfId="40916" xr:uid="{00000000-0005-0000-0000-00003CC70000}"/>
    <cellStyle name="Финансовый 8 4 3 3" xfId="28938" xr:uid="{00000000-0005-0000-0000-00003DC70000}"/>
    <cellStyle name="Финансовый 8 4 3 4" xfId="50426" xr:uid="{00000000-0005-0000-0000-00003EC70000}"/>
    <cellStyle name="Финансовый 8 4 4" xfId="7593" xr:uid="{00000000-0005-0000-0000-00003FC70000}"/>
    <cellStyle name="Финансовый 8 4 4 2" xfId="19571" xr:uid="{00000000-0005-0000-0000-000040C70000}"/>
    <cellStyle name="Финансовый 8 4 4 2 2" xfId="43526" xr:uid="{00000000-0005-0000-0000-000041C70000}"/>
    <cellStyle name="Финансовый 8 4 4 3" xfId="31548" xr:uid="{00000000-0005-0000-0000-000042C70000}"/>
    <cellStyle name="Финансовый 8 4 5" xfId="9376" xr:uid="{00000000-0005-0000-0000-000043C70000}"/>
    <cellStyle name="Финансовый 8 4 5 2" xfId="21354" xr:uid="{00000000-0005-0000-0000-000044C70000}"/>
    <cellStyle name="Финансовый 8 4 5 2 2" xfId="45309" xr:uid="{00000000-0005-0000-0000-000045C70000}"/>
    <cellStyle name="Финансовый 8 4 5 3" xfId="33331" xr:uid="{00000000-0005-0000-0000-000046C70000}"/>
    <cellStyle name="Финансовый 8 4 6" xfId="13534" xr:uid="{00000000-0005-0000-0000-000047C70000}"/>
    <cellStyle name="Финансовый 8 4 6 2" xfId="37489" xr:uid="{00000000-0005-0000-0000-000048C70000}"/>
    <cellStyle name="Финансовый 8 4 7" xfId="25512" xr:uid="{00000000-0005-0000-0000-000049C70000}"/>
    <cellStyle name="Финансовый 8 4 8" xfId="48645" xr:uid="{00000000-0005-0000-0000-00004AC70000}"/>
    <cellStyle name="Финансовый 8 5" xfId="1779" xr:uid="{00000000-0005-0000-0000-00004BC70000}"/>
    <cellStyle name="Финансовый 8 5 2" xfId="3424" xr:uid="{00000000-0005-0000-0000-00004CC70000}"/>
    <cellStyle name="Финансовый 8 5 2 2" xfId="11172" xr:uid="{00000000-0005-0000-0000-00004DC70000}"/>
    <cellStyle name="Финансовый 8 5 2 2 2" xfId="23150" xr:uid="{00000000-0005-0000-0000-00004EC70000}"/>
    <cellStyle name="Финансовый 8 5 2 2 2 2" xfId="47105" xr:uid="{00000000-0005-0000-0000-00004FC70000}"/>
    <cellStyle name="Финансовый 8 5 2 2 3" xfId="35127" xr:uid="{00000000-0005-0000-0000-000050C70000}"/>
    <cellStyle name="Финансовый 8 5 2 3" xfId="15403" xr:uid="{00000000-0005-0000-0000-000051C70000}"/>
    <cellStyle name="Финансовый 8 5 2 3 2" xfId="39358" xr:uid="{00000000-0005-0000-0000-000052C70000}"/>
    <cellStyle name="Финансовый 8 5 2 4" xfId="27381" xr:uid="{00000000-0005-0000-0000-000053C70000}"/>
    <cellStyle name="Финансовый 8 5 2 5" xfId="50650" xr:uid="{00000000-0005-0000-0000-000054C70000}"/>
    <cellStyle name="Финансовый 8 5 3" xfId="5207" xr:uid="{00000000-0005-0000-0000-000055C70000}"/>
    <cellStyle name="Финансовый 8 5 3 2" xfId="17185" xr:uid="{00000000-0005-0000-0000-000056C70000}"/>
    <cellStyle name="Финансовый 8 5 3 2 2" xfId="41140" xr:uid="{00000000-0005-0000-0000-000057C70000}"/>
    <cellStyle name="Финансовый 8 5 3 3" xfId="29162" xr:uid="{00000000-0005-0000-0000-000058C70000}"/>
    <cellStyle name="Финансовый 8 5 4" xfId="7817" xr:uid="{00000000-0005-0000-0000-000059C70000}"/>
    <cellStyle name="Финансовый 8 5 4 2" xfId="19795" xr:uid="{00000000-0005-0000-0000-00005AC70000}"/>
    <cellStyle name="Финансовый 8 5 4 2 2" xfId="43750" xr:uid="{00000000-0005-0000-0000-00005BC70000}"/>
    <cellStyle name="Финансовый 8 5 4 3" xfId="31772" xr:uid="{00000000-0005-0000-0000-00005CC70000}"/>
    <cellStyle name="Финансовый 8 5 5" xfId="9600" xr:uid="{00000000-0005-0000-0000-00005DC70000}"/>
    <cellStyle name="Финансовый 8 5 5 2" xfId="21578" xr:uid="{00000000-0005-0000-0000-00005EC70000}"/>
    <cellStyle name="Финансовый 8 5 5 2 2" xfId="45533" xr:uid="{00000000-0005-0000-0000-00005FC70000}"/>
    <cellStyle name="Финансовый 8 5 5 3" xfId="33555" xr:uid="{00000000-0005-0000-0000-000060C70000}"/>
    <cellStyle name="Финансовый 8 5 6" xfId="13758" xr:uid="{00000000-0005-0000-0000-000061C70000}"/>
    <cellStyle name="Финансовый 8 5 6 2" xfId="37713" xr:uid="{00000000-0005-0000-0000-000062C70000}"/>
    <cellStyle name="Финансовый 8 5 7" xfId="25736" xr:uid="{00000000-0005-0000-0000-000063C70000}"/>
    <cellStyle name="Финансовый 8 5 8" xfId="48869" xr:uid="{00000000-0005-0000-0000-000064C70000}"/>
    <cellStyle name="Финансовый 8 6" xfId="2424" xr:uid="{00000000-0005-0000-0000-000065C70000}"/>
    <cellStyle name="Финансовый 8 6 2" xfId="4069" xr:uid="{00000000-0005-0000-0000-000066C70000}"/>
    <cellStyle name="Финансовый 8 6 2 2" xfId="11801" xr:uid="{00000000-0005-0000-0000-000067C70000}"/>
    <cellStyle name="Финансовый 8 6 2 2 2" xfId="23779" xr:uid="{00000000-0005-0000-0000-000068C70000}"/>
    <cellStyle name="Финансовый 8 6 2 2 2 2" xfId="47734" xr:uid="{00000000-0005-0000-0000-000069C70000}"/>
    <cellStyle name="Финансовый 8 6 2 2 3" xfId="35756" xr:uid="{00000000-0005-0000-0000-00006AC70000}"/>
    <cellStyle name="Финансовый 8 6 2 3" xfId="16048" xr:uid="{00000000-0005-0000-0000-00006BC70000}"/>
    <cellStyle name="Финансовый 8 6 2 3 2" xfId="40003" xr:uid="{00000000-0005-0000-0000-00006CC70000}"/>
    <cellStyle name="Финансовый 8 6 2 4" xfId="28026" xr:uid="{00000000-0005-0000-0000-00006DC70000}"/>
    <cellStyle name="Финансовый 8 6 2 5" xfId="51295" xr:uid="{00000000-0005-0000-0000-00006EC70000}"/>
    <cellStyle name="Финансовый 8 6 3" xfId="5852" xr:uid="{00000000-0005-0000-0000-00006FC70000}"/>
    <cellStyle name="Финансовый 8 6 3 2" xfId="17830" xr:uid="{00000000-0005-0000-0000-000070C70000}"/>
    <cellStyle name="Финансовый 8 6 3 2 2" xfId="41785" xr:uid="{00000000-0005-0000-0000-000071C70000}"/>
    <cellStyle name="Финансовый 8 6 3 3" xfId="29807" xr:uid="{00000000-0005-0000-0000-000072C70000}"/>
    <cellStyle name="Финансовый 8 6 4" xfId="8462" xr:uid="{00000000-0005-0000-0000-000073C70000}"/>
    <cellStyle name="Финансовый 8 6 4 2" xfId="20440" xr:uid="{00000000-0005-0000-0000-000074C70000}"/>
    <cellStyle name="Финансовый 8 6 4 2 2" xfId="44395" xr:uid="{00000000-0005-0000-0000-000075C70000}"/>
    <cellStyle name="Финансовый 8 6 4 3" xfId="32417" xr:uid="{00000000-0005-0000-0000-000076C70000}"/>
    <cellStyle name="Финансовый 8 6 5" xfId="10245" xr:uid="{00000000-0005-0000-0000-000077C70000}"/>
    <cellStyle name="Финансовый 8 6 5 2" xfId="22223" xr:uid="{00000000-0005-0000-0000-000078C70000}"/>
    <cellStyle name="Финансовый 8 6 5 2 2" xfId="46178" xr:uid="{00000000-0005-0000-0000-000079C70000}"/>
    <cellStyle name="Финансовый 8 6 5 3" xfId="34200" xr:uid="{00000000-0005-0000-0000-00007AC70000}"/>
    <cellStyle name="Финансовый 8 6 6" xfId="14403" xr:uid="{00000000-0005-0000-0000-00007BC70000}"/>
    <cellStyle name="Финансовый 8 6 6 2" xfId="38358" xr:uid="{00000000-0005-0000-0000-00007CC70000}"/>
    <cellStyle name="Финансовый 8 6 7" xfId="26381" xr:uid="{00000000-0005-0000-0000-00007DC70000}"/>
    <cellStyle name="Финансовый 8 6 8" xfId="49514" xr:uid="{00000000-0005-0000-0000-00007EC70000}"/>
    <cellStyle name="Финансовый 8 7" xfId="1651" xr:uid="{00000000-0005-0000-0000-00007FC70000}"/>
    <cellStyle name="Финансовый 8 7 2" xfId="3296" xr:uid="{00000000-0005-0000-0000-000080C70000}"/>
    <cellStyle name="Финансовый 8 7 2 2" xfId="11044" xr:uid="{00000000-0005-0000-0000-000081C70000}"/>
    <cellStyle name="Финансовый 8 7 2 2 2" xfId="23022" xr:uid="{00000000-0005-0000-0000-000082C70000}"/>
    <cellStyle name="Финансовый 8 7 2 2 2 2" xfId="46977" xr:uid="{00000000-0005-0000-0000-000083C70000}"/>
    <cellStyle name="Финансовый 8 7 2 2 3" xfId="34999" xr:uid="{00000000-0005-0000-0000-000084C70000}"/>
    <cellStyle name="Финансовый 8 7 2 3" xfId="15275" xr:uid="{00000000-0005-0000-0000-000085C70000}"/>
    <cellStyle name="Финансовый 8 7 2 3 2" xfId="39230" xr:uid="{00000000-0005-0000-0000-000086C70000}"/>
    <cellStyle name="Финансовый 8 7 2 4" xfId="27253" xr:uid="{00000000-0005-0000-0000-000087C70000}"/>
    <cellStyle name="Финансовый 8 7 2 5" xfId="50522" xr:uid="{00000000-0005-0000-0000-000088C70000}"/>
    <cellStyle name="Финансовый 8 7 3" xfId="5079" xr:uid="{00000000-0005-0000-0000-000089C70000}"/>
    <cellStyle name="Финансовый 8 7 3 2" xfId="17057" xr:uid="{00000000-0005-0000-0000-00008AC70000}"/>
    <cellStyle name="Финансовый 8 7 3 2 2" xfId="41012" xr:uid="{00000000-0005-0000-0000-00008BC70000}"/>
    <cellStyle name="Финансовый 8 7 3 3" xfId="29034" xr:uid="{00000000-0005-0000-0000-00008CC70000}"/>
    <cellStyle name="Финансовый 8 7 4" xfId="7689" xr:uid="{00000000-0005-0000-0000-00008DC70000}"/>
    <cellStyle name="Финансовый 8 7 4 2" xfId="19667" xr:uid="{00000000-0005-0000-0000-00008EC70000}"/>
    <cellStyle name="Финансовый 8 7 4 2 2" xfId="43622" xr:uid="{00000000-0005-0000-0000-00008FC70000}"/>
    <cellStyle name="Финансовый 8 7 4 3" xfId="31644" xr:uid="{00000000-0005-0000-0000-000090C70000}"/>
    <cellStyle name="Финансовый 8 7 5" xfId="9472" xr:uid="{00000000-0005-0000-0000-000091C70000}"/>
    <cellStyle name="Финансовый 8 7 5 2" xfId="21450" xr:uid="{00000000-0005-0000-0000-000092C70000}"/>
    <cellStyle name="Финансовый 8 7 5 2 2" xfId="45405" xr:uid="{00000000-0005-0000-0000-000093C70000}"/>
    <cellStyle name="Финансовый 8 7 5 3" xfId="33427" xr:uid="{00000000-0005-0000-0000-000094C70000}"/>
    <cellStyle name="Финансовый 8 7 6" xfId="13630" xr:uid="{00000000-0005-0000-0000-000095C70000}"/>
    <cellStyle name="Финансовый 8 7 6 2" xfId="37585" xr:uid="{00000000-0005-0000-0000-000096C70000}"/>
    <cellStyle name="Финансовый 8 7 7" xfId="25608" xr:uid="{00000000-0005-0000-0000-000097C70000}"/>
    <cellStyle name="Финансовый 8 7 8" xfId="48741" xr:uid="{00000000-0005-0000-0000-000098C70000}"/>
    <cellStyle name="Финансовый 8 8" xfId="928" xr:uid="{00000000-0005-0000-0000-000099C70000}"/>
    <cellStyle name="Финансовый 8 8 2" xfId="6968" xr:uid="{00000000-0005-0000-0000-00009AC70000}"/>
    <cellStyle name="Финансовый 8 8 2 2" xfId="18946" xr:uid="{00000000-0005-0000-0000-00009BC70000}"/>
    <cellStyle name="Финансовый 8 8 2 2 2" xfId="42901" xr:uid="{00000000-0005-0000-0000-00009CC70000}"/>
    <cellStyle name="Финансовый 8 8 2 3" xfId="30923" xr:uid="{00000000-0005-0000-0000-00009DC70000}"/>
    <cellStyle name="Финансовый 8 8 3" xfId="10516" xr:uid="{00000000-0005-0000-0000-00009EC70000}"/>
    <cellStyle name="Финансовый 8 8 3 2" xfId="22494" xr:uid="{00000000-0005-0000-0000-00009FC70000}"/>
    <cellStyle name="Финансовый 8 8 3 2 2" xfId="46449" xr:uid="{00000000-0005-0000-0000-0000A0C70000}"/>
    <cellStyle name="Финансовый 8 8 3 3" xfId="34471" xr:uid="{00000000-0005-0000-0000-0000A1C70000}"/>
    <cellStyle name="Финансовый 8 8 4" xfId="12909" xr:uid="{00000000-0005-0000-0000-0000A2C70000}"/>
    <cellStyle name="Финансовый 8 8 4 2" xfId="36864" xr:uid="{00000000-0005-0000-0000-0000A3C70000}"/>
    <cellStyle name="Финансовый 8 8 5" xfId="24887" xr:uid="{00000000-0005-0000-0000-0000A4C70000}"/>
    <cellStyle name="Финансовый 8 8 6" xfId="49793" xr:uid="{00000000-0005-0000-0000-0000A5C70000}"/>
    <cellStyle name="Финансовый 8 9" xfId="516" xr:uid="{00000000-0005-0000-0000-0000A6C70000}"/>
    <cellStyle name="Финансовый 8 9 2" xfId="6556" xr:uid="{00000000-0005-0000-0000-0000A7C70000}"/>
    <cellStyle name="Финансовый 8 9 2 2" xfId="18534" xr:uid="{00000000-0005-0000-0000-0000A8C70000}"/>
    <cellStyle name="Финансовый 8 9 2 2 2" xfId="42489" xr:uid="{00000000-0005-0000-0000-0000A9C70000}"/>
    <cellStyle name="Финансовый 8 9 2 3" xfId="30511" xr:uid="{00000000-0005-0000-0000-0000AAC70000}"/>
    <cellStyle name="Финансовый 8 9 3" xfId="12497" xr:uid="{00000000-0005-0000-0000-0000ABC70000}"/>
    <cellStyle name="Финансовый 8 9 3 2" xfId="36452" xr:uid="{00000000-0005-0000-0000-0000ACC70000}"/>
    <cellStyle name="Финансовый 8 9 4" xfId="24475" xr:uid="{00000000-0005-0000-0000-0000ADC70000}"/>
    <cellStyle name="Финансовый 9" xfId="107" xr:uid="{00000000-0005-0000-0000-0000AEC70000}"/>
    <cellStyle name="Финансовый 9 10" xfId="2717" xr:uid="{00000000-0005-0000-0000-0000AFC70000}"/>
    <cellStyle name="Финансовый 9 10 2" xfId="14696" xr:uid="{00000000-0005-0000-0000-0000B0C70000}"/>
    <cellStyle name="Финансовый 9 10 2 2" xfId="38651" xr:uid="{00000000-0005-0000-0000-0000B1C70000}"/>
    <cellStyle name="Финансовый 9 10 3" xfId="26674" xr:uid="{00000000-0005-0000-0000-0000B2C70000}"/>
    <cellStyle name="Финансовый 9 11" xfId="4361" xr:uid="{00000000-0005-0000-0000-0000B3C70000}"/>
    <cellStyle name="Финансовый 9 11 2" xfId="16340" xr:uid="{00000000-0005-0000-0000-0000B4C70000}"/>
    <cellStyle name="Финансовый 9 11 2 2" xfId="40295" xr:uid="{00000000-0005-0000-0000-0000B5C70000}"/>
    <cellStyle name="Финансовый 9 11 3" xfId="28318" xr:uid="{00000000-0005-0000-0000-0000B6C70000}"/>
    <cellStyle name="Финансовый 9 12" xfId="6148" xr:uid="{00000000-0005-0000-0000-0000B7C70000}"/>
    <cellStyle name="Финансовый 9 12 2" xfId="18126" xr:uid="{00000000-0005-0000-0000-0000B8C70000}"/>
    <cellStyle name="Финансовый 9 12 2 2" xfId="42081" xr:uid="{00000000-0005-0000-0000-0000B9C70000}"/>
    <cellStyle name="Финансовый 9 12 3" xfId="30103" xr:uid="{00000000-0005-0000-0000-0000BAC70000}"/>
    <cellStyle name="Финансовый 9 13" xfId="8755" xr:uid="{00000000-0005-0000-0000-0000BBC70000}"/>
    <cellStyle name="Финансовый 9 13 2" xfId="20733" xr:uid="{00000000-0005-0000-0000-0000BCC70000}"/>
    <cellStyle name="Финансовый 9 13 2 2" xfId="44688" xr:uid="{00000000-0005-0000-0000-0000BDC70000}"/>
    <cellStyle name="Финансовый 9 13 3" xfId="32710" xr:uid="{00000000-0005-0000-0000-0000BEC70000}"/>
    <cellStyle name="Финансовый 9 14" xfId="12089" xr:uid="{00000000-0005-0000-0000-0000BFC70000}"/>
    <cellStyle name="Финансовый 9 14 2" xfId="36044" xr:uid="{00000000-0005-0000-0000-0000C0C70000}"/>
    <cellStyle name="Финансовый 9 15" xfId="24067" xr:uid="{00000000-0005-0000-0000-0000C1C70000}"/>
    <cellStyle name="Финансовый 9 16" xfId="48025" xr:uid="{00000000-0005-0000-0000-0000C2C70000}"/>
    <cellStyle name="Финансовый 9 2" xfId="243" xr:uid="{00000000-0005-0000-0000-0000C3C70000}"/>
    <cellStyle name="Финансовый 9 2 10" xfId="8891" xr:uid="{00000000-0005-0000-0000-0000C4C70000}"/>
    <cellStyle name="Финансовый 9 2 10 2" xfId="20869" xr:uid="{00000000-0005-0000-0000-0000C5C70000}"/>
    <cellStyle name="Финансовый 9 2 10 2 2" xfId="44824" xr:uid="{00000000-0005-0000-0000-0000C6C70000}"/>
    <cellStyle name="Финансовый 9 2 10 3" xfId="32846" xr:uid="{00000000-0005-0000-0000-0000C7C70000}"/>
    <cellStyle name="Финансовый 9 2 11" xfId="12225" xr:uid="{00000000-0005-0000-0000-0000C8C70000}"/>
    <cellStyle name="Финансовый 9 2 11 2" xfId="36180" xr:uid="{00000000-0005-0000-0000-0000C9C70000}"/>
    <cellStyle name="Финансовый 9 2 12" xfId="24203" xr:uid="{00000000-0005-0000-0000-0000CAC70000}"/>
    <cellStyle name="Финансовый 9 2 13" xfId="48161" xr:uid="{00000000-0005-0000-0000-0000CBC70000}"/>
    <cellStyle name="Финансовый 9 2 2" xfId="1341" xr:uid="{00000000-0005-0000-0000-0000CCC70000}"/>
    <cellStyle name="Финансовый 9 2 2 2" xfId="2299" xr:uid="{00000000-0005-0000-0000-0000CDC70000}"/>
    <cellStyle name="Финансовый 9 2 2 2 2" xfId="3944" xr:uid="{00000000-0005-0000-0000-0000CEC70000}"/>
    <cellStyle name="Финансовый 9 2 2 2 2 2" xfId="11684" xr:uid="{00000000-0005-0000-0000-0000CFC70000}"/>
    <cellStyle name="Финансовый 9 2 2 2 2 2 2" xfId="23662" xr:uid="{00000000-0005-0000-0000-0000D0C70000}"/>
    <cellStyle name="Финансовый 9 2 2 2 2 2 2 2" xfId="47617" xr:uid="{00000000-0005-0000-0000-0000D1C70000}"/>
    <cellStyle name="Финансовый 9 2 2 2 2 2 3" xfId="35639" xr:uid="{00000000-0005-0000-0000-0000D2C70000}"/>
    <cellStyle name="Финансовый 9 2 2 2 2 3" xfId="15923" xr:uid="{00000000-0005-0000-0000-0000D3C70000}"/>
    <cellStyle name="Финансовый 9 2 2 2 2 3 2" xfId="39878" xr:uid="{00000000-0005-0000-0000-0000D4C70000}"/>
    <cellStyle name="Финансовый 9 2 2 2 2 4" xfId="27901" xr:uid="{00000000-0005-0000-0000-0000D5C70000}"/>
    <cellStyle name="Финансовый 9 2 2 2 2 5" xfId="51170" xr:uid="{00000000-0005-0000-0000-0000D6C70000}"/>
    <cellStyle name="Финансовый 9 2 2 2 3" xfId="5727" xr:uid="{00000000-0005-0000-0000-0000D7C70000}"/>
    <cellStyle name="Финансовый 9 2 2 2 3 2" xfId="17705" xr:uid="{00000000-0005-0000-0000-0000D8C70000}"/>
    <cellStyle name="Финансовый 9 2 2 2 3 2 2" xfId="41660" xr:uid="{00000000-0005-0000-0000-0000D9C70000}"/>
    <cellStyle name="Финансовый 9 2 2 2 3 3" xfId="29682" xr:uid="{00000000-0005-0000-0000-0000DAC70000}"/>
    <cellStyle name="Финансовый 9 2 2 2 4" xfId="8337" xr:uid="{00000000-0005-0000-0000-0000DBC70000}"/>
    <cellStyle name="Финансовый 9 2 2 2 4 2" xfId="20315" xr:uid="{00000000-0005-0000-0000-0000DCC70000}"/>
    <cellStyle name="Финансовый 9 2 2 2 4 2 2" xfId="44270" xr:uid="{00000000-0005-0000-0000-0000DDC70000}"/>
    <cellStyle name="Финансовый 9 2 2 2 4 3" xfId="32292" xr:uid="{00000000-0005-0000-0000-0000DEC70000}"/>
    <cellStyle name="Финансовый 9 2 2 2 5" xfId="10120" xr:uid="{00000000-0005-0000-0000-0000DFC70000}"/>
    <cellStyle name="Финансовый 9 2 2 2 5 2" xfId="22098" xr:uid="{00000000-0005-0000-0000-0000E0C70000}"/>
    <cellStyle name="Финансовый 9 2 2 2 5 2 2" xfId="46053" xr:uid="{00000000-0005-0000-0000-0000E1C70000}"/>
    <cellStyle name="Финансовый 9 2 2 2 5 3" xfId="34075" xr:uid="{00000000-0005-0000-0000-0000E2C70000}"/>
    <cellStyle name="Финансовый 9 2 2 2 6" xfId="14278" xr:uid="{00000000-0005-0000-0000-0000E3C70000}"/>
    <cellStyle name="Финансовый 9 2 2 2 6 2" xfId="38233" xr:uid="{00000000-0005-0000-0000-0000E4C70000}"/>
    <cellStyle name="Финансовый 9 2 2 2 7" xfId="26256" xr:uid="{00000000-0005-0000-0000-0000E5C70000}"/>
    <cellStyle name="Финансовый 9 2 2 2 8" xfId="49389" xr:uid="{00000000-0005-0000-0000-0000E6C70000}"/>
    <cellStyle name="Финансовый 9 2 2 3" xfId="3125" xr:uid="{00000000-0005-0000-0000-0000E7C70000}"/>
    <cellStyle name="Финансовый 9 2 2 3 2" xfId="10912" xr:uid="{00000000-0005-0000-0000-0000E8C70000}"/>
    <cellStyle name="Финансовый 9 2 2 3 2 2" xfId="22890" xr:uid="{00000000-0005-0000-0000-0000E9C70000}"/>
    <cellStyle name="Финансовый 9 2 2 3 2 2 2" xfId="46845" xr:uid="{00000000-0005-0000-0000-0000EAC70000}"/>
    <cellStyle name="Финансовый 9 2 2 3 2 3" xfId="34867" xr:uid="{00000000-0005-0000-0000-0000EBC70000}"/>
    <cellStyle name="Финансовый 9 2 2 3 3" xfId="15104" xr:uid="{00000000-0005-0000-0000-0000ECC70000}"/>
    <cellStyle name="Финансовый 9 2 2 3 3 2" xfId="39059" xr:uid="{00000000-0005-0000-0000-0000EDC70000}"/>
    <cellStyle name="Финансовый 9 2 2 3 4" xfId="27082" xr:uid="{00000000-0005-0000-0000-0000EEC70000}"/>
    <cellStyle name="Финансовый 9 2 2 3 5" xfId="50213" xr:uid="{00000000-0005-0000-0000-0000EFC70000}"/>
    <cellStyle name="Финансовый 9 2 2 4" xfId="4769" xr:uid="{00000000-0005-0000-0000-0000F0C70000}"/>
    <cellStyle name="Финансовый 9 2 2 4 2" xfId="16748" xr:uid="{00000000-0005-0000-0000-0000F1C70000}"/>
    <cellStyle name="Финансовый 9 2 2 4 2 2" xfId="40703" xr:uid="{00000000-0005-0000-0000-0000F2C70000}"/>
    <cellStyle name="Финансовый 9 2 2 4 3" xfId="28726" xr:uid="{00000000-0005-0000-0000-0000F3C70000}"/>
    <cellStyle name="Финансовый 9 2 2 5" xfId="7381" xr:uid="{00000000-0005-0000-0000-0000F4C70000}"/>
    <cellStyle name="Финансовый 9 2 2 5 2" xfId="19359" xr:uid="{00000000-0005-0000-0000-0000F5C70000}"/>
    <cellStyle name="Финансовый 9 2 2 5 2 2" xfId="43314" xr:uid="{00000000-0005-0000-0000-0000F6C70000}"/>
    <cellStyle name="Финансовый 9 2 2 5 3" xfId="31336" xr:uid="{00000000-0005-0000-0000-0000F7C70000}"/>
    <cellStyle name="Финансовый 9 2 2 6" xfId="9163" xr:uid="{00000000-0005-0000-0000-0000F8C70000}"/>
    <cellStyle name="Финансовый 9 2 2 6 2" xfId="21141" xr:uid="{00000000-0005-0000-0000-0000F9C70000}"/>
    <cellStyle name="Финансовый 9 2 2 6 2 2" xfId="45096" xr:uid="{00000000-0005-0000-0000-0000FAC70000}"/>
    <cellStyle name="Финансовый 9 2 2 6 3" xfId="33118" xr:uid="{00000000-0005-0000-0000-0000FBC70000}"/>
    <cellStyle name="Финансовый 9 2 2 7" xfId="13322" xr:uid="{00000000-0005-0000-0000-0000FCC70000}"/>
    <cellStyle name="Финансовый 9 2 2 7 2" xfId="37277" xr:uid="{00000000-0005-0000-0000-0000FDC70000}"/>
    <cellStyle name="Финансовый 9 2 2 8" xfId="25300" xr:uid="{00000000-0005-0000-0000-0000FEC70000}"/>
    <cellStyle name="Финансовый 9 2 2 9" xfId="48433" xr:uid="{00000000-0005-0000-0000-0000FFC70000}"/>
    <cellStyle name="Финансовый 9 2 3" xfId="2043" xr:uid="{00000000-0005-0000-0000-000000C80000}"/>
    <cellStyle name="Финансовый 9 2 3 2" xfId="3688" xr:uid="{00000000-0005-0000-0000-000001C80000}"/>
    <cellStyle name="Финансовый 9 2 3 2 2" xfId="11428" xr:uid="{00000000-0005-0000-0000-000002C80000}"/>
    <cellStyle name="Финансовый 9 2 3 2 2 2" xfId="23406" xr:uid="{00000000-0005-0000-0000-000003C80000}"/>
    <cellStyle name="Финансовый 9 2 3 2 2 2 2" xfId="47361" xr:uid="{00000000-0005-0000-0000-000004C80000}"/>
    <cellStyle name="Финансовый 9 2 3 2 2 3" xfId="35383" xr:uid="{00000000-0005-0000-0000-000005C80000}"/>
    <cellStyle name="Финансовый 9 2 3 2 3" xfId="15667" xr:uid="{00000000-0005-0000-0000-000006C80000}"/>
    <cellStyle name="Финансовый 9 2 3 2 3 2" xfId="39622" xr:uid="{00000000-0005-0000-0000-000007C80000}"/>
    <cellStyle name="Финансовый 9 2 3 2 4" xfId="27645" xr:uid="{00000000-0005-0000-0000-000008C80000}"/>
    <cellStyle name="Финансовый 9 2 3 2 5" xfId="50914" xr:uid="{00000000-0005-0000-0000-000009C80000}"/>
    <cellStyle name="Финансовый 9 2 3 3" xfId="5471" xr:uid="{00000000-0005-0000-0000-00000AC80000}"/>
    <cellStyle name="Финансовый 9 2 3 3 2" xfId="17449" xr:uid="{00000000-0005-0000-0000-00000BC80000}"/>
    <cellStyle name="Финансовый 9 2 3 3 2 2" xfId="41404" xr:uid="{00000000-0005-0000-0000-00000CC80000}"/>
    <cellStyle name="Финансовый 9 2 3 3 3" xfId="29426" xr:uid="{00000000-0005-0000-0000-00000DC80000}"/>
    <cellStyle name="Финансовый 9 2 3 4" xfId="8081" xr:uid="{00000000-0005-0000-0000-00000EC80000}"/>
    <cellStyle name="Финансовый 9 2 3 4 2" xfId="20059" xr:uid="{00000000-0005-0000-0000-00000FC80000}"/>
    <cellStyle name="Финансовый 9 2 3 4 2 2" xfId="44014" xr:uid="{00000000-0005-0000-0000-000010C80000}"/>
    <cellStyle name="Финансовый 9 2 3 4 3" xfId="32036" xr:uid="{00000000-0005-0000-0000-000011C80000}"/>
    <cellStyle name="Финансовый 9 2 3 5" xfId="9864" xr:uid="{00000000-0005-0000-0000-000012C80000}"/>
    <cellStyle name="Финансовый 9 2 3 5 2" xfId="21842" xr:uid="{00000000-0005-0000-0000-000013C80000}"/>
    <cellStyle name="Финансовый 9 2 3 5 2 2" xfId="45797" xr:uid="{00000000-0005-0000-0000-000014C80000}"/>
    <cellStyle name="Финансовый 9 2 3 5 3" xfId="33819" xr:uid="{00000000-0005-0000-0000-000015C80000}"/>
    <cellStyle name="Финансовый 9 2 3 6" xfId="14022" xr:uid="{00000000-0005-0000-0000-000016C80000}"/>
    <cellStyle name="Финансовый 9 2 3 6 2" xfId="37977" xr:uid="{00000000-0005-0000-0000-000017C80000}"/>
    <cellStyle name="Финансовый 9 2 3 7" xfId="26000" xr:uid="{00000000-0005-0000-0000-000018C80000}"/>
    <cellStyle name="Финансовый 9 2 3 8" xfId="49133" xr:uid="{00000000-0005-0000-0000-000019C80000}"/>
    <cellStyle name="Финансовый 9 2 4" xfId="2572" xr:uid="{00000000-0005-0000-0000-00001AC80000}"/>
    <cellStyle name="Финансовый 9 2 4 2" xfId="4217" xr:uid="{00000000-0005-0000-0000-00001BC80000}"/>
    <cellStyle name="Финансовый 9 2 4 2 2" xfId="11941" xr:uid="{00000000-0005-0000-0000-00001CC80000}"/>
    <cellStyle name="Финансовый 9 2 4 2 2 2" xfId="23919" xr:uid="{00000000-0005-0000-0000-00001DC80000}"/>
    <cellStyle name="Финансовый 9 2 4 2 2 2 2" xfId="47874" xr:uid="{00000000-0005-0000-0000-00001EC80000}"/>
    <cellStyle name="Финансовый 9 2 4 2 2 3" xfId="35896" xr:uid="{00000000-0005-0000-0000-00001FC80000}"/>
    <cellStyle name="Финансовый 9 2 4 2 3" xfId="16196" xr:uid="{00000000-0005-0000-0000-000020C80000}"/>
    <cellStyle name="Финансовый 9 2 4 2 3 2" xfId="40151" xr:uid="{00000000-0005-0000-0000-000021C80000}"/>
    <cellStyle name="Финансовый 9 2 4 2 4" xfId="28174" xr:uid="{00000000-0005-0000-0000-000022C80000}"/>
    <cellStyle name="Финансовый 9 2 4 2 5" xfId="51443" xr:uid="{00000000-0005-0000-0000-000023C80000}"/>
    <cellStyle name="Финансовый 9 2 4 3" xfId="6000" xr:uid="{00000000-0005-0000-0000-000024C80000}"/>
    <cellStyle name="Финансовый 9 2 4 3 2" xfId="17978" xr:uid="{00000000-0005-0000-0000-000025C80000}"/>
    <cellStyle name="Финансовый 9 2 4 3 2 2" xfId="41933" xr:uid="{00000000-0005-0000-0000-000026C80000}"/>
    <cellStyle name="Финансовый 9 2 4 3 3" xfId="29955" xr:uid="{00000000-0005-0000-0000-000027C80000}"/>
    <cellStyle name="Финансовый 9 2 4 4" xfId="8610" xr:uid="{00000000-0005-0000-0000-000028C80000}"/>
    <cellStyle name="Финансовый 9 2 4 4 2" xfId="20588" xr:uid="{00000000-0005-0000-0000-000029C80000}"/>
    <cellStyle name="Финансовый 9 2 4 4 2 2" xfId="44543" xr:uid="{00000000-0005-0000-0000-00002AC80000}"/>
    <cellStyle name="Финансовый 9 2 4 4 3" xfId="32565" xr:uid="{00000000-0005-0000-0000-00002BC80000}"/>
    <cellStyle name="Финансовый 9 2 4 5" xfId="10393" xr:uid="{00000000-0005-0000-0000-00002CC80000}"/>
    <cellStyle name="Финансовый 9 2 4 5 2" xfId="22371" xr:uid="{00000000-0005-0000-0000-00002DC80000}"/>
    <cellStyle name="Финансовый 9 2 4 5 2 2" xfId="46326" xr:uid="{00000000-0005-0000-0000-00002EC80000}"/>
    <cellStyle name="Финансовый 9 2 4 5 3" xfId="34348" xr:uid="{00000000-0005-0000-0000-00002FC80000}"/>
    <cellStyle name="Финансовый 9 2 4 6" xfId="14551" xr:uid="{00000000-0005-0000-0000-000030C80000}"/>
    <cellStyle name="Финансовый 9 2 4 6 2" xfId="38506" xr:uid="{00000000-0005-0000-0000-000031C80000}"/>
    <cellStyle name="Финансовый 9 2 4 7" xfId="26529" xr:uid="{00000000-0005-0000-0000-000032C80000}"/>
    <cellStyle name="Финансовый 9 2 4 8" xfId="49662" xr:uid="{00000000-0005-0000-0000-000033C80000}"/>
    <cellStyle name="Финансовый 9 2 5" xfId="1076" xr:uid="{00000000-0005-0000-0000-000034C80000}"/>
    <cellStyle name="Финансовый 9 2 5 2" xfId="7116" xr:uid="{00000000-0005-0000-0000-000035C80000}"/>
    <cellStyle name="Финансовый 9 2 5 2 2" xfId="19094" xr:uid="{00000000-0005-0000-0000-000036C80000}"/>
    <cellStyle name="Финансовый 9 2 5 2 2 2" xfId="43049" xr:uid="{00000000-0005-0000-0000-000037C80000}"/>
    <cellStyle name="Финансовый 9 2 5 2 3" xfId="31071" xr:uid="{00000000-0005-0000-0000-000038C80000}"/>
    <cellStyle name="Финансовый 9 2 5 3" xfId="10656" xr:uid="{00000000-0005-0000-0000-000039C80000}"/>
    <cellStyle name="Финансовый 9 2 5 3 2" xfId="22634" xr:uid="{00000000-0005-0000-0000-00003AC80000}"/>
    <cellStyle name="Финансовый 9 2 5 3 2 2" xfId="46589" xr:uid="{00000000-0005-0000-0000-00003BC80000}"/>
    <cellStyle name="Финансовый 9 2 5 3 3" xfId="34611" xr:uid="{00000000-0005-0000-0000-00003CC80000}"/>
    <cellStyle name="Финансовый 9 2 5 4" xfId="13057" xr:uid="{00000000-0005-0000-0000-00003DC80000}"/>
    <cellStyle name="Финансовый 9 2 5 4 2" xfId="37012" xr:uid="{00000000-0005-0000-0000-00003EC80000}"/>
    <cellStyle name="Финансовый 9 2 5 5" xfId="25035" xr:uid="{00000000-0005-0000-0000-00003FC80000}"/>
    <cellStyle name="Финансовый 9 2 5 6" xfId="49941" xr:uid="{00000000-0005-0000-0000-000040C80000}"/>
    <cellStyle name="Финансовый 9 2 6" xfId="664" xr:uid="{00000000-0005-0000-0000-000041C80000}"/>
    <cellStyle name="Финансовый 9 2 6 2" xfId="6704" xr:uid="{00000000-0005-0000-0000-000042C80000}"/>
    <cellStyle name="Финансовый 9 2 6 2 2" xfId="18682" xr:uid="{00000000-0005-0000-0000-000043C80000}"/>
    <cellStyle name="Финансовый 9 2 6 2 2 2" xfId="42637" xr:uid="{00000000-0005-0000-0000-000044C80000}"/>
    <cellStyle name="Финансовый 9 2 6 2 3" xfId="30659" xr:uid="{00000000-0005-0000-0000-000045C80000}"/>
    <cellStyle name="Финансовый 9 2 6 3" xfId="12645" xr:uid="{00000000-0005-0000-0000-000046C80000}"/>
    <cellStyle name="Финансовый 9 2 6 3 2" xfId="36600" xr:uid="{00000000-0005-0000-0000-000047C80000}"/>
    <cellStyle name="Финансовый 9 2 6 4" xfId="24623" xr:uid="{00000000-0005-0000-0000-000048C80000}"/>
    <cellStyle name="Финансовый 9 2 7" xfId="2853" xr:uid="{00000000-0005-0000-0000-000049C80000}"/>
    <cellStyle name="Финансовый 9 2 7 2" xfId="14832" xr:uid="{00000000-0005-0000-0000-00004AC80000}"/>
    <cellStyle name="Финансовый 9 2 7 2 2" xfId="38787" xr:uid="{00000000-0005-0000-0000-00004BC80000}"/>
    <cellStyle name="Финансовый 9 2 7 3" xfId="26810" xr:uid="{00000000-0005-0000-0000-00004CC80000}"/>
    <cellStyle name="Финансовый 9 2 8" xfId="4497" xr:uid="{00000000-0005-0000-0000-00004DC80000}"/>
    <cellStyle name="Финансовый 9 2 8 2" xfId="16476" xr:uid="{00000000-0005-0000-0000-00004EC80000}"/>
    <cellStyle name="Финансовый 9 2 8 2 2" xfId="40431" xr:uid="{00000000-0005-0000-0000-00004FC80000}"/>
    <cellStyle name="Финансовый 9 2 8 3" xfId="28454" xr:uid="{00000000-0005-0000-0000-000050C80000}"/>
    <cellStyle name="Финансовый 9 2 9" xfId="6284" xr:uid="{00000000-0005-0000-0000-000051C80000}"/>
    <cellStyle name="Финансовый 9 2 9 2" xfId="18262" xr:uid="{00000000-0005-0000-0000-000052C80000}"/>
    <cellStyle name="Финансовый 9 2 9 2 2" xfId="42217" xr:uid="{00000000-0005-0000-0000-000053C80000}"/>
    <cellStyle name="Финансовый 9 2 9 3" xfId="30239" xr:uid="{00000000-0005-0000-0000-000054C80000}"/>
    <cellStyle name="Финансовый 9 3" xfId="392" xr:uid="{00000000-0005-0000-0000-000055C80000}"/>
    <cellStyle name="Финансовый 9 3 10" xfId="24351" xr:uid="{00000000-0005-0000-0000-000056C80000}"/>
    <cellStyle name="Финансовый 9 3 11" xfId="48297" xr:uid="{00000000-0005-0000-0000-000057C80000}"/>
    <cellStyle name="Финансовый 9 3 2" xfId="2171" xr:uid="{00000000-0005-0000-0000-000058C80000}"/>
    <cellStyle name="Финансовый 9 3 2 2" xfId="3816" xr:uid="{00000000-0005-0000-0000-000059C80000}"/>
    <cellStyle name="Финансовый 9 3 2 2 2" xfId="11556" xr:uid="{00000000-0005-0000-0000-00005AC80000}"/>
    <cellStyle name="Финансовый 9 3 2 2 2 2" xfId="23534" xr:uid="{00000000-0005-0000-0000-00005BC80000}"/>
    <cellStyle name="Финансовый 9 3 2 2 2 2 2" xfId="47489" xr:uid="{00000000-0005-0000-0000-00005CC80000}"/>
    <cellStyle name="Финансовый 9 3 2 2 2 3" xfId="35511" xr:uid="{00000000-0005-0000-0000-00005DC80000}"/>
    <cellStyle name="Финансовый 9 3 2 2 3" xfId="15795" xr:uid="{00000000-0005-0000-0000-00005EC80000}"/>
    <cellStyle name="Финансовый 9 3 2 2 3 2" xfId="39750" xr:uid="{00000000-0005-0000-0000-00005FC80000}"/>
    <cellStyle name="Финансовый 9 3 2 2 4" xfId="27773" xr:uid="{00000000-0005-0000-0000-000060C80000}"/>
    <cellStyle name="Финансовый 9 3 2 2 5" xfId="51042" xr:uid="{00000000-0005-0000-0000-000061C80000}"/>
    <cellStyle name="Финансовый 9 3 2 3" xfId="5599" xr:uid="{00000000-0005-0000-0000-000062C80000}"/>
    <cellStyle name="Финансовый 9 3 2 3 2" xfId="17577" xr:uid="{00000000-0005-0000-0000-000063C80000}"/>
    <cellStyle name="Финансовый 9 3 2 3 2 2" xfId="41532" xr:uid="{00000000-0005-0000-0000-000064C80000}"/>
    <cellStyle name="Финансовый 9 3 2 3 3" xfId="29554" xr:uid="{00000000-0005-0000-0000-000065C80000}"/>
    <cellStyle name="Финансовый 9 3 2 4" xfId="8209" xr:uid="{00000000-0005-0000-0000-000066C80000}"/>
    <cellStyle name="Финансовый 9 3 2 4 2" xfId="20187" xr:uid="{00000000-0005-0000-0000-000067C80000}"/>
    <cellStyle name="Финансовый 9 3 2 4 2 2" xfId="44142" xr:uid="{00000000-0005-0000-0000-000068C80000}"/>
    <cellStyle name="Финансовый 9 3 2 4 3" xfId="32164" xr:uid="{00000000-0005-0000-0000-000069C80000}"/>
    <cellStyle name="Финансовый 9 3 2 5" xfId="9992" xr:uid="{00000000-0005-0000-0000-00006AC80000}"/>
    <cellStyle name="Финансовый 9 3 2 5 2" xfId="21970" xr:uid="{00000000-0005-0000-0000-00006BC80000}"/>
    <cellStyle name="Финансовый 9 3 2 5 2 2" xfId="45925" xr:uid="{00000000-0005-0000-0000-00006CC80000}"/>
    <cellStyle name="Финансовый 9 3 2 5 3" xfId="33947" xr:uid="{00000000-0005-0000-0000-00006DC80000}"/>
    <cellStyle name="Финансовый 9 3 2 6" xfId="14150" xr:uid="{00000000-0005-0000-0000-00006EC80000}"/>
    <cellStyle name="Финансовый 9 3 2 6 2" xfId="38105" xr:uid="{00000000-0005-0000-0000-00006FC80000}"/>
    <cellStyle name="Финансовый 9 3 2 7" xfId="26128" xr:uid="{00000000-0005-0000-0000-000070C80000}"/>
    <cellStyle name="Финансовый 9 3 2 8" xfId="49261" xr:uid="{00000000-0005-0000-0000-000071C80000}"/>
    <cellStyle name="Финансовый 9 3 3" xfId="1205" xr:uid="{00000000-0005-0000-0000-000072C80000}"/>
    <cellStyle name="Финансовый 9 3 3 2" xfId="7245" xr:uid="{00000000-0005-0000-0000-000073C80000}"/>
    <cellStyle name="Финансовый 9 3 3 2 2" xfId="19223" xr:uid="{00000000-0005-0000-0000-000074C80000}"/>
    <cellStyle name="Финансовый 9 3 3 2 2 2" xfId="43178" xr:uid="{00000000-0005-0000-0000-000075C80000}"/>
    <cellStyle name="Финансовый 9 3 3 2 3" xfId="31200" xr:uid="{00000000-0005-0000-0000-000076C80000}"/>
    <cellStyle name="Финансовый 9 3 3 3" xfId="10784" xr:uid="{00000000-0005-0000-0000-000077C80000}"/>
    <cellStyle name="Финансовый 9 3 3 3 2" xfId="22762" xr:uid="{00000000-0005-0000-0000-000078C80000}"/>
    <cellStyle name="Финансовый 9 3 3 3 2 2" xfId="46717" xr:uid="{00000000-0005-0000-0000-000079C80000}"/>
    <cellStyle name="Финансовый 9 3 3 3 3" xfId="34739" xr:uid="{00000000-0005-0000-0000-00007AC80000}"/>
    <cellStyle name="Финансовый 9 3 3 4" xfId="13186" xr:uid="{00000000-0005-0000-0000-00007BC80000}"/>
    <cellStyle name="Финансовый 9 3 3 4 2" xfId="37141" xr:uid="{00000000-0005-0000-0000-00007CC80000}"/>
    <cellStyle name="Финансовый 9 3 3 5" xfId="25164" xr:uid="{00000000-0005-0000-0000-00007DC80000}"/>
    <cellStyle name="Финансовый 9 3 3 6" xfId="50077" xr:uid="{00000000-0005-0000-0000-00007EC80000}"/>
    <cellStyle name="Финансовый 9 3 4" xfId="812" xr:uid="{00000000-0005-0000-0000-00007FC80000}"/>
    <cellStyle name="Финансовый 9 3 4 2" xfId="6852" xr:uid="{00000000-0005-0000-0000-000080C80000}"/>
    <cellStyle name="Финансовый 9 3 4 2 2" xfId="18830" xr:uid="{00000000-0005-0000-0000-000081C80000}"/>
    <cellStyle name="Финансовый 9 3 4 2 2 2" xfId="42785" xr:uid="{00000000-0005-0000-0000-000082C80000}"/>
    <cellStyle name="Финансовый 9 3 4 2 3" xfId="30807" xr:uid="{00000000-0005-0000-0000-000083C80000}"/>
    <cellStyle name="Финансовый 9 3 4 3" xfId="12793" xr:uid="{00000000-0005-0000-0000-000084C80000}"/>
    <cellStyle name="Финансовый 9 3 4 3 2" xfId="36748" xr:uid="{00000000-0005-0000-0000-000085C80000}"/>
    <cellStyle name="Финансовый 9 3 4 4" xfId="24771" xr:uid="{00000000-0005-0000-0000-000086C80000}"/>
    <cellStyle name="Финансовый 9 3 5" xfId="2989" xr:uid="{00000000-0005-0000-0000-000087C80000}"/>
    <cellStyle name="Финансовый 9 3 5 2" xfId="14968" xr:uid="{00000000-0005-0000-0000-000088C80000}"/>
    <cellStyle name="Финансовый 9 3 5 2 2" xfId="38923" xr:uid="{00000000-0005-0000-0000-000089C80000}"/>
    <cellStyle name="Финансовый 9 3 5 3" xfId="26946" xr:uid="{00000000-0005-0000-0000-00008AC80000}"/>
    <cellStyle name="Финансовый 9 3 6" xfId="4633" xr:uid="{00000000-0005-0000-0000-00008BC80000}"/>
    <cellStyle name="Финансовый 9 3 6 2" xfId="16612" xr:uid="{00000000-0005-0000-0000-00008CC80000}"/>
    <cellStyle name="Финансовый 9 3 6 2 2" xfId="40567" xr:uid="{00000000-0005-0000-0000-00008DC80000}"/>
    <cellStyle name="Финансовый 9 3 6 3" xfId="28590" xr:uid="{00000000-0005-0000-0000-00008EC80000}"/>
    <cellStyle name="Финансовый 9 3 7" xfId="6432" xr:uid="{00000000-0005-0000-0000-00008FC80000}"/>
    <cellStyle name="Финансовый 9 3 7 2" xfId="18410" xr:uid="{00000000-0005-0000-0000-000090C80000}"/>
    <cellStyle name="Финансовый 9 3 7 2 2" xfId="42365" xr:uid="{00000000-0005-0000-0000-000091C80000}"/>
    <cellStyle name="Финансовый 9 3 7 3" xfId="30387" xr:uid="{00000000-0005-0000-0000-000092C80000}"/>
    <cellStyle name="Финансовый 9 3 8" xfId="9027" xr:uid="{00000000-0005-0000-0000-000093C80000}"/>
    <cellStyle name="Финансовый 9 3 8 2" xfId="21005" xr:uid="{00000000-0005-0000-0000-000094C80000}"/>
    <cellStyle name="Финансовый 9 3 8 2 2" xfId="44960" xr:uid="{00000000-0005-0000-0000-000095C80000}"/>
    <cellStyle name="Финансовый 9 3 8 3" xfId="32982" xr:uid="{00000000-0005-0000-0000-000096C80000}"/>
    <cellStyle name="Финансовый 9 3 9" xfId="12373" xr:uid="{00000000-0005-0000-0000-000097C80000}"/>
    <cellStyle name="Финансовый 9 3 9 2" xfId="36328" xr:uid="{00000000-0005-0000-0000-000098C80000}"/>
    <cellStyle name="Финансовый 9 4" xfId="1556" xr:uid="{00000000-0005-0000-0000-000099C80000}"/>
    <cellStyle name="Финансовый 9 4 2" xfId="1915" xr:uid="{00000000-0005-0000-0000-00009AC80000}"/>
    <cellStyle name="Финансовый 9 4 2 2" xfId="3560" xr:uid="{00000000-0005-0000-0000-00009BC80000}"/>
    <cellStyle name="Финансовый 9 4 2 2 2" xfId="11300" xr:uid="{00000000-0005-0000-0000-00009CC80000}"/>
    <cellStyle name="Финансовый 9 4 2 2 2 2" xfId="23278" xr:uid="{00000000-0005-0000-0000-00009DC80000}"/>
    <cellStyle name="Финансовый 9 4 2 2 2 2 2" xfId="47233" xr:uid="{00000000-0005-0000-0000-00009EC80000}"/>
    <cellStyle name="Финансовый 9 4 2 2 2 3" xfId="35255" xr:uid="{00000000-0005-0000-0000-00009FC80000}"/>
    <cellStyle name="Финансовый 9 4 2 2 3" xfId="15539" xr:uid="{00000000-0005-0000-0000-0000A0C80000}"/>
    <cellStyle name="Финансовый 9 4 2 2 3 2" xfId="39494" xr:uid="{00000000-0005-0000-0000-0000A1C80000}"/>
    <cellStyle name="Финансовый 9 4 2 2 4" xfId="27517" xr:uid="{00000000-0005-0000-0000-0000A2C80000}"/>
    <cellStyle name="Финансовый 9 4 2 2 5" xfId="50786" xr:uid="{00000000-0005-0000-0000-0000A3C80000}"/>
    <cellStyle name="Финансовый 9 4 2 3" xfId="5343" xr:uid="{00000000-0005-0000-0000-0000A4C80000}"/>
    <cellStyle name="Финансовый 9 4 2 3 2" xfId="17321" xr:uid="{00000000-0005-0000-0000-0000A5C80000}"/>
    <cellStyle name="Финансовый 9 4 2 3 2 2" xfId="41276" xr:uid="{00000000-0005-0000-0000-0000A6C80000}"/>
    <cellStyle name="Финансовый 9 4 2 3 3" xfId="29298" xr:uid="{00000000-0005-0000-0000-0000A7C80000}"/>
    <cellStyle name="Финансовый 9 4 2 4" xfId="7953" xr:uid="{00000000-0005-0000-0000-0000A8C80000}"/>
    <cellStyle name="Финансовый 9 4 2 4 2" xfId="19931" xr:uid="{00000000-0005-0000-0000-0000A9C80000}"/>
    <cellStyle name="Финансовый 9 4 2 4 2 2" xfId="43886" xr:uid="{00000000-0005-0000-0000-0000AAC80000}"/>
    <cellStyle name="Финансовый 9 4 2 4 3" xfId="31908" xr:uid="{00000000-0005-0000-0000-0000ABC80000}"/>
    <cellStyle name="Финансовый 9 4 2 5" xfId="9736" xr:uid="{00000000-0005-0000-0000-0000ACC80000}"/>
    <cellStyle name="Финансовый 9 4 2 5 2" xfId="21714" xr:uid="{00000000-0005-0000-0000-0000ADC80000}"/>
    <cellStyle name="Финансовый 9 4 2 5 2 2" xfId="45669" xr:uid="{00000000-0005-0000-0000-0000AEC80000}"/>
    <cellStyle name="Финансовый 9 4 2 5 3" xfId="33691" xr:uid="{00000000-0005-0000-0000-0000AFC80000}"/>
    <cellStyle name="Финансовый 9 4 2 6" xfId="13894" xr:uid="{00000000-0005-0000-0000-0000B0C80000}"/>
    <cellStyle name="Финансовый 9 4 2 6 2" xfId="37849" xr:uid="{00000000-0005-0000-0000-0000B1C80000}"/>
    <cellStyle name="Финансовый 9 4 2 7" xfId="25872" xr:uid="{00000000-0005-0000-0000-0000B2C80000}"/>
    <cellStyle name="Финансовый 9 4 2 8" xfId="49005" xr:uid="{00000000-0005-0000-0000-0000B3C80000}"/>
    <cellStyle name="Финансовый 9 4 3" xfId="4984" xr:uid="{00000000-0005-0000-0000-0000B4C80000}"/>
    <cellStyle name="Финансовый 9 4 3 2" xfId="16962" xr:uid="{00000000-0005-0000-0000-0000B5C80000}"/>
    <cellStyle name="Финансовый 9 4 3 2 2" xfId="40917" xr:uid="{00000000-0005-0000-0000-0000B6C80000}"/>
    <cellStyle name="Финансовый 9 4 3 3" xfId="28939" xr:uid="{00000000-0005-0000-0000-0000B7C80000}"/>
    <cellStyle name="Финансовый 9 4 3 4" xfId="50427" xr:uid="{00000000-0005-0000-0000-0000B8C80000}"/>
    <cellStyle name="Финансовый 9 4 4" xfId="7594" xr:uid="{00000000-0005-0000-0000-0000B9C80000}"/>
    <cellStyle name="Финансовый 9 4 4 2" xfId="19572" xr:uid="{00000000-0005-0000-0000-0000BAC80000}"/>
    <cellStyle name="Финансовый 9 4 4 2 2" xfId="43527" xr:uid="{00000000-0005-0000-0000-0000BBC80000}"/>
    <cellStyle name="Финансовый 9 4 4 3" xfId="31549" xr:uid="{00000000-0005-0000-0000-0000BCC80000}"/>
    <cellStyle name="Финансовый 9 4 5" xfId="9377" xr:uid="{00000000-0005-0000-0000-0000BDC80000}"/>
    <cellStyle name="Финансовый 9 4 5 2" xfId="21355" xr:uid="{00000000-0005-0000-0000-0000BEC80000}"/>
    <cellStyle name="Финансовый 9 4 5 2 2" xfId="45310" xr:uid="{00000000-0005-0000-0000-0000BFC80000}"/>
    <cellStyle name="Финансовый 9 4 5 3" xfId="33332" xr:uid="{00000000-0005-0000-0000-0000C0C80000}"/>
    <cellStyle name="Финансовый 9 4 6" xfId="13535" xr:uid="{00000000-0005-0000-0000-0000C1C80000}"/>
    <cellStyle name="Финансовый 9 4 6 2" xfId="37490" xr:uid="{00000000-0005-0000-0000-0000C2C80000}"/>
    <cellStyle name="Финансовый 9 4 7" xfId="25513" xr:uid="{00000000-0005-0000-0000-0000C3C80000}"/>
    <cellStyle name="Финансовый 9 4 8" xfId="48646" xr:uid="{00000000-0005-0000-0000-0000C4C80000}"/>
    <cellStyle name="Финансовый 9 5" xfId="1791" xr:uid="{00000000-0005-0000-0000-0000C5C80000}"/>
    <cellStyle name="Финансовый 9 5 2" xfId="3436" xr:uid="{00000000-0005-0000-0000-0000C6C80000}"/>
    <cellStyle name="Финансовый 9 5 2 2" xfId="11184" xr:uid="{00000000-0005-0000-0000-0000C7C80000}"/>
    <cellStyle name="Финансовый 9 5 2 2 2" xfId="23162" xr:uid="{00000000-0005-0000-0000-0000C8C80000}"/>
    <cellStyle name="Финансовый 9 5 2 2 2 2" xfId="47117" xr:uid="{00000000-0005-0000-0000-0000C9C80000}"/>
    <cellStyle name="Финансовый 9 5 2 2 3" xfId="35139" xr:uid="{00000000-0005-0000-0000-0000CAC80000}"/>
    <cellStyle name="Финансовый 9 5 2 3" xfId="15415" xr:uid="{00000000-0005-0000-0000-0000CBC80000}"/>
    <cellStyle name="Финансовый 9 5 2 3 2" xfId="39370" xr:uid="{00000000-0005-0000-0000-0000CCC80000}"/>
    <cellStyle name="Финансовый 9 5 2 4" xfId="27393" xr:uid="{00000000-0005-0000-0000-0000CDC80000}"/>
    <cellStyle name="Финансовый 9 5 2 5" xfId="50662" xr:uid="{00000000-0005-0000-0000-0000CEC80000}"/>
    <cellStyle name="Финансовый 9 5 3" xfId="5219" xr:uid="{00000000-0005-0000-0000-0000CFC80000}"/>
    <cellStyle name="Финансовый 9 5 3 2" xfId="17197" xr:uid="{00000000-0005-0000-0000-0000D0C80000}"/>
    <cellStyle name="Финансовый 9 5 3 2 2" xfId="41152" xr:uid="{00000000-0005-0000-0000-0000D1C80000}"/>
    <cellStyle name="Финансовый 9 5 3 3" xfId="29174" xr:uid="{00000000-0005-0000-0000-0000D2C80000}"/>
    <cellStyle name="Финансовый 9 5 4" xfId="7829" xr:uid="{00000000-0005-0000-0000-0000D3C80000}"/>
    <cellStyle name="Финансовый 9 5 4 2" xfId="19807" xr:uid="{00000000-0005-0000-0000-0000D4C80000}"/>
    <cellStyle name="Финансовый 9 5 4 2 2" xfId="43762" xr:uid="{00000000-0005-0000-0000-0000D5C80000}"/>
    <cellStyle name="Финансовый 9 5 4 3" xfId="31784" xr:uid="{00000000-0005-0000-0000-0000D6C80000}"/>
    <cellStyle name="Финансовый 9 5 5" xfId="9612" xr:uid="{00000000-0005-0000-0000-0000D7C80000}"/>
    <cellStyle name="Финансовый 9 5 5 2" xfId="21590" xr:uid="{00000000-0005-0000-0000-0000D8C80000}"/>
    <cellStyle name="Финансовый 9 5 5 2 2" xfId="45545" xr:uid="{00000000-0005-0000-0000-0000D9C80000}"/>
    <cellStyle name="Финансовый 9 5 5 3" xfId="33567" xr:uid="{00000000-0005-0000-0000-0000DAC80000}"/>
    <cellStyle name="Финансовый 9 5 6" xfId="13770" xr:uid="{00000000-0005-0000-0000-0000DBC80000}"/>
    <cellStyle name="Финансовый 9 5 6 2" xfId="37725" xr:uid="{00000000-0005-0000-0000-0000DCC80000}"/>
    <cellStyle name="Финансовый 9 5 7" xfId="25748" xr:uid="{00000000-0005-0000-0000-0000DDC80000}"/>
    <cellStyle name="Финансовый 9 5 8" xfId="48881" xr:uid="{00000000-0005-0000-0000-0000DEC80000}"/>
    <cellStyle name="Финансовый 9 6" xfId="2436" xr:uid="{00000000-0005-0000-0000-0000DFC80000}"/>
    <cellStyle name="Финансовый 9 6 2" xfId="4081" xr:uid="{00000000-0005-0000-0000-0000E0C80000}"/>
    <cellStyle name="Финансовый 9 6 2 2" xfId="11813" xr:uid="{00000000-0005-0000-0000-0000E1C80000}"/>
    <cellStyle name="Финансовый 9 6 2 2 2" xfId="23791" xr:uid="{00000000-0005-0000-0000-0000E2C80000}"/>
    <cellStyle name="Финансовый 9 6 2 2 2 2" xfId="47746" xr:uid="{00000000-0005-0000-0000-0000E3C80000}"/>
    <cellStyle name="Финансовый 9 6 2 2 3" xfId="35768" xr:uid="{00000000-0005-0000-0000-0000E4C80000}"/>
    <cellStyle name="Финансовый 9 6 2 3" xfId="16060" xr:uid="{00000000-0005-0000-0000-0000E5C80000}"/>
    <cellStyle name="Финансовый 9 6 2 3 2" xfId="40015" xr:uid="{00000000-0005-0000-0000-0000E6C80000}"/>
    <cellStyle name="Финансовый 9 6 2 4" xfId="28038" xr:uid="{00000000-0005-0000-0000-0000E7C80000}"/>
    <cellStyle name="Финансовый 9 6 2 5" xfId="51307" xr:uid="{00000000-0005-0000-0000-0000E8C80000}"/>
    <cellStyle name="Финансовый 9 6 3" xfId="5864" xr:uid="{00000000-0005-0000-0000-0000E9C80000}"/>
    <cellStyle name="Финансовый 9 6 3 2" xfId="17842" xr:uid="{00000000-0005-0000-0000-0000EAC80000}"/>
    <cellStyle name="Финансовый 9 6 3 2 2" xfId="41797" xr:uid="{00000000-0005-0000-0000-0000EBC80000}"/>
    <cellStyle name="Финансовый 9 6 3 3" xfId="29819" xr:uid="{00000000-0005-0000-0000-0000ECC80000}"/>
    <cellStyle name="Финансовый 9 6 4" xfId="8474" xr:uid="{00000000-0005-0000-0000-0000EDC80000}"/>
    <cellStyle name="Финансовый 9 6 4 2" xfId="20452" xr:uid="{00000000-0005-0000-0000-0000EEC80000}"/>
    <cellStyle name="Финансовый 9 6 4 2 2" xfId="44407" xr:uid="{00000000-0005-0000-0000-0000EFC80000}"/>
    <cellStyle name="Финансовый 9 6 4 3" xfId="32429" xr:uid="{00000000-0005-0000-0000-0000F0C80000}"/>
    <cellStyle name="Финансовый 9 6 5" xfId="10257" xr:uid="{00000000-0005-0000-0000-0000F1C80000}"/>
    <cellStyle name="Финансовый 9 6 5 2" xfId="22235" xr:uid="{00000000-0005-0000-0000-0000F2C80000}"/>
    <cellStyle name="Финансовый 9 6 5 2 2" xfId="46190" xr:uid="{00000000-0005-0000-0000-0000F3C80000}"/>
    <cellStyle name="Финансовый 9 6 5 3" xfId="34212" xr:uid="{00000000-0005-0000-0000-0000F4C80000}"/>
    <cellStyle name="Финансовый 9 6 6" xfId="14415" xr:uid="{00000000-0005-0000-0000-0000F5C80000}"/>
    <cellStyle name="Финансовый 9 6 6 2" xfId="38370" xr:uid="{00000000-0005-0000-0000-0000F6C80000}"/>
    <cellStyle name="Финансовый 9 6 7" xfId="26393" xr:uid="{00000000-0005-0000-0000-0000F7C80000}"/>
    <cellStyle name="Финансовый 9 6 8" xfId="49526" xr:uid="{00000000-0005-0000-0000-0000F8C80000}"/>
    <cellStyle name="Финансовый 9 7" xfId="1663" xr:uid="{00000000-0005-0000-0000-0000F9C80000}"/>
    <cellStyle name="Финансовый 9 7 2" xfId="3308" xr:uid="{00000000-0005-0000-0000-0000FAC80000}"/>
    <cellStyle name="Финансовый 9 7 2 2" xfId="11056" xr:uid="{00000000-0005-0000-0000-0000FBC80000}"/>
    <cellStyle name="Финансовый 9 7 2 2 2" xfId="23034" xr:uid="{00000000-0005-0000-0000-0000FCC80000}"/>
    <cellStyle name="Финансовый 9 7 2 2 2 2" xfId="46989" xr:uid="{00000000-0005-0000-0000-0000FDC80000}"/>
    <cellStyle name="Финансовый 9 7 2 2 3" xfId="35011" xr:uid="{00000000-0005-0000-0000-0000FEC80000}"/>
    <cellStyle name="Финансовый 9 7 2 3" xfId="15287" xr:uid="{00000000-0005-0000-0000-0000FFC80000}"/>
    <cellStyle name="Финансовый 9 7 2 3 2" xfId="39242" xr:uid="{00000000-0005-0000-0000-000000C90000}"/>
    <cellStyle name="Финансовый 9 7 2 4" xfId="27265" xr:uid="{00000000-0005-0000-0000-000001C90000}"/>
    <cellStyle name="Финансовый 9 7 2 5" xfId="50534" xr:uid="{00000000-0005-0000-0000-000002C90000}"/>
    <cellStyle name="Финансовый 9 7 3" xfId="5091" xr:uid="{00000000-0005-0000-0000-000003C90000}"/>
    <cellStyle name="Финансовый 9 7 3 2" xfId="17069" xr:uid="{00000000-0005-0000-0000-000004C90000}"/>
    <cellStyle name="Финансовый 9 7 3 2 2" xfId="41024" xr:uid="{00000000-0005-0000-0000-000005C90000}"/>
    <cellStyle name="Финансовый 9 7 3 3" xfId="29046" xr:uid="{00000000-0005-0000-0000-000006C90000}"/>
    <cellStyle name="Финансовый 9 7 4" xfId="7701" xr:uid="{00000000-0005-0000-0000-000007C90000}"/>
    <cellStyle name="Финансовый 9 7 4 2" xfId="19679" xr:uid="{00000000-0005-0000-0000-000008C90000}"/>
    <cellStyle name="Финансовый 9 7 4 2 2" xfId="43634" xr:uid="{00000000-0005-0000-0000-000009C90000}"/>
    <cellStyle name="Финансовый 9 7 4 3" xfId="31656" xr:uid="{00000000-0005-0000-0000-00000AC90000}"/>
    <cellStyle name="Финансовый 9 7 5" xfId="9484" xr:uid="{00000000-0005-0000-0000-00000BC90000}"/>
    <cellStyle name="Финансовый 9 7 5 2" xfId="21462" xr:uid="{00000000-0005-0000-0000-00000CC90000}"/>
    <cellStyle name="Финансовый 9 7 5 2 2" xfId="45417" xr:uid="{00000000-0005-0000-0000-00000DC90000}"/>
    <cellStyle name="Финансовый 9 7 5 3" xfId="33439" xr:uid="{00000000-0005-0000-0000-00000EC90000}"/>
    <cellStyle name="Финансовый 9 7 6" xfId="13642" xr:uid="{00000000-0005-0000-0000-00000FC90000}"/>
    <cellStyle name="Финансовый 9 7 6 2" xfId="37597" xr:uid="{00000000-0005-0000-0000-000010C90000}"/>
    <cellStyle name="Финансовый 9 7 7" xfId="25620" xr:uid="{00000000-0005-0000-0000-000011C90000}"/>
    <cellStyle name="Финансовый 9 7 8" xfId="48753" xr:uid="{00000000-0005-0000-0000-000012C90000}"/>
    <cellStyle name="Финансовый 9 8" xfId="940" xr:uid="{00000000-0005-0000-0000-000013C90000}"/>
    <cellStyle name="Финансовый 9 8 2" xfId="6980" xr:uid="{00000000-0005-0000-0000-000014C90000}"/>
    <cellStyle name="Финансовый 9 8 2 2" xfId="18958" xr:uid="{00000000-0005-0000-0000-000015C90000}"/>
    <cellStyle name="Финансовый 9 8 2 2 2" xfId="42913" xr:uid="{00000000-0005-0000-0000-000016C90000}"/>
    <cellStyle name="Финансовый 9 8 2 3" xfId="30935" xr:uid="{00000000-0005-0000-0000-000017C90000}"/>
    <cellStyle name="Финансовый 9 8 3" xfId="10528" xr:uid="{00000000-0005-0000-0000-000018C90000}"/>
    <cellStyle name="Финансовый 9 8 3 2" xfId="22506" xr:uid="{00000000-0005-0000-0000-000019C90000}"/>
    <cellStyle name="Финансовый 9 8 3 2 2" xfId="46461" xr:uid="{00000000-0005-0000-0000-00001AC90000}"/>
    <cellStyle name="Финансовый 9 8 3 3" xfId="34483" xr:uid="{00000000-0005-0000-0000-00001BC90000}"/>
    <cellStyle name="Финансовый 9 8 4" xfId="12921" xr:uid="{00000000-0005-0000-0000-00001CC90000}"/>
    <cellStyle name="Финансовый 9 8 4 2" xfId="36876" xr:uid="{00000000-0005-0000-0000-00001DC90000}"/>
    <cellStyle name="Финансовый 9 8 5" xfId="24899" xr:uid="{00000000-0005-0000-0000-00001EC90000}"/>
    <cellStyle name="Финансовый 9 8 6" xfId="49805" xr:uid="{00000000-0005-0000-0000-00001FC90000}"/>
    <cellStyle name="Финансовый 9 9" xfId="528" xr:uid="{00000000-0005-0000-0000-000020C90000}"/>
    <cellStyle name="Финансовый 9 9 2" xfId="6568" xr:uid="{00000000-0005-0000-0000-000021C90000}"/>
    <cellStyle name="Финансовый 9 9 2 2" xfId="18546" xr:uid="{00000000-0005-0000-0000-000022C90000}"/>
    <cellStyle name="Финансовый 9 9 2 2 2" xfId="42501" xr:uid="{00000000-0005-0000-0000-000023C90000}"/>
    <cellStyle name="Финансовый 9 9 2 3" xfId="30523" xr:uid="{00000000-0005-0000-0000-000024C90000}"/>
    <cellStyle name="Финансовый 9 9 3" xfId="12509" xr:uid="{00000000-0005-0000-0000-000025C90000}"/>
    <cellStyle name="Финансовый 9 9 3 2" xfId="36464" xr:uid="{00000000-0005-0000-0000-000026C90000}"/>
    <cellStyle name="Финансовый 9 9 4" xfId="24487" xr:uid="{00000000-0005-0000-0000-000027C9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45326</xdr:colOff>
      <xdr:row>0</xdr:row>
      <xdr:rowOff>28575</xdr:rowOff>
    </xdr:from>
    <xdr:to>
      <xdr:col>0</xdr:col>
      <xdr:colOff>799636</xdr:colOff>
      <xdr:row>4</xdr:row>
      <xdr:rowOff>22117</xdr:rowOff>
    </xdr:to>
    <xdr:pic>
      <xdr:nvPicPr>
        <xdr:cNvPr id="4" name="Image 1">
          <a:extLst>
            <a:ext uri="{FF2B5EF4-FFF2-40B4-BE49-F238E27FC236}">
              <a16:creationId xmlns:a16="http://schemas.microsoft.com/office/drawing/2014/main" id="{58E72672-7C31-4830-A884-42011E612024}"/>
            </a:ext>
          </a:extLst>
        </xdr:cNvPr>
        <xdr:cNvPicPr/>
      </xdr:nvPicPr>
      <xdr:blipFill>
        <a:blip xmlns:r="http://schemas.openxmlformats.org/officeDocument/2006/relationships" r:embed="rId1" cstate="print"/>
        <a:stretch>
          <a:fillRect/>
        </a:stretch>
      </xdr:blipFill>
      <xdr:spPr>
        <a:xfrm>
          <a:off x="45326" y="28575"/>
          <a:ext cx="754310" cy="755542"/>
        </a:xfrm>
        <a:prstGeom prst="rect">
          <a:avLst/>
        </a:prstGeom>
      </xdr:spPr>
    </xdr:pic>
    <xdr:clientData/>
  </xdr:twoCellAnchor>
  <xdr:twoCellAnchor editAs="oneCell">
    <xdr:from>
      <xdr:col>3</xdr:col>
      <xdr:colOff>638175</xdr:colOff>
      <xdr:row>0</xdr:row>
      <xdr:rowOff>19050</xdr:rowOff>
    </xdr:from>
    <xdr:to>
      <xdr:col>3</xdr:col>
      <xdr:colOff>1717501</xdr:colOff>
      <xdr:row>4</xdr:row>
      <xdr:rowOff>7525</xdr:rowOff>
    </xdr:to>
    <xdr:pic>
      <xdr:nvPicPr>
        <xdr:cNvPr id="5" name="Image 2">
          <a:extLst>
            <a:ext uri="{FF2B5EF4-FFF2-40B4-BE49-F238E27FC236}">
              <a16:creationId xmlns:a16="http://schemas.microsoft.com/office/drawing/2014/main" id="{A43254B9-9A06-470C-8D39-65F9AAB9C3C8}"/>
            </a:ext>
          </a:extLst>
        </xdr:cNvPr>
        <xdr:cNvPicPr/>
      </xdr:nvPicPr>
      <xdr:blipFill>
        <a:blip xmlns:r="http://schemas.openxmlformats.org/officeDocument/2006/relationships" r:embed="rId2" cstate="print"/>
        <a:stretch>
          <a:fillRect/>
        </a:stretch>
      </xdr:blipFill>
      <xdr:spPr>
        <a:xfrm>
          <a:off x="4705350" y="1905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erver\mko\&#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PycharmProjects/payup/media/mikroqarz_templat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lumot"/>
      <sheetName val="shartnoma"/>
      <sheetName val="buyruq"/>
      <sheetName val="bayonnoma"/>
      <sheetName val="График дифференц"/>
      <sheetName val="Данные для послед. Залога"/>
      <sheetName val="График аннуитет."/>
      <sheetName val="xulosa"/>
      <sheetName val="grafik"/>
      <sheetName val="dalolatnoma"/>
      <sheetName val="ariza"/>
      <sheetName val="muqova"/>
      <sheetName val="mijoz_anketasi"/>
      <sheetName val="majburiyatnoma"/>
      <sheetName val="kredit_ariza"/>
      <sheetName val="garov_ariza"/>
      <sheetName val="Письмо"/>
      <sheetName val="akt_monitoring_1"/>
      <sheetName val="akt_monitoring_2"/>
      <sheetName val="akt_monitoring_3"/>
      <sheetName val="akt_monitoring_4"/>
      <sheetName val="notarius"/>
      <sheetName val="Анкета 2"/>
    </sheetNames>
    <sheetDataSet>
      <sheetData sheetId="0">
        <row r="1">
          <cell r="B1" t="str">
            <v>№ 687-BR</v>
          </cell>
        </row>
        <row r="2">
          <cell r="B2" t="str">
            <v>01.04.2025</v>
          </cell>
        </row>
        <row r="5">
          <cell r="B5" t="str">
            <v>XAYATOV OTABEK KURBANOVICH</v>
          </cell>
        </row>
        <row r="12">
          <cell r="B12" t="str">
            <v>XAYATOV OTABEK KURBANOVICH</v>
          </cell>
        </row>
        <row r="16">
          <cell r="B16" t="str">
            <v>AB 7858443</v>
          </cell>
        </row>
        <row r="20">
          <cell r="B20" t="str">
            <v>BUXORO VILOYATI KOGON TUMAN IIB tomonidan 06.10.2017 yilda berilgan</v>
          </cell>
        </row>
        <row r="65">
          <cell r="B65" t="str">
            <v>mikroqarz</v>
          </cell>
        </row>
        <row r="75">
          <cell r="B75">
            <v>26000000</v>
          </cell>
        </row>
        <row r="76">
          <cell r="B76" t="str">
            <v>yigirma olti million so'm</v>
          </cell>
        </row>
        <row r="81">
          <cell r="B81">
            <v>48</v>
          </cell>
        </row>
        <row r="82">
          <cell r="B82" t="str">
            <v xml:space="preserve">Qirq sakkiz  </v>
          </cell>
        </row>
        <row r="106">
          <cell r="B106" t="str">
            <v>202502386001856</v>
          </cell>
        </row>
        <row r="107">
          <cell r="B107" t="str">
            <v>01.04.2025</v>
          </cell>
        </row>
        <row r="109">
          <cell r="B109" t="str">
            <v>05.04.2025 yildagi</v>
          </cell>
        </row>
        <row r="110">
          <cell r="B110" t="str">
            <v>№ 02/04-001</v>
          </cell>
        </row>
        <row r="111">
          <cell r="B111" t="str">
            <v>Avtotransport</v>
          </cell>
          <cell r="C111" t="str">
            <v>Avtotransport</v>
          </cell>
        </row>
        <row r="119">
          <cell r="B119" t="str">
            <v>FAYZIYEV JAMSHID KURBONOVICH</v>
          </cell>
          <cell r="C119">
            <v>0</v>
          </cell>
        </row>
        <row r="125">
          <cell r="B125" t="str">
            <v>FAYZIYEV JAMSHID KURBONOVICH</v>
          </cell>
        </row>
        <row r="131">
          <cell r="C131" t="str">
            <v>SAMARQAND VILOYATI TAYLOQ TUMANI CHAROG'BON MFY YANGI TAYLOQ QISHLOG'I 6 TURAR JOY 12 QAVAT 58 XONADON</v>
          </cell>
        </row>
        <row r="132">
          <cell r="B132" t="str">
            <v>AAG   4517617  20.08.2024y</v>
          </cell>
          <cell r="C132" t="str">
            <v>13.12.2020 yildan 1718238/R-A1419303</v>
          </cell>
        </row>
        <row r="133">
          <cell r="B133" t="str">
            <v>SPARK</v>
          </cell>
          <cell r="C133" t="str">
            <v>3 - xonali yakka tartibdagi uy-joy</v>
          </cell>
        </row>
        <row r="134">
          <cell r="B134" t="str">
            <v>80Y320AB</v>
          </cell>
          <cell r="C134" t="str">
            <v>3 - xonali yakka tartibdagi uy-joy</v>
          </cell>
        </row>
        <row r="135">
          <cell r="B135" t="str">
            <v>kuzov turi - YENGIL SEDAN, kuzov raqami XWBMF481EBA580791</v>
          </cell>
        </row>
        <row r="138">
          <cell r="B138" t="str">
            <v>dvigatel raqami B10D1606437KC3, shassi raqami - RAKAMSIZ</v>
          </cell>
          <cell r="C138">
            <v>72.13</v>
          </cell>
          <cell r="E138" t="str">
            <v>72,13 kv.m</v>
          </cell>
          <cell r="F138">
            <v>34.739999999999995</v>
          </cell>
        </row>
        <row r="141">
          <cell r="B141" t="str">
            <v>rangi -  OQ BELAYA "KASABLANKA", ishlab chiqarilgan yili - 2011</v>
          </cell>
          <cell r="C141" t="str">
            <v>37,39</v>
          </cell>
          <cell r="E141" t="str">
            <v>37,39 kv.m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8"/>
  <sheetViews>
    <sheetView tabSelected="1" topLeftCell="A90" zoomScale="85" zoomScaleNormal="85" workbookViewId="0">
      <selection activeCell="B97" sqref="B97"/>
    </sheetView>
  </sheetViews>
  <sheetFormatPr defaultColWidth="9.140625" defaultRowHeight="15" zeroHeight="1" x14ac:dyDescent="0.2"/>
  <cols>
    <col min="1" max="1" width="44.42578125" style="158" customWidth="1"/>
    <col min="2" max="2" width="61.85546875" style="159" customWidth="1"/>
    <col min="3" max="3" width="72.5703125" style="212" customWidth="1"/>
    <col min="4" max="4" width="20.85546875" style="212" customWidth="1"/>
    <col min="5" max="7" width="11.28515625" style="212" customWidth="1"/>
    <col min="8" max="8" width="13.28515625" style="212" customWidth="1"/>
    <col min="9" max="13" width="9.140625" style="212" customWidth="1"/>
    <col min="14" max="14" width="70.7109375" style="212" customWidth="1"/>
    <col min="15" max="16" width="9.140625" style="212" customWidth="1"/>
    <col min="17" max="17" width="59.7109375" style="212" customWidth="1"/>
    <col min="18" max="18" width="49.85546875" style="212" customWidth="1"/>
    <col min="19" max="21" width="9.140625" style="212"/>
    <col min="22" max="16384" width="9.140625" style="157"/>
  </cols>
  <sheetData>
    <row r="1" spans="1:4" x14ac:dyDescent="0.2">
      <c r="A1" s="3" t="str">
        <f>CONCATENATE(B65," olish uchun ariza")</f>
        <v>mikroqarz olish uchun ariza</v>
      </c>
      <c r="B1" s="202" t="s">
        <v>450</v>
      </c>
    </row>
    <row r="2" spans="1:4" ht="30" x14ac:dyDescent="0.2">
      <c r="A2" s="3" t="str">
        <f>CONCATENATE(B65," olish uchun ariza sanasi QO’L BILAN KIRITILADI")</f>
        <v>mikroqarz olish uchun ariza sanasi QO’L BILAN KIRITILADI</v>
      </c>
      <c r="B2" s="203" t="s">
        <v>433</v>
      </c>
      <c r="D2" s="212">
        <f>180+B2</f>
        <v>46232</v>
      </c>
    </row>
    <row r="3" spans="1:4" hidden="1" x14ac:dyDescent="0.2">
      <c r="A3" s="3"/>
      <c r="B3" s="1"/>
    </row>
    <row r="4" spans="1:4" x14ac:dyDescent="0.2">
      <c r="A4" s="264" t="s">
        <v>49</v>
      </c>
      <c r="B4" s="264"/>
    </row>
    <row r="5" spans="1:4" ht="30" x14ac:dyDescent="0.2">
      <c r="A5" s="3" t="s">
        <v>50</v>
      </c>
      <c r="B5" s="202" t="s">
        <v>434</v>
      </c>
    </row>
    <row r="6" spans="1:4" ht="28.5" customHeight="1" x14ac:dyDescent="0.2">
      <c r="A6" s="3" t="s">
        <v>51</v>
      </c>
      <c r="B6" s="202" t="s">
        <v>63</v>
      </c>
      <c r="C6" s="212" t="s">
        <v>249</v>
      </c>
      <c r="D6" s="212" t="s">
        <v>130</v>
      </c>
    </row>
    <row r="7" spans="1:4" ht="30" x14ac:dyDescent="0.2">
      <c r="A7" s="3" t="s">
        <v>52</v>
      </c>
      <c r="B7" s="202" t="s">
        <v>435</v>
      </c>
    </row>
    <row r="8" spans="1:4" ht="30" hidden="1" customHeight="1" x14ac:dyDescent="0.2">
      <c r="A8" s="3" t="s">
        <v>53</v>
      </c>
      <c r="B8" s="238" t="s">
        <v>420</v>
      </c>
    </row>
    <row r="9" spans="1:4" ht="15" hidden="1" customHeight="1" x14ac:dyDescent="0.2">
      <c r="A9" s="3" t="s">
        <v>54</v>
      </c>
      <c r="B9" s="238" t="s">
        <v>421</v>
      </c>
    </row>
    <row r="10" spans="1:4" ht="30" hidden="1" customHeight="1" x14ac:dyDescent="0.2">
      <c r="A10" s="3" t="s">
        <v>55</v>
      </c>
      <c r="B10" s="238" t="s">
        <v>420</v>
      </c>
    </row>
    <row r="11" spans="1:4" ht="15" hidden="1" customHeight="1" x14ac:dyDescent="0.2">
      <c r="A11" s="3" t="s">
        <v>56</v>
      </c>
      <c r="B11" s="238" t="s">
        <v>421</v>
      </c>
    </row>
    <row r="12" spans="1:4" ht="30" hidden="1" customHeight="1" x14ac:dyDescent="0.2">
      <c r="A12" s="3" t="s">
        <v>57</v>
      </c>
      <c r="B12" s="238" t="s">
        <v>420</v>
      </c>
    </row>
    <row r="13" spans="1:4" ht="15" hidden="1" customHeight="1" x14ac:dyDescent="0.2">
      <c r="A13" s="3" t="s">
        <v>58</v>
      </c>
      <c r="B13" s="238" t="s">
        <v>421</v>
      </c>
    </row>
    <row r="14" spans="1:4" ht="15" hidden="1" customHeight="1" x14ac:dyDescent="0.2">
      <c r="A14" s="3" t="s">
        <v>59</v>
      </c>
      <c r="B14" s="238" t="s">
        <v>62</v>
      </c>
    </row>
    <row r="15" spans="1:4" x14ac:dyDescent="0.2">
      <c r="A15" s="3" t="s">
        <v>60</v>
      </c>
      <c r="B15" s="256" t="s">
        <v>436</v>
      </c>
    </row>
    <row r="16" spans="1:4" x14ac:dyDescent="0.2">
      <c r="A16" s="3" t="s">
        <v>61</v>
      </c>
      <c r="B16" s="256" t="s">
        <v>437</v>
      </c>
    </row>
    <row r="17" spans="1:7" x14ac:dyDescent="0.2">
      <c r="A17" s="3"/>
      <c r="B17" s="202" t="s">
        <v>438</v>
      </c>
      <c r="D17" s="212" t="str">
        <f>TEXT(C17,"ДД.ММ.ГГГГ")</f>
        <v>00.01.1900</v>
      </c>
    </row>
    <row r="18" spans="1:7" x14ac:dyDescent="0.2">
      <c r="A18" s="3"/>
      <c r="B18" s="239">
        <v>45811</v>
      </c>
      <c r="C18" s="213" t="str">
        <f>TEXT(B18,"ДД.ММ.ГГГГ")</f>
        <v>03.06.2025</v>
      </c>
    </row>
    <row r="19" spans="1:7" x14ac:dyDescent="0.2">
      <c r="A19" s="3"/>
      <c r="B19" s="239">
        <v>49462</v>
      </c>
      <c r="C19" s="213" t="str">
        <f>TEXT(B19,"ДД.ММ.ГГГГ")</f>
        <v>02.06.2035</v>
      </c>
    </row>
    <row r="20" spans="1:7" ht="60" x14ac:dyDescent="0.2">
      <c r="A20" s="3" t="s">
        <v>64</v>
      </c>
      <c r="B20" s="54" t="str">
        <f>""&amp;B17&amp;" tomonidan "&amp;C18&amp;" yilda berilgan"</f>
        <v>IIV 33212 tomonidan 03.06.2025 yilda berilgan</v>
      </c>
      <c r="C20" s="214" t="str">
        <f>""&amp;B17&amp;" tomonidan "&amp;C18&amp;" yilda berilgan"</f>
        <v>IIV 33212 tomonidan 03.06.2025 yilda berilgan</v>
      </c>
    </row>
    <row r="21" spans="1:7" ht="45" x14ac:dyDescent="0.2">
      <c r="A21" s="3" t="s">
        <v>65</v>
      </c>
      <c r="B21" s="54" t="str">
        <f>""&amp;C19&amp;" y."</f>
        <v>02.06.2035 y.</v>
      </c>
      <c r="C21" s="213" t="str">
        <f>""&amp;C19&amp;" yilgacha"</f>
        <v>02.06.2035 yilgacha</v>
      </c>
    </row>
    <row r="22" spans="1:7" ht="64.5" customHeight="1" x14ac:dyDescent="0.2">
      <c r="A22" s="3" t="s">
        <v>66</v>
      </c>
      <c r="B22" s="202" t="s">
        <v>439</v>
      </c>
      <c r="C22" s="213" t="str">
        <f>TEXT(B19,"ДД.ММ.ГГГГ")</f>
        <v>02.06.2035</v>
      </c>
    </row>
    <row r="23" spans="1:7" ht="30" x14ac:dyDescent="0.2">
      <c r="A23" s="3" t="s">
        <v>67</v>
      </c>
      <c r="B23" s="202" t="s">
        <v>91</v>
      </c>
      <c r="C23" s="212" t="s">
        <v>91</v>
      </c>
      <c r="D23" s="212" t="s">
        <v>92</v>
      </c>
    </row>
    <row r="24" spans="1:7" ht="30" hidden="1" x14ac:dyDescent="0.2">
      <c r="A24" s="3" t="s">
        <v>68</v>
      </c>
      <c r="B24" s="238" t="s">
        <v>89</v>
      </c>
      <c r="C24" s="212" t="s">
        <v>89</v>
      </c>
      <c r="D24" s="212" t="s">
        <v>90</v>
      </c>
      <c r="E24" s="212" t="s">
        <v>0</v>
      </c>
      <c r="F24" s="212" t="s">
        <v>1</v>
      </c>
      <c r="G24" s="212" t="s">
        <v>3</v>
      </c>
    </row>
    <row r="25" spans="1:7" ht="30" x14ac:dyDescent="0.2">
      <c r="A25" s="3" t="s">
        <v>69</v>
      </c>
      <c r="B25" s="202" t="s">
        <v>440</v>
      </c>
    </row>
    <row r="26" spans="1:7" ht="44.25" customHeight="1" x14ac:dyDescent="0.2">
      <c r="A26" s="3" t="s">
        <v>70</v>
      </c>
      <c r="B26" s="202" t="s">
        <v>441</v>
      </c>
      <c r="C26" s="212" t="s">
        <v>24</v>
      </c>
    </row>
    <row r="27" spans="1:7" ht="44.25" hidden="1" customHeight="1" x14ac:dyDescent="0.2">
      <c r="A27" s="3"/>
      <c r="B27" s="202" t="str">
        <f>IF(B23="mos keladi",B22,B28)</f>
        <v>XORAZM VILOYATI QO'SHKO'PIR TUMANI XOSIYON QFY XOSIYON MFY SHOLIKOR KO'CHASI 37-UY</v>
      </c>
    </row>
    <row r="28" spans="1:7" ht="45" x14ac:dyDescent="0.2">
      <c r="A28" s="3" t="s">
        <v>71</v>
      </c>
      <c r="B28" s="202" t="s">
        <v>439</v>
      </c>
    </row>
    <row r="29" spans="1:7" x14ac:dyDescent="0.2">
      <c r="A29" s="3" t="s">
        <v>72</v>
      </c>
      <c r="B29" s="202" t="s">
        <v>89</v>
      </c>
      <c r="C29" s="212" t="s">
        <v>89</v>
      </c>
      <c r="D29" s="212" t="s">
        <v>90</v>
      </c>
      <c r="E29" s="212" t="s">
        <v>318</v>
      </c>
      <c r="F29" s="212" t="s">
        <v>319</v>
      </c>
      <c r="G29" s="212" t="s">
        <v>3</v>
      </c>
    </row>
    <row r="30" spans="1:7" ht="27" x14ac:dyDescent="0.2">
      <c r="A30" s="3" t="s">
        <v>73</v>
      </c>
      <c r="B30" s="176" t="s">
        <v>322</v>
      </c>
      <c r="C30" s="212" t="s">
        <v>145</v>
      </c>
      <c r="D30" s="212" t="s">
        <v>322</v>
      </c>
    </row>
    <row r="31" spans="1:7" x14ac:dyDescent="0.2">
      <c r="A31" s="3" t="s">
        <v>74</v>
      </c>
      <c r="B31" s="202" t="s">
        <v>442</v>
      </c>
    </row>
    <row r="32" spans="1:7" x14ac:dyDescent="0.2">
      <c r="A32" s="3" t="s">
        <v>59</v>
      </c>
      <c r="B32" s="177" t="s">
        <v>62</v>
      </c>
    </row>
    <row r="33" spans="1:4" ht="30" x14ac:dyDescent="0.2">
      <c r="A33" s="3" t="s">
        <v>69</v>
      </c>
      <c r="B33" s="202" t="s">
        <v>443</v>
      </c>
    </row>
    <row r="34" spans="1:4" hidden="1" x14ac:dyDescent="0.2">
      <c r="A34" s="3"/>
      <c r="B34" s="202" t="str">
        <f>IF(B23="mos keladi",B26,B35)</f>
        <v>47-SON MAKTAB</v>
      </c>
    </row>
    <row r="35" spans="1:4" x14ac:dyDescent="0.2">
      <c r="A35" s="3" t="s">
        <v>70</v>
      </c>
      <c r="B35" s="202"/>
    </row>
    <row r="36" spans="1:4" x14ac:dyDescent="0.2">
      <c r="A36" s="3" t="s">
        <v>75</v>
      </c>
      <c r="B36" s="202"/>
    </row>
    <row r="37" spans="1:4" x14ac:dyDescent="0.2">
      <c r="A37" s="3" t="s">
        <v>76</v>
      </c>
      <c r="B37" s="202"/>
    </row>
    <row r="38" spans="1:4" x14ac:dyDescent="0.2">
      <c r="A38" s="3" t="s">
        <v>77</v>
      </c>
      <c r="B38" s="202"/>
    </row>
    <row r="39" spans="1:4" x14ac:dyDescent="0.2">
      <c r="A39" s="3" t="s">
        <v>78</v>
      </c>
      <c r="B39" s="202"/>
    </row>
    <row r="40" spans="1:4" ht="24.75" customHeight="1" x14ac:dyDescent="0.2">
      <c r="A40" s="3" t="s">
        <v>79</v>
      </c>
      <c r="B40" s="202" t="s">
        <v>430</v>
      </c>
    </row>
    <row r="41" spans="1:4" ht="24.75" customHeight="1" x14ac:dyDescent="0.2">
      <c r="A41" s="3" t="s">
        <v>80</v>
      </c>
      <c r="B41" s="202" t="s">
        <v>431</v>
      </c>
    </row>
    <row r="42" spans="1:4" ht="24.75" customHeight="1" x14ac:dyDescent="0.2">
      <c r="A42" s="3" t="s">
        <v>79</v>
      </c>
      <c r="B42" s="202" t="s">
        <v>444</v>
      </c>
    </row>
    <row r="43" spans="1:4" ht="30" x14ac:dyDescent="0.2">
      <c r="A43" s="3" t="s">
        <v>80</v>
      </c>
      <c r="B43" s="45"/>
    </row>
    <row r="44" spans="1:4" ht="46.5" x14ac:dyDescent="0.2">
      <c r="A44" s="153" t="s">
        <v>81</v>
      </c>
      <c r="B44" s="152" t="s">
        <v>434</v>
      </c>
      <c r="C44" s="212" t="str">
        <f>+B5</f>
        <v>OLLABERGANOVA GO'ZALOY IBRAHIMOVNA</v>
      </c>
      <c r="D44" s="212" t="s">
        <v>340</v>
      </c>
    </row>
    <row r="45" spans="1:4" hidden="1" x14ac:dyDescent="0.2">
      <c r="A45" s="3"/>
      <c r="B45" s="151" t="str">
        <f>IF(B44=D44,CONCATENATE("MA'LUMOTNOMA ",B47,B46),C44)</f>
        <v>OLLABERGANOVA GO'ZALOY IBRAHIMOVNA</v>
      </c>
    </row>
    <row r="46" spans="1:4" ht="93" x14ac:dyDescent="0.2">
      <c r="A46" s="153" t="s">
        <v>341</v>
      </c>
      <c r="B46" s="160"/>
    </row>
    <row r="47" spans="1:4" ht="23.25" hidden="1" x14ac:dyDescent="0.2">
      <c r="A47" s="153"/>
      <c r="B47" s="151" t="str">
        <f>CONCATENATE(C47," ",B46)</f>
        <v xml:space="preserve">№ </v>
      </c>
      <c r="C47" s="212" t="s">
        <v>14</v>
      </c>
    </row>
    <row r="48" spans="1:4" ht="93" x14ac:dyDescent="0.2">
      <c r="A48" s="153" t="s">
        <v>342</v>
      </c>
      <c r="B48" s="151"/>
    </row>
    <row r="49" spans="1:4" hidden="1" x14ac:dyDescent="0.2">
      <c r="A49" s="3" t="s">
        <v>82</v>
      </c>
      <c r="B49" s="45" t="str">
        <f>IF(B44=C44,C44,B48)</f>
        <v>OLLABERGANOVA GO'ZALOY IBRAHIMOVNA</v>
      </c>
    </row>
    <row r="50" spans="1:4" ht="45" x14ac:dyDescent="0.2">
      <c r="A50" s="3" t="s">
        <v>83</v>
      </c>
      <c r="B50" s="45"/>
    </row>
    <row r="51" spans="1:4" x14ac:dyDescent="0.2">
      <c r="A51" s="3" t="s">
        <v>70</v>
      </c>
      <c r="B51" s="45"/>
    </row>
    <row r="52" spans="1:4" x14ac:dyDescent="0.2">
      <c r="A52" s="3" t="s">
        <v>84</v>
      </c>
      <c r="B52" s="45"/>
    </row>
    <row r="53" spans="1:4" x14ac:dyDescent="0.2">
      <c r="A53" s="3" t="s">
        <v>85</v>
      </c>
      <c r="B53" s="45"/>
    </row>
    <row r="54" spans="1:4" x14ac:dyDescent="0.2">
      <c r="A54" s="3" t="s">
        <v>86</v>
      </c>
      <c r="B54" s="45"/>
    </row>
    <row r="55" spans="1:4" x14ac:dyDescent="0.2">
      <c r="A55" s="3" t="s">
        <v>87</v>
      </c>
      <c r="B55" s="2"/>
    </row>
    <row r="56" spans="1:4" x14ac:dyDescent="0.2">
      <c r="A56" s="3" t="s">
        <v>88</v>
      </c>
      <c r="B56" s="2" t="s">
        <v>21</v>
      </c>
    </row>
    <row r="57" spans="1:4" ht="30" customHeight="1" x14ac:dyDescent="0.2">
      <c r="A57" s="265" t="s">
        <v>93</v>
      </c>
      <c r="B57" s="266"/>
    </row>
    <row r="58" spans="1:4" ht="20.25" hidden="1" customHeight="1" x14ac:dyDescent="0.2">
      <c r="A58" s="3" t="s">
        <v>94</v>
      </c>
      <c r="B58" s="45" t="str">
        <f>IF(B44=C44,C44,CONCATENATE(B44," ",B47))</f>
        <v>OLLABERGANOVA GO'ZALOY IBRAHIMOVNA</v>
      </c>
    </row>
    <row r="59" spans="1:4" ht="31.5" hidden="1" customHeight="1" x14ac:dyDescent="0.2">
      <c r="A59" s="3" t="s">
        <v>82</v>
      </c>
      <c r="B59" s="45" t="str">
        <f>B49</f>
        <v>OLLABERGANOVA GO'ZALOY IBRAHIMOVNA</v>
      </c>
    </row>
    <row r="60" spans="1:4" ht="23.25" x14ac:dyDescent="0.2">
      <c r="A60" s="153" t="s">
        <v>95</v>
      </c>
      <c r="B60" s="155">
        <v>23000000</v>
      </c>
      <c r="C60" s="215">
        <f>C63/B76</f>
        <v>0.49412520069999999</v>
      </c>
    </row>
    <row r="61" spans="1:4" x14ac:dyDescent="0.2">
      <c r="A61" s="3" t="s">
        <v>96</v>
      </c>
      <c r="B61" s="250">
        <v>0</v>
      </c>
      <c r="C61" s="216" t="s">
        <v>371</v>
      </c>
    </row>
    <row r="62" spans="1:4" hidden="1" x14ac:dyDescent="0.2">
      <c r="A62" s="3" t="s">
        <v>97</v>
      </c>
      <c r="B62" s="45">
        <f>B53</f>
        <v>0</v>
      </c>
      <c r="C62" s="217"/>
    </row>
    <row r="63" spans="1:4" ht="30" x14ac:dyDescent="0.2">
      <c r="A63" s="3" t="s">
        <v>98</v>
      </c>
      <c r="B63" s="45"/>
      <c r="C63" s="218">
        <f>SUM(grafik!E9:E20)</f>
        <v>49412520.07</v>
      </c>
    </row>
    <row r="64" spans="1:4" x14ac:dyDescent="0.2">
      <c r="A64" s="264" t="s">
        <v>99</v>
      </c>
      <c r="B64" s="264"/>
      <c r="C64" s="212" t="str">
        <f>PROPER(B65)</f>
        <v>Mikroqarz</v>
      </c>
      <c r="D64" s="212" t="str">
        <f>UPPER(B65)</f>
        <v>MIKROQARZ</v>
      </c>
    </row>
    <row r="65" spans="1:14" x14ac:dyDescent="0.2">
      <c r="A65" s="3" t="s">
        <v>100</v>
      </c>
      <c r="B65" s="1" t="str">
        <f>IF(B76&gt;100000001,"mikrokredit",IF(B76&lt;100000001,"mikroqarz",0))</f>
        <v>mikroqarz</v>
      </c>
      <c r="C65" s="219">
        <f>DATE(YEAR(B67),MONTH(B67)+B82,DAY(B67))</f>
        <v>47148</v>
      </c>
    </row>
    <row r="66" spans="1:14" hidden="1" x14ac:dyDescent="0.2">
      <c r="A66" s="3" t="s">
        <v>101</v>
      </c>
      <c r="B66" s="45" t="str">
        <f>B1</f>
        <v>№254- XMS</v>
      </c>
      <c r="C66" s="212">
        <f>MONTH(C65)</f>
        <v>1</v>
      </c>
      <c r="D66" s="212" t="str">
        <f>IF(C66=C68,C70,IF(C66=D68,D70,IF(C66=E68,E70,IF(C66=F68,F70,IF(C66=G68,G70,IF(C66=H68,H70,IF(C66=I68,I70,IF(C66=J68,J70,IF(C66=K68,K70,IF(C66=L68,L70,IF(C66=M68,M70,IF(C66=N68,N70,))))))))))))</f>
        <v>yanvar</v>
      </c>
      <c r="E66" s="212">
        <f>DAY(C65)</f>
        <v>30</v>
      </c>
      <c r="F66" s="212">
        <f>YEAR(C65)</f>
        <v>2029</v>
      </c>
      <c r="G66" s="212">
        <f>MONTH(C65)</f>
        <v>1</v>
      </c>
      <c r="H66" s="212" t="str">
        <f>IF(C66=C68,C71,IF(C66=D68,D71,IF(C66=E68,E71,IF(C66=F68,F71,IF(C66=G68,G71,IF(C66=H68,H71,IF(C66=I68,I71,IF(C66=J68,J71,IF(C66=K68,K71,IF(C66=L68,L71,IF(C66=M68,M71,IF(C66=N68,N71,))))))))))))</f>
        <v>yanvar</v>
      </c>
      <c r="I66" s="212">
        <f>YEAR(C65)</f>
        <v>2029</v>
      </c>
    </row>
    <row r="67" spans="1:14" hidden="1" x14ac:dyDescent="0.2">
      <c r="A67" s="3" t="s">
        <v>102</v>
      </c>
      <c r="B67" s="74" t="str">
        <f>B2</f>
        <v>30.01.2026</v>
      </c>
      <c r="C67" s="212">
        <f>MONTH(B67)</f>
        <v>1</v>
      </c>
      <c r="D67" s="212" t="str">
        <f>IF(C67=C68,C70,IF(C67=D68,D70,IF(C67=E68,E70,IF(C67=F68,F70,IF(C67=G68,G70,IF(C67=H68,H70,IF(C67=I68,I70,IF(C67=J68,J70,IF(C67=K68,K70,IF(C67=L68,L70,IF(C67=M68,M70,IF(C67=N68,N70,))))))))))))</f>
        <v>yanvar</v>
      </c>
      <c r="E67" s="212">
        <f>DAY(B67)</f>
        <v>30</v>
      </c>
      <c r="F67" s="212">
        <f>YEAR(B67)</f>
        <v>2026</v>
      </c>
      <c r="G67" s="212">
        <f>MONTH(B67)</f>
        <v>1</v>
      </c>
      <c r="H67" s="212" t="str">
        <f>IF(C67=C68,C71,IF(C67=D68,D71,IF(C67=E68,E71,IF(C67=F68,F71,IF(C67=G68,G71,IF(C67=H68,H71,IF(C67=I68,I71,IF(C67=J68,J71,IF(C67=K68,K71,IF(C67=L68,L71,IF(C67=M68,M71,IF(C67=N68,N71,))))))))))))</f>
        <v>yanvar</v>
      </c>
      <c r="I67" s="212">
        <f>YEAR(B67)</f>
        <v>2026</v>
      </c>
    </row>
    <row r="68" spans="1:14" hidden="1" x14ac:dyDescent="0.2">
      <c r="A68" s="3" t="s">
        <v>103</v>
      </c>
      <c r="B68" s="67" t="str">
        <f>""&amp;E67&amp;" "&amp;D67&amp;" "&amp;F67&amp;" y."</f>
        <v>30 yanvar 2026 y.</v>
      </c>
      <c r="C68" s="212">
        <v>1</v>
      </c>
      <c r="D68" s="212">
        <v>2</v>
      </c>
      <c r="E68" s="212">
        <v>3</v>
      </c>
      <c r="F68" s="212">
        <v>4</v>
      </c>
      <c r="G68" s="212">
        <v>5</v>
      </c>
      <c r="H68" s="212">
        <v>6</v>
      </c>
      <c r="I68" s="212">
        <v>7</v>
      </c>
      <c r="J68" s="212">
        <v>8</v>
      </c>
      <c r="K68" s="212">
        <v>9</v>
      </c>
      <c r="L68" s="212">
        <v>10</v>
      </c>
      <c r="M68" s="212">
        <v>11</v>
      </c>
      <c r="N68" s="212">
        <v>12</v>
      </c>
    </row>
    <row r="69" spans="1:14" hidden="1" x14ac:dyDescent="0.2">
      <c r="A69" s="3"/>
      <c r="B69" s="67" t="str">
        <f>""&amp;E67&amp;" "&amp;H67&amp;" "&amp;F67&amp;" y."</f>
        <v>30 yanvar 2026 y.</v>
      </c>
    </row>
    <row r="70" spans="1:14" hidden="1" x14ac:dyDescent="0.2">
      <c r="A70" s="3"/>
      <c r="B70" s="53" t="str">
        <f>B68</f>
        <v>30 yanvar 2026 y.</v>
      </c>
      <c r="C70" s="212" t="s">
        <v>115</v>
      </c>
      <c r="D70" s="212" t="s">
        <v>116</v>
      </c>
      <c r="E70" s="212" t="s">
        <v>105</v>
      </c>
      <c r="F70" s="212" t="s">
        <v>106</v>
      </c>
      <c r="G70" s="212" t="s">
        <v>107</v>
      </c>
      <c r="H70" s="212" t="s">
        <v>108</v>
      </c>
      <c r="I70" s="212" t="s">
        <v>109</v>
      </c>
      <c r="J70" s="212" t="s">
        <v>110</v>
      </c>
      <c r="K70" s="212" t="s">
        <v>111</v>
      </c>
      <c r="L70" s="212" t="s">
        <v>112</v>
      </c>
      <c r="M70" s="212" t="s">
        <v>113</v>
      </c>
      <c r="N70" s="212" t="s">
        <v>114</v>
      </c>
    </row>
    <row r="71" spans="1:14" hidden="1" x14ac:dyDescent="0.2">
      <c r="A71" s="3"/>
      <c r="B71" s="53" t="str">
        <f>B69</f>
        <v>30 yanvar 2026 y.</v>
      </c>
      <c r="C71" s="212" t="s">
        <v>115</v>
      </c>
      <c r="D71" s="212" t="s">
        <v>116</v>
      </c>
      <c r="E71" s="212" t="s">
        <v>105</v>
      </c>
      <c r="F71" s="212" t="s">
        <v>106</v>
      </c>
      <c r="G71" s="212" t="s">
        <v>107</v>
      </c>
      <c r="H71" s="212" t="s">
        <v>108</v>
      </c>
      <c r="I71" s="212" t="s">
        <v>109</v>
      </c>
      <c r="J71" s="212" t="s">
        <v>110</v>
      </c>
      <c r="K71" s="212" t="s">
        <v>111</v>
      </c>
      <c r="L71" s="212" t="s">
        <v>112</v>
      </c>
      <c r="M71" s="212" t="s">
        <v>113</v>
      </c>
      <c r="N71" s="212" t="s">
        <v>114</v>
      </c>
    </row>
    <row r="72" spans="1:14" hidden="1" x14ac:dyDescent="0.2">
      <c r="A72" s="3" t="s">
        <v>104</v>
      </c>
      <c r="B72" s="52" t="str">
        <f>""&amp;E66&amp;" "&amp;D66&amp;" "&amp;F66&amp;" y."</f>
        <v>30 yanvar 2029 y.</v>
      </c>
    </row>
    <row r="73" spans="1:14" hidden="1" x14ac:dyDescent="0.2">
      <c r="A73" s="3"/>
      <c r="B73" s="52" t="str">
        <f>""&amp;E66&amp;" "&amp;H66&amp;" "&amp;F66&amp;" y."</f>
        <v>30 yanvar 2029 y.</v>
      </c>
    </row>
    <row r="74" spans="1:14" ht="15.75" hidden="1" thickBot="1" x14ac:dyDescent="0.25">
      <c r="A74" s="3" t="s">
        <v>117</v>
      </c>
      <c r="B74" s="1" t="str">
        <f>""&amp;B68&amp;"dan "&amp;B66&amp;""</f>
        <v>30 yanvar 2026 y.dan №254- XMS</v>
      </c>
    </row>
    <row r="75" spans="1:14" ht="15.75" thickBot="1" x14ac:dyDescent="0.25">
      <c r="A75" s="3" t="str">
        <f>CONCATENATE(B65," miqdori (summasi)")</f>
        <v>mikroqarz miqdori (summasi)</v>
      </c>
      <c r="B75" s="249">
        <v>75000000</v>
      </c>
    </row>
    <row r="76" spans="1:14" x14ac:dyDescent="0.2">
      <c r="A76" s="3" t="str">
        <f>CONCATENATE(B65," miqdori (summasi)")</f>
        <v>mikroqarz miqdori (summasi)</v>
      </c>
      <c r="B76" s="61">
        <f>B75+B153</f>
        <v>100000000</v>
      </c>
      <c r="C76" s="220" t="s">
        <v>123</v>
      </c>
    </row>
    <row r="77" spans="1:14" x14ac:dyDescent="0.2">
      <c r="A77" s="135" t="s">
        <v>118</v>
      </c>
      <c r="B77" s="48"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million so'm</v>
      </c>
      <c r="C77" s="221"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Yuz million so'm</v>
      </c>
    </row>
    <row r="78" spans="1:14" x14ac:dyDescent="0.2">
      <c r="A78" s="3" t="s">
        <v>119</v>
      </c>
      <c r="B78" s="45" t="s">
        <v>124</v>
      </c>
      <c r="C78" s="212" t="s">
        <v>125</v>
      </c>
      <c r="D78" s="212" t="s">
        <v>124</v>
      </c>
    </row>
    <row r="79" spans="1:14" x14ac:dyDescent="0.2">
      <c r="A79" s="3" t="str">
        <f>CONCATENATE(B65,"ni to'lash sanasi (14.10.2011)")</f>
        <v>mikroqarzni to'lash sanasi (14.10.2011)</v>
      </c>
      <c r="B79" s="45">
        <v>23</v>
      </c>
      <c r="C79" s="219">
        <f>DATE(YEAR(B67),MONTH(B67)+1,DAY(B79))</f>
        <v>46076</v>
      </c>
      <c r="D79" s="212" t="s">
        <v>26</v>
      </c>
      <c r="E79" s="212" t="s">
        <v>27</v>
      </c>
      <c r="F79" s="212" t="s">
        <v>28</v>
      </c>
      <c r="G79" s="212" t="s">
        <v>29</v>
      </c>
      <c r="H79" s="212" t="s">
        <v>30</v>
      </c>
      <c r="I79" s="212" t="s">
        <v>31</v>
      </c>
      <c r="J79" s="212" t="s">
        <v>32</v>
      </c>
    </row>
    <row r="80" spans="1:14" ht="30" hidden="1" x14ac:dyDescent="0.25">
      <c r="A80" s="3" t="str">
        <f>CONCATENATE(B65,"ni to'lash sanasi (14.10.2011 y.) QO’L BILAN KIRITILADI")</f>
        <v>mikroqarzni to'lash sanasi (14.10.2011 y.) QO’L BILAN KIRITILADI</v>
      </c>
      <c r="B80" s="68">
        <f>DATE(YEAR(B67),MONTH(B67)+1,DAY(B79+C81))</f>
        <v>46076</v>
      </c>
      <c r="C80" s="222" t="str">
        <f>TEXT(C79,"ддд")</f>
        <v>Пн</v>
      </c>
      <c r="D80" s="212" t="s">
        <v>26</v>
      </c>
      <c r="E80" s="212" t="s">
        <v>27</v>
      </c>
      <c r="F80" s="212" t="s">
        <v>28</v>
      </c>
      <c r="G80" s="212" t="s">
        <v>29</v>
      </c>
      <c r="H80" s="212" t="s">
        <v>30</v>
      </c>
      <c r="I80" s="212" t="s">
        <v>31</v>
      </c>
      <c r="J80" s="212" t="s">
        <v>32</v>
      </c>
    </row>
    <row r="81" spans="1:63" ht="30" hidden="1" x14ac:dyDescent="0.2">
      <c r="A81" s="3" t="s">
        <v>120</v>
      </c>
      <c r="B81" s="69">
        <f>B80</f>
        <v>46076</v>
      </c>
      <c r="C81" s="212">
        <f>IF(C80=I80,2,IF(C80=J80,1,0))</f>
        <v>0</v>
      </c>
    </row>
    <row r="82" spans="1:63" x14ac:dyDescent="0.2">
      <c r="A82" s="3" t="str">
        <f>CONCATENATE(B65," muddati")</f>
        <v>mikroqarz muddati</v>
      </c>
      <c r="B82" s="45">
        <v>36</v>
      </c>
      <c r="C82" s="212">
        <v>6</v>
      </c>
      <c r="D82" s="212">
        <v>12</v>
      </c>
      <c r="E82" s="212">
        <v>18</v>
      </c>
      <c r="F82" s="212">
        <v>24</v>
      </c>
      <c r="G82" s="212">
        <v>36</v>
      </c>
    </row>
    <row r="83" spans="1:63" ht="30" x14ac:dyDescent="0.2">
      <c r="A83" s="3" t="str">
        <f>CONCATENATE(B65," muddati QO’L BILAN KIRITILADI")</f>
        <v>mikroqarz muddati QO’L BILAN KIRITILADI</v>
      </c>
      <c r="B83" s="45"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ming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"&amp;SUBSTITUTE(SUBSTITUTE(SUBSTITUTE(SUBSTITUTE(SUBSTITUTE(SUBSTITUTE(SUBSTITUTE(SUBSTITUTE(RIGHT(TEXT(B82," "),2)&amp;"","1","1"),"2","2"),"3","3"),"4","4"),"11","11"),"12","12"),"13","13"),"14","14")</f>
        <v xml:space="preserve">O'ttiz olti  </v>
      </c>
      <c r="C83" s="21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ming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"&amp;SUBSTITUTE(SUBSTITUTE(SUBSTITUTE(SUBSTITUTE(SUBSTITUTE(SUBSTITUTE(SUBSTITUTE(SUBSTITUTE(RIGHT(TEXT(B82," "),2)&amp;"","1","1"),"2","2"),"3","3"),"4","4"),"11","11"),"12","12"),"13","13"),"14","14")</f>
        <v xml:space="preserve">O'ttiz olti  </v>
      </c>
    </row>
    <row r="84" spans="1:63" ht="30" x14ac:dyDescent="0.2">
      <c r="A84" s="150" t="s">
        <v>337</v>
      </c>
      <c r="B84" s="133">
        <v>0</v>
      </c>
      <c r="BJ84" s="157">
        <v>1</v>
      </c>
      <c r="BK84" s="157">
        <v>0</v>
      </c>
    </row>
    <row r="85" spans="1:63" x14ac:dyDescent="0.2">
      <c r="A85" s="3" t="str">
        <f>CONCATENATE(B65," stavkasi")</f>
        <v>mikroqarz stavkasi</v>
      </c>
      <c r="B85" s="70">
        <v>0.55000000000000004</v>
      </c>
    </row>
    <row r="86" spans="1:63" x14ac:dyDescent="0.2">
      <c r="A86" s="3" t="str">
        <f>CONCATENATE(B65," stavkasi")</f>
        <v>mikroqarz stavkasi</v>
      </c>
      <c r="B86" s="71" t="s">
        <v>389</v>
      </c>
    </row>
    <row r="87" spans="1:63" x14ac:dyDescent="0.2">
      <c r="A87" s="3" t="str">
        <f>CONCATENATE(B65," stavkasi (so’z bilan)")</f>
        <v>mikroqarz stavkasi (so’z bilan)</v>
      </c>
      <c r="B87" s="71"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c r="C87" s="21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row>
    <row r="88" spans="1:63" x14ac:dyDescent="0.2">
      <c r="A88" s="3" t="str">
        <f>CONCATENATE("Muddati o'tgan ",B65," bo’yicha stavka")</f>
        <v>Muddati o'tgan mikroqarz bo’yicha stavka</v>
      </c>
      <c r="B88" s="70">
        <v>1.05</v>
      </c>
    </row>
    <row r="89" spans="1:63" x14ac:dyDescent="0.2">
      <c r="A89" s="135" t="s">
        <v>118</v>
      </c>
      <c r="B89" s="71" t="s">
        <v>390</v>
      </c>
    </row>
    <row r="90" spans="1:63" x14ac:dyDescent="0.2">
      <c r="A90" s="3" t="str">
        <f>CONCATENATE("Muddati o'tgan ",B65," bo’yicha stavka")</f>
        <v>Muddati o'tgan mikroqarz bo’yicha stavka</v>
      </c>
      <c r="B90" s="200" t="s">
        <v>407</v>
      </c>
      <c r="C90" s="223" t="s">
        <v>407</v>
      </c>
    </row>
    <row r="91" spans="1:63" x14ac:dyDescent="0.2">
      <c r="A91" s="3" t="s">
        <v>121</v>
      </c>
      <c r="B91" s="72">
        <f>IF(B78=C78,LARGE(grafik!F9:F26,1),ROUND(PMT(B85/12,B82,-B76,0),-3))</f>
        <v>5724000</v>
      </c>
    </row>
    <row r="92" spans="1:63" x14ac:dyDescent="0.2">
      <c r="A92" s="265" t="s">
        <v>378</v>
      </c>
      <c r="B92" s="266"/>
    </row>
    <row r="93" spans="1:63" x14ac:dyDescent="0.2">
      <c r="A93" s="170" t="s">
        <v>379</v>
      </c>
      <c r="B93" s="206" t="s">
        <v>425</v>
      </c>
    </row>
    <row r="94" spans="1:63" x14ac:dyDescent="0.2">
      <c r="A94" s="170" t="s">
        <v>380</v>
      </c>
      <c r="B94" s="203" t="s">
        <v>432</v>
      </c>
    </row>
    <row r="95" spans="1:63" x14ac:dyDescent="0.2">
      <c r="A95" s="170" t="s">
        <v>381</v>
      </c>
      <c r="B95" s="255" t="s">
        <v>423</v>
      </c>
    </row>
    <row r="96" spans="1:63" x14ac:dyDescent="0.2">
      <c r="A96" s="170" t="s">
        <v>382</v>
      </c>
      <c r="B96" s="255" t="s">
        <v>424</v>
      </c>
    </row>
    <row r="97" spans="1:4" x14ac:dyDescent="0.2">
      <c r="A97" s="170" t="s">
        <v>383</v>
      </c>
      <c r="B97" s="255" t="s">
        <v>455</v>
      </c>
    </row>
    <row r="98" spans="1:4" x14ac:dyDescent="0.2">
      <c r="A98" s="264" t="s">
        <v>122</v>
      </c>
      <c r="B98" s="264"/>
    </row>
    <row r="99" spans="1:4" ht="18" x14ac:dyDescent="0.2">
      <c r="A99" s="73"/>
      <c r="B99" s="127" t="s">
        <v>127</v>
      </c>
      <c r="C99" s="224" t="s">
        <v>127</v>
      </c>
      <c r="D99" s="212" t="s">
        <v>128</v>
      </c>
    </row>
    <row r="100" spans="1:4" ht="18" x14ac:dyDescent="0.2">
      <c r="A100" s="6" t="s">
        <v>133</v>
      </c>
      <c r="B100" s="127" t="s">
        <v>129</v>
      </c>
      <c r="C100" s="225" t="s">
        <v>129</v>
      </c>
      <c r="D100" s="212" t="s">
        <v>130</v>
      </c>
    </row>
    <row r="101" spans="1:4" ht="54" x14ac:dyDescent="0.2">
      <c r="A101" s="6" t="s">
        <v>134</v>
      </c>
      <c r="B101" s="127" t="s">
        <v>131</v>
      </c>
      <c r="C101" s="212" t="s">
        <v>131</v>
      </c>
      <c r="D101" s="212" t="s">
        <v>132</v>
      </c>
    </row>
    <row r="102" spans="1:4" ht="36" x14ac:dyDescent="0.2">
      <c r="A102" s="6" t="s">
        <v>135</v>
      </c>
      <c r="B102" s="208"/>
    </row>
    <row r="103" spans="1:4" ht="54" x14ac:dyDescent="0.2">
      <c r="A103" s="6" t="s">
        <v>136</v>
      </c>
      <c r="B103" s="208"/>
    </row>
    <row r="104" spans="1:4" x14ac:dyDescent="0.2">
      <c r="A104" s="264" t="s">
        <v>137</v>
      </c>
      <c r="B104" s="264"/>
    </row>
    <row r="105" spans="1:4" ht="36" x14ac:dyDescent="0.2">
      <c r="A105" s="6" t="s">
        <v>138</v>
      </c>
      <c r="B105" s="208"/>
    </row>
    <row r="106" spans="1:4" ht="54" x14ac:dyDescent="0.2">
      <c r="A106" s="6" t="s">
        <v>139</v>
      </c>
      <c r="B106" s="208"/>
    </row>
    <row r="107" spans="1:4" ht="18" x14ac:dyDescent="0.2">
      <c r="A107" s="6" t="s">
        <v>140</v>
      </c>
      <c r="B107" s="209"/>
    </row>
    <row r="108" spans="1:4" ht="18" x14ac:dyDescent="0.2">
      <c r="A108" s="6" t="s">
        <v>141</v>
      </c>
      <c r="B108" s="210"/>
    </row>
    <row r="109" spans="1:4" ht="18" hidden="1" x14ac:dyDescent="0.2">
      <c r="A109" s="6"/>
      <c r="B109" s="127" t="str">
        <f>TEXT(B108,"ДД.ММ.ГГГГ")</f>
        <v>00.01.1900</v>
      </c>
    </row>
    <row r="110" spans="1:4" ht="18" x14ac:dyDescent="0.2">
      <c r="A110" s="6"/>
      <c r="B110" s="7" t="s">
        <v>143</v>
      </c>
      <c r="C110" s="212" t="s">
        <v>142</v>
      </c>
      <c r="D110" s="212" t="s">
        <v>143</v>
      </c>
    </row>
    <row r="111" spans="1:4" ht="93" customHeight="1" x14ac:dyDescent="0.2">
      <c r="A111" s="241" t="s">
        <v>339</v>
      </c>
      <c r="B111" s="154" t="s">
        <v>338</v>
      </c>
      <c r="C111" s="127" t="s">
        <v>143</v>
      </c>
    </row>
    <row r="112" spans="1:4" ht="75.75" customHeight="1" x14ac:dyDescent="0.2">
      <c r="A112" s="242" t="s">
        <v>360</v>
      </c>
      <c r="B112" s="7" t="s">
        <v>434</v>
      </c>
      <c r="C112" s="127" t="str">
        <f>B112</f>
        <v>OLLABERGANOVA GO'ZALOY IBRAHIMOVNA</v>
      </c>
    </row>
    <row r="113" spans="1:4" ht="68.25" customHeight="1" x14ac:dyDescent="0.2">
      <c r="A113" s="242" t="s">
        <v>361</v>
      </c>
      <c r="B113" s="7" t="s">
        <v>449</v>
      </c>
      <c r="C113" s="127" t="str">
        <f t="shared" ref="C113:C117" si="0">B113</f>
        <v>OLLABEREGANOVA G.I.</v>
      </c>
    </row>
    <row r="114" spans="1:4" ht="51.75" customHeight="1" x14ac:dyDescent="0.2">
      <c r="A114" s="242" t="str">
        <f>A120</f>
        <v>Tug’ilgan sanasi (01.10.2011 y.)</v>
      </c>
      <c r="B114" s="257" t="s">
        <v>436</v>
      </c>
      <c r="C114" s="240" t="str">
        <f t="shared" si="0"/>
        <v>12.07.1990 y</v>
      </c>
    </row>
    <row r="115" spans="1:4" ht="63" customHeight="1" x14ac:dyDescent="0.2">
      <c r="A115" s="242" t="str">
        <f>A121</f>
        <v>Pasport seriyasi (СА №1234567)</v>
      </c>
      <c r="B115" s="7" t="s">
        <v>437</v>
      </c>
      <c r="C115" s="127" t="str">
        <f t="shared" si="0"/>
        <v>AE 2898945</v>
      </c>
    </row>
    <row r="116" spans="1:4" ht="108.75" customHeight="1" x14ac:dyDescent="0.2">
      <c r="A116" s="242" t="str">
        <f>A122</f>
        <v xml:space="preserve">Kim va qachon berilgan
(Toshkent shahri Chilonzor IIB tomonidan 2011 yil __.____)
</v>
      </c>
      <c r="B116" s="7" t="str">
        <f>B20</f>
        <v>IIV 33212 tomonidan 03.06.2025 yilda berilgan</v>
      </c>
      <c r="C116" s="127" t="str">
        <f t="shared" si="0"/>
        <v>IIV 33212 tomonidan 03.06.2025 yilda berilgan</v>
      </c>
    </row>
    <row r="117" spans="1:4" ht="111.75" customHeight="1" x14ac:dyDescent="0.2">
      <c r="A117" s="242" t="str">
        <f>A123</f>
        <v xml:space="preserve">doimiy ro’yhatdan o’tgan joyi
(Toshkent sh., Mirobod tumani, Nukus ko’chasi, 1 uy, 1 honadon)
</v>
      </c>
      <c r="B117" s="7" t="str">
        <f>B22</f>
        <v>XORAZM VILOYATI QO'SHKO'PIR TUMANI XOSIYON QFY XOSIYON MFY SHOLIKOR KO'CHASI 37-UY</v>
      </c>
      <c r="C117" s="127" t="str">
        <f t="shared" si="0"/>
        <v>XORAZM VILOYATI QO'SHKO'PIR TUMANI XOSIYON QFY XOSIYON MFY SHOLIKOR KO'CHASI 37-UY</v>
      </c>
    </row>
    <row r="118" spans="1:4" hidden="1" x14ac:dyDescent="0.2">
      <c r="A118" s="125" t="s">
        <v>153</v>
      </c>
      <c r="B118" s="118" t="str">
        <f>IF(B100="HA",B5,B112)</f>
        <v>OLLABERGANOVA GO'ZALOY IBRAHIMOVNA</v>
      </c>
      <c r="C118" s="226" t="str">
        <f>IF(B100="HA",B5,C112)</f>
        <v>OLLABERGANOVA GO'ZALOY IBRAHIMOVNA</v>
      </c>
    </row>
    <row r="119" spans="1:4" hidden="1" x14ac:dyDescent="0.2">
      <c r="A119" s="125"/>
      <c r="B119" s="118" t="str">
        <f>IF(B100="HA",B7,B113)</f>
        <v>OLLABERGANOVA G.I.</v>
      </c>
      <c r="C119" s="226" t="str">
        <f>IF(B100="HA",B7,C113)</f>
        <v>OLLABERGANOVA G.I.</v>
      </c>
    </row>
    <row r="120" spans="1:4" hidden="1" x14ac:dyDescent="0.2">
      <c r="A120" s="126" t="s">
        <v>154</v>
      </c>
      <c r="B120" s="149" t="str">
        <f>IF(B100="HA",B15,B114)</f>
        <v>12.07.1990 y</v>
      </c>
      <c r="C120" s="226" t="str">
        <f>IF(B100="HA",B15,C114)</f>
        <v>12.07.1990 y</v>
      </c>
    </row>
    <row r="121" spans="1:4" hidden="1" x14ac:dyDescent="0.2">
      <c r="A121" s="126" t="s">
        <v>61</v>
      </c>
      <c r="B121" s="149" t="str">
        <f>IF(B100="HA",B16,B115)</f>
        <v>AE 2898945</v>
      </c>
      <c r="C121" s="226" t="str">
        <f>IF(B100="HA",B16,C115)</f>
        <v>AE 2898945</v>
      </c>
    </row>
    <row r="122" spans="1:4" ht="30" hidden="1" customHeight="1" x14ac:dyDescent="0.2">
      <c r="A122" s="126" t="s">
        <v>64</v>
      </c>
      <c r="B122" s="118" t="str">
        <f>IF(B100="HA",B20,B116)</f>
        <v>IIV 33212 tomonidan 03.06.2025 yilda berilgan</v>
      </c>
      <c r="C122" s="226" t="str">
        <f>IF(B100="HA",B20,C116)</f>
        <v>IIV 33212 tomonidan 03.06.2025 yilda berilgan</v>
      </c>
      <c r="D122" s="212">
        <v>493193762</v>
      </c>
    </row>
    <row r="123" spans="1:4" ht="53.25" hidden="1" customHeight="1" x14ac:dyDescent="0.2">
      <c r="A123" s="126" t="s">
        <v>66</v>
      </c>
      <c r="B123" s="118" t="str">
        <f>IF(B100="HA",B22,B117)</f>
        <v>XORAZM VILOYATI QO'SHKO'PIR TUMANI XOSIYON QFY XOSIYON MFY SHOLIKOR KO'CHASI 37-UY</v>
      </c>
      <c r="C123" s="227" t="str">
        <f>IF(B100="HA",B22,C117)</f>
        <v>XORAZM VILOYATI QO'SHKO'PIR TUMANI XOSIYON QFY XOSIYON MFY SHOLIKOR KO'CHASI 37-UY</v>
      </c>
    </row>
    <row r="124" spans="1:4" hidden="1" x14ac:dyDescent="0.2">
      <c r="A124" s="126" t="s">
        <v>155</v>
      </c>
      <c r="B124" s="1" t="str">
        <f>IF(B100="ha",B5,B118)</f>
        <v>OLLABERGANOVA GO'ZALOY IBRAHIMOVNA</v>
      </c>
      <c r="C124" s="228" t="str">
        <f>IF(B100="ha",B5,C118)</f>
        <v>OLLABERGANOVA GO'ZALOY IBRAHIMOVNA</v>
      </c>
    </row>
    <row r="125" spans="1:4" hidden="1" x14ac:dyDescent="0.2">
      <c r="A125" s="126"/>
      <c r="B125" s="1" t="str">
        <f>IF(B100="ha",B7,B119)</f>
        <v>OLLABERGANOVA G.I.</v>
      </c>
      <c r="C125" s="228" t="str">
        <f>IF(B100="ha",B7,C119)</f>
        <v>OLLABERGANOVA G.I.</v>
      </c>
    </row>
    <row r="126" spans="1:4" hidden="1" x14ac:dyDescent="0.2">
      <c r="A126" s="3" t="s">
        <v>154</v>
      </c>
      <c r="B126" s="1" t="str">
        <f>IF(B100="ha",B15,B120)</f>
        <v>12.07.1990 y</v>
      </c>
      <c r="C126" s="228" t="str">
        <f>IF(B100="ha",B15,C120)</f>
        <v>12.07.1990 y</v>
      </c>
    </row>
    <row r="127" spans="1:4" hidden="1" x14ac:dyDescent="0.2">
      <c r="A127" s="3" t="s">
        <v>61</v>
      </c>
      <c r="B127" s="1" t="str">
        <f>IF(B100="ha",B16,B121)</f>
        <v>AE 2898945</v>
      </c>
      <c r="C127" s="228" t="str">
        <f>IF(B100="ha",B16,C121)</f>
        <v>AE 2898945</v>
      </c>
    </row>
    <row r="128" spans="1:4" ht="60" hidden="1" x14ac:dyDescent="0.2">
      <c r="A128" s="3" t="s">
        <v>64</v>
      </c>
      <c r="B128" s="1" t="str">
        <f>IF(B100="ha",B20,B122)</f>
        <v>IIV 33212 tomonidan 03.06.2025 yilda berilgan</v>
      </c>
      <c r="C128" s="228" t="str">
        <f>IF(B100="ha",B20,C122)</f>
        <v>IIV 33212 tomonidan 03.06.2025 yilda berilgan</v>
      </c>
    </row>
    <row r="129" spans="1:18" ht="60" hidden="1" x14ac:dyDescent="0.2">
      <c r="A129" s="3" t="s">
        <v>66</v>
      </c>
      <c r="B129" s="147" t="str">
        <f>IF(B100="ha",B22,B123)</f>
        <v>XORAZM VILOYATI QO'SHKO'PIR TUMANI XOSIYON QFY XOSIYON MFY SHOLIKOR KO'CHASI 37-UY</v>
      </c>
      <c r="C129" s="229" t="str">
        <f>IF(B100="ha",B22,C123)</f>
        <v>XORAZM VILOYATI QO'SHKO'PIR TUMANI XOSIYON QFY XOSIYON MFY SHOLIKOR KO'CHASI 37-UY</v>
      </c>
    </row>
    <row r="130" spans="1:18" ht="98.25" customHeight="1" x14ac:dyDescent="0.2">
      <c r="A130" s="3" t="s">
        <v>156</v>
      </c>
      <c r="B130" s="202"/>
      <c r="C130" s="202" t="s">
        <v>439</v>
      </c>
      <c r="N130" s="212" t="str">
        <f>IF(B110=C110,B124,IF(B110=D110,C124,0))</f>
        <v>OLLABERGANOVA GO'ZALOY IBRAHIMOVNA</v>
      </c>
    </row>
    <row r="131" spans="1:18" ht="60" x14ac:dyDescent="0.2">
      <c r="A131" s="3" t="s">
        <v>157</v>
      </c>
      <c r="B131" s="202"/>
      <c r="C131" s="243" t="s">
        <v>451</v>
      </c>
      <c r="D131" s="230" t="s">
        <v>148</v>
      </c>
      <c r="Q131" s="212" t="str">
        <f>""&amp;B102&amp;" (по генеральному доверенестью №"&amp;B107&amp;" от "&amp;B109&amp;")"</f>
        <v xml:space="preserve"> (по генеральному доверенестью № от 00.01.1900)</v>
      </c>
      <c r="R131" s="212" t="str">
        <f>""&amp;B102&amp;" ("&amp;B109&amp;"y. sanasidagi reestr raqami №"&amp;B107&amp;" bo'lgan Ishonchnomaga asosan)"</f>
        <v xml:space="preserve"> (00.01.1900y. sanasidagi reestr raqami № bo'lgan Ishonchnomaga asosan)</v>
      </c>
    </row>
    <row r="132" spans="1:18" x14ac:dyDescent="0.2">
      <c r="A132" s="3" t="s">
        <v>24</v>
      </c>
      <c r="B132" s="202"/>
      <c r="C132" s="206" t="str">
        <f>""&amp;D133&amp;" "&amp;IF(C136=D136,"-xonali  yakka tartibdagi uy-joy", IF(C136=E136,"-  xonali ko'p qavatli uydagi xonadon",0))&amp;""</f>
        <v>7 -xonali  yakka tartibdagi uy-joy</v>
      </c>
      <c r="D132" s="231" t="s">
        <v>146</v>
      </c>
      <c r="E132" s="212" t="str">
        <f>IF($C$136=$D$136,I132,IF($C$136=$E$136,H132,0))</f>
        <v>7 - xonali  yakka tartibdagi uy-joy</v>
      </c>
      <c r="F132" s="212" t="str">
        <f>IF($C$136=$D$136,I132,IF($C$136=$E$136,H132,0))</f>
        <v>7 - xonali  yakka tartibdagi uy-joy</v>
      </c>
      <c r="H132" s="212" t="str">
        <f>"Ko'p qavatli uydagi "&amp;D133&amp;" - xonali xonadon"</f>
        <v>Ko'p qavatli uydagi 7 - xonali xonadon</v>
      </c>
      <c r="I132" s="212" t="str">
        <f>""&amp;D133&amp;" - xonali  yakka tartibdagi uy-joy"</f>
        <v>7 - xonali  yakka tartibdagi uy-joy</v>
      </c>
      <c r="N132" s="212" t="str">
        <f>IF(B100=C100,Q133,IF(B100=D100,Q132,0))</f>
        <v>Микрофинансовой организацией и Заемщиком</v>
      </c>
      <c r="Q132" s="212" t="str">
        <f>"Микрофинансовой организацией, Заемщиком и "&amp;IF(B101=D101,Q131,IF(B101=C101,B118,0))&amp;""</f>
        <v>Микрофинансовой организацией, Заемщиком и OLLABERGANOVA GO'ZALOY IBRAHIMOVNA</v>
      </c>
      <c r="R132" s="212" t="str">
        <f>"Mikromoliya tashkiloti, Qarz oluvchi va "&amp;IF(B101=D101,R131,IF(B101=C101,B118))&amp;""</f>
        <v>Mikromoliya tashkiloti, Qarz oluvchi va OLLABERGANOVA GO'ZALOY IBRAHIMOVNA</v>
      </c>
    </row>
    <row r="133" spans="1:18" ht="30" x14ac:dyDescent="0.2">
      <c r="A133" s="3" t="s">
        <v>158</v>
      </c>
      <c r="B133" s="207"/>
      <c r="C133" s="206" t="str">
        <f>C132</f>
        <v>7 -xonali  yakka tartibdagi uy-joy</v>
      </c>
      <c r="D133" s="232">
        <v>7</v>
      </c>
      <c r="E133" s="212" t="str">
        <f>IF($C$136=$D$136,I133,IF($C$136=$E$136,H133,0))</f>
        <v>Davlat ro'yxatidan o'tkazilgan yer maydoni- 420, umumiy foydali maydoni - 88.79, yashash maydoni - 42.17, umumiy maydoni (tashqi) - 117.49</v>
      </c>
      <c r="F133" s="212" t="str">
        <f>IF($C$136=$D$136,I133,IF($C$136=$E$136,H133,0))</f>
        <v>Davlat ro'yxatidan o'tkazilgan yer maydoni- 420, umumiy foydali maydoni - 88.79, yashash maydoni - 42.17, umumiy maydoni (tashqi) - 117.49</v>
      </c>
      <c r="H133" s="212" t="str">
        <f>"umumiy foydali maydoni - "&amp;C137&amp;", yashash maydoni - "&amp;C140&amp;", umumiy maydoni (tashqi) - "&amp;C139&amp;""</f>
        <v>umumiy foydali maydoni - 88.79, yashash maydoni - 42.17, umumiy maydoni (tashqi) - 117.49</v>
      </c>
      <c r="I133" s="212" t="str">
        <f>"Davlat ro'yxatidan o'tkazilgan yer maydoni- "&amp;C138&amp;", umumiy foydali maydoni - "&amp;C137&amp;", yashash maydoni - "&amp;C140&amp;", umumiy maydoni (tashqi) - "&amp;C139&amp;""</f>
        <v>Davlat ro'yxatidan o'tkazilgan yer maydoni- 420, umumiy foydali maydoni - 88.79, yashash maydoni - 42.17, umumiy maydoni (tashqi) - 117.49</v>
      </c>
      <c r="N133" s="212" t="str">
        <f>IF(B100=C100,R133,IF(B100=D100,R132,0))</f>
        <v>Mikromoliya tashkiloti va Qarz oluvchi</v>
      </c>
      <c r="Q133" s="212" t="s">
        <v>48</v>
      </c>
      <c r="R133" s="212" t="s">
        <v>147</v>
      </c>
    </row>
    <row r="134" spans="1:18" ht="27" customHeight="1" x14ac:dyDescent="0.2">
      <c r="A134" s="3" t="s">
        <v>159</v>
      </c>
      <c r="B134" s="66" t="str">
        <f>"kuzov turi - "&amp;B135&amp;", kuzov raqami "&amp;B136&amp;""</f>
        <v xml:space="preserve">kuzov turi - , kuzov raqami </v>
      </c>
      <c r="C134" s="243" t="s">
        <v>445</v>
      </c>
      <c r="D134" s="230" t="s">
        <v>368</v>
      </c>
    </row>
    <row r="135" spans="1:18" x14ac:dyDescent="0.2">
      <c r="A135" s="62" t="s">
        <v>160</v>
      </c>
      <c r="B135" s="202"/>
      <c r="C135" s="244"/>
    </row>
    <row r="136" spans="1:18" x14ac:dyDescent="0.2">
      <c r="A136" s="62" t="s">
        <v>161</v>
      </c>
      <c r="B136" s="202"/>
      <c r="C136" s="245" t="s">
        <v>149</v>
      </c>
      <c r="D136" s="212" t="s">
        <v>149</v>
      </c>
      <c r="E136" s="212" t="s">
        <v>150</v>
      </c>
    </row>
    <row r="137" spans="1:18" ht="27" customHeight="1" x14ac:dyDescent="0.25">
      <c r="A137" s="3" t="s">
        <v>162</v>
      </c>
      <c r="B137" s="66" t="str">
        <f>"dvigatel raqami "&amp;B138&amp;", shassi raqami - "&amp;B139&amp;""</f>
        <v xml:space="preserve">dvigatel raqami , shassi raqami - </v>
      </c>
      <c r="C137" s="252" t="s">
        <v>447</v>
      </c>
      <c r="D137" s="233" t="s">
        <v>413</v>
      </c>
      <c r="E137" s="212" t="str">
        <f>CONCATENATE(C137," ","kv.m")</f>
        <v>88.79 kv.m</v>
      </c>
      <c r="F137" s="237"/>
    </row>
    <row r="138" spans="1:18" x14ac:dyDescent="0.25">
      <c r="A138" s="62" t="s">
        <v>163</v>
      </c>
      <c r="B138" s="206"/>
      <c r="C138" s="252">
        <v>420</v>
      </c>
      <c r="D138" s="233" t="s">
        <v>415</v>
      </c>
      <c r="E138" s="212" t="str">
        <f>CONCATENATE(C138," ","kv.m")</f>
        <v>420 kv.m</v>
      </c>
    </row>
    <row r="139" spans="1:18" x14ac:dyDescent="0.25">
      <c r="A139" s="62" t="s">
        <v>164</v>
      </c>
      <c r="B139" s="202"/>
      <c r="C139" s="252" t="s">
        <v>446</v>
      </c>
      <c r="D139" s="233" t="s">
        <v>416</v>
      </c>
      <c r="E139" s="212" t="str">
        <f>CONCATENATE(C139," ","kv.m")</f>
        <v>117.49 kv.m</v>
      </c>
    </row>
    <row r="140" spans="1:18" ht="25.5" customHeight="1" x14ac:dyDescent="0.25">
      <c r="A140" s="3" t="s">
        <v>165</v>
      </c>
      <c r="B140" s="66" t="str">
        <f>"rangi -  "&amp;B141&amp;", ishlab chiqarilgan yili - "&amp;B142&amp;""</f>
        <v xml:space="preserve">rangi -  , ishlab chiqarilgan yili - </v>
      </c>
      <c r="C140" s="246" t="s">
        <v>448</v>
      </c>
      <c r="D140" s="233" t="s">
        <v>245</v>
      </c>
      <c r="E140" s="212" t="str">
        <f>CONCATENATE(C140," ","kv.m")</f>
        <v>42.17 kv.m</v>
      </c>
    </row>
    <row r="141" spans="1:18" x14ac:dyDescent="0.2">
      <c r="A141" s="62" t="s">
        <v>166</v>
      </c>
      <c r="B141" s="202"/>
      <c r="C141" s="245"/>
      <c r="D141" s="247"/>
    </row>
    <row r="142" spans="1:18" ht="30" x14ac:dyDescent="0.25">
      <c r="A142" s="62" t="s">
        <v>167</v>
      </c>
      <c r="B142" s="203"/>
      <c r="C142" s="244">
        <v>46048</v>
      </c>
      <c r="D142" s="234" t="s">
        <v>369</v>
      </c>
    </row>
    <row r="143" spans="1:18" hidden="1" x14ac:dyDescent="0.25">
      <c r="A143" s="3" t="s">
        <v>168</v>
      </c>
      <c r="B143" s="178">
        <f>B75*1.4</f>
        <v>105000000</v>
      </c>
      <c r="C143" s="235">
        <f>B143</f>
        <v>105000000</v>
      </c>
      <c r="D143" s="233" t="s">
        <v>168</v>
      </c>
    </row>
    <row r="144" spans="1:18" ht="27.75" hidden="1" customHeight="1" x14ac:dyDescent="0.2">
      <c r="A144" s="153"/>
      <c r="B144" s="17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besh million so'm</v>
      </c>
      <c r="C144" s="235" t="str">
        <f>B144</f>
        <v>yuz besh million so'm</v>
      </c>
    </row>
    <row r="145" spans="1:3" ht="27.75" hidden="1" customHeight="1" x14ac:dyDescent="0.2">
      <c r="A145" s="3"/>
      <c r="B145" s="180" t="str">
        <f>B144</f>
        <v>yuz besh million so'm</v>
      </c>
      <c r="C145" s="236"/>
    </row>
    <row r="146" spans="1:3" ht="20.25" x14ac:dyDescent="0.2">
      <c r="A146" s="3" t="s">
        <v>334</v>
      </c>
      <c r="B146" s="179"/>
    </row>
    <row r="147" spans="1:3" x14ac:dyDescent="0.2">
      <c r="A147" s="3" t="s">
        <v>362</v>
      </c>
      <c r="B147" s="45"/>
    </row>
    <row r="148" spans="1:3" x14ac:dyDescent="0.2">
      <c r="A148" s="3" t="s">
        <v>151</v>
      </c>
      <c r="B148" s="2" t="s">
        <v>144</v>
      </c>
      <c r="C148" s="212">
        <v>1</v>
      </c>
    </row>
    <row r="149" spans="1:3" hidden="1" x14ac:dyDescent="0.2">
      <c r="A149" s="3" t="s">
        <v>152</v>
      </c>
      <c r="B149" s="4" t="str">
        <f>B70</f>
        <v>30 yanvar 2026 y.</v>
      </c>
      <c r="C149" s="212" t="str">
        <f>B70</f>
        <v>30 yanvar 2026 y.</v>
      </c>
    </row>
    <row r="150" spans="1:3" hidden="1" x14ac:dyDescent="0.2">
      <c r="A150" s="3"/>
      <c r="B150" s="1">
        <f>YEAR(B67)</f>
        <v>2026</v>
      </c>
    </row>
    <row r="151" spans="1:3" hidden="1" x14ac:dyDescent="0.2">
      <c r="A151" s="3"/>
      <c r="B151" s="136" t="str">
        <f>D67</f>
        <v>yanvar</v>
      </c>
    </row>
    <row r="152" spans="1:3" hidden="1" x14ac:dyDescent="0.2">
      <c r="A152" s="161"/>
      <c r="B152" s="162">
        <f>DAY(B67)</f>
        <v>30</v>
      </c>
    </row>
    <row r="153" spans="1:3" ht="30.75" thickBot="1" x14ac:dyDescent="0.25">
      <c r="A153" s="204" t="s">
        <v>411</v>
      </c>
      <c r="B153" s="205">
        <v>25000000</v>
      </c>
    </row>
    <row r="154" spans="1:3" ht="20.25" x14ac:dyDescent="0.2">
      <c r="A154" s="163" t="s">
        <v>372</v>
      </c>
      <c r="B154" s="254" t="s">
        <v>417</v>
      </c>
    </row>
    <row r="155" spans="1:3" ht="20.25" x14ac:dyDescent="0.2">
      <c r="A155" s="164" t="s">
        <v>373</v>
      </c>
      <c r="B155" s="165">
        <f>+B153*1.3</f>
        <v>32500000</v>
      </c>
    </row>
    <row r="156" spans="1:3" ht="15.75" thickBot="1" x14ac:dyDescent="0.25">
      <c r="A156" s="166"/>
      <c r="B156" s="167"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155))&gt;6,ROMAN(MID(INT(B155),1,LEN(INT(B155))-6)+0)&amp;" million "&amp;ROMAN(MID(INT(B155),LEN(INT(B155))-5,3)+0)&amp;" ming "&amp;ROMAN(MID(INT(B155),LEN(INT(B155))-2,3)+0),IF(LEN(INT(B155))&gt;3,ROMAN(MID(INT(B155),1,LEN(INT(B155))-3)+0)&amp;" ming "&amp;ROMAN(MID(INT(B155),LEN(INT(B155))-2,3)+0),ROMAN(INT(B155)))),"DCCC","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ikki million besh yuz ming so'm</v>
      </c>
    </row>
    <row r="157" spans="1:3" x14ac:dyDescent="0.2">
      <c r="A157" s="263" t="s">
        <v>343</v>
      </c>
      <c r="B157" s="263"/>
    </row>
    <row r="158" spans="1:3" x14ac:dyDescent="0.2">
      <c r="A158" s="3" t="s">
        <v>169</v>
      </c>
      <c r="B158" s="1" t="s">
        <v>367</v>
      </c>
    </row>
    <row r="159" spans="1:3" x14ac:dyDescent="0.2">
      <c r="A159" s="3"/>
      <c r="B159" s="1" t="s">
        <v>367</v>
      </c>
    </row>
    <row r="160" spans="1:3" x14ac:dyDescent="0.2">
      <c r="A160" s="3"/>
      <c r="B160" s="1" t="s">
        <v>367</v>
      </c>
    </row>
    <row r="161" spans="1:2" x14ac:dyDescent="0.2">
      <c r="A161" s="258" t="s">
        <v>426</v>
      </c>
      <c r="B161" s="260" t="s">
        <v>427</v>
      </c>
    </row>
    <row r="162" spans="1:2" x14ac:dyDescent="0.2">
      <c r="A162" s="3"/>
      <c r="B162" s="261" t="s">
        <v>428</v>
      </c>
    </row>
    <row r="163" spans="1:2" hidden="1" x14ac:dyDescent="0.2">
      <c r="A163" s="3" t="s">
        <v>172</v>
      </c>
      <c r="B163" s="248" t="s">
        <v>170</v>
      </c>
    </row>
    <row r="164" spans="1:2" ht="28.5" hidden="1" x14ac:dyDescent="0.2">
      <c r="A164" s="3" t="s">
        <v>173</v>
      </c>
      <c r="B164" s="248" t="s">
        <v>171</v>
      </c>
    </row>
    <row r="165" spans="1:2" hidden="1" x14ac:dyDescent="0.2">
      <c r="A165" s="3" t="s">
        <v>174</v>
      </c>
      <c r="B165" s="248" t="s">
        <v>405</v>
      </c>
    </row>
    <row r="166" spans="1:2" hidden="1" x14ac:dyDescent="0.2">
      <c r="A166" s="3" t="s">
        <v>175</v>
      </c>
      <c r="B166" s="248" t="s">
        <v>406</v>
      </c>
    </row>
    <row r="167" spans="1:2" hidden="1" x14ac:dyDescent="0.2">
      <c r="A167" s="3" t="s">
        <v>176</v>
      </c>
      <c r="B167" s="248" t="s">
        <v>408</v>
      </c>
    </row>
    <row r="168" spans="1:2" hidden="1" x14ac:dyDescent="0.2">
      <c r="A168" s="3" t="s">
        <v>177</v>
      </c>
      <c r="B168" s="251" t="s">
        <v>23</v>
      </c>
    </row>
    <row r="169" spans="1:2" hidden="1" x14ac:dyDescent="0.2">
      <c r="A169" s="3" t="s">
        <v>178</v>
      </c>
      <c r="B169" s="248" t="s">
        <v>323</v>
      </c>
    </row>
    <row r="170" spans="1:2" x14ac:dyDescent="0.2">
      <c r="A170" s="3" t="s">
        <v>410</v>
      </c>
      <c r="B170" s="248" t="s">
        <v>414</v>
      </c>
    </row>
    <row r="171" spans="1:2" x14ac:dyDescent="0.2">
      <c r="A171" s="3" t="s">
        <v>365</v>
      </c>
      <c r="B171" s="248" t="s">
        <v>412</v>
      </c>
    </row>
    <row r="172" spans="1:2" x14ac:dyDescent="0.2">
      <c r="A172" s="259" t="s">
        <v>426</v>
      </c>
      <c r="B172" s="262" t="s">
        <v>427</v>
      </c>
    </row>
    <row r="173" spans="1:2" x14ac:dyDescent="0.2">
      <c r="A173" s="3" t="s">
        <v>179</v>
      </c>
      <c r="B173" s="2" t="s">
        <v>335</v>
      </c>
    </row>
    <row r="174" spans="1:2" x14ac:dyDescent="0.2">
      <c r="A174" s="3" t="s">
        <v>180</v>
      </c>
      <c r="B174" s="2" t="s">
        <v>336</v>
      </c>
    </row>
    <row r="175" spans="1:2" x14ac:dyDescent="0.2">
      <c r="A175" s="3" t="s">
        <v>181</v>
      </c>
      <c r="B175" s="1" t="str">
        <f>B1</f>
        <v>№254- XMS</v>
      </c>
    </row>
    <row r="176" spans="1:2" x14ac:dyDescent="0.2">
      <c r="A176" s="3" t="s">
        <v>182</v>
      </c>
      <c r="B176" s="4" t="str">
        <f>B70</f>
        <v>30 yanvar 2026 y.</v>
      </c>
    </row>
    <row r="177" x14ac:dyDescent="0.2"/>
    <row r="178" x14ac:dyDescent="0.2"/>
  </sheetData>
  <mergeCells count="7">
    <mergeCell ref="A157:B157"/>
    <mergeCell ref="A104:B104"/>
    <mergeCell ref="A4:B4"/>
    <mergeCell ref="A57:B57"/>
    <mergeCell ref="A64:B64"/>
    <mergeCell ref="A98:B98"/>
    <mergeCell ref="A92:B92"/>
  </mergeCells>
  <dataValidations count="12">
    <dataValidation type="list" allowBlank="1" showInputMessage="1" showErrorMessage="1" sqref="B30" xr:uid="{00000000-0002-0000-0000-000000000000}">
      <formula1>$C$30:$D$30</formula1>
    </dataValidation>
    <dataValidation type="list" allowBlank="1" showInputMessage="1" showErrorMessage="1" sqref="B100" xr:uid="{00000000-0002-0000-0000-000001000000}">
      <formula1>$C$100:$D$100</formula1>
    </dataValidation>
    <dataValidation type="list" allowBlank="1" showInputMessage="1" showErrorMessage="1" sqref="B110" xr:uid="{00000000-0002-0000-0000-000002000000}">
      <formula1>$C$110:$D$110</formula1>
    </dataValidation>
    <dataValidation type="list" allowBlank="1" showInputMessage="1" showErrorMessage="1" sqref="B78" xr:uid="{00000000-0002-0000-0000-000003000000}">
      <formula1>$C$78:$D$78</formula1>
    </dataValidation>
    <dataValidation type="list" allowBlank="1" showInputMessage="1" showErrorMessage="1" sqref="C136" xr:uid="{00000000-0002-0000-0000-000004000000}">
      <formula1>$D$136:$E$136</formula1>
    </dataValidation>
    <dataValidation type="list" allowBlank="1" showInputMessage="1" showErrorMessage="1" sqref="B99" xr:uid="{00000000-0002-0000-0000-000005000000}">
      <formula1>$C$99:$D$99</formula1>
    </dataValidation>
    <dataValidation type="list" allowBlank="1" showInputMessage="1" showErrorMessage="1" sqref="B101" xr:uid="{00000000-0002-0000-0000-000006000000}">
      <formula1>$C$101:$D$101</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4" xr:uid="{00000000-0002-0000-0000-00000A000000}">
      <formula1>$BJ$84:$BK$84</formula1>
    </dataValidation>
    <dataValidation type="list" allowBlank="1" showInputMessage="1" showErrorMessage="1" sqref="B44" xr:uid="{00000000-0002-0000-0000-00000B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32"/>
  <sheetViews>
    <sheetView view="pageBreakPreview" topLeftCell="A109" zoomScaleNormal="55" zoomScaleSheetLayoutView="100" workbookViewId="0">
      <selection activeCell="B131" sqref="B131"/>
    </sheetView>
  </sheetViews>
  <sheetFormatPr defaultColWidth="9.140625" defaultRowHeight="15.75" x14ac:dyDescent="0.25"/>
  <cols>
    <col min="1" max="1" width="50.42578125" style="5" customWidth="1"/>
    <col min="2" max="2" width="57.42578125" style="5" customWidth="1"/>
    <col min="3" max="3" width="93.28515625" style="5" customWidth="1"/>
    <col min="4" max="7" width="9.140625" style="5" customWidth="1"/>
    <col min="8" max="8" width="111.5703125" style="5" customWidth="1"/>
    <col min="9" max="16" width="9.140625" style="5" customWidth="1"/>
    <col min="17" max="16384" width="9.140625" style="5"/>
  </cols>
  <sheetData>
    <row r="1" spans="1:3" x14ac:dyDescent="0.25">
      <c r="A1" s="271" t="str">
        <f>""&amp;malumot!C64&amp;" shartnoma "&amp;malumot!B66&amp;""</f>
        <v>Mikroqarz shartnoma №254- XMS</v>
      </c>
      <c r="B1" s="271"/>
    </row>
    <row r="3" spans="1:3" x14ac:dyDescent="0.25">
      <c r="A3" s="271" t="str">
        <f>"Toshkent shahri                                                                               "&amp;malumot!B70&amp;""</f>
        <v>Toshkent shahri                                                                               30 yanvar 2026 y.</v>
      </c>
      <c r="B3" s="271"/>
    </row>
    <row r="4" spans="1:3" x14ac:dyDescent="0.25">
      <c r="A4" s="60"/>
    </row>
    <row r="5" spans="1:3" ht="118.5" customHeight="1" x14ac:dyDescent="0.25">
      <c r="A5" s="267" t="str">
        <f>""&amp;malumot!B158&amp;", bundan buyon «Mikromoliya tashkiloti» deb nomlanuvchi, ishonchnoma asosida xarakat qiluvchi "&amp;malumot!A161&amp;" "&amp;malumot!B161&amp;"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Xorazm filiali boshlig'i M.Sharipov  bir tomondan va o‘z manfaati yo‘lida hamda o‘z nomidan harakat qiluvchi O‘zbekiston Respublikasi fuqarosi OLLABERGANOVA GO'ZALOY IBRAHIMOVNA  (pasport raqami AE 2898945, IIV 33212 tomonidan 03.06.2025 yilda berilgan ), bundan buyon «Qarz oluvchi» deb nomlanuvchi, boshqa tomondan, birgalikda “Tomonlar” yoki alohida “Tomon” deb nomlanuvchilar, Qarz oluvchi tomonidan 30.01.2026 yil,mikroqarz olish uchun ariza berilganligini hisobga olib, ushbu Mikroqarz shartnomasini (bundan keyin – «Shartnoma») quyidagilar haqida tuzdilar:</v>
      </c>
      <c r="B5" s="267"/>
    </row>
    <row r="6" spans="1:3" hidden="1" x14ac:dyDescent="0.25"/>
    <row r="7" spans="1:3" x14ac:dyDescent="0.25">
      <c r="A7" s="271" t="s">
        <v>255</v>
      </c>
      <c r="B7" s="271"/>
    </row>
    <row r="8" spans="1:3" ht="36" customHeight="1" x14ac:dyDescent="0.25">
      <c r="A8" s="267" t="str">
        <f>"1.1. Mikromoliya tashkiloti Qarz oluvchiga umumiy miqdori "&amp;FIXED(malumot!B76,2)&amp;" ("&amp;malumot!C77&amp;") bo‘lgan "&amp;malumot!B65&amp;"ni "&amp;malumot!B71&amp;" dan "&amp;malumot!B73&amp;" gacha bo'lgan muddatga naqd pul va/yoki o'tkazmasi shaklida ajratadi."</f>
        <v>1.1. Mikromoliya tashkiloti Qarz oluvchiga umumiy miqdori 100 000 000,00 (Yuz million so'm) bo‘lgan mikroqarzni 30 yanvar 2026 y. dan 30 yanvar 2029 y. gacha bo'lgan muddatga naqd pul va/yoki o'tkazmasi shaklida ajratadi.</v>
      </c>
      <c r="B8" s="267"/>
    </row>
    <row r="9" spans="1:3" ht="36" customHeight="1" x14ac:dyDescent="0.25">
      <c r="A9" s="267"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67"/>
    </row>
    <row r="10" spans="1:3" hidden="1" x14ac:dyDescent="0.25">
      <c r="A10" s="28"/>
    </row>
    <row r="11" spans="1:3" x14ac:dyDescent="0.25">
      <c r="A11" s="269" t="str">
        <f>"2. "&amp;malumot!D64&amp;" BERISH VA QAYTARISH TARTIBI"</f>
        <v>2. MIKROQARZ BERISH VA QAYTARISH TARTIBI</v>
      </c>
      <c r="B11" s="269"/>
      <c r="C11" s="58"/>
    </row>
    <row r="12" spans="1:3" ht="36" customHeight="1" x14ac:dyDescent="0.25">
      <c r="A12" s="267"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67"/>
    </row>
    <row r="13" spans="1:3" ht="35.25" customHeight="1" x14ac:dyDescent="0.25">
      <c r="A13" s="267"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67"/>
    </row>
    <row r="14" spans="1:3" ht="35.25" customHeight="1" x14ac:dyDescent="0.25">
      <c r="A14" s="267"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67"/>
    </row>
    <row r="15" spans="1:3" ht="66" customHeight="1" x14ac:dyDescent="0.25">
      <c r="A15" s="267" t="str">
        <f>"2.4. Mikromoliya tashkiloti, "&amp;malumot!B65&amp;" berilgan vaqtdan boshlab, "&amp;malumot!B65&amp;" miqdorining qoldiq summasiga "&amp;malumot!B86&amp;"% ("&amp;malumot!C87&amp;") foiz yillik va yiliga 365/366 kunlik hisobidan foizlar hisoblaydi. To'lov jadvaliga muvofiq asosiy qarz bo'yicha navbatdagi to'lov buzilgan hollarda, "&amp;"foiz stavkasi oshiriladi va  Mikromoliya tashkiloti "&amp;malumot!B65&amp;"ning muddati o'tgan asosiy qarz summasiga yillik "&amp;malumot!B89&amp;" ("&amp;malumot!B90&amp;")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105 (bir yuz besh) foiz miqdorida foizlar hisoblaydi.</v>
      </c>
      <c r="B15" s="267"/>
    </row>
    <row r="16" spans="1:3" ht="161.25" customHeight="1" x14ac:dyDescent="0.25">
      <c r="A16" s="267" t="s">
        <v>320</v>
      </c>
      <c r="B16" s="267"/>
    </row>
    <row r="17" spans="1:11" ht="148.5" customHeight="1" x14ac:dyDescent="0.25">
      <c r="A17" s="267"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67"/>
      <c r="C17" s="140" t="s">
        <v>324</v>
      </c>
      <c r="H17" s="5" t="str">
        <f>malumot!B65</f>
        <v>mikroqarz</v>
      </c>
      <c r="I17" s="5" t="s">
        <v>325</v>
      </c>
    </row>
    <row r="18" spans="1:11" ht="100.5" customHeight="1" x14ac:dyDescent="0.25">
      <c r="A18" s="273" t="s">
        <v>363</v>
      </c>
      <c r="B18" s="273"/>
    </row>
    <row r="19" spans="1:11" ht="36" customHeight="1" x14ac:dyDescent="0.25">
      <c r="A19" s="267"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67"/>
    </row>
    <row r="20" spans="1:11" ht="39.75" customHeight="1" x14ac:dyDescent="0.25">
      <c r="A20" s="267"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67"/>
    </row>
    <row r="21" spans="1:11" ht="95.25" customHeight="1" x14ac:dyDescent="0.25">
      <c r="A21" s="267"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67"/>
      <c r="C21" s="5"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5"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5"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69" t="str">
        <f>"3. "&amp;malumot!D64&amp;" TA'MINOTI BO‘YICHA "</f>
        <v xml:space="preserve">3. MIKROQARZ TA'MINOTI BO‘YICHA </v>
      </c>
      <c r="B22" s="269"/>
    </row>
    <row r="23" spans="1:11" ht="39.75" customHeight="1" x14ac:dyDescent="0.25">
      <c r="A23" s="267" t="str">
        <f>"3.1. Ushbu Shartnoma bo‘yicha taqdim etilgan "&amp;malumot!C64&amp;" quyidagi Mikroqarz summasiga nisbatan birgalikda jami qiymati 130% dan kam bo'lmagan garov va Mikroqarz to'lamaslik xavfini sug'urta polisi  bilan ta'minlanadi:"</f>
        <v>3.1. Ushbu Shartnoma bo‘yicha taqdim etilgan Mikroqarz quyidagi Mikroqarz summasiga nisbatan birgalikda jami qiymati 130% dan kam bo'lmagan garov va Mikroqarz to'lamaslik xavfini sug'urta polisi  bilan ta'minlanadi:</v>
      </c>
      <c r="B23" s="267"/>
    </row>
    <row r="24" spans="1:11" s="181" customFormat="1" ht="149.25" customHeight="1" x14ac:dyDescent="0.25">
      <c r="A24" s="277" t="str">
        <f>IF(malumot!B110=malumot!C110,shartnoma!A28,IF(malumot!B110=malumot!D110,shartnoma!A25,0))</f>
        <v>3.1.1. Mikromoliya tashkiloti va Qarz oluvchi tomonidan 2026 yil 30 yanvarda imzolangan 1-sonli Garov predmeti qiymatini tasdiqlash dalolatnomasiga muvofiq XORAZM VILOYATI QO'SHKO'PIR TUMANI XOSIYON QFY XOSIYON MFY SHOLIKOR KO'CHASI 37-UY manzilida joylashgan, Davlat ro'yxatidan o'tkazilgan yer maydoni- 420, umumiy foydali maydoni - 88.79, yashash maydoni - 42.17, umumiy maydoni (tashqi) - 117.49 bo'lgan, 7 - xonali  yakka tartibdagi uy-joy ko'rinishidagi ko'chmas mulk (bundan keyin “Garov predmeti”), egalik huquqiga ko'ra  OLLABERGANOVA GO'ZALOY IBRAHIMOVNAga tegishli va kelishilgan garov qiymati 2026 yil 30 yanvarda imzolangan 1-sonli Garov predmeti qiymatini tasdiqlash dalolatnomasiga muvofiq 105 000 000,00 (yuz besh million so'm) so'mni tashkil qiladi. Garovning aniq shartlari tegishli tarzda notarial tasdiqlangan garov shartnomasi bilan belgilangan.</v>
      </c>
      <c r="B24" s="277"/>
    </row>
    <row r="25" spans="1:11" s="181" customFormat="1" ht="114" hidden="1" customHeight="1" x14ac:dyDescent="0.25">
      <c r="A25" s="279" t="str">
        <f>IF(malumot!B99=malumot!C99,shartnoma!A27,IF(malumot!B99=malumot!D99,shartnoma!A26,0))</f>
        <v>3.1.1. Mikromoliya tashkiloti va Qarz oluvchi tomonidan 2026 yil 30 yanvarda imzolangan 1-sonli Garov predmeti qiymatini tasdiqlash dalolatnomasiga muvofiq XORAZM VILOYATI QO'SHKO'PIR TUMANI XOSIYON QFY XOSIYON MFY SHOLIKOR KO'CHASI 37-UY manzilida joylashgan, Davlat ro'yxatidan o'tkazilgan yer maydoni- 420, umumiy foydali maydoni - 88.79, yashash maydoni - 42.17, umumiy maydoni (tashqi) - 117.49 bo'lgan, 7 - xonali  yakka tartibdagi uy-joy ko'rinishidagi ko'chmas mulk (bundan keyin “Garov predmeti”), egalik huquqiga ko'ra  OLLABERGANOVA GO'ZALOY IBRAHIMOVNAga tegishli va kelishilgan garov qiymati 2026 yil 30 yanvarda imzolangan 1-sonli Garov predmeti qiymatini tasdiqlash dalolatnomasiga muvofiq 105 000 000,00 (yuz besh million so'm) so'mni tashkil qiladi. Garovning aniq shartlari tegishli tarzda notarial tasdiqlangan garov shartnomasi bilan belgilangan.</v>
      </c>
      <c r="B25" s="279"/>
    </row>
    <row r="26" spans="1:11" s="181" customFormat="1" ht="114" hidden="1" customHeight="1" x14ac:dyDescent="0.25">
      <c r="A26" s="277" t="str">
        <f>"3.1.1. "&amp;malumot!N133&amp;" tomonidan "&amp;malumot!B150&amp;" yil "&amp;malumot!B152&amp;" "&amp;malumot!B151&amp;"da imzolangan 1-sonli navbatdagi garov predmeti qiymatini tasdiqlash dalolatnomasiga muvofiq "&amp;malumot!C130&amp;" manzilida joylashgan, "&amp;malumot!E133&amp;" bo'lgan, "&amp;malumot!E132&amp;" ko'rinishidagi ko'chmas mulk (bundan keyin “navbatdagi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va Qarz oluvchi tomonidan 2026 yil 30 yanvarda imzolangan 1-sonli navbatdagi garov predmeti qiymatini tasdiqlash dalolatnomasiga muvofiq XORAZM VILOYATI QO'SHKO'PIR TUMANI XOSIYON QFY XOSIYON MFY SHOLIKOR KO'CHASI 37-UY manzilida joylashgan, Davlat ro'yxatidan o'tkazilgan yer maydoni- 420, umumiy foydali maydoni - 88.79, yashash maydoni - 42.17, umumiy maydoni (tashqi) - 117.49 bo'lgan, 7 - xonali  yakka tartibdagi uy-joy ko'rinishidagi ko'chmas mulk (bundan keyin “navbatdagi garov predmeti”), egalik huquqiga ko'ra  OLLABERGANOVA GO'ZALOY IBRAHIMOVNAga tegishli va kelishilgan garov qiymati 2026 yil 30 yanvarda imzolangan 1-sonli Garov predmeti qiymatini tasdiqlash dalolatnomasiga muvofiq 105 000 000,00 (yuz besh million so'm) so'mni tashkil qiladi. Garovning aniq shartlari tegishli tarzda notarial tasdiqlangan garov shartnomasi bilan belgilangan.</v>
      </c>
      <c r="B26" s="277"/>
    </row>
    <row r="27" spans="1:11" s="181" customFormat="1" ht="114" hidden="1" customHeight="1" x14ac:dyDescent="0.25">
      <c r="A27" s="279" t="str">
        <f>"3.1.1. "&amp;malumot!N133&amp;" tomonidan "&amp;malumot!B150&amp;" yil "&amp;malumot!B152&amp;" "&amp;malumot!B151&amp;"da imzolangan 1-sonli Garov predmeti qiymatini tasdiqlash dalolatnomasiga muvofiq "&amp;malumot!C130&amp;" manzilida joylashgan, "&amp;malumot!E133&amp;" bo'lgan, "&amp;malumot!E132&amp;" ko'rinishidagi ko'chmas mulk (bundan keyin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va Qarz oluvchi tomonidan 2026 yil 30 yanvarda imzolangan 1-sonli Garov predmeti qiymatini tasdiqlash dalolatnomasiga muvofiq XORAZM VILOYATI QO'SHKO'PIR TUMANI XOSIYON QFY XOSIYON MFY SHOLIKOR KO'CHASI 37-UY manzilida joylashgan, Davlat ro'yxatidan o'tkazilgan yer maydoni- 420, umumiy foydali maydoni - 88.79, yashash maydoni - 42.17, umumiy maydoni (tashqi) - 117.49 bo'lgan, 7 - xonali  yakka tartibdagi uy-joy ko'rinishidagi ko'chmas mulk (bundan keyin “Garov predmeti”), egalik huquqiga ko'ra  OLLABERGANOVA GO'ZALOY IBRAHIMOVNAga tegishli va kelishilgan garov qiymati 2026 yil 30 yanvarda imzolangan 1-sonli Garov predmeti qiymatini tasdiqlash dalolatnomasiga muvofiq 105 000 000,00 (yuz besh million so'm) so'mni tashkil qiladi. Garovning aniq shartlari tegishli tarzda notarial tasdiqlangan garov shartnomasi bilan belgilangan.</v>
      </c>
      <c r="B27" s="279"/>
    </row>
    <row r="28" spans="1:11" s="181" customFormat="1" ht="114" hidden="1" customHeight="1" x14ac:dyDescent="0.25">
      <c r="A28" s="277" t="str">
        <f>IF(malumot!B99=malumot!C99,A29,IF(malumot!B99=malumot!D99,A30,0))</f>
        <v>3.1.1. Mikromoliya tashkiloti va Qarz oluvchi tomonidan 2026 yil 30 yanvarda imzolangan 1-sonli garov predmeti qiymatini tasdiqlash dalolatnomasiga muvofiq  rangli, ishlab chiqarilgan yili –  yil,  dvigatel raqami , shassi - ,  kuzov turi - , kuzov raqami №, davlat raqam belgisi  bo'lgan  rusumli avtomashinasi (bundan keyin “Garov predmeti”), egalik huquqiga ega  OLLABERGANOVA GO'ZALOY IBRAHIMOVNAga tegishli va kelishilgan garov qiymati 2026 yil 30 yanvarda imzolangan 1-sonli Garov predmeti qiymatini tasdiqlash dalolatnomasiga muvifiq 105 000 000,00 (yuz besh million so'm) so'mni tashkil qiladi. Garov garovining aniq shartlari tegishli notarial rasmiylashtirilgan garov shartnomasi bilan belgilanadi.</v>
      </c>
      <c r="B28" s="277"/>
      <c r="K28" s="181" t="s">
        <v>317</v>
      </c>
    </row>
    <row r="29" spans="1:11" s="181" customFormat="1" ht="114" hidden="1" customHeight="1" x14ac:dyDescent="0.25">
      <c r="A29" s="277" t="str">
        <f>"3.1.1. "&amp;malumot!N133&amp;" tomonidan "&amp;malumot!B150&amp;" yil "&amp;malumot!B152&amp;" "&amp;malumot!B151&amp;"da imzolangan 1-sonli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va Qarz oluvchi tomonidan 2026 yil 30 yanvarda imzolangan 1-sonli garov predmeti qiymatini tasdiqlash dalolatnomasiga muvofiq  rangli, ishlab chiqarilgan yili –  yil,  dvigatel raqami , shassi - ,  kuzov turi - , kuzov raqami №, davlat raqam belgisi  bo'lgan  rusumli avtomashinasi (bundan keyin “Garov predmeti”), egalik huquqiga ega  OLLABERGANOVA GO'ZALOY IBRAHIMOVNAga tegishli va kelishilgan garov qiymati 2026 yil 30 yanvarda imzolangan 1-sonli Garov predmeti qiymatini tasdiqlash dalolatnomasiga muvifiq 105 000 000,00 (yuz besh million so'm) so'mni tashkil qiladi. Garov garovining aniq shartlari tegishli notarial rasmiylashtirilgan garov shartnomasi bilan belgilanadi.</v>
      </c>
      <c r="B29" s="277"/>
    </row>
    <row r="30" spans="1:11" s="181" customFormat="1" ht="19.5" hidden="1" customHeight="1" x14ac:dyDescent="0.25">
      <c r="A30" s="277" t="str">
        <f>"3.1.1. "&amp;malumot!N133&amp;" tomonidan "&amp;malumot!B150&amp;" yil "&amp;malumot!B152&amp;" "&amp;malumot!B151&amp;"da imzolangan 1-sonli navbatdagi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“navbatdagi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va Qarz oluvchi tomonidan 2026 yil 30 yanvarda imzolangan 1-sonli navbatdagi garov predmeti qiymatini tasdiqlash dalolatnomasiga muvofiq  rangli, ishlab chiqarilgan yili –  yil,  dvigatel raqami , shassi - ,  kuzov turi - , kuzov raqami №, davlat raqam belgisi  bo'lgan  rusumli avtomashinasi (bundan keyin “navbatdagi garov predmeti”), egalik huquqiga ega  OLLABERGANOVA GO'ZALOY IBRAHIMOVNAga tegishli va kelishilgan garov qiymati 2026 yil 30 yanvarda imzolangan 1-sonli Garov predmeti qiymatini tasdiqlash dalolatnomasiga muvifiq 105 000 000,00 (yuz besh million so'm) so'mni tashkil qiladi. Garov garovining aniq shartlari tegishli notarial rasmiylashtirilgan garov shartnomasi bilan belgilanadi.</v>
      </c>
      <c r="B30" s="277"/>
    </row>
    <row r="31" spans="1:11" s="181" customFormat="1" ht="113.45" customHeight="1" x14ac:dyDescent="0.25">
      <c r="A31" s="277" t="str">
        <f>CONCATENATE(C31,D31)</f>
        <v>3.1.2. «АО "TRUST INSURANCE"» АJ sug‘urta kompaniyasi (keyingi o'rinlarda-Sug‘urtalovchi) tomonidan Mikroqarz to'lamaslik xavfini Mikroqarz summasiga nisbatan 130% dan hisoblab 32 500 000,00(o'ttiz ikki million besh yuz ming so'm) so ' m miqdoriga sug’urta qilish. Ushbu shartnoma bo‘yicha Mikroqarz berilgunga qadar Mikromoliya tashkiloti Sug‘urtalovchi 32 500 000,00(o'ttiz ikki million besh yuz ming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277"/>
      <c r="C31" s="181" t="str">
        <f>"3.1.2. «"&amp;malumot!B154&amp;"» АJ sug‘urta kompaniyasi (keyingi o'rinlarda-Sug‘urtalovchi) tomonidan "&amp;malumot!C64&amp;" to'lamaslik xavfini Mikroqarz summasiga nisbatan 130% dan hisoblab "&amp;FIXED(malumot!B155,2)&amp;"("&amp;malumot!B156&amp;") so ' m miqdoriga sug’urta qilish."</f>
        <v>3.1.2. «АО "TRUST INSURANCE"» АJ sug‘urta kompaniyasi (keyingi o'rinlarda-Sug‘urtalovchi) tomonidan Mikroqarz to'lamaslik xavfini Mikroqarz summasiga nisbatan 130% dan hisoblab 32 500 000,00(o'ttiz ikki million besh yuz ming so'm) so ' m miqdoriga sug’urta qilish.</v>
      </c>
      <c r="D31" s="181" t="str">
        <f>CONCATENATE(E31,F31)</f>
        <v xml:space="preserve"> Ushbu shartnoma bo‘yicha Mikroqarz berilgunga qadar Mikromoliya tashkiloti Sug‘urtalovchi 32 500 000,00(o'ttiz ikki million besh yuz ming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181" t="str">
        <f>" Ushbu shartnoma bo‘yicha "&amp;malumot!C64&amp;" berilgunga qadar Mikromoliya tashkiloti Sug‘urtalovchi "&amp;FIXED(malumot!B155,2)&amp;"("&amp;malumot!B156&amp;") so ' m miqdoridagi "&amp;malumot!C64&amp;""</f>
        <v xml:space="preserve"> Ushbu shartnoma bo‘yicha Mikroqarz berilgunga qadar Mikromoliya tashkiloti Sug‘urtalovchi 32 500 000,00(o'ttiz ikki million besh yuz ming so'm) so ' m miqdoridagi Mikroqarz</v>
      </c>
      <c r="F31" s="181" t="s">
        <v>374</v>
      </c>
    </row>
    <row r="32" spans="1:11" ht="117" customHeight="1" x14ac:dyDescent="0.25">
      <c r="A32" s="276"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276"/>
    </row>
    <row r="33" spans="1:8" ht="94.5" hidden="1" x14ac:dyDescent="0.25">
      <c r="A33" s="143" t="s">
        <v>345</v>
      </c>
      <c r="B33" s="28"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43"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4" s="28" t="s">
        <v>327</v>
      </c>
    </row>
    <row r="35" spans="1:8" ht="84.75" customHeight="1" x14ac:dyDescent="0.25">
      <c r="A35" s="276" t="s">
        <v>256</v>
      </c>
      <c r="B35" s="276"/>
    </row>
    <row r="36" spans="1:8" ht="84" customHeight="1" x14ac:dyDescent="0.25">
      <c r="A36" s="276" t="s">
        <v>305</v>
      </c>
      <c r="B36" s="276"/>
    </row>
    <row r="37" spans="1:8" ht="132" customHeight="1" x14ac:dyDescent="0.25">
      <c r="A37" s="267" t="s">
        <v>375</v>
      </c>
      <c r="B37" s="267"/>
    </row>
    <row r="38" spans="1:8" hidden="1" x14ac:dyDescent="0.25"/>
    <row r="39" spans="1:8" x14ac:dyDescent="0.25">
      <c r="A39" s="275" t="s">
        <v>304</v>
      </c>
      <c r="B39" s="275"/>
      <c r="C39" s="65"/>
    </row>
    <row r="40" spans="1:8" x14ac:dyDescent="0.25">
      <c r="A40" s="278" t="s">
        <v>303</v>
      </c>
      <c r="B40" s="278"/>
    </row>
    <row r="41" spans="1:8" ht="116.25" customHeight="1" x14ac:dyDescent="0.25">
      <c r="A41" s="276"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276"/>
      <c r="C41" s="5" t="str">
        <f>"4.1.1. Ushbu Shartnomada ko‘rsatilgan asoslar bo‘yicha Qarz oluvchiga Shartnomada ko‘zda tutilgan "&amp;malumot!B65&amp;""</f>
        <v>4.1.1. Ushbu Shartnomada ko‘rsatilgan asoslar bo‘yicha Qarz oluvchiga Shartnomada ko‘zda tutilgan mikroqarz</v>
      </c>
      <c r="H41" s="140" t="s">
        <v>370</v>
      </c>
    </row>
    <row r="42" spans="1:8" ht="39" customHeight="1" x14ac:dyDescent="0.25">
      <c r="A42" s="276"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276"/>
    </row>
    <row r="43" spans="1:8" x14ac:dyDescent="0.25">
      <c r="A43" s="276" t="s">
        <v>306</v>
      </c>
      <c r="B43" s="276"/>
    </row>
    <row r="44" spans="1:8" ht="30" customHeight="1" x14ac:dyDescent="0.25">
      <c r="A44" s="276" t="str">
        <f>"b) "&amp;malumot!B65&amp;" summasiga hisoblanadigan asosiy qarz bo‘yicha muddati o‘tgan qarzdorlik va/yoki foizlarning yuzaga kelishi;"</f>
        <v>b) mikroqarz summasiga hisoblanadigan asosiy qarz bo‘yicha muddati o‘tgan qarzdorlik va/yoki foizlarning yuzaga kelishi;</v>
      </c>
      <c r="B44" s="276"/>
    </row>
    <row r="45" spans="1:8" ht="37.5" customHeight="1" x14ac:dyDescent="0.25">
      <c r="A45" s="276" t="s">
        <v>307</v>
      </c>
      <c r="B45" s="276"/>
    </row>
    <row r="46" spans="1:8" ht="52.5" customHeight="1" x14ac:dyDescent="0.25">
      <c r="A46" s="276" t="s">
        <v>308</v>
      </c>
      <c r="B46" s="276"/>
    </row>
    <row r="47" spans="1:8" ht="19.5" customHeight="1" x14ac:dyDescent="0.25">
      <c r="A47" s="276" t="s">
        <v>309</v>
      </c>
      <c r="B47" s="276"/>
    </row>
    <row r="48" spans="1:8" ht="51.75" customHeight="1" x14ac:dyDescent="0.25">
      <c r="A48" s="276"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276"/>
    </row>
    <row r="49" spans="1:8" ht="33.75" customHeight="1" x14ac:dyDescent="0.25">
      <c r="A49" s="276" t="s">
        <v>302</v>
      </c>
      <c r="B49" s="276"/>
    </row>
    <row r="50" spans="1:8" ht="36.75" customHeight="1" x14ac:dyDescent="0.25">
      <c r="A50" s="276" t="s">
        <v>301</v>
      </c>
      <c r="B50" s="276"/>
      <c r="C50" s="143"/>
    </row>
    <row r="51" spans="1:8" ht="121.5" customHeight="1" x14ac:dyDescent="0.25">
      <c r="A51" s="267" t="s">
        <v>300</v>
      </c>
      <c r="B51" s="267"/>
      <c r="C51" s="143"/>
    </row>
    <row r="52" spans="1:8" ht="70.5" customHeight="1" x14ac:dyDescent="0.25">
      <c r="A52" s="267" t="s">
        <v>299</v>
      </c>
      <c r="B52" s="267"/>
      <c r="C52" s="143"/>
    </row>
    <row r="53" spans="1:8" ht="39.75" customHeight="1" x14ac:dyDescent="0.25">
      <c r="A53" s="267"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3" s="267"/>
      <c r="C53" s="143"/>
    </row>
    <row r="54" spans="1:8" ht="33" customHeight="1" x14ac:dyDescent="0.25">
      <c r="A54" s="267" t="s">
        <v>310</v>
      </c>
      <c r="B54" s="267"/>
      <c r="C54" s="143"/>
    </row>
    <row r="55" spans="1:8" ht="39.75" customHeight="1" x14ac:dyDescent="0.25">
      <c r="A55" s="267" t="s">
        <v>298</v>
      </c>
      <c r="B55" s="267"/>
      <c r="C55" s="143"/>
    </row>
    <row r="56" spans="1:8" ht="50.25" customHeight="1" x14ac:dyDescent="0.25">
      <c r="A56" s="267"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267"/>
      <c r="C56" s="143" t="str">
        <f>"4.1.10. Qarz oluvchi taqdim etilgan "&amp;malumot!B65&amp;"dan Shartnoma tuzilgan kundan boshlab 1 (bir) oy davomida foydalanmagan"</f>
        <v>4.1.10. Qarz oluvchi taqdim etilgan mikroqarzdan Shartnoma tuzilgan kundan boshlab 1 (bir) oy davomida foydalanmagan</v>
      </c>
      <c r="H56" s="5" t="s">
        <v>328</v>
      </c>
    </row>
    <row r="57" spans="1:8" ht="19.5" customHeight="1" x14ac:dyDescent="0.25">
      <c r="A57" s="267" t="str">
        <f>"4.1.11. Oldingi "&amp;malumot!B65&amp;" to‘liq to‘lanmagunga qadar yangi "&amp;malumot!B65&amp;" berishni rad etish."</f>
        <v>4.1.11. Oldingi mikroqarz to‘liq to‘lanmagunga qadar yangi mikroqarz berishni rad etish.</v>
      </c>
      <c r="B57" s="267"/>
      <c r="C57" s="143"/>
    </row>
    <row r="58" spans="1:8" hidden="1" x14ac:dyDescent="0.25"/>
    <row r="59" spans="1:8" x14ac:dyDescent="0.25">
      <c r="A59" s="269" t="s">
        <v>297</v>
      </c>
      <c r="B59" s="269"/>
      <c r="C59" s="142"/>
    </row>
    <row r="60" spans="1:8" x14ac:dyDescent="0.25">
      <c r="A60" s="274" t="s">
        <v>296</v>
      </c>
      <c r="B60" s="274"/>
      <c r="C60" s="144"/>
    </row>
    <row r="61" spans="1:8" ht="36" customHeight="1" x14ac:dyDescent="0.25">
      <c r="A61" s="267"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267"/>
      <c r="C61" s="143"/>
    </row>
    <row r="62" spans="1:8" ht="36.75" customHeight="1" x14ac:dyDescent="0.25">
      <c r="A62" s="267"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2" s="267"/>
      <c r="C62" s="143"/>
    </row>
    <row r="63" spans="1:8" ht="17.25" customHeight="1" x14ac:dyDescent="0.25">
      <c r="A63" s="267" t="str">
        <f>"5.1.3. "&amp;malumot!C64&amp;" xizmatlari ko‘rsatish qoidalari bilan tanishish."</f>
        <v>5.1.3. Mikroqarz xizmatlari ko‘rsatish qoidalari bilan tanishish.</v>
      </c>
      <c r="B63" s="267"/>
      <c r="C63" s="143"/>
    </row>
    <row r="64" spans="1:8" ht="36" customHeight="1" x14ac:dyDescent="0.25">
      <c r="A64" s="267"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4" s="267"/>
      <c r="C64" s="143"/>
    </row>
    <row r="65" spans="1:8" ht="33.75" customHeight="1" x14ac:dyDescent="0.25">
      <c r="A65" s="267" t="s">
        <v>311</v>
      </c>
      <c r="B65" s="267"/>
      <c r="C65" s="143"/>
    </row>
    <row r="66" spans="1:8" x14ac:dyDescent="0.25">
      <c r="A66" s="274" t="s">
        <v>295</v>
      </c>
      <c r="B66" s="274"/>
      <c r="C66" s="144"/>
    </row>
    <row r="67" spans="1:8" ht="37.5" customHeight="1" x14ac:dyDescent="0.25">
      <c r="A67" s="267"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267"/>
      <c r="C67" s="143"/>
    </row>
    <row r="68" spans="1:8" ht="39.75" customHeight="1" x14ac:dyDescent="0.25">
      <c r="A68" s="267" t="s">
        <v>312</v>
      </c>
      <c r="B68" s="267"/>
      <c r="C68" s="143"/>
    </row>
    <row r="69" spans="1:8" ht="27" customHeight="1" x14ac:dyDescent="0.25">
      <c r="A69" s="267" t="str">
        <f>"5.2.3. To‘lov jadvaliga muvofiq "&amp;malumot!B65&amp;", shuningdek hisoblangan foizlar to‘lovlarini amalga oshirish."</f>
        <v>5.2.3. To‘lov jadvaliga muvofiq mikroqarz, shuningdek hisoblangan foizlar to‘lovlarini amalga oshirish.</v>
      </c>
      <c r="B69" s="267"/>
      <c r="C69" s="143"/>
    </row>
    <row r="70" spans="1:8" ht="84" customHeight="1" x14ac:dyDescent="0.25">
      <c r="A70" s="267"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267"/>
      <c r="C70" s="143" t="s">
        <v>329</v>
      </c>
      <c r="H70" s="5"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267" t="s">
        <v>313</v>
      </c>
      <c r="B71" s="267"/>
      <c r="C71" s="143"/>
    </row>
    <row r="72" spans="1:8" ht="36" customHeight="1" x14ac:dyDescent="0.25">
      <c r="A72" s="267"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2" s="267"/>
      <c r="C72" s="143"/>
    </row>
    <row r="73" spans="1:8" ht="51.75" customHeight="1" x14ac:dyDescent="0.25">
      <c r="A73" s="273" t="s">
        <v>330</v>
      </c>
      <c r="B73" s="273"/>
      <c r="C73" s="146"/>
    </row>
    <row r="74" spans="1:8" ht="57" customHeight="1" x14ac:dyDescent="0.25">
      <c r="A74" s="267"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267"/>
      <c r="C74" s="143"/>
    </row>
    <row r="75" spans="1:8" ht="33.75" customHeight="1" x14ac:dyDescent="0.25">
      <c r="A75" s="267"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267"/>
      <c r="C75" s="143"/>
      <c r="H75" s="5" t="s">
        <v>326</v>
      </c>
    </row>
    <row r="76" spans="1:8" ht="68.25" customHeight="1" x14ac:dyDescent="0.25">
      <c r="A76" s="267"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267"/>
      <c r="C76" s="143"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6" s="5" t="s">
        <v>331</v>
      </c>
    </row>
    <row r="77" spans="1:8" hidden="1" x14ac:dyDescent="0.25">
      <c r="A77" s="63"/>
    </row>
    <row r="78" spans="1:8" x14ac:dyDescent="0.25">
      <c r="A78" s="275" t="s">
        <v>294</v>
      </c>
      <c r="B78" s="275"/>
      <c r="C78" s="145"/>
    </row>
    <row r="79" spans="1:8" ht="98.25" customHeight="1" x14ac:dyDescent="0.25">
      <c r="A79" s="267"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267"/>
      <c r="C79" s="143" t="s">
        <v>332</v>
      </c>
      <c r="H79" s="5"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267" t="s">
        <v>293</v>
      </c>
      <c r="B80" s="267"/>
      <c r="C80" s="143"/>
    </row>
    <row r="81" spans="1:3" ht="35.25" customHeight="1" x14ac:dyDescent="0.25">
      <c r="A81" s="267" t="s">
        <v>292</v>
      </c>
      <c r="B81" s="267"/>
      <c r="C81" s="143"/>
    </row>
    <row r="82" spans="1:3" ht="33" customHeight="1" x14ac:dyDescent="0.25">
      <c r="A82" s="267" t="s">
        <v>291</v>
      </c>
      <c r="B82" s="267"/>
      <c r="C82" s="143"/>
    </row>
    <row r="83" spans="1:3" hidden="1" x14ac:dyDescent="0.25"/>
    <row r="84" spans="1:3" x14ac:dyDescent="0.25">
      <c r="A84" s="270" t="s">
        <v>290</v>
      </c>
      <c r="B84" s="270"/>
      <c r="C84" s="59"/>
    </row>
    <row r="85" spans="1:3" ht="161.25" customHeight="1" x14ac:dyDescent="0.25">
      <c r="A85" s="267" t="s">
        <v>289</v>
      </c>
      <c r="B85" s="267"/>
      <c r="C85" s="143"/>
    </row>
    <row r="86" spans="1:3" ht="33.75" customHeight="1" x14ac:dyDescent="0.25">
      <c r="A86" s="267" t="s">
        <v>333</v>
      </c>
      <c r="B86" s="267"/>
      <c r="C86" s="143"/>
    </row>
    <row r="87" spans="1:3" ht="51.75" customHeight="1" x14ac:dyDescent="0.25">
      <c r="A87" s="267" t="s">
        <v>288</v>
      </c>
      <c r="B87" s="267"/>
      <c r="C87" s="143"/>
    </row>
    <row r="88" spans="1:3" ht="36" customHeight="1" x14ac:dyDescent="0.25">
      <c r="A88" s="267" t="s">
        <v>287</v>
      </c>
      <c r="B88" s="267"/>
      <c r="C88" s="143"/>
    </row>
    <row r="89" spans="1:3" hidden="1" x14ac:dyDescent="0.25"/>
    <row r="90" spans="1:3" x14ac:dyDescent="0.25">
      <c r="A90" s="270" t="s">
        <v>286</v>
      </c>
      <c r="B90" s="270"/>
      <c r="C90" s="59"/>
    </row>
    <row r="91" spans="1:3" ht="101.25" customHeight="1" x14ac:dyDescent="0.25">
      <c r="A91" s="267" t="s">
        <v>346</v>
      </c>
      <c r="B91" s="267"/>
      <c r="C91" s="143"/>
    </row>
    <row r="92" spans="1:3" ht="36" customHeight="1" x14ac:dyDescent="0.25">
      <c r="A92" s="267" t="s">
        <v>314</v>
      </c>
      <c r="B92" s="267"/>
      <c r="C92" s="143"/>
    </row>
    <row r="93" spans="1:3" ht="54" customHeight="1" x14ac:dyDescent="0.25">
      <c r="A93" s="267"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267"/>
      <c r="C93" s="143"/>
    </row>
    <row r="94" spans="1:3" hidden="1" x14ac:dyDescent="0.25"/>
    <row r="95" spans="1:3" x14ac:dyDescent="0.25">
      <c r="A95" s="272" t="s">
        <v>285</v>
      </c>
      <c r="B95" s="272"/>
      <c r="C95" s="64"/>
    </row>
    <row r="96" spans="1:3" ht="20.25" customHeight="1" x14ac:dyDescent="0.25">
      <c r="A96" s="267" t="s">
        <v>284</v>
      </c>
      <c r="B96" s="267"/>
      <c r="C96" s="143"/>
    </row>
    <row r="97" spans="1:3" ht="33.75" customHeight="1" x14ac:dyDescent="0.25">
      <c r="A97" s="267"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267"/>
      <c r="C97" s="143"/>
    </row>
    <row r="98" spans="1:3" ht="40.5" customHeight="1" x14ac:dyDescent="0.25">
      <c r="A98" s="267" t="s">
        <v>283</v>
      </c>
      <c r="B98" s="267"/>
      <c r="C98" s="143"/>
    </row>
    <row r="99" spans="1:3" hidden="1" x14ac:dyDescent="0.25"/>
    <row r="100" spans="1:3" x14ac:dyDescent="0.25">
      <c r="A100" s="269" t="s">
        <v>282</v>
      </c>
      <c r="B100" s="269"/>
      <c r="C100" s="58"/>
    </row>
    <row r="101" spans="1:3" ht="66.75" customHeight="1" x14ac:dyDescent="0.25">
      <c r="A101" s="267" t="s">
        <v>281</v>
      </c>
      <c r="B101" s="267"/>
      <c r="C101" s="143"/>
    </row>
    <row r="102" spans="1:3" ht="66" customHeight="1" x14ac:dyDescent="0.25">
      <c r="A102" s="267" t="s">
        <v>280</v>
      </c>
      <c r="B102" s="267"/>
      <c r="C102" s="143"/>
    </row>
    <row r="103" spans="1:3" ht="48" customHeight="1" x14ac:dyDescent="0.25">
      <c r="A103" s="267" t="s">
        <v>279</v>
      </c>
      <c r="B103" s="267"/>
      <c r="C103" s="143"/>
    </row>
    <row r="105" spans="1:3" x14ac:dyDescent="0.25">
      <c r="A105" s="270" t="s">
        <v>278</v>
      </c>
      <c r="B105" s="270"/>
      <c r="C105" s="132"/>
    </row>
    <row r="106" spans="1:3" ht="37.5" customHeight="1" x14ac:dyDescent="0.25">
      <c r="A106" s="267" t="s">
        <v>277</v>
      </c>
      <c r="B106" s="267"/>
      <c r="C106" s="143"/>
    </row>
    <row r="107" spans="1:3" ht="34.5" customHeight="1" x14ac:dyDescent="0.25">
      <c r="A107" s="267" t="s">
        <v>276</v>
      </c>
      <c r="B107" s="267"/>
      <c r="C107" s="143"/>
    </row>
    <row r="108" spans="1:3" ht="66.75" customHeight="1" x14ac:dyDescent="0.25">
      <c r="A108" s="267" t="s">
        <v>275</v>
      </c>
      <c r="B108" s="267"/>
      <c r="C108" s="143"/>
    </row>
    <row r="109" spans="1:3" ht="51" customHeight="1" x14ac:dyDescent="0.25">
      <c r="A109" s="267" t="s">
        <v>274</v>
      </c>
      <c r="B109" s="267"/>
      <c r="C109" s="143"/>
    </row>
    <row r="110" spans="1:3" ht="37.5" customHeight="1" x14ac:dyDescent="0.25">
      <c r="A110" s="267" t="s">
        <v>273</v>
      </c>
      <c r="B110" s="267"/>
      <c r="C110" s="143"/>
    </row>
    <row r="111" spans="1:3" ht="38.25" customHeight="1" x14ac:dyDescent="0.25">
      <c r="A111" s="267" t="s">
        <v>272</v>
      </c>
      <c r="B111" s="267"/>
      <c r="C111" s="143"/>
    </row>
    <row r="112" spans="1:3" ht="21" customHeight="1" x14ac:dyDescent="0.25">
      <c r="A112" s="267" t="s">
        <v>271</v>
      </c>
      <c r="B112" s="267"/>
      <c r="C112" s="143"/>
    </row>
    <row r="113" spans="1:3" ht="26.25" customHeight="1" x14ac:dyDescent="0.25">
      <c r="A113" s="269" t="s">
        <v>315</v>
      </c>
      <c r="B113" s="269"/>
      <c r="C113" s="64"/>
    </row>
    <row r="114" spans="1:3" hidden="1" x14ac:dyDescent="0.25"/>
    <row r="115" spans="1:3" x14ac:dyDescent="0.25">
      <c r="A115" s="173" t="s">
        <v>270</v>
      </c>
      <c r="B115" s="173" t="s">
        <v>269</v>
      </c>
    </row>
    <row r="117" spans="1:3" ht="31.5" x14ac:dyDescent="0.25">
      <c r="A117" s="64" t="str">
        <f>malumot!B159</f>
        <v>«CLEVER MIKROMOLIYA TASHKILOTI» MChJ</v>
      </c>
      <c r="B117" s="187" t="str">
        <f>malumot!B5</f>
        <v>OLLABERGANOVA GO'ZALOY IBRAHIMOVNA</v>
      </c>
    </row>
    <row r="119" spans="1:3" ht="45.75" customHeight="1" x14ac:dyDescent="0.25">
      <c r="A119" s="174" t="str">
        <f>"Manzil: "&amp;malumot!B164&amp;""</f>
        <v>Manzil: Toshkent shahri, Olmazor tumani, Sagbon ko'chasi, 30 boshi berk, 6-uy</v>
      </c>
      <c r="B119" s="174" t="str">
        <f>"Manzil: "&amp;malumot!B27&amp;""</f>
        <v>Manzil: XORAZM VILOYATI QO'SHKO'PIR TUMANI XOSIYON QFY XOSIYON MFY SHOLIKOR KO'CHASI 37-UY</v>
      </c>
    </row>
    <row r="120" spans="1:3" ht="17.25" customHeight="1" x14ac:dyDescent="0.25">
      <c r="A120" s="192" t="str">
        <f>"h/r: "&amp;malumot!B165&amp;""</f>
        <v>h/r: №20216000105068380006</v>
      </c>
    </row>
    <row r="121" spans="1:3" ht="48" customHeight="1" x14ac:dyDescent="0.25">
      <c r="A121" s="174" t="str">
        <f>"MFO: "&amp;malumot!B166&amp;" в "&amp;malumot!B167&amp;""</f>
        <v>MFO: №01183 в Toshkent sh., "ANOR BANK"</v>
      </c>
      <c r="B121" s="174" t="str">
        <f>"Pasport: "&amp;malumot!B16&amp;", "&amp;malumot!B20&amp;""</f>
        <v>Pasport: AE 2898945, IIV 33212 tomonidan 03.06.2025 yilda berilgan</v>
      </c>
    </row>
    <row r="122" spans="1:3" x14ac:dyDescent="0.25">
      <c r="A122" s="174" t="str">
        <f>"STIR: "&amp;malumot!B168&amp;""</f>
        <v>STIR: 306365847</v>
      </c>
      <c r="B122" s="60" t="str">
        <f>"Tel: "&amp;malumot!B40&amp;""</f>
        <v>Tel: 93-586-24-94 KLIENT</v>
      </c>
    </row>
    <row r="123" spans="1:3" x14ac:dyDescent="0.25">
      <c r="A123" s="194" t="str">
        <f>"Tel: (78) 113 31 33"</f>
        <v>Tel: (78) 113 31 33</v>
      </c>
      <c r="B123" s="60" t="str">
        <f>malumot!B41</f>
        <v>93-068-65-04 OTASI</v>
      </c>
    </row>
    <row r="124" spans="1:3" x14ac:dyDescent="0.25">
      <c r="A124" s="193" t="s">
        <v>7</v>
      </c>
      <c r="B124" s="60" t="str">
        <f>malumot!B42</f>
        <v>77-734-07-90 BEXRUZBEK</v>
      </c>
    </row>
    <row r="125" spans="1:3" x14ac:dyDescent="0.25">
      <c r="A125" s="28"/>
    </row>
    <row r="126" spans="1:3" x14ac:dyDescent="0.25">
      <c r="A126" s="268" t="str">
        <f>malumot!A161</f>
        <v>Xorazm filiali boshlig'i</v>
      </c>
      <c r="B126" s="271" t="str">
        <f>""&amp;malumot!B7&amp;"     __________________"</f>
        <v>OLLABERGANOVA G.I.     __________________</v>
      </c>
    </row>
    <row r="127" spans="1:3" x14ac:dyDescent="0.25">
      <c r="A127" s="268"/>
      <c r="B127" s="271"/>
    </row>
    <row r="128" spans="1:3" x14ac:dyDescent="0.25">
      <c r="A128" s="190" t="str">
        <f>malumot!B161</f>
        <v>M.Sharipov</v>
      </c>
    </row>
    <row r="129" spans="1:2" x14ac:dyDescent="0.25">
      <c r="A129" s="132"/>
      <c r="B129" s="175"/>
    </row>
    <row r="130" spans="1:2" x14ac:dyDescent="0.25">
      <c r="B130" s="5" t="s">
        <v>429</v>
      </c>
    </row>
    <row r="132" spans="1:2" hidden="1" x14ac:dyDescent="0.25">
      <c r="A132" s="5" t="str">
        <f>"менеджер :   "&amp;malumot!B172&amp;"______________"</f>
        <v>менеджер :   M.Sharipov______________</v>
      </c>
    </row>
  </sheetData>
  <mergeCells count="101">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52:B52"/>
    <mergeCell ref="A53:B53"/>
    <mergeCell ref="A49:B49"/>
    <mergeCell ref="A48:B48"/>
    <mergeCell ref="A47:B47"/>
    <mergeCell ref="A46:B46"/>
    <mergeCell ref="A45:B45"/>
    <mergeCell ref="A44:B44"/>
    <mergeCell ref="A43:B43"/>
    <mergeCell ref="A54:B54"/>
    <mergeCell ref="A55:B55"/>
    <mergeCell ref="A56:B56"/>
    <mergeCell ref="A57:B57"/>
    <mergeCell ref="A59:B59"/>
    <mergeCell ref="A60:B60"/>
    <mergeCell ref="A61:B61"/>
    <mergeCell ref="A62:B62"/>
    <mergeCell ref="A63:B63"/>
    <mergeCell ref="A64:B64"/>
    <mergeCell ref="A65:B65"/>
    <mergeCell ref="A66:B66"/>
    <mergeCell ref="A67:B67"/>
    <mergeCell ref="A68:B68"/>
    <mergeCell ref="A69:B69"/>
    <mergeCell ref="A75:B75"/>
    <mergeCell ref="A76:B76"/>
    <mergeCell ref="A78:B78"/>
    <mergeCell ref="A79:B79"/>
    <mergeCell ref="A70:B70"/>
    <mergeCell ref="A71:B71"/>
    <mergeCell ref="A72:B72"/>
    <mergeCell ref="A73:B73"/>
    <mergeCell ref="A74:B74"/>
    <mergeCell ref="A80:B80"/>
    <mergeCell ref="A81:B81"/>
    <mergeCell ref="A82:B82"/>
    <mergeCell ref="A84:B84"/>
    <mergeCell ref="A85:B85"/>
    <mergeCell ref="A92:B92"/>
    <mergeCell ref="A93:B93"/>
    <mergeCell ref="A95:B95"/>
    <mergeCell ref="A96:B96"/>
    <mergeCell ref="A86:B86"/>
    <mergeCell ref="A87:B87"/>
    <mergeCell ref="A88:B88"/>
    <mergeCell ref="A90:B90"/>
    <mergeCell ref="A91:B91"/>
    <mergeCell ref="A108:B108"/>
    <mergeCell ref="A126:A127"/>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s>
  <printOptions horizontalCentered="1"/>
  <pageMargins left="0.70866141732283472" right="0.70866141732283472" top="0.51181102362204722" bottom="0.43307086614173229" header="0.31496062992125984" footer="0.31496062992125984"/>
  <pageSetup paperSize="9" scale="72" orientation="portrait" r:id="rId1"/>
  <rowBreaks count="1" manualBreakCount="1">
    <brk id="2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1:E27"/>
  <sheetViews>
    <sheetView view="pageBreakPreview" topLeftCell="A13" zoomScaleSheetLayoutView="100" workbookViewId="0">
      <selection activeCell="A28" sqref="A28"/>
    </sheetView>
  </sheetViews>
  <sheetFormatPr defaultColWidth="9.140625" defaultRowHeight="15" outlineLevelRow="1" x14ac:dyDescent="0.25"/>
  <cols>
    <col min="1" max="1" width="23.85546875" style="12" customWidth="1"/>
    <col min="2" max="2" width="23.28515625" style="12" customWidth="1"/>
    <col min="3" max="3" width="17" style="12" customWidth="1"/>
    <col min="4" max="4" width="17.5703125" style="12" customWidth="1"/>
    <col min="5" max="5" width="19.7109375" style="12" customWidth="1"/>
    <col min="6" max="16384" width="9.140625" style="12"/>
  </cols>
  <sheetData>
    <row r="1" spans="1:5" ht="16.5" customHeight="1" x14ac:dyDescent="0.25"/>
    <row r="2" spans="1:5" ht="17.25" customHeight="1" x14ac:dyDescent="0.25">
      <c r="A2" s="282" t="str">
        <f>""&amp;malumot!B158&amp;" ijrochi direktorining
"&amp;malumot!B176&amp;"dagi "&amp;malumot!B175&amp;"-sonli buyrug‘i"</f>
        <v>«CLEVER MIKROMOLIYA TASHKILOTI» MChJ ijrochi direktorining
30 yanvar 2026 y.dagi №254- XMS-sonli buyrug‘i</v>
      </c>
      <c r="B2" s="282"/>
      <c r="C2" s="282"/>
      <c r="D2" s="282"/>
      <c r="E2" s="282"/>
    </row>
    <row r="3" spans="1:5" x14ac:dyDescent="0.25">
      <c r="A3" s="282"/>
      <c r="B3" s="282"/>
      <c r="C3" s="282"/>
      <c r="D3" s="282"/>
      <c r="E3" s="282"/>
    </row>
    <row r="4" spans="1:5" x14ac:dyDescent="0.25">
      <c r="A4" s="282"/>
      <c r="B4" s="282"/>
      <c r="C4" s="282"/>
      <c r="D4" s="282"/>
      <c r="E4" s="282"/>
    </row>
    <row r="5" spans="1:5" x14ac:dyDescent="0.25">
      <c r="A5" s="280"/>
      <c r="B5" s="280"/>
      <c r="C5" s="280"/>
      <c r="D5" s="280"/>
      <c r="E5" s="280"/>
    </row>
    <row r="6" spans="1:5" ht="53.25" customHeight="1" x14ac:dyDescent="0.25">
      <c r="A6" s="280" t="str">
        <f>"Men, Abduraximov Nadirbek Kamilevich "&amp;malumot!B158&amp;" ijrochi direktori, jismoniy shaxs "&amp;malumot!B10&amp;"ga quyidagi shartlarda "&amp;malumot!B65&amp;" berishni buyuraman:"</f>
        <v>Men, Abduraximov Nadirbek Kamilevich «CLEVER MIKROMOLIYA TASHKILOTI» MChJ ijrochi direktori, jismoniy shaxs ADXAMJONOV SHOXRUX SHORAXM O'G'LIga quyidagi shartlarda mikroqarz berishni buyuraman:</v>
      </c>
      <c r="B6" s="280"/>
      <c r="C6" s="280"/>
      <c r="D6" s="280"/>
      <c r="E6" s="280"/>
    </row>
    <row r="7" spans="1:5" ht="26.25" customHeight="1" x14ac:dyDescent="0.25">
      <c r="A7" s="280" t="str">
        <f>kredit_ariza!A13:D13</f>
        <v>Mikroqarz summasi: 100 000 000,00 (yuz million so'm) so'm.</v>
      </c>
      <c r="B7" s="280"/>
      <c r="C7" s="280"/>
      <c r="D7" s="280"/>
      <c r="E7" s="280"/>
    </row>
    <row r="8" spans="1:5" ht="21" customHeight="1" x14ac:dyDescent="0.25">
      <c r="A8" s="280" t="str">
        <f>kredit_ariza!A14:D14</f>
        <v>Mikroqarz muddati: 36 (O'ttiz olti  ) oy.</v>
      </c>
      <c r="B8" s="280"/>
      <c r="C8" s="280"/>
      <c r="D8" s="280"/>
      <c r="E8" s="280"/>
    </row>
    <row r="9" spans="1:5" ht="27" customHeight="1" x14ac:dyDescent="0.25">
      <c r="A9" s="280" t="str">
        <f>kredit_ariza!A15:D15</f>
        <v>Mikroqarzdan foydalanganlik uchun foiz stavkasi: yillik  55% (Ellik besh  ) foiz</v>
      </c>
      <c r="B9" s="280"/>
      <c r="C9" s="280"/>
      <c r="D9" s="280"/>
      <c r="E9" s="280"/>
    </row>
    <row r="10" spans="1:5" ht="26.25" customHeight="1" x14ac:dyDescent="0.25">
      <c r="A10" s="280" t="str">
        <f>kredit_ariza!A16:D16</f>
        <v>Mikroqarz bo'yicha asosiy qarz va foizlarni to'lash:</v>
      </c>
      <c r="B10" s="280"/>
      <c r="C10" s="280"/>
      <c r="D10" s="280"/>
      <c r="E10" s="280"/>
    </row>
    <row r="11" spans="1:5" ht="21.75" hidden="1" customHeight="1" x14ac:dyDescent="0.25">
      <c r="A11" s="280" t="str">
        <f>kredit_ariza!A17:D17</f>
        <v xml:space="preserve"> - mikroqarz shartnomasi bo'yicha har oy differensial to'lovlari amalga oshiriladi</v>
      </c>
      <c r="B11" s="280"/>
      <c r="C11" s="280"/>
      <c r="D11" s="280"/>
      <c r="E11" s="280"/>
    </row>
    <row r="12" spans="1:5" hidden="1" x14ac:dyDescent="0.25">
      <c r="A12" s="280" t="str">
        <f>kredit_ariza!A19:D19</f>
        <v xml:space="preserve"> - mikroqarz shartnomasi bo'yicha har oy annuitet to'lovlari amalga oshiriladi</v>
      </c>
      <c r="B12" s="280"/>
      <c r="C12" s="280"/>
      <c r="D12" s="280"/>
      <c r="E12" s="280"/>
    </row>
    <row r="13" spans="1:5" ht="23.25" customHeight="1" x14ac:dyDescent="0.25">
      <c r="A13" s="280" t="str">
        <f>IF(malumot!B110="Avtotransport",buyruq!A12:E12,buyruq!A11:E11)</f>
        <v xml:space="preserve"> - mikroqarz shartnomasi bo'yicha har oy differensial to'lovlari amalga oshiriladi</v>
      </c>
      <c r="B13" s="280"/>
      <c r="C13" s="280"/>
      <c r="D13" s="280"/>
      <c r="E13" s="280"/>
    </row>
    <row r="14" spans="1:5" ht="45.75" customHeight="1" x14ac:dyDescent="0.25">
      <c r="A14" s="281" t="str">
        <f>IF(malumot!B110=malumot!D110,""&amp;malumot!C124&amp;"ga tegishli "&amp;malumot!C133&amp;" ko'rinishidagi ko'chmas mulkni quyidagi ma'lumotlarga muvofiq  garovga qabul qilinsin:",""&amp;malumot!B124&amp;"ga tegishli "&amp;malumot!B132&amp;" ko'rinishidagi transport vositasini quyidagi ma'lumotlarga muvofiq garovga qabul qilinsin:")</f>
        <v>OLLABERGANOVA GO'ZALOY IBRAHIMOVNAga tegishli 7 -xonali  yakka tartibdagi uy-joy ko'rinishidagi ko'chmas mulkni quyidagi ma'lumotlarga muvofiq  garovga qabul qilinsin:</v>
      </c>
      <c r="B14" s="281"/>
      <c r="C14" s="281"/>
      <c r="D14" s="281"/>
      <c r="E14" s="281"/>
    </row>
    <row r="15" spans="1:5" ht="50.25" hidden="1" customHeight="1" x14ac:dyDescent="0.25">
      <c r="A15" s="280" t="str">
        <f>""&amp;malumot!C124&amp;"ga tegishli "&amp;malumot!C133&amp;" ko'rinishidagi ko'chmas mulkni quyidagi ma'lumotlarga muvofiq  garovga qabul qilinsin:"</f>
        <v>OLLABERGANOVA GO'ZALOY IBRAHIMOVNAga tegishli 7 -xonali  yakka tartibdagi uy-joy ko'rinishidagi ko'chmas mulkni quyidagi ma'lumotlarga muvofiq  garovga qabul qilinsin:</v>
      </c>
      <c r="B15" s="280"/>
      <c r="C15" s="280"/>
      <c r="D15" s="280"/>
      <c r="E15" s="280"/>
    </row>
    <row r="16" spans="1:5" ht="47.25" hidden="1" customHeight="1" x14ac:dyDescent="0.25">
      <c r="A16" s="280" t="str">
        <f>""&amp;malumot!B124&amp;"ga tegishli "&amp;malumot!B132&amp;" ko'rinishidagi transport vositasini quyidagi ma'lumotlarga muvofiq garovga qabul qilinsin:"</f>
        <v>OLLABERGANOVA GO'ZALOY IBRAHIMOVNAga tegishli  ko'rinishidagi transport vositasini quyidagi ma'lumotlarga muvofiq garovga qabul qilinsin:</v>
      </c>
      <c r="B16" s="280"/>
      <c r="C16" s="280"/>
      <c r="D16" s="280"/>
      <c r="E16" s="280"/>
    </row>
    <row r="17" spans="1:5" s="33" customFormat="1" ht="60" customHeight="1" outlineLevel="1" x14ac:dyDescent="0.2">
      <c r="A17" s="35" t="str">
        <f>dalolatnoma!A29</f>
        <v>Nomi</v>
      </c>
      <c r="B17" s="35" t="str">
        <f>dalolatnoma!B29</f>
        <v>Davlat ro'yxatidan o'tkazilgan yer maydoni</v>
      </c>
      <c r="C17" s="35" t="str">
        <f>dalolatnoma!C29</f>
        <v>Yashash maydoni</v>
      </c>
      <c r="D17" s="35" t="str">
        <f>dalolatnoma!D29</f>
        <v>Foydalanishga topshirilgan sanasi</v>
      </c>
      <c r="E17" s="35" t="str">
        <f>dalolatnoma!E29</f>
        <v>Kelishilgan garov qiymati, so'm</v>
      </c>
    </row>
    <row r="18" spans="1:5" ht="80.25" customHeight="1" outlineLevel="1" x14ac:dyDescent="0.25">
      <c r="A18" s="14" t="str">
        <f>dalolatnoma!A30</f>
        <v>7 -xonali  yakka tartibdagi uy-joy</v>
      </c>
      <c r="B18" s="14" t="str">
        <f>dalolatnoma!B30</f>
        <v>420 kv.m</v>
      </c>
      <c r="C18" s="14" t="str">
        <f>dalolatnoma!C30</f>
        <v>42.17 kv.m</v>
      </c>
      <c r="D18" s="14" t="str">
        <f>dalolatnoma!D30</f>
        <v>26.01.2026</v>
      </c>
      <c r="E18" s="14" t="str">
        <f>dalolatnoma!E30</f>
        <v>105 000 000,00 
(yuz besh million so'm)</v>
      </c>
    </row>
    <row r="19" spans="1:5" ht="20.25" customHeight="1" outlineLevel="1" x14ac:dyDescent="0.25">
      <c r="A19" s="280" t="str">
        <f>dalolatnoma!A22:E22</f>
        <v>-* ko'chmas mulk egasi: OLLABERGANOVA GO'ZALOY IBRAHIMOVNA</v>
      </c>
      <c r="B19" s="280"/>
      <c r="C19" s="280"/>
      <c r="D19" s="280"/>
      <c r="E19" s="280"/>
    </row>
    <row r="20" spans="1:5" ht="20.25" customHeight="1" outlineLevel="1" x14ac:dyDescent="0.25">
      <c r="A20" s="280" t="str">
        <f>dalolatnoma!A23:E23</f>
        <v>-* reest raqami: 26.01.2026 yildan №1733212/Y-26001010</v>
      </c>
      <c r="B20" s="280"/>
      <c r="C20" s="280"/>
      <c r="D20" s="280"/>
      <c r="E20" s="280"/>
    </row>
    <row r="21" spans="1:5" ht="23.25" customHeight="1" outlineLevel="1" x14ac:dyDescent="0.25">
      <c r="A21" s="280" t="str">
        <f>dalolatnoma!A24:E24</f>
        <v>-*  kadastr raqami: №22:09:41:01:02:0317</v>
      </c>
      <c r="B21" s="280"/>
      <c r="C21" s="280"/>
      <c r="D21" s="280"/>
      <c r="E21" s="280"/>
    </row>
    <row r="22" spans="1:5" ht="34.5" customHeight="1" outlineLevel="1" x14ac:dyDescent="0.25">
      <c r="A22" s="280" t="str">
        <f>dalolatnoma!A25:E25</f>
        <v>-* manzili: XORAZM VILOYATI QO'SHKO'PIR TUMANI XOSIYON QFY XOSIYON MFY SHOLIKOR KO'CHASI 37-UY</v>
      </c>
      <c r="B22" s="280"/>
      <c r="C22" s="280"/>
      <c r="D22" s="280"/>
      <c r="E22" s="280"/>
    </row>
    <row r="23" spans="1:5" ht="34.5" customHeight="1" x14ac:dyDescent="0.25">
      <c r="A23" s="281" t="str">
        <f>"	«"&amp;malumot!B154&amp;"» АJ sug‘urta kompaniyasi bilan Mikroqarz to'lamaslik xavfini "&amp;FIXED(malumot!B155,2)&amp;"("&amp;malumot!B156&amp;") so'm miqdoriga sug’urta qilish shartnomasi tuzilsin"</f>
        <v xml:space="preserve">	«АО "TRUST INSURANCE"» АJ sug‘urta kompaniyasi bilan Mikroqarz to'lamaslik xavfini 32 500 000,00(o'ttiz ikki million besh yuz ming so'm) so'm miqdoriga sug’urta qilish shartnomasi tuzilsin</v>
      </c>
      <c r="B23" s="281"/>
      <c r="C23" s="281"/>
      <c r="D23" s="281"/>
      <c r="E23" s="281"/>
    </row>
    <row r="24" spans="1:5" s="33" customFormat="1" x14ac:dyDescent="0.2">
      <c r="A24" s="280"/>
      <c r="B24" s="280"/>
      <c r="C24" s="280"/>
      <c r="D24" s="280"/>
      <c r="E24" s="280"/>
    </row>
    <row r="25" spans="1:5" x14ac:dyDescent="0.25">
      <c r="B25" s="33"/>
    </row>
    <row r="26" spans="1:5" x14ac:dyDescent="0.25">
      <c r="B26" s="33"/>
    </row>
    <row r="27" spans="1:5" ht="67.5" customHeight="1" x14ac:dyDescent="0.25">
      <c r="A27" s="120" t="s">
        <v>452</v>
      </c>
      <c r="B27" s="33"/>
      <c r="D27" s="33" t="s">
        <v>418</v>
      </c>
    </row>
  </sheetData>
  <mergeCells count="19">
    <mergeCell ref="A13:E13"/>
    <mergeCell ref="A15:E15"/>
    <mergeCell ref="A14:E14"/>
    <mergeCell ref="A21:E21"/>
    <mergeCell ref="A22:E22"/>
    <mergeCell ref="A23:E23"/>
    <mergeCell ref="A2:E4"/>
    <mergeCell ref="A24:E24"/>
    <mergeCell ref="A20:E20"/>
    <mergeCell ref="A12:E12"/>
    <mergeCell ref="A16:E16"/>
    <mergeCell ref="A5:E5"/>
    <mergeCell ref="A6:E6"/>
    <mergeCell ref="A11:E11"/>
    <mergeCell ref="A7:E7"/>
    <mergeCell ref="A8:E8"/>
    <mergeCell ref="A9:E9"/>
    <mergeCell ref="A10:E10"/>
    <mergeCell ref="A19:E19"/>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49"/>
  <sheetViews>
    <sheetView view="pageBreakPreview" topLeftCell="A38" zoomScaleNormal="100" zoomScaleSheetLayoutView="100" workbookViewId="0">
      <selection activeCell="A42" sqref="A42"/>
    </sheetView>
  </sheetViews>
  <sheetFormatPr defaultRowHeight="15" x14ac:dyDescent="0.25"/>
  <cols>
    <col min="1" max="1" width="22.85546875" style="55" customWidth="1"/>
    <col min="2" max="2" width="24.28515625" style="55" customWidth="1"/>
    <col min="3" max="3" width="18.42578125" style="55" customWidth="1"/>
    <col min="4" max="4" width="18" style="55" customWidth="1"/>
    <col min="5" max="5" width="25.140625" style="55" customWidth="1"/>
    <col min="6" max="6" width="9.140625" customWidth="1"/>
    <col min="7" max="7" width="24.42578125" customWidth="1"/>
    <col min="8" max="8" width="17.140625" customWidth="1"/>
    <col min="9" max="34" width="9.140625" hidden="1" customWidth="1"/>
    <col min="35" max="35" width="8.7109375" customWidth="1"/>
  </cols>
  <sheetData>
    <row r="1" spans="1:33" ht="47.25" customHeight="1" x14ac:dyDescent="0.25">
      <c r="A1" s="285" t="str">
        <f>""&amp;malumot!B158&amp;"
mikromoliya tashkiloti
Kredit qo‘mitasining yig‘ilishi"</f>
        <v>«CLEVER MIKROMOLIYA TASHKILOTI» MChJ
mikromoliya tashkiloti
Kredit qo‘mitasining yig‘ilishi</v>
      </c>
      <c r="B1" s="285"/>
      <c r="C1" s="285"/>
      <c r="D1" s="285"/>
      <c r="E1" s="285"/>
    </row>
    <row r="2" spans="1:33" ht="19.5" customHeight="1" x14ac:dyDescent="0.25">
      <c r="A2" s="285" t="str">
        <f>""&amp;H7&amp;" protokolidan ko'chirma"</f>
        <v>№254- XMS protokolidan ko'chirma</v>
      </c>
      <c r="B2" s="285"/>
      <c r="C2" s="285"/>
      <c r="D2" s="285"/>
      <c r="E2" s="285"/>
    </row>
    <row r="3" spans="1:33" ht="29.25" customHeight="1" x14ac:dyDescent="0.25">
      <c r="A3" s="120" t="s">
        <v>196</v>
      </c>
      <c r="B3" s="46"/>
      <c r="C3" s="46"/>
      <c r="D3" s="46"/>
      <c r="E3" s="121" t="str">
        <f>malumot!B68</f>
        <v>30 yanvar 2026 y.</v>
      </c>
    </row>
    <row r="4" spans="1:33" ht="21" customHeight="1" x14ac:dyDescent="0.25">
      <c r="A4" s="46"/>
      <c r="B4" s="285" t="s">
        <v>195</v>
      </c>
      <c r="C4" s="285"/>
      <c r="D4" s="285"/>
      <c r="E4" s="46"/>
    </row>
    <row r="5" spans="1:33" ht="35.25" customHeight="1" x14ac:dyDescent="0.25">
      <c r="A5" s="284" t="str">
        <f>"         "&amp;H8&amp;"."&amp;malumot!B5&amp;" ga "&amp;malumot!B65&amp;" berish masalasini ko‘rib chiqish to‘g‘risida."</f>
        <v xml:space="preserve">         1.OLLABERGANOVA GO'ZALOY IBRAHIMOVNA ga mikroqarz berish masalasini ko‘rib chiqish to‘g‘risida.</v>
      </c>
      <c r="B5" s="284"/>
      <c r="C5" s="284"/>
      <c r="D5" s="284"/>
      <c r="E5" s="284"/>
    </row>
    <row r="6" spans="1:33" ht="9" customHeight="1" x14ac:dyDescent="0.25"/>
    <row r="7" spans="1:33" ht="21" customHeight="1" x14ac:dyDescent="0.35">
      <c r="A7" s="280" t="str">
        <f>"      "&amp;H9&amp;" masala yuzasidan: «Clever Mikromoliya Tashkiloti» MChJ mikromoliya tashkiloti kredit bo‘yicha menejeri  "&amp;malumot!B5&amp;"ga "&amp;FIXED(malumot!B76)&amp;" ("&amp;malumot!B77&amp;") so‘m miqdorida, muddati "&amp;malumot!B82&amp;" ("&amp;malumot!B83&amp;") oyga va yillik 55 (Ellik besh) foiz miqdorida "&amp;malumot!B65&amp;" berich bo‘yicha "&amp;malumot!B5&amp;"ning kredit arizasi va "&amp;malumot!B158&amp;"ning xulosasi bilan ishtirokchilarni tanishtirdi."</f>
        <v xml:space="preserve">      Birinchi masala yuzasidan: «Clever Mikromoliya Tashkiloti» MChJ mikromoliya tashkiloti kredit bo‘yicha menejeri  OLLABERGANOVA GO'ZALOY IBRAHIMOVNAga 100 000 000,00 (yuz million so'm) so‘m miqdorida, muddati 36 (O'ttiz olti  ) oyga va yillik 55 (Ellik besh) foiz miqdorida mikroqarz berich bo‘yicha OLLABERGANOVA GO'ZALOY IBRAHIMOVNAning kredit arizasi va «CLEVER MIKROMOLIYA TASHKILOTI» MChJning xulosasi bilan ishtirokchilarni tanishtirdi.</v>
      </c>
      <c r="B7" s="280"/>
      <c r="C7" s="280"/>
      <c r="D7" s="280"/>
      <c r="E7" s="280"/>
      <c r="G7" s="56" t="s">
        <v>250</v>
      </c>
      <c r="H7" s="57" t="str">
        <f>malumot!B1</f>
        <v>№254- XMS</v>
      </c>
    </row>
    <row r="8" spans="1:33" ht="48.75" customHeight="1" x14ac:dyDescent="0.35">
      <c r="A8" s="280"/>
      <c r="B8" s="280"/>
      <c r="C8" s="280"/>
      <c r="D8" s="280"/>
      <c r="E8" s="280"/>
      <c r="G8" s="56" t="s">
        <v>251</v>
      </c>
      <c r="H8" s="57">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9" hidden="1" customHeight="1" x14ac:dyDescent="0.35">
      <c r="A9" s="280"/>
      <c r="B9" s="280"/>
      <c r="C9" s="280"/>
      <c r="D9" s="280"/>
      <c r="E9" s="280"/>
      <c r="G9" s="56" t="s">
        <v>252</v>
      </c>
      <c r="H9" s="57" t="str">
        <f>IF(H8=I8,I9,IF(H8=J8,J9,IF(H8=K8,K9,IF(H8=L8,L9,IF(H8=M8,M9,IF(H8=N8,N9,IF(H8=O8,O9,IF(H8=P8,P9,IF(H8=Q8,Q9,IF(H8=R8,R9,IF(H8=S8,S9,IF(H8=T8,T9,IF(H8=U8,U9,IF(H8=V8,V9,IF(H8=W8,W9,IF(H8=X8,X9,IF(H8=Y8,Y9,IF(H8=Z8,Z9,IF(H8=AA8,AA9,IF(H8=AB8,AB9,IF(H8=AC8,AC9,IF(H8=AD8,AD9,IF(H8=AE8,AE9,IF(H8=AF8,AF9,IF(H8=AG8,AG9)))))))))))))))))))))))))</f>
        <v>Birinchi</v>
      </c>
      <c r="I9" s="137" t="s">
        <v>183</v>
      </c>
      <c r="J9" s="138" t="s">
        <v>184</v>
      </c>
      <c r="K9" s="138" t="s">
        <v>185</v>
      </c>
      <c r="L9" s="138" t="s">
        <v>357</v>
      </c>
      <c r="M9" s="138" t="s">
        <v>186</v>
      </c>
      <c r="N9" s="138" t="s">
        <v>358</v>
      </c>
      <c r="O9" s="138" t="s">
        <v>187</v>
      </c>
      <c r="P9" s="138" t="s">
        <v>188</v>
      </c>
      <c r="Q9" s="138" t="s">
        <v>189</v>
      </c>
      <c r="R9" s="138" t="s">
        <v>347</v>
      </c>
      <c r="S9" s="138" t="s">
        <v>348</v>
      </c>
      <c r="T9" s="138" t="s">
        <v>349</v>
      </c>
      <c r="U9" s="138" t="s">
        <v>350</v>
      </c>
      <c r="V9" s="138" t="s">
        <v>359</v>
      </c>
      <c r="W9" s="138" t="s">
        <v>351</v>
      </c>
      <c r="X9" s="138" t="s">
        <v>352</v>
      </c>
      <c r="Y9" s="138" t="s">
        <v>353</v>
      </c>
      <c r="Z9" s="138" t="s">
        <v>354</v>
      </c>
      <c r="AA9" s="138" t="s">
        <v>355</v>
      </c>
      <c r="AB9" s="138" t="s">
        <v>190</v>
      </c>
      <c r="AC9" s="138" t="s">
        <v>191</v>
      </c>
      <c r="AD9" s="138" t="s">
        <v>192</v>
      </c>
      <c r="AE9" s="138" t="s">
        <v>193</v>
      </c>
      <c r="AF9" s="138" t="s">
        <v>356</v>
      </c>
      <c r="AG9" s="138" t="s">
        <v>194</v>
      </c>
    </row>
    <row r="10" spans="1:33" ht="3.75" customHeight="1" x14ac:dyDescent="0.25">
      <c r="A10" s="280"/>
      <c r="B10" s="280"/>
      <c r="C10" s="280"/>
      <c r="D10" s="280"/>
      <c r="E10" s="280"/>
    </row>
    <row r="11" spans="1:33" ht="15.75" customHeight="1" x14ac:dyDescent="0.25">
      <c r="A11" s="281" t="str">
        <f>""&amp;malumot!C64&amp;" ta’minoti:"</f>
        <v>Mikroqarz ta’minoti:</v>
      </c>
      <c r="B11" s="281"/>
      <c r="C11" s="281"/>
      <c r="D11" s="281"/>
      <c r="E11" s="281"/>
    </row>
    <row r="12" spans="1:33" ht="7.5" customHeight="1" x14ac:dyDescent="0.25"/>
    <row r="13" spans="1:33" ht="64.5" customHeight="1" x14ac:dyDescent="0.25">
      <c r="A13" s="280" t="str">
        <f>xulosa!A18:E18</f>
        <v xml:space="preserve">1.  Egalik huquqi OLLABERGANOVA GO'ZALOY IBRAHIMOVNAga tegishli bo'lgan umumiy maydoni - 88.79  va yashash maydoni - 42.17 7 -xonali  yakka tartibdagi uy-joy, XORAZM VILOYATI QO'SHKO'PIR TUMANI XOSIYON QFY XOSIYON MFY SHOLIKOR KO'CHASI 37-UY </v>
      </c>
      <c r="B13" s="280"/>
      <c r="C13" s="280"/>
      <c r="D13" s="280"/>
      <c r="E13" s="280"/>
    </row>
    <row r="14" spans="1:33" ht="31.9" customHeight="1" x14ac:dyDescent="0.25">
      <c r="A14" s="281" t="str">
        <f>"2. «"&amp;malumot!B154&amp;"» АJ sug‘urta kompaniyasi tomonidan Mikroqarz to'lamaslik xavfini "&amp;FIXED(malumot!B155,2)&amp;"("&amp;malumot!B156&amp;") so ' m miqdoriga sug’urta qilish"</f>
        <v>2. «АО "TRUST INSURANCE"» АJ sug‘urta kompaniyasi tomonidan Mikroqarz to'lamaslik xavfini 32 500 000,00(o'ttiz ikki million besh yuz ming so'm) so ' m miqdoriga sug’urta qilish</v>
      </c>
      <c r="B14" s="281"/>
      <c r="C14" s="281"/>
      <c r="D14" s="281"/>
      <c r="E14" s="281"/>
    </row>
    <row r="15" spans="1:33" ht="17.25" customHeight="1" x14ac:dyDescent="0.25">
      <c r="C15" s="139" t="s">
        <v>366</v>
      </c>
      <c r="D15" s="139" t="str">
        <f>""&amp;malumot!B158&amp;" kredit qo‘mitasi"</f>
        <v>«CLEVER MIKROMOLIYA TASHKILOTI» MChJ kredit qo‘mitasi</v>
      </c>
      <c r="E15" s="139" t="str">
        <f>CONCATENATE(C15,D15)</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6" spans="1:33" ht="54" customHeight="1" x14ac:dyDescent="0.25">
      <c r="A16" s="280" t="str">
        <f>CONCATENATE(H9,E15)</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6" s="280"/>
      <c r="C16" s="280"/>
      <c r="D16" s="280"/>
      <c r="E16" s="280"/>
    </row>
    <row r="17" spans="1:5" ht="24" customHeight="1" x14ac:dyDescent="0.25">
      <c r="A17" s="286" t="s">
        <v>253</v>
      </c>
      <c r="B17" s="286"/>
      <c r="C17" s="286"/>
      <c r="D17" s="286"/>
      <c r="E17" s="286"/>
    </row>
    <row r="18" spans="1:5" ht="32.25" customHeight="1" x14ac:dyDescent="0.25">
      <c r="A18" s="280" t="str">
        <f>"       "&amp;malumot!B5&amp;"ga quyidagi shartlarda "&amp;malumot!B65&amp;" berish masalasi ma’qullansin:"</f>
        <v xml:space="preserve">       OLLABERGANOVA GO'ZALOY IBRAHIMOVNAga quyidagi shartlarda mikroqarz berish masalasi ma’qullansin:</v>
      </c>
      <c r="B18" s="280"/>
      <c r="C18" s="280"/>
      <c r="D18" s="280"/>
      <c r="E18" s="280"/>
    </row>
    <row r="19" spans="1:5" s="122" customFormat="1" ht="18.75" customHeight="1" x14ac:dyDescent="0.25">
      <c r="A19" s="284" t="str">
        <f>"1. "&amp;malumot!C64&amp;" summasi: "&amp;FIXED(malumot!B76)&amp;" ("&amp;malumot!B77&amp;") so'm."</f>
        <v>1. Mikroqarz summasi: 100 000 000,00 (yuz million so'm) so'm.</v>
      </c>
      <c r="B19" s="284"/>
      <c r="C19" s="284"/>
      <c r="D19" s="284"/>
      <c r="E19" s="284"/>
    </row>
    <row r="20" spans="1:5" s="122" customFormat="1" ht="18.75" customHeight="1" x14ac:dyDescent="0.25">
      <c r="A20" s="284" t="str">
        <f>"2. "&amp;malumot!C64&amp;" muddati: "&amp;malumot!B82&amp;" ("&amp;malumot!B83&amp;") oy "</f>
        <v xml:space="preserve">2. Mikroqarz muddati: 36 (O'ttiz olti  ) oy </v>
      </c>
      <c r="B20" s="284"/>
      <c r="C20" s="284"/>
      <c r="D20" s="284"/>
      <c r="E20" s="284"/>
    </row>
    <row r="21" spans="1:5" s="122" customFormat="1" ht="18.75" customHeight="1" x14ac:dyDescent="0.25">
      <c r="A21" s="284" t="str">
        <f>"3. "&amp;malumot!C64&amp;"dan foydalanganlik uchun foiz stavkasi:yillik "&amp;malumot!B86&amp;"% ("&amp;malumot!B87&amp;") foiz."</f>
        <v>3. Mikroqarzdan foydalanganlik uchun foiz stavkasi:yillik 55% (Ellik besh  ) foiz.</v>
      </c>
      <c r="B21" s="284"/>
      <c r="C21" s="284"/>
      <c r="D21" s="284"/>
      <c r="E21" s="284"/>
    </row>
    <row r="22" spans="1:5" s="122" customFormat="1" ht="18.75" customHeight="1" x14ac:dyDescent="0.25">
      <c r="A22" s="284" t="str">
        <f>"4. "&amp;malumot!C64&amp;" bo‘yicha asosiy qarz va foizlarni to‘lash:"</f>
        <v>4. Mikroqarz bo‘yicha asosiy qarz va foizlarni to‘lash:</v>
      </c>
      <c r="B22" s="284"/>
      <c r="C22" s="284"/>
      <c r="D22" s="284"/>
      <c r="E22" s="284"/>
    </row>
    <row r="23" spans="1:5" s="122" customFormat="1" ht="18.75" customHeight="1" x14ac:dyDescent="0.25">
      <c r="A23" s="284" t="str">
        <f>kredit_ariza!A19:D19</f>
        <v xml:space="preserve"> - mikroqarz shartnomasi bo'yicha har oy annuitet to'lovlari amalga oshiriladi</v>
      </c>
      <c r="B23" s="284"/>
      <c r="C23" s="284"/>
      <c r="D23" s="284"/>
      <c r="E23" s="284"/>
    </row>
    <row r="24" spans="1:5" s="122" customFormat="1" ht="18.75" customHeight="1" x14ac:dyDescent="0.25">
      <c r="A24" s="284" t="s">
        <v>376</v>
      </c>
      <c r="B24" s="284"/>
      <c r="C24" s="284"/>
      <c r="D24" s="284"/>
      <c r="E24" s="284"/>
    </row>
    <row r="25" spans="1:5" ht="48" customHeight="1" x14ac:dyDescent="0.25">
      <c r="A25" s="280" t="str">
        <f>"1. garov  "&amp;xulosa!A29:E29&amp;""</f>
        <v>1. garov   -   OLLABERGANOVA GO'ZALOY IBRAHIMOVNA ga mulk huquqi asosida tegishli ko'chmas mulk shaklida 7 -xonali  yakka tartibdagi uy-joy, manzili: XORAZM VILOYATI QO'SHKO'PIR TUMANI XOSIYON QFY XOSIYON MFY SHOLIKOR KO'CHASI 37-UY, quyidagi tafsilotlarga muvofiq:</v>
      </c>
      <c r="B25" s="280"/>
      <c r="C25" s="280"/>
      <c r="D25" s="280"/>
      <c r="E25" s="280"/>
    </row>
    <row r="26" spans="1:5" ht="40.5" customHeight="1" x14ac:dyDescent="0.25">
      <c r="A26" s="14" t="str">
        <f>dalolatnoma!A29</f>
        <v>Nomi</v>
      </c>
      <c r="B26" s="14" t="str">
        <f>dalolatnoma!B29</f>
        <v>Davlat ro'yxatidan o'tkazilgan yer maydoni</v>
      </c>
      <c r="C26" s="14" t="str">
        <f>dalolatnoma!C29</f>
        <v>Yashash maydoni</v>
      </c>
      <c r="D26" s="14" t="str">
        <f>dalolatnoma!D29</f>
        <v>Foydalanishga topshirilgan sanasi</v>
      </c>
      <c r="E26" s="14" t="str">
        <f>dalolatnoma!E29</f>
        <v>Kelishilgan garov qiymati, so'm</v>
      </c>
    </row>
    <row r="27" spans="1:5" ht="75.75" customHeight="1" x14ac:dyDescent="0.25">
      <c r="A27" s="14" t="str">
        <f>dalolatnoma!A30</f>
        <v>7 -xonali  yakka tartibdagi uy-joy</v>
      </c>
      <c r="B27" s="14" t="str">
        <f>dalolatnoma!B30</f>
        <v>420 kv.m</v>
      </c>
      <c r="C27" s="14" t="str">
        <f>dalolatnoma!C30</f>
        <v>42.17 kv.m</v>
      </c>
      <c r="D27" s="14" t="str">
        <f>dalolatnoma!D30</f>
        <v>26.01.2026</v>
      </c>
      <c r="E27" s="14" t="str">
        <f>dalolatnoma!E30</f>
        <v>105 000 000,00 
(yuz besh million so'm)</v>
      </c>
    </row>
    <row r="28" spans="1:5" ht="20.25" customHeight="1" x14ac:dyDescent="0.25">
      <c r="A28" s="280" t="str">
        <f>dalolatnoma!A22:E22</f>
        <v>-* ko'chmas mulk egasi: OLLABERGANOVA GO'ZALOY IBRAHIMOVNA</v>
      </c>
      <c r="B28" s="280"/>
      <c r="C28" s="280"/>
      <c r="D28" s="280"/>
      <c r="E28" s="280"/>
    </row>
    <row r="29" spans="1:5" ht="20.25" customHeight="1" x14ac:dyDescent="0.25">
      <c r="A29" s="280" t="str">
        <f>dalolatnoma!A23:E23</f>
        <v>-* reest raqami: 26.01.2026 yildan №1733212/Y-26001010</v>
      </c>
      <c r="B29" s="280"/>
      <c r="C29" s="280"/>
      <c r="D29" s="280"/>
      <c r="E29" s="280"/>
    </row>
    <row r="30" spans="1:5" ht="18" customHeight="1" x14ac:dyDescent="0.25">
      <c r="A30" s="280" t="str">
        <f>dalolatnoma!A24:E24</f>
        <v>-*  kadastr raqami: №22:09:41:01:02:0317</v>
      </c>
      <c r="B30" s="280"/>
      <c r="C30" s="280"/>
      <c r="D30" s="280"/>
      <c r="E30" s="280"/>
    </row>
    <row r="31" spans="1:5" ht="26.25" customHeight="1" x14ac:dyDescent="0.25">
      <c r="A31" s="280" t="str">
        <f>dalolatnoma!A25:E25</f>
        <v>-* manzili: XORAZM VILOYATI QO'SHKO'PIR TUMANI XOSIYON QFY XOSIYON MFY SHOLIKOR KO'CHASI 37-UY</v>
      </c>
      <c r="B31" s="280"/>
      <c r="C31" s="280"/>
      <c r="D31" s="280"/>
      <c r="E31" s="280"/>
    </row>
    <row r="32" spans="1:5" ht="12" customHeight="1" x14ac:dyDescent="0.25">
      <c r="A32" s="123"/>
      <c r="B32" s="123"/>
      <c r="C32" s="123"/>
      <c r="D32" s="123"/>
      <c r="E32" s="123"/>
    </row>
    <row r="33" spans="1:5" ht="34.9" customHeight="1" x14ac:dyDescent="0.25">
      <c r="A33" s="280" t="str">
        <f>"6. «"&amp;malumot!B154&amp;"» АJ sug‘urta kompaniyasi tomonidan Mikroqarz to'lamaslik xavfini "&amp;FIXED(malumot!B155,2)&amp;"("&amp;malumot!B156&amp;") so ' m miqdoriga sug’urta qilish"</f>
        <v>6. «АО "TRUST INSURANCE"» АJ sug‘urta kompaniyasi tomonidan Mikroqarz to'lamaslik xavfini 32 500 000,00(o'ttiz ikki million besh yuz ming so'm) so ' m miqdoriga sug’urta qilish</v>
      </c>
      <c r="B33" s="280"/>
      <c r="C33" s="280"/>
      <c r="D33" s="280"/>
      <c r="E33" s="280"/>
    </row>
    <row r="34" spans="1:5" ht="22.5" customHeight="1" x14ac:dyDescent="0.25">
      <c r="A34" s="280" t="str">
        <f>"7. Boshqa shartlar – "&amp;IF(malumot!B110=malumot!B111,"avtotransport vositasi",IF(malumot!B110=malumot!C111,"ko'chmas mulk",0))&amp;" shaklida garov ta'minlangandan keyin "&amp;malumot!B65&amp;" berish."</f>
        <v>7. Boshqa shartlar – ko'chmas mulk shaklida garov ta'minlangandan keyin mikroqarz berish.</v>
      </c>
      <c r="B34" s="280"/>
      <c r="C34" s="280"/>
      <c r="D34" s="280"/>
      <c r="E34" s="280"/>
    </row>
    <row r="36" spans="1:5" ht="24" customHeight="1" x14ac:dyDescent="0.25">
      <c r="A36" s="287" t="s">
        <v>254</v>
      </c>
      <c r="B36" s="287"/>
      <c r="C36" s="287"/>
      <c r="D36" s="287"/>
      <c r="E36" s="287"/>
    </row>
    <row r="37" spans="1:5" hidden="1" x14ac:dyDescent="0.25">
      <c r="A37" s="17"/>
      <c r="B37" s="283"/>
      <c r="C37" s="283"/>
      <c r="D37" s="168"/>
      <c r="E37" s="17"/>
    </row>
    <row r="38" spans="1:5" ht="3.75" customHeight="1" x14ac:dyDescent="0.25">
      <c r="A38" s="17"/>
      <c r="B38" s="283"/>
      <c r="C38" s="283"/>
      <c r="D38" s="168"/>
      <c r="E38" s="17"/>
    </row>
    <row r="39" spans="1:5" ht="27" customHeight="1" x14ac:dyDescent="0.25">
      <c r="A39" s="17"/>
      <c r="B39" s="283"/>
      <c r="C39" s="283"/>
      <c r="D39" s="168"/>
      <c r="E39" s="17"/>
    </row>
    <row r="40" spans="1:5" ht="14.25" customHeight="1" x14ac:dyDescent="0.25"/>
    <row r="41" spans="1:5" ht="65.25" customHeight="1" x14ac:dyDescent="0.25">
      <c r="A41" s="120" t="str">
        <f>malumot!B158&amp;" ijrochi direktori"</f>
        <v>«CLEVER MIKROMOLIYA TASHKILOTI» MChJ ijrochi direktori</v>
      </c>
      <c r="B41" s="182"/>
      <c r="C41" s="182"/>
      <c r="D41" s="253" t="s">
        <v>418</v>
      </c>
    </row>
    <row r="42" spans="1:5" x14ac:dyDescent="0.25">
      <c r="A42" s="182"/>
      <c r="B42" s="182"/>
      <c r="C42" s="182"/>
      <c r="D42" s="182"/>
    </row>
    <row r="43" spans="1:5" x14ac:dyDescent="0.25">
      <c r="A43" s="182"/>
      <c r="B43" s="182"/>
      <c r="C43" s="182"/>
      <c r="D43" s="182"/>
    </row>
    <row r="44" spans="1:5" x14ac:dyDescent="0.25">
      <c r="A44" s="182"/>
      <c r="B44" s="182"/>
      <c r="C44" s="182"/>
      <c r="D44" s="182"/>
    </row>
    <row r="45" spans="1:5" ht="29.25" x14ac:dyDescent="0.25">
      <c r="A45" s="182" t="str">
        <f>malumot!A170</f>
        <v xml:space="preserve">Kreditlash bo’limi boshlig’i </v>
      </c>
      <c r="B45" s="182"/>
      <c r="C45" s="182"/>
      <c r="D45" s="182" t="str">
        <f>malumot!B170</f>
        <v>J. Sadiriddinzoda</v>
      </c>
    </row>
    <row r="46" spans="1:5" x14ac:dyDescent="0.25">
      <c r="A46" s="182"/>
      <c r="B46" s="182"/>
      <c r="C46" s="182"/>
      <c r="D46" s="182"/>
    </row>
    <row r="47" spans="1:5" x14ac:dyDescent="0.25">
      <c r="A47" s="182"/>
      <c r="B47" s="182"/>
      <c r="C47" s="182"/>
      <c r="D47" s="182"/>
    </row>
    <row r="48" spans="1:5" x14ac:dyDescent="0.25">
      <c r="A48" s="182"/>
      <c r="B48" s="182"/>
      <c r="C48" s="182"/>
      <c r="D48" s="182"/>
    </row>
    <row r="49" spans="1:4" ht="29.25" x14ac:dyDescent="0.25">
      <c r="A49" s="182" t="str">
        <f>malumot!A171</f>
        <v>Monitoring bo’limi boshlig’i</v>
      </c>
      <c r="B49" s="182"/>
      <c r="C49" s="182"/>
      <c r="D49" s="182" t="str">
        <f>malumot!B171</f>
        <v>D.Axmedov</v>
      </c>
    </row>
  </sheetData>
  <mergeCells count="28">
    <mergeCell ref="A22:E22"/>
    <mergeCell ref="A23:E23"/>
    <mergeCell ref="A14:E14"/>
    <mergeCell ref="A24:E24"/>
    <mergeCell ref="A36:E36"/>
    <mergeCell ref="A31:E31"/>
    <mergeCell ref="A25:E25"/>
    <mergeCell ref="A28:E28"/>
    <mergeCell ref="A29:E29"/>
    <mergeCell ref="A30:E30"/>
    <mergeCell ref="A34:E34"/>
    <mergeCell ref="A33:E33"/>
    <mergeCell ref="B37:C37"/>
    <mergeCell ref="B38:C38"/>
    <mergeCell ref="B39:C39"/>
    <mergeCell ref="A20:E20"/>
    <mergeCell ref="A1:E1"/>
    <mergeCell ref="A2:E2"/>
    <mergeCell ref="B4:D4"/>
    <mergeCell ref="A5:E5"/>
    <mergeCell ref="A7:E10"/>
    <mergeCell ref="A11:E11"/>
    <mergeCell ref="A13:E13"/>
    <mergeCell ref="A16:E16"/>
    <mergeCell ref="A17:E17"/>
    <mergeCell ref="A18:E18"/>
    <mergeCell ref="A19:E19"/>
    <mergeCell ref="A21:E21"/>
  </mergeCells>
  <pageMargins left="0.70866141732283472" right="0.70866141732283472" top="0.74803149606299213" bottom="0.74803149606299213" header="0.31496062992125984" footer="0.31496062992125984"/>
  <pageSetup paperSize="9" scale="59"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76"/>
  <sheetViews>
    <sheetView topLeftCell="A16" zoomScale="70" zoomScaleNormal="70" zoomScaleSheetLayoutView="70" workbookViewId="0">
      <selection activeCell="D56" sqref="D56:F56"/>
    </sheetView>
  </sheetViews>
  <sheetFormatPr defaultColWidth="9.140625" defaultRowHeight="15" outlineLevelCol="1" x14ac:dyDescent="0.25"/>
  <cols>
    <col min="1" max="1" width="9.140625" style="76"/>
    <col min="2" max="2" width="12.28515625" style="76" customWidth="1"/>
    <col min="3" max="3" width="16.5703125" style="76" customWidth="1"/>
    <col min="4" max="4" width="16.7109375" style="76" customWidth="1"/>
    <col min="5" max="5" width="16.5703125" style="76" customWidth="1"/>
    <col min="6" max="6" width="20.85546875" style="76" customWidth="1"/>
    <col min="7" max="7" width="10.140625" style="76" customWidth="1" outlineLevel="1"/>
    <col min="8" max="8" width="19.140625" style="76" customWidth="1"/>
    <col min="9" max="9" width="21.42578125" style="76" customWidth="1"/>
    <col min="10" max="10" width="20.85546875" style="76" customWidth="1"/>
    <col min="11" max="11" width="20.140625" style="76" customWidth="1"/>
    <col min="12" max="12" width="21.42578125" style="76" customWidth="1"/>
    <col min="13" max="13" width="25.42578125" style="76" customWidth="1"/>
    <col min="14" max="14" width="18.28515625" style="76" customWidth="1"/>
    <col min="15" max="17" width="9.140625" style="12"/>
    <col min="18" max="18" width="24.42578125" style="12" customWidth="1"/>
    <col min="19" max="16384" width="9.140625" style="12"/>
  </cols>
  <sheetData>
    <row r="1" spans="1:22" x14ac:dyDescent="0.25">
      <c r="A1" s="75"/>
      <c r="B1" s="75"/>
      <c r="C1" s="75"/>
      <c r="D1" s="75"/>
      <c r="E1" s="288" t="s">
        <v>15</v>
      </c>
      <c r="F1" s="288"/>
    </row>
    <row r="2" spans="1:22" x14ac:dyDescent="0.25">
      <c r="A2" s="75"/>
      <c r="B2" s="75"/>
      <c r="C2" s="75"/>
      <c r="D2" s="75"/>
      <c r="E2" s="75"/>
      <c r="F2" s="77" t="str">
        <f>"к договору микрозайма "&amp;malumot!B74&amp;""</f>
        <v>к договору микрозайма 30 yanvar 2026 y.dan №254- XMS</v>
      </c>
    </row>
    <row r="3" spans="1:22" ht="19.5" customHeight="1" x14ac:dyDescent="0.25">
      <c r="A3" s="75"/>
      <c r="B3" s="75"/>
      <c r="C3" s="75"/>
      <c r="D3" s="75"/>
      <c r="E3" s="75"/>
      <c r="F3" s="75"/>
      <c r="H3" s="78"/>
      <c r="I3" s="78"/>
      <c r="J3" s="79"/>
      <c r="K3" s="79"/>
    </row>
    <row r="4" spans="1:22" ht="19.5" customHeight="1" x14ac:dyDescent="0.25">
      <c r="A4" s="289" t="s">
        <v>16</v>
      </c>
      <c r="B4" s="289"/>
      <c r="C4" s="289"/>
      <c r="D4" s="289"/>
      <c r="E4" s="289"/>
      <c r="F4" s="289"/>
      <c r="H4" s="78"/>
      <c r="I4" s="78"/>
      <c r="J4" s="78"/>
      <c r="K4" s="78"/>
    </row>
    <row r="5" spans="1:22" ht="19.5" customHeight="1" x14ac:dyDescent="0.25">
      <c r="L5" s="76">
        <f>malumot!B82</f>
        <v>36</v>
      </c>
    </row>
    <row r="6" spans="1:22" x14ac:dyDescent="0.25">
      <c r="A6" s="290" t="s">
        <v>14</v>
      </c>
      <c r="B6" s="291" t="s">
        <v>8</v>
      </c>
      <c r="C6" s="291" t="s">
        <v>9</v>
      </c>
      <c r="D6" s="292" t="s">
        <v>10</v>
      </c>
      <c r="E6" s="292"/>
      <c r="F6" s="292"/>
    </row>
    <row r="7" spans="1:22" s="13" customFormat="1" x14ac:dyDescent="0.25">
      <c r="A7" s="290"/>
      <c r="B7" s="291"/>
      <c r="C7" s="291"/>
      <c r="D7" s="80" t="s">
        <v>11</v>
      </c>
      <c r="E7" s="80" t="s">
        <v>12</v>
      </c>
      <c r="F7" s="80" t="s">
        <v>13</v>
      </c>
      <c r="G7" s="81"/>
      <c r="H7" s="81"/>
      <c r="I7" s="81"/>
      <c r="J7" s="81"/>
      <c r="K7" s="81"/>
      <c r="L7" s="81"/>
      <c r="M7" s="81"/>
      <c r="N7" s="81"/>
    </row>
    <row r="8" spans="1:22" x14ac:dyDescent="0.25">
      <c r="A8" s="82">
        <v>1</v>
      </c>
      <c r="B8" s="83">
        <f>malumot!B80</f>
        <v>46076</v>
      </c>
      <c r="C8" s="47">
        <f>malumot!B76</f>
        <v>100000000</v>
      </c>
      <c r="D8" s="47">
        <f>IF(IF(C8=0,L8,IF(C8&gt;1,I8))="",0,(IF(C8=0,L8,IF(C8&gt;1,I8))))</f>
        <v>2777777.78</v>
      </c>
      <c r="E8" s="47">
        <f>IF(C8=0,N6,IF(C8&gt;1,L8))</f>
        <v>3616438.32</v>
      </c>
      <c r="F8" s="47">
        <f>IF(C8=0,O6,IF(C8&gt;1,M8))</f>
        <v>6394216.0999999996</v>
      </c>
      <c r="G8" s="96">
        <f>B8-malumot!B67</f>
        <v>24</v>
      </c>
      <c r="H8" s="76">
        <f>DATE(YEAR(B8),12,31)-DATE(YEAR(B8),1,1)+1</f>
        <v>365</v>
      </c>
      <c r="I8" s="84">
        <f>IF(malumot!B84=0,ROUND(C8/L5,2),"")</f>
        <v>2777777.78</v>
      </c>
      <c r="J8" s="84"/>
      <c r="K8" s="84"/>
      <c r="L8" s="78">
        <f>ROUND(C8*malumot!$B$85/H8,2)*G8</f>
        <v>3616438.32</v>
      </c>
      <c r="M8" s="78">
        <f t="shared" ref="M8:M31" si="0">D8+E8</f>
        <v>6394216.0999999996</v>
      </c>
      <c r="N8" s="78"/>
      <c r="O8" s="93" t="str">
        <f>TEXT(B8,"ддд")</f>
        <v>Пн</v>
      </c>
      <c r="P8" s="95">
        <f>IF(O8=$U$8,2,IF(O8=$V$8,1,0))</f>
        <v>0</v>
      </c>
      <c r="Q8" s="95">
        <f>DAY(malumot!$B$79)+P8</f>
        <v>23</v>
      </c>
      <c r="R8" s="90"/>
      <c r="S8" s="91" t="s">
        <v>29</v>
      </c>
      <c r="T8" s="91" t="s">
        <v>30</v>
      </c>
      <c r="U8" s="91" t="s">
        <v>31</v>
      </c>
      <c r="V8" s="92" t="s">
        <v>32</v>
      </c>
    </row>
    <row r="9" spans="1:22" x14ac:dyDescent="0.25">
      <c r="A9" s="82">
        <v>2</v>
      </c>
      <c r="B9" s="83">
        <f>IF(A9&lt;=malumot!$B$82,DATE(YEAR(R9),MONTH(R9),DAY(IF(A9=malumot!$B$82,malumot!$B$67,IF(A9&lt;malumot!$B$82,(Q9),IF(A9&gt;malumot!$B$82,$H$56,0))))))</f>
        <v>46104</v>
      </c>
      <c r="C9" s="47">
        <f t="shared" ref="C9:C30" si="1">C8-D8</f>
        <v>97222222.219999999</v>
      </c>
      <c r="D9" s="47">
        <f t="shared" ref="D9:D30" si="2">IF(C9=0,L9,IF(C9&gt;1,I9))</f>
        <v>2777777.78</v>
      </c>
      <c r="E9" s="47">
        <f t="shared" ref="E9:E30" si="3">IF(C9=0,N8,IF(C9&gt;1,L9))</f>
        <v>4101978.7199999997</v>
      </c>
      <c r="F9" s="47">
        <f t="shared" ref="F9:F30" si="4">IF(C9=0,N8,IF(C9&gt;1,M9))</f>
        <v>6879756.5</v>
      </c>
      <c r="G9" s="76">
        <f>B9-B8</f>
        <v>28</v>
      </c>
      <c r="H9" s="76">
        <f t="shared" ref="H9:H31" si="5">DATE(YEAR(B9),12,31)-DATE(YEAR(B9),1,1)+1</f>
        <v>365</v>
      </c>
      <c r="I9" s="84">
        <f>IF(I8="",ROUND(C8/(L5-1),2),I8)</f>
        <v>2777777.78</v>
      </c>
      <c r="J9" s="84"/>
      <c r="K9" s="84"/>
      <c r="L9" s="78">
        <f>ROUND(C9*malumot!$B$85/H9,2)*G9</f>
        <v>4101978.7199999997</v>
      </c>
      <c r="M9" s="78">
        <f t="shared" si="0"/>
        <v>6879756.5</v>
      </c>
      <c r="N9" s="78"/>
      <c r="O9" s="93" t="str">
        <f>TEXT(R9,"ддд")</f>
        <v>Пн</v>
      </c>
      <c r="P9" s="95">
        <f t="shared" ref="P9:P31" si="6">IF(O9=$U$8,2,IF(O9=$V$8,1,0))</f>
        <v>0</v>
      </c>
      <c r="Q9" s="95">
        <f>DAY(malumot!$B$79)+P9</f>
        <v>23</v>
      </c>
      <c r="R9" s="90">
        <f>IF(A9&lt;=malumot!$B$82,DATE(YEAR($B$8),MONTH($B$8)+A8,DAY(malumot!$B$79)),0)</f>
        <v>46104</v>
      </c>
      <c r="S9" s="76"/>
      <c r="T9" s="76"/>
      <c r="U9" s="76"/>
      <c r="V9" s="76"/>
    </row>
    <row r="10" spans="1:22" x14ac:dyDescent="0.25">
      <c r="A10" s="82">
        <v>3</v>
      </c>
      <c r="B10" s="83">
        <f>IF(A10&lt;=malumot!$B$82,DATE(YEAR(R10),MONTH(R10),DAY(IF(A10=malumot!$B$82,malumot!$B$67,IF(A10&lt;malumot!$B$82,(Q10),IF(A10&gt;malumot!$B$82,$H$56,0))))))</f>
        <v>46135</v>
      </c>
      <c r="C10" s="47">
        <f t="shared" si="1"/>
        <v>94444444.439999998</v>
      </c>
      <c r="D10" s="47">
        <f t="shared" si="2"/>
        <v>2777777.78</v>
      </c>
      <c r="E10" s="47">
        <f t="shared" si="3"/>
        <v>4411720.05</v>
      </c>
      <c r="F10" s="47">
        <f t="shared" si="4"/>
        <v>7189497.8300000001</v>
      </c>
      <c r="G10" s="76">
        <f t="shared" ref="G10:G31" si="7">B10-B9</f>
        <v>31</v>
      </c>
      <c r="H10" s="76">
        <f t="shared" si="5"/>
        <v>365</v>
      </c>
      <c r="I10" s="84">
        <f>I9</f>
        <v>2777777.78</v>
      </c>
      <c r="J10" s="84"/>
      <c r="K10" s="84"/>
      <c r="L10" s="78">
        <f>ROUND(C10*malumot!$B$85/H10,2)*G10</f>
        <v>4411720.05</v>
      </c>
      <c r="M10" s="78">
        <f t="shared" si="0"/>
        <v>7189497.8300000001</v>
      </c>
      <c r="N10" s="78"/>
      <c r="O10" s="93" t="str">
        <f t="shared" ref="O10:O31" si="8">TEXT(R10,"ддд")</f>
        <v>Чт</v>
      </c>
      <c r="P10" s="95">
        <f t="shared" si="6"/>
        <v>0</v>
      </c>
      <c r="Q10" s="95">
        <f>DAY(malumot!$B$79)+P10</f>
        <v>23</v>
      </c>
      <c r="R10" s="90">
        <f>IF(A10&lt;=malumot!$B$82,DATE(YEAR($B$8),MONTH($B$8)+A9,DAY(malumot!$B$79)),0)</f>
        <v>46135</v>
      </c>
      <c r="S10" s="76"/>
      <c r="T10" s="76"/>
      <c r="U10" s="76"/>
      <c r="V10" s="76"/>
    </row>
    <row r="11" spans="1:22" x14ac:dyDescent="0.25">
      <c r="A11" s="82">
        <v>4</v>
      </c>
      <c r="B11" s="83">
        <f>IF(A11&lt;=malumot!$B$82,DATE(YEAR(R11),MONTH(R11),DAY(IF(A11=malumot!$B$82,malumot!$B$67,IF(A11&lt;malumot!$B$82,(Q11),IF(A11&gt;malumot!$B$82,$H$56,0))))))</f>
        <v>46167</v>
      </c>
      <c r="C11" s="47">
        <f t="shared" si="1"/>
        <v>91666666.659999996</v>
      </c>
      <c r="D11" s="47">
        <f t="shared" si="2"/>
        <v>2777777.78</v>
      </c>
      <c r="E11" s="47">
        <f t="shared" si="3"/>
        <v>4420091.2</v>
      </c>
      <c r="F11" s="47">
        <f t="shared" si="4"/>
        <v>7197868.9800000004</v>
      </c>
      <c r="G11" s="76">
        <f t="shared" si="7"/>
        <v>32</v>
      </c>
      <c r="H11" s="76">
        <f t="shared" si="5"/>
        <v>365</v>
      </c>
      <c r="I11" s="84">
        <f>I10</f>
        <v>2777777.78</v>
      </c>
      <c r="J11" s="84"/>
      <c r="K11" s="84"/>
      <c r="L11" s="78">
        <f>ROUND(C11*malumot!$B$85/H11,2)*G11</f>
        <v>4420091.2</v>
      </c>
      <c r="M11" s="78">
        <f t="shared" si="0"/>
        <v>7197868.9800000004</v>
      </c>
      <c r="N11" s="78"/>
      <c r="O11" s="93" t="str">
        <f t="shared" si="8"/>
        <v>Сб</v>
      </c>
      <c r="P11" s="95">
        <f t="shared" si="6"/>
        <v>2</v>
      </c>
      <c r="Q11" s="95">
        <f>DAY(malumot!$B$79)+P11</f>
        <v>25</v>
      </c>
      <c r="R11" s="90">
        <f>IF(A11&lt;=malumot!$B$82,DATE(YEAR($B$8),MONTH($B$8)+A10,DAY(malumot!$B$79)),0)</f>
        <v>46165</v>
      </c>
      <c r="S11" s="76"/>
      <c r="T11" s="76"/>
      <c r="U11" s="76"/>
      <c r="V11" s="76"/>
    </row>
    <row r="12" spans="1:22" x14ac:dyDescent="0.25">
      <c r="A12" s="82">
        <v>5</v>
      </c>
      <c r="B12" s="83">
        <f>IF(A12&lt;=malumot!$B$82,DATE(YEAR(R12),MONTH(R12),DAY(IF(A12=malumot!$B$82,malumot!$B$67,IF(A12&lt;malumot!$B$82,(Q12),IF(A12&gt;malumot!$B$82,$H$56,0))))))</f>
        <v>46196</v>
      </c>
      <c r="C12" s="47">
        <f t="shared" si="1"/>
        <v>88888888.879999995</v>
      </c>
      <c r="D12" s="47">
        <f t="shared" si="2"/>
        <v>2777777.78</v>
      </c>
      <c r="E12" s="47">
        <f t="shared" si="3"/>
        <v>3884322.64</v>
      </c>
      <c r="F12" s="47">
        <f t="shared" si="4"/>
        <v>6662100.4199999999</v>
      </c>
      <c r="G12" s="76">
        <f t="shared" si="7"/>
        <v>29</v>
      </c>
      <c r="H12" s="76">
        <f t="shared" si="5"/>
        <v>365</v>
      </c>
      <c r="I12" s="84">
        <f>I11</f>
        <v>2777777.78</v>
      </c>
      <c r="J12" s="84">
        <f>malumot!B76</f>
        <v>100000000</v>
      </c>
      <c r="K12" s="84"/>
      <c r="L12" s="78">
        <f>ROUND(C12*malumot!$B$85/H12,2)*G12</f>
        <v>3884322.64</v>
      </c>
      <c r="M12" s="78">
        <f t="shared" si="0"/>
        <v>6662100.4199999999</v>
      </c>
      <c r="N12" s="78"/>
      <c r="O12" s="93" t="str">
        <f t="shared" si="8"/>
        <v>Вт</v>
      </c>
      <c r="P12" s="95">
        <f t="shared" si="6"/>
        <v>0</v>
      </c>
      <c r="Q12" s="95">
        <f>DAY(malumot!$B$79)+P12</f>
        <v>23</v>
      </c>
      <c r="R12" s="90">
        <f>IF(A12&lt;=malumot!$B$82,DATE(YEAR($B$8),MONTH($B$8)+A11,DAY(malumot!$B$79)),0)</f>
        <v>46196</v>
      </c>
      <c r="S12" s="76"/>
      <c r="T12" s="76"/>
      <c r="U12" s="76"/>
      <c r="V12" s="76"/>
    </row>
    <row r="13" spans="1:22" x14ac:dyDescent="0.25">
      <c r="A13" s="82">
        <v>6</v>
      </c>
      <c r="B13" s="83">
        <f>IF(A13&lt;=malumot!$B$82,DATE(YEAR(R13),MONTH(R13),DAY(IF(A13=malumot!$B$82,malumot!$B$67,IF(A13&lt;malumot!$B$82,(Q13),IF(A13&gt;malumot!$B$82,$H$56,0))))))</f>
        <v>46226</v>
      </c>
      <c r="C13" s="47">
        <f t="shared" si="1"/>
        <v>86111111.099999994</v>
      </c>
      <c r="D13" s="47">
        <f t="shared" si="2"/>
        <v>2777777.78</v>
      </c>
      <c r="E13" s="47">
        <f t="shared" si="3"/>
        <v>3892694.1</v>
      </c>
      <c r="F13" s="47">
        <f t="shared" si="4"/>
        <v>6670471.8799999999</v>
      </c>
      <c r="G13" s="76">
        <f t="shared" si="7"/>
        <v>30</v>
      </c>
      <c r="H13" s="76">
        <f t="shared" si="5"/>
        <v>365</v>
      </c>
      <c r="I13" s="84">
        <f>IF(L5=H1,K13,IF(L5&gt;H1,I12))</f>
        <v>2777777.78</v>
      </c>
      <c r="J13" s="84">
        <f>SUM($I$8:I12)</f>
        <v>13888888.899999999</v>
      </c>
      <c r="K13" s="84">
        <f>$J$12-J13</f>
        <v>86111111.099999994</v>
      </c>
      <c r="L13" s="78">
        <f>ROUND(C13*malumot!$B$85/H13,2)*G13</f>
        <v>3892694.1</v>
      </c>
      <c r="M13" s="78">
        <f t="shared" si="0"/>
        <v>6670471.8799999999</v>
      </c>
      <c r="N13" s="78"/>
      <c r="O13" s="93" t="str">
        <f t="shared" si="8"/>
        <v>Чт</v>
      </c>
      <c r="P13" s="95">
        <f t="shared" si="6"/>
        <v>0</v>
      </c>
      <c r="Q13" s="95">
        <f>DAY(malumot!$B$79)+P13</f>
        <v>23</v>
      </c>
      <c r="R13" s="90">
        <f>IF(A13&lt;=malumot!$B$82,DATE(YEAR($B$8),MONTH($B$8)+A12,DAY(malumot!$B$79)),0)</f>
        <v>46226</v>
      </c>
      <c r="S13" s="76"/>
      <c r="T13" s="76"/>
      <c r="U13" s="76"/>
      <c r="V13" s="76"/>
    </row>
    <row r="14" spans="1:22" x14ac:dyDescent="0.25">
      <c r="A14" s="82">
        <v>7</v>
      </c>
      <c r="B14" s="83">
        <f>IF(A14&lt;=malumot!$B$82,DATE(YEAR(R14),MONTH(R14),DAY(IF(A14=malumot!$B$82,malumot!$B$67,IF(A14&lt;malumot!$B$82,(Q14),IF(A14&gt;malumot!$B$82,$H$56,0))))))</f>
        <v>46258</v>
      </c>
      <c r="C14" s="47">
        <f t="shared" si="1"/>
        <v>83333333.319999993</v>
      </c>
      <c r="D14" s="47">
        <f t="shared" si="2"/>
        <v>2777777.78</v>
      </c>
      <c r="E14" s="47">
        <f t="shared" si="3"/>
        <v>4018264.96</v>
      </c>
      <c r="F14" s="47">
        <f t="shared" si="4"/>
        <v>6796042.7400000002</v>
      </c>
      <c r="G14" s="76">
        <f t="shared" si="7"/>
        <v>32</v>
      </c>
      <c r="H14" s="76">
        <f t="shared" si="5"/>
        <v>365</v>
      </c>
      <c r="I14" s="84">
        <f>IF($L$5=A14,K14,IF($L$5&gt;A14,I13))</f>
        <v>2777777.78</v>
      </c>
      <c r="J14" s="84">
        <f>SUM($I$8:I13)</f>
        <v>16666666.679999998</v>
      </c>
      <c r="K14" s="84">
        <f t="shared" ref="K14:K31" si="9">$J$12-J14</f>
        <v>83333333.320000008</v>
      </c>
      <c r="L14" s="78">
        <f>ROUND(C14*malumot!$B$85/H14,2)*G14</f>
        <v>4018264.96</v>
      </c>
      <c r="M14" s="78">
        <f t="shared" si="0"/>
        <v>6796042.7400000002</v>
      </c>
      <c r="N14" s="78"/>
      <c r="O14" s="93" t="str">
        <f t="shared" si="8"/>
        <v>Вс</v>
      </c>
      <c r="P14" s="95">
        <f t="shared" si="6"/>
        <v>1</v>
      </c>
      <c r="Q14" s="95">
        <f>DAY(malumot!$B$79)+P14</f>
        <v>24</v>
      </c>
      <c r="R14" s="90">
        <f>IF(A14&lt;=malumot!$B$82,DATE(YEAR($B$8),MONTH($B$8)+A13,DAY(malumot!$B$79)),0)</f>
        <v>46257</v>
      </c>
      <c r="S14" s="76"/>
      <c r="T14" s="76"/>
      <c r="U14" s="76"/>
      <c r="V14" s="76"/>
    </row>
    <row r="15" spans="1:22" x14ac:dyDescent="0.25">
      <c r="A15" s="82">
        <v>8</v>
      </c>
      <c r="B15" s="83">
        <f>IF(A15&lt;=malumot!$B$82,DATE(YEAR(R15),MONTH(R15),DAY(IF(A15=malumot!$B$82,malumot!$B$67,IF(A15&lt;malumot!$B$82,(Q15),IF(A15&gt;malumot!$B$82,$H$56,0))))))</f>
        <v>46288</v>
      </c>
      <c r="C15" s="47">
        <f t="shared" si="1"/>
        <v>80555555.539999992</v>
      </c>
      <c r="D15" s="47">
        <f t="shared" si="2"/>
        <v>2777777.78</v>
      </c>
      <c r="E15" s="47">
        <f t="shared" si="3"/>
        <v>3641552.4</v>
      </c>
      <c r="F15" s="47">
        <f t="shared" si="4"/>
        <v>6419330.1799999997</v>
      </c>
      <c r="G15" s="76">
        <f t="shared" si="7"/>
        <v>30</v>
      </c>
      <c r="H15" s="76">
        <f t="shared" si="5"/>
        <v>365</v>
      </c>
      <c r="I15" s="84">
        <f t="shared" ref="I15:I31" si="10">IF($L$5=A15,K15,IF($L$5&gt;A15,I14))</f>
        <v>2777777.78</v>
      </c>
      <c r="J15" s="84">
        <f>SUM($I$8:I14)</f>
        <v>19444444.459999997</v>
      </c>
      <c r="K15" s="84">
        <f t="shared" si="9"/>
        <v>80555555.540000007</v>
      </c>
      <c r="L15" s="78">
        <f>ROUND(C15*malumot!$B$85/H15,2)*G15</f>
        <v>3641552.4</v>
      </c>
      <c r="M15" s="78">
        <f t="shared" si="0"/>
        <v>6419330.1799999997</v>
      </c>
      <c r="N15" s="78"/>
      <c r="O15" s="93" t="str">
        <f t="shared" si="8"/>
        <v>Ср</v>
      </c>
      <c r="P15" s="95">
        <f t="shared" si="6"/>
        <v>0</v>
      </c>
      <c r="Q15" s="95">
        <f>DAY(malumot!$B$79)+P15</f>
        <v>23</v>
      </c>
      <c r="R15" s="90">
        <f>IF(A15&lt;=malumot!$B$82,DATE(YEAR($B$8),MONTH($B$8)+A14,DAY(malumot!$B$79)),0)</f>
        <v>46288</v>
      </c>
      <c r="S15" s="76"/>
      <c r="T15" s="76"/>
      <c r="U15" s="76"/>
      <c r="V15" s="76"/>
    </row>
    <row r="16" spans="1:22" x14ac:dyDescent="0.25">
      <c r="A16" s="82">
        <v>9</v>
      </c>
      <c r="B16" s="83">
        <f>IF(A16&lt;=malumot!$B$82,DATE(YEAR(R16),MONTH(R16),DAY(IF(A16=malumot!$B$82,malumot!$B$67,IF(A16&lt;malumot!$B$82,(Q16),IF(A16&gt;malumot!$B$82,$H$56,0))))))</f>
        <v>46318</v>
      </c>
      <c r="C16" s="47">
        <f t="shared" si="1"/>
        <v>77777777.75999999</v>
      </c>
      <c r="D16" s="47">
        <f t="shared" si="2"/>
        <v>2777777.78</v>
      </c>
      <c r="E16" s="47">
        <f t="shared" si="3"/>
        <v>3515981.7</v>
      </c>
      <c r="F16" s="47">
        <f t="shared" si="4"/>
        <v>6293759.4800000004</v>
      </c>
      <c r="G16" s="76">
        <f t="shared" si="7"/>
        <v>30</v>
      </c>
      <c r="H16" s="76">
        <f t="shared" si="5"/>
        <v>365</v>
      </c>
      <c r="I16" s="84">
        <f t="shared" si="10"/>
        <v>2777777.78</v>
      </c>
      <c r="J16" s="84">
        <f>SUM($I$8:I15)</f>
        <v>22222222.239999998</v>
      </c>
      <c r="K16" s="84">
        <f t="shared" si="9"/>
        <v>77777777.760000005</v>
      </c>
      <c r="L16" s="78">
        <f>ROUND(C16*malumot!$B$85/H16,2)*G16</f>
        <v>3515981.7</v>
      </c>
      <c r="M16" s="78">
        <f t="shared" si="0"/>
        <v>6293759.4800000004</v>
      </c>
      <c r="N16" s="78"/>
      <c r="O16" s="93" t="str">
        <f t="shared" si="8"/>
        <v>Пт</v>
      </c>
      <c r="P16" s="95">
        <f t="shared" si="6"/>
        <v>0</v>
      </c>
      <c r="Q16" s="95">
        <f>DAY(malumot!$B$79)+P16</f>
        <v>23</v>
      </c>
      <c r="R16" s="90">
        <f>IF(A16&lt;=malumot!$B$82,DATE(YEAR($B$8),MONTH($B$8)+A15,DAY(malumot!$B$79)),0)</f>
        <v>46318</v>
      </c>
      <c r="S16" s="76"/>
      <c r="T16" s="76"/>
      <c r="U16" s="76"/>
      <c r="V16" s="76"/>
    </row>
    <row r="17" spans="1:22" x14ac:dyDescent="0.25">
      <c r="A17" s="82">
        <v>10</v>
      </c>
      <c r="B17" s="83">
        <f>IF(A17&lt;=malumot!$B$82,DATE(YEAR(R17),MONTH(R17),DAY(IF(A17=malumot!$B$82,malumot!$B$67,IF(A17&lt;malumot!$B$82,(Q17),IF(A17&gt;malumot!$B$82,$H$56,0))))))</f>
        <v>46349</v>
      </c>
      <c r="C17" s="47">
        <f t="shared" si="1"/>
        <v>74999999.979999989</v>
      </c>
      <c r="D17" s="47">
        <f t="shared" si="2"/>
        <v>2777777.78</v>
      </c>
      <c r="E17" s="47">
        <f t="shared" si="3"/>
        <v>3503424.6999999997</v>
      </c>
      <c r="F17" s="47">
        <f t="shared" si="4"/>
        <v>6281202.4799999995</v>
      </c>
      <c r="G17" s="76">
        <f t="shared" si="7"/>
        <v>31</v>
      </c>
      <c r="H17" s="76">
        <f t="shared" si="5"/>
        <v>365</v>
      </c>
      <c r="I17" s="84">
        <f t="shared" si="10"/>
        <v>2777777.78</v>
      </c>
      <c r="J17" s="84">
        <f>SUM($I$8:I16)</f>
        <v>25000000.02</v>
      </c>
      <c r="K17" s="84">
        <f>$J$12-J17</f>
        <v>74999999.980000004</v>
      </c>
      <c r="L17" s="78">
        <f>ROUND(C17*malumot!$B$85/H17,2)*G17</f>
        <v>3503424.6999999997</v>
      </c>
      <c r="M17" s="78">
        <f t="shared" si="0"/>
        <v>6281202.4799999995</v>
      </c>
      <c r="N17" s="78"/>
      <c r="O17" s="93" t="str">
        <f t="shared" si="8"/>
        <v>Пн</v>
      </c>
      <c r="P17" s="95">
        <f t="shared" si="6"/>
        <v>0</v>
      </c>
      <c r="Q17" s="95">
        <f>DAY(malumot!$B$79)+P17</f>
        <v>23</v>
      </c>
      <c r="R17" s="90">
        <f>IF(A17&lt;=malumot!$B$82,DATE(YEAR($B$8),MONTH($B$8)+A16,DAY(malumot!$B$79)),0)</f>
        <v>46349</v>
      </c>
      <c r="S17" s="76"/>
      <c r="T17" s="76"/>
      <c r="U17" s="76"/>
      <c r="V17" s="76"/>
    </row>
    <row r="18" spans="1:22" x14ac:dyDescent="0.25">
      <c r="A18" s="82">
        <v>11</v>
      </c>
      <c r="B18" s="83">
        <f>IF(A18&lt;=malumot!$B$82,DATE(YEAR(R18),MONTH(R18),DAY(IF(A18=malumot!$B$82,malumot!$B$67,IF(A18&lt;malumot!$B$82,(Q18),IF(A18&gt;malumot!$B$82,$H$56,0))))))</f>
        <v>46379</v>
      </c>
      <c r="C18" s="47">
        <f t="shared" si="1"/>
        <v>72222222.199999988</v>
      </c>
      <c r="D18" s="47">
        <f t="shared" si="2"/>
        <v>2777777.78</v>
      </c>
      <c r="E18" s="47">
        <f t="shared" si="3"/>
        <v>3264840.3</v>
      </c>
      <c r="F18" s="47">
        <f t="shared" si="4"/>
        <v>6042618.0800000001</v>
      </c>
      <c r="G18" s="76">
        <f t="shared" si="7"/>
        <v>30</v>
      </c>
      <c r="H18" s="76">
        <f t="shared" si="5"/>
        <v>365</v>
      </c>
      <c r="I18" s="84">
        <f t="shared" si="10"/>
        <v>2777777.78</v>
      </c>
      <c r="J18" s="84">
        <f>SUM($I$8:I17)</f>
        <v>27777777.800000001</v>
      </c>
      <c r="K18" s="84">
        <f t="shared" si="9"/>
        <v>72222222.200000003</v>
      </c>
      <c r="L18" s="78">
        <f>ROUND(C18*malumot!$B$85/H18,2)*G18</f>
        <v>3264840.3</v>
      </c>
      <c r="M18" s="78">
        <f t="shared" si="0"/>
        <v>6042618.0800000001</v>
      </c>
      <c r="N18" s="78"/>
      <c r="O18" s="93" t="str">
        <f t="shared" si="8"/>
        <v>Ср</v>
      </c>
      <c r="P18" s="95">
        <f t="shared" si="6"/>
        <v>0</v>
      </c>
      <c r="Q18" s="95">
        <f>DAY(malumot!$B$79)+P18</f>
        <v>23</v>
      </c>
      <c r="R18" s="90">
        <f>IF(A18&lt;=malumot!$B$82,DATE(YEAR($B$8),MONTH($B$8)+A17,DAY(malumot!$B$79)),0)</f>
        <v>46379</v>
      </c>
      <c r="S18" s="76"/>
      <c r="T18" s="76"/>
      <c r="U18" s="76"/>
      <c r="V18" s="76"/>
    </row>
    <row r="19" spans="1:22" x14ac:dyDescent="0.25">
      <c r="A19" s="82">
        <v>12</v>
      </c>
      <c r="B19" s="83">
        <f>IF(A19&lt;=malumot!$B$82,DATE(YEAR(R19),MONTH(R19),DAY(IF(A19=malumot!$B$82,malumot!$B$67,IF(A19&lt;malumot!$B$82,(Q19),IF(A19&gt;malumot!$B$82,$H$56,0))))))</f>
        <v>46412</v>
      </c>
      <c r="C19" s="47">
        <f t="shared" si="1"/>
        <v>69444444.419999987</v>
      </c>
      <c r="D19" s="47">
        <f t="shared" si="2"/>
        <v>2777777.78</v>
      </c>
      <c r="E19" s="47">
        <f t="shared" si="3"/>
        <v>3453196.23</v>
      </c>
      <c r="F19" s="47">
        <f t="shared" si="4"/>
        <v>6230974.0099999998</v>
      </c>
      <c r="G19" s="76">
        <f t="shared" si="7"/>
        <v>33</v>
      </c>
      <c r="H19" s="76">
        <f t="shared" si="5"/>
        <v>365</v>
      </c>
      <c r="I19" s="84">
        <f t="shared" si="10"/>
        <v>2777777.78</v>
      </c>
      <c r="J19" s="84">
        <f>SUM($I$8:I18)</f>
        <v>30555555.580000002</v>
      </c>
      <c r="K19" s="84">
        <f t="shared" si="9"/>
        <v>69444444.420000002</v>
      </c>
      <c r="L19" s="78">
        <f>ROUND(C19*malumot!$B$85/H19,2)*G19</f>
        <v>3453196.23</v>
      </c>
      <c r="M19" s="78">
        <f t="shared" si="0"/>
        <v>6230974.0099999998</v>
      </c>
      <c r="N19" s="78"/>
      <c r="O19" s="93" t="str">
        <f t="shared" si="8"/>
        <v>Сб</v>
      </c>
      <c r="P19" s="95">
        <f t="shared" si="6"/>
        <v>2</v>
      </c>
      <c r="Q19" s="95">
        <f>DAY(malumot!$B$79)+P19</f>
        <v>25</v>
      </c>
      <c r="R19" s="90">
        <f>IF(A19&lt;=malumot!$B$82,DATE(YEAR($B$8),MONTH($B$8)+A18,DAY(malumot!$B$79)),0)</f>
        <v>46410</v>
      </c>
      <c r="S19" s="76"/>
      <c r="T19" s="76"/>
      <c r="U19" s="76"/>
      <c r="V19" s="76"/>
    </row>
    <row r="20" spans="1:22" x14ac:dyDescent="0.25">
      <c r="A20" s="82">
        <v>13</v>
      </c>
      <c r="B20" s="83">
        <f>IF(A20&lt;=malumot!$B$82,DATE(YEAR(R20),MONTH(R20),DAY(IF(A20=malumot!$B$82,malumot!$B$67,IF(A20&lt;malumot!$B$82,(Q20),IF(A20&gt;malumot!$B$82,$H$56,0))))))</f>
        <v>46441</v>
      </c>
      <c r="C20" s="47">
        <f t="shared" si="1"/>
        <v>66666666.639999986</v>
      </c>
      <c r="D20" s="47">
        <f t="shared" si="2"/>
        <v>2777777.78</v>
      </c>
      <c r="E20" s="47">
        <f t="shared" si="3"/>
        <v>2913241.98</v>
      </c>
      <c r="F20" s="47">
        <f t="shared" si="4"/>
        <v>5691019.7599999998</v>
      </c>
      <c r="G20" s="76">
        <f t="shared" si="7"/>
        <v>29</v>
      </c>
      <c r="H20" s="76">
        <f t="shared" si="5"/>
        <v>365</v>
      </c>
      <c r="I20" s="84">
        <f t="shared" si="10"/>
        <v>2777777.78</v>
      </c>
      <c r="J20" s="84">
        <f>SUM($I$8:I19)</f>
        <v>33333333.360000003</v>
      </c>
      <c r="K20" s="84">
        <f>$J$12-J20</f>
        <v>66666666.640000001</v>
      </c>
      <c r="L20" s="78">
        <f>ROUND(C20*malumot!$B$85/H20,2)*G20</f>
        <v>2913241.98</v>
      </c>
      <c r="M20" s="78">
        <f t="shared" si="0"/>
        <v>5691019.7599999998</v>
      </c>
      <c r="N20" s="78"/>
      <c r="O20" s="93" t="str">
        <f t="shared" si="8"/>
        <v>Вт</v>
      </c>
      <c r="P20" s="95">
        <f t="shared" si="6"/>
        <v>0</v>
      </c>
      <c r="Q20" s="95">
        <f>DAY(malumot!$B$79)+P20</f>
        <v>23</v>
      </c>
      <c r="R20" s="90">
        <f>IF(A20&lt;=malumot!$B$82,DATE(YEAR($B$8),MONTH($B$8)+A19,DAY(malumot!$B$79)),0)</f>
        <v>46441</v>
      </c>
      <c r="S20" s="76"/>
      <c r="T20" s="76"/>
      <c r="U20" s="76"/>
      <c r="V20" s="76"/>
    </row>
    <row r="21" spans="1:22" x14ac:dyDescent="0.25">
      <c r="A21" s="82">
        <v>14</v>
      </c>
      <c r="B21" s="83">
        <f>IF(A21&lt;=malumot!$B$82,DATE(YEAR(R21),MONTH(R21),DAY(IF(A21=malumot!$B$82,malumot!$B$67,IF(A21&lt;malumot!$B$82,(Q21),IF(A21&gt;malumot!$B$82,$H$56,0))))))</f>
        <v>46469</v>
      </c>
      <c r="C21" s="47">
        <f t="shared" si="1"/>
        <v>63888888.859999985</v>
      </c>
      <c r="D21" s="47">
        <f t="shared" si="2"/>
        <v>2777777.78</v>
      </c>
      <c r="E21" s="47">
        <f t="shared" si="3"/>
        <v>2695586.04</v>
      </c>
      <c r="F21" s="47">
        <f t="shared" si="4"/>
        <v>5473363.8200000003</v>
      </c>
      <c r="G21" s="76">
        <f t="shared" si="7"/>
        <v>28</v>
      </c>
      <c r="H21" s="76">
        <f t="shared" si="5"/>
        <v>365</v>
      </c>
      <c r="I21" s="84">
        <f t="shared" si="10"/>
        <v>2777777.78</v>
      </c>
      <c r="J21" s="84">
        <f>SUM($I$8:I20)</f>
        <v>36111111.140000001</v>
      </c>
      <c r="K21" s="84">
        <f t="shared" si="9"/>
        <v>63888888.859999999</v>
      </c>
      <c r="L21" s="78">
        <f>ROUND(C21*malumot!$B$85/H21,2)*G21</f>
        <v>2695586.04</v>
      </c>
      <c r="M21" s="78">
        <f t="shared" si="0"/>
        <v>5473363.8200000003</v>
      </c>
      <c r="N21" s="78"/>
      <c r="O21" s="93" t="str">
        <f t="shared" si="8"/>
        <v>Вт</v>
      </c>
      <c r="P21" s="95">
        <f t="shared" si="6"/>
        <v>0</v>
      </c>
      <c r="Q21" s="95">
        <f>DAY(malumot!$B$79)+P21</f>
        <v>23</v>
      </c>
      <c r="R21" s="90">
        <f>IF(A21&lt;=malumot!$B$82,DATE(YEAR($B$8),MONTH($B$8)+A20,DAY(malumot!$B$79)),0)</f>
        <v>46469</v>
      </c>
      <c r="S21" s="76"/>
      <c r="T21" s="76"/>
      <c r="U21" s="76"/>
      <c r="V21" s="76"/>
    </row>
    <row r="22" spans="1:22" x14ac:dyDescent="0.25">
      <c r="A22" s="82">
        <v>15</v>
      </c>
      <c r="B22" s="83">
        <f>IF(A22&lt;=malumot!$B$82,DATE(YEAR(R22),MONTH(R22),DAY(IF(A22=malumot!$B$82,malumot!$B$67,IF(A22&lt;malumot!$B$82,(Q22),IF(A22&gt;malumot!$B$82,$H$56,0))))))</f>
        <v>46500</v>
      </c>
      <c r="C22" s="47">
        <f t="shared" si="1"/>
        <v>61111111.079999983</v>
      </c>
      <c r="D22" s="47">
        <f t="shared" si="2"/>
        <v>2777777.78</v>
      </c>
      <c r="E22" s="47">
        <f t="shared" si="3"/>
        <v>2854642.44</v>
      </c>
      <c r="F22" s="47">
        <f t="shared" si="4"/>
        <v>5632420.2199999997</v>
      </c>
      <c r="G22" s="76">
        <f t="shared" si="7"/>
        <v>31</v>
      </c>
      <c r="H22" s="76">
        <f t="shared" si="5"/>
        <v>365</v>
      </c>
      <c r="I22" s="84">
        <f t="shared" si="10"/>
        <v>2777777.78</v>
      </c>
      <c r="J22" s="84">
        <f>SUM($I$8:I21)</f>
        <v>38888888.920000002</v>
      </c>
      <c r="K22" s="84">
        <f t="shared" si="9"/>
        <v>61111111.079999998</v>
      </c>
      <c r="L22" s="78">
        <f>ROUND(C22*malumot!$B$85/H22,2)*G22</f>
        <v>2854642.44</v>
      </c>
      <c r="M22" s="78">
        <f t="shared" si="0"/>
        <v>5632420.2199999997</v>
      </c>
      <c r="N22" s="78"/>
      <c r="O22" s="93" t="str">
        <f t="shared" si="8"/>
        <v>Пт</v>
      </c>
      <c r="P22" s="95">
        <f t="shared" si="6"/>
        <v>0</v>
      </c>
      <c r="Q22" s="95">
        <f>DAY(malumot!$B$79)+P22</f>
        <v>23</v>
      </c>
      <c r="R22" s="90">
        <f>IF(A22&lt;=malumot!$B$82,DATE(YEAR($B$8),MONTH($B$8)+A21,DAY(malumot!$B$79)),0)</f>
        <v>46500</v>
      </c>
      <c r="S22" s="76"/>
      <c r="T22" s="76"/>
      <c r="U22" s="76"/>
      <c r="V22" s="76"/>
    </row>
    <row r="23" spans="1:22" x14ac:dyDescent="0.25">
      <c r="A23" s="82">
        <v>16</v>
      </c>
      <c r="B23" s="83">
        <f>IF(A23&lt;=malumot!$B$82,DATE(YEAR(R23),MONTH(R23),DAY(IF(A23=malumot!$B$82,malumot!$B$67,IF(A23&lt;malumot!$B$82,(Q23),IF(A23&gt;malumot!$B$82,$H$56,0))))))</f>
        <v>46531</v>
      </c>
      <c r="C23" s="47">
        <f t="shared" si="1"/>
        <v>58333333.299999982</v>
      </c>
      <c r="D23" s="47">
        <f t="shared" si="2"/>
        <v>2777777.78</v>
      </c>
      <c r="E23" s="47">
        <f t="shared" si="3"/>
        <v>2724885.7399999998</v>
      </c>
      <c r="F23" s="47">
        <f t="shared" si="4"/>
        <v>5502663.5199999996</v>
      </c>
      <c r="G23" s="76">
        <f t="shared" si="7"/>
        <v>31</v>
      </c>
      <c r="H23" s="76">
        <f t="shared" si="5"/>
        <v>365</v>
      </c>
      <c r="I23" s="84">
        <f t="shared" si="10"/>
        <v>2777777.78</v>
      </c>
      <c r="J23" s="84">
        <f>SUM($I$8:I22)</f>
        <v>41666666.700000003</v>
      </c>
      <c r="K23" s="84">
        <f t="shared" si="9"/>
        <v>58333333.299999997</v>
      </c>
      <c r="L23" s="78">
        <f>ROUND(C23*malumot!$B$85/H23,2)*G23</f>
        <v>2724885.7399999998</v>
      </c>
      <c r="M23" s="78">
        <f t="shared" si="0"/>
        <v>5502663.5199999996</v>
      </c>
      <c r="N23" s="78"/>
      <c r="O23" s="93" t="str">
        <f t="shared" si="8"/>
        <v>Вс</v>
      </c>
      <c r="P23" s="95">
        <f t="shared" si="6"/>
        <v>1</v>
      </c>
      <c r="Q23" s="95">
        <f>DAY(malumot!$B$79)+P23</f>
        <v>24</v>
      </c>
      <c r="R23" s="90">
        <f>IF(A23&lt;=malumot!$B$82,DATE(YEAR($B$8),MONTH($B$8)+A22,DAY(malumot!$B$79)),0)</f>
        <v>46530</v>
      </c>
      <c r="S23" s="76"/>
      <c r="T23" s="76"/>
      <c r="U23" s="76"/>
      <c r="V23" s="76"/>
    </row>
    <row r="24" spans="1:22" x14ac:dyDescent="0.25">
      <c r="A24" s="82">
        <v>17</v>
      </c>
      <c r="B24" s="83">
        <f>IF(A24&lt;=malumot!$B$82,DATE(YEAR(R24),MONTH(R24),DAY(IF(A24=malumot!$B$82,malumot!$B$67,IF(A24&lt;malumot!$B$82,(Q24),IF(A24&gt;malumot!$B$82,$H$56,0))))))</f>
        <v>46561</v>
      </c>
      <c r="C24" s="47">
        <f t="shared" si="1"/>
        <v>55555555.519999981</v>
      </c>
      <c r="D24" s="47">
        <f t="shared" si="2"/>
        <v>2777777.78</v>
      </c>
      <c r="E24" s="47">
        <f t="shared" si="3"/>
        <v>2511415.5</v>
      </c>
      <c r="F24" s="47">
        <f t="shared" si="4"/>
        <v>5289193.2799999993</v>
      </c>
      <c r="G24" s="76">
        <f t="shared" si="7"/>
        <v>30</v>
      </c>
      <c r="H24" s="76">
        <f t="shared" si="5"/>
        <v>365</v>
      </c>
      <c r="I24" s="84">
        <f t="shared" si="10"/>
        <v>2777777.78</v>
      </c>
      <c r="J24" s="84">
        <f>SUM($I$8:I23)</f>
        <v>44444444.480000004</v>
      </c>
      <c r="K24" s="84">
        <f t="shared" si="9"/>
        <v>55555555.519999996</v>
      </c>
      <c r="L24" s="78">
        <f>ROUND(C24*malumot!$B$85/H24,2)*G24</f>
        <v>2511415.5</v>
      </c>
      <c r="M24" s="78">
        <f t="shared" si="0"/>
        <v>5289193.2799999993</v>
      </c>
      <c r="N24" s="78"/>
      <c r="O24" s="93" t="str">
        <f t="shared" si="8"/>
        <v>Ср</v>
      </c>
      <c r="P24" s="95">
        <f t="shared" si="6"/>
        <v>0</v>
      </c>
      <c r="Q24" s="95">
        <f>DAY(malumot!$B$79)+P24</f>
        <v>23</v>
      </c>
      <c r="R24" s="90">
        <f>IF(A24&lt;=malumot!$B$82,DATE(YEAR($B$8),MONTH($B$8)+A23,DAY(malumot!$B$79)),0)</f>
        <v>46561</v>
      </c>
      <c r="S24" s="76"/>
      <c r="T24" s="76"/>
      <c r="U24" s="76"/>
      <c r="V24" s="76"/>
    </row>
    <row r="25" spans="1:22" x14ac:dyDescent="0.25">
      <c r="A25" s="82">
        <v>18</v>
      </c>
      <c r="B25" s="83">
        <f>IF(A25&lt;=malumot!$B$82,DATE(YEAR(R25),MONTH(R25),DAY(IF(A25=malumot!$B$82,malumot!$B$67,IF(A25&lt;malumot!$B$82,(Q25),IF(A25&gt;malumot!$B$82,$H$56,0))))))</f>
        <v>46591</v>
      </c>
      <c r="C25" s="47">
        <f t="shared" si="1"/>
        <v>52777777.73999998</v>
      </c>
      <c r="D25" s="47">
        <f t="shared" si="2"/>
        <v>2777777.78</v>
      </c>
      <c r="E25" s="47">
        <f t="shared" si="3"/>
        <v>2385844.8000000003</v>
      </c>
      <c r="F25" s="47">
        <f t="shared" si="4"/>
        <v>5163622.58</v>
      </c>
      <c r="G25" s="76">
        <f t="shared" si="7"/>
        <v>30</v>
      </c>
      <c r="H25" s="76">
        <f t="shared" si="5"/>
        <v>365</v>
      </c>
      <c r="I25" s="84">
        <f t="shared" si="10"/>
        <v>2777777.78</v>
      </c>
      <c r="J25" s="84">
        <f>SUM($I$8:I24)</f>
        <v>47222222.260000005</v>
      </c>
      <c r="K25" s="84">
        <f t="shared" si="9"/>
        <v>52777777.739999995</v>
      </c>
      <c r="L25" s="78">
        <f>ROUND(C25*malumot!$B$85/H25,2)*G25</f>
        <v>2385844.8000000003</v>
      </c>
      <c r="M25" s="78">
        <f t="shared" si="0"/>
        <v>5163622.58</v>
      </c>
      <c r="N25" s="78"/>
      <c r="O25" s="93" t="str">
        <f t="shared" si="8"/>
        <v>Пт</v>
      </c>
      <c r="P25" s="95">
        <f t="shared" si="6"/>
        <v>0</v>
      </c>
      <c r="Q25" s="95">
        <f>DAY(malumot!$B$79)+P25</f>
        <v>23</v>
      </c>
      <c r="R25" s="90">
        <f>IF(A25&lt;=malumot!$B$82,DATE(YEAR($B$8),MONTH($B$8)+A24,DAY(malumot!$B$79)),0)</f>
        <v>46591</v>
      </c>
      <c r="S25" s="76"/>
      <c r="T25" s="76"/>
      <c r="U25" s="76"/>
      <c r="V25" s="76"/>
    </row>
    <row r="26" spans="1:22" x14ac:dyDescent="0.25">
      <c r="A26" s="82">
        <v>19</v>
      </c>
      <c r="B26" s="83">
        <f>IF(A26&lt;=malumot!$B$82,DATE(YEAR(R26),MONTH(R26),DAY(IF(A26=malumot!$B$82,malumot!$B$67,IF(A26&lt;malumot!$B$82,(Q26),IF(A26&gt;malumot!$B$82,$H$56,0))))))</f>
        <v>46622</v>
      </c>
      <c r="C26" s="47">
        <f t="shared" si="1"/>
        <v>49999999.959999979</v>
      </c>
      <c r="D26" s="47">
        <f t="shared" si="2"/>
        <v>2777777.78</v>
      </c>
      <c r="E26" s="47">
        <f t="shared" si="3"/>
        <v>2335616.5699999998</v>
      </c>
      <c r="F26" s="47">
        <f t="shared" si="4"/>
        <v>5113394.3499999996</v>
      </c>
      <c r="G26" s="76">
        <f t="shared" si="7"/>
        <v>31</v>
      </c>
      <c r="H26" s="76">
        <f t="shared" si="5"/>
        <v>365</v>
      </c>
      <c r="I26" s="84">
        <f t="shared" si="10"/>
        <v>2777777.78</v>
      </c>
      <c r="J26" s="84">
        <f>SUM($I$8:I25)</f>
        <v>50000000.040000007</v>
      </c>
      <c r="K26" s="84">
        <f t="shared" si="9"/>
        <v>49999999.959999993</v>
      </c>
      <c r="L26" s="78">
        <f>ROUND(C26*malumot!$B$85/H26,2)*G26</f>
        <v>2335616.5699999998</v>
      </c>
      <c r="M26" s="78">
        <f t="shared" si="0"/>
        <v>5113394.3499999996</v>
      </c>
      <c r="N26" s="78"/>
      <c r="O26" s="93" t="str">
        <f t="shared" si="8"/>
        <v>Пн</v>
      </c>
      <c r="P26" s="95">
        <f t="shared" si="6"/>
        <v>0</v>
      </c>
      <c r="Q26" s="95">
        <f>DAY(malumot!$B$79)+P26</f>
        <v>23</v>
      </c>
      <c r="R26" s="90">
        <f>IF(A26&lt;=malumot!$B$82,DATE(YEAR($B$8),MONTH($B$8)+A25,DAY(malumot!$B$79)),0)</f>
        <v>46622</v>
      </c>
      <c r="S26" s="76"/>
      <c r="T26" s="76"/>
      <c r="U26" s="76"/>
      <c r="V26" s="76"/>
    </row>
    <row r="27" spans="1:22" x14ac:dyDescent="0.25">
      <c r="A27" s="82">
        <v>20</v>
      </c>
      <c r="B27" s="83">
        <f>IF(A27&lt;=malumot!$B$82,DATE(YEAR(R27),MONTH(R27),DAY(IF(A27=malumot!$B$82,malumot!$B$67,IF(A27&lt;malumot!$B$82,(Q27),IF(A27&gt;malumot!$B$82,$H$56,0))))))</f>
        <v>46653</v>
      </c>
      <c r="C27" s="47">
        <f t="shared" si="1"/>
        <v>47222222.179999977</v>
      </c>
      <c r="D27" s="47">
        <f t="shared" si="2"/>
        <v>2777777.78</v>
      </c>
      <c r="E27" s="47">
        <f t="shared" si="3"/>
        <v>2205859.87</v>
      </c>
      <c r="F27" s="47">
        <f t="shared" si="4"/>
        <v>4983637.6500000004</v>
      </c>
      <c r="G27" s="76">
        <f t="shared" si="7"/>
        <v>31</v>
      </c>
      <c r="H27" s="76">
        <f t="shared" si="5"/>
        <v>365</v>
      </c>
      <c r="I27" s="84">
        <f t="shared" si="10"/>
        <v>2777777.78</v>
      </c>
      <c r="J27" s="84">
        <f>SUM($I$8:I26)</f>
        <v>52777777.820000008</v>
      </c>
      <c r="K27" s="84">
        <f t="shared" si="9"/>
        <v>47222222.179999992</v>
      </c>
      <c r="L27" s="78">
        <f>ROUND(C27*malumot!$B$85/H27,2)*G27</f>
        <v>2205859.87</v>
      </c>
      <c r="M27" s="78">
        <f t="shared" si="0"/>
        <v>4983637.6500000004</v>
      </c>
      <c r="N27" s="78"/>
      <c r="O27" s="93" t="str">
        <f t="shared" si="8"/>
        <v>Чт</v>
      </c>
      <c r="P27" s="95">
        <f t="shared" si="6"/>
        <v>0</v>
      </c>
      <c r="Q27" s="95">
        <f>DAY(malumot!$B$79)+P27</f>
        <v>23</v>
      </c>
      <c r="R27" s="90">
        <f>IF(A27&lt;=malumot!$B$82,DATE(YEAR($B$8),MONTH($B$8)+A26,DAY(malumot!$B$79)),0)</f>
        <v>46653</v>
      </c>
      <c r="S27" s="76"/>
      <c r="T27" s="76"/>
      <c r="U27" s="76"/>
      <c r="V27" s="76"/>
    </row>
    <row r="28" spans="1:22" x14ac:dyDescent="0.25">
      <c r="A28" s="82">
        <v>21</v>
      </c>
      <c r="B28" s="83">
        <f>IF(A28&lt;=malumot!$B$82,DATE(YEAR(R28),MONTH(R28),DAY(IF(A28=malumot!$B$82,malumot!$B$67,IF(A28&lt;malumot!$B$82,(Q28),IF(A28&gt;malumot!$B$82,$H$56,0))))))</f>
        <v>46685</v>
      </c>
      <c r="C28" s="47">
        <f t="shared" si="1"/>
        <v>44444444.399999976</v>
      </c>
      <c r="D28" s="47">
        <f t="shared" si="2"/>
        <v>2777777.78</v>
      </c>
      <c r="E28" s="47">
        <f t="shared" si="3"/>
        <v>2143074.56</v>
      </c>
      <c r="F28" s="47">
        <f t="shared" si="4"/>
        <v>4920852.34</v>
      </c>
      <c r="G28" s="76">
        <f t="shared" si="7"/>
        <v>32</v>
      </c>
      <c r="H28" s="76">
        <f t="shared" si="5"/>
        <v>365</v>
      </c>
      <c r="I28" s="84">
        <f t="shared" si="10"/>
        <v>2777777.78</v>
      </c>
      <c r="J28" s="84">
        <f>SUM($I$8:I27)</f>
        <v>55555555.600000009</v>
      </c>
      <c r="K28" s="84">
        <f t="shared" si="9"/>
        <v>44444444.399999991</v>
      </c>
      <c r="L28" s="78">
        <f>ROUND(C28*malumot!$B$85/H28,2)*G28</f>
        <v>2143074.56</v>
      </c>
      <c r="M28" s="78">
        <f t="shared" si="0"/>
        <v>4920852.34</v>
      </c>
      <c r="N28" s="78"/>
      <c r="O28" s="93" t="str">
        <f t="shared" si="8"/>
        <v>Сб</v>
      </c>
      <c r="P28" s="95">
        <f t="shared" si="6"/>
        <v>2</v>
      </c>
      <c r="Q28" s="95">
        <f>DAY(malumot!$B$79)+P28</f>
        <v>25</v>
      </c>
      <c r="R28" s="90">
        <f>IF(A28&lt;=malumot!$B$82,DATE(YEAR($B$8),MONTH($B$8)+A27,DAY(malumot!$B$79)),0)</f>
        <v>46683</v>
      </c>
      <c r="S28" s="76"/>
      <c r="T28" s="76"/>
      <c r="U28" s="76"/>
      <c r="V28" s="76"/>
    </row>
    <row r="29" spans="1:22" x14ac:dyDescent="0.25">
      <c r="A29" s="82">
        <v>22</v>
      </c>
      <c r="B29" s="83">
        <f>IF(A29&lt;=malumot!$B$82,DATE(YEAR(R29),MONTH(R29),DAY(IF(A29=malumot!$B$82,malumot!$B$67,IF(A29&lt;malumot!$B$82,(Q29),IF(A29&gt;malumot!$B$82,$H$56,0))))))</f>
        <v>46714</v>
      </c>
      <c r="C29" s="47">
        <f t="shared" si="1"/>
        <v>41666666.619999975</v>
      </c>
      <c r="D29" s="47">
        <f t="shared" si="2"/>
        <v>2777777.78</v>
      </c>
      <c r="E29" s="47">
        <f t="shared" si="3"/>
        <v>1820776.31</v>
      </c>
      <c r="F29" s="47">
        <f t="shared" si="4"/>
        <v>4598554.09</v>
      </c>
      <c r="G29" s="76">
        <f t="shared" si="7"/>
        <v>29</v>
      </c>
      <c r="H29" s="76">
        <f t="shared" si="5"/>
        <v>365</v>
      </c>
      <c r="I29" s="84">
        <f t="shared" si="10"/>
        <v>2777777.78</v>
      </c>
      <c r="J29" s="84">
        <f>SUM($I$8:I28)</f>
        <v>58333333.38000001</v>
      </c>
      <c r="K29" s="84">
        <f t="shared" si="9"/>
        <v>41666666.61999999</v>
      </c>
      <c r="L29" s="78">
        <f>ROUND(C29*malumot!$B$85/H29,2)*G29</f>
        <v>1820776.31</v>
      </c>
      <c r="M29" s="78">
        <f t="shared" si="0"/>
        <v>4598554.09</v>
      </c>
      <c r="N29" s="78"/>
      <c r="O29" s="93" t="str">
        <f t="shared" si="8"/>
        <v>Вт</v>
      </c>
      <c r="P29" s="95">
        <f t="shared" si="6"/>
        <v>0</v>
      </c>
      <c r="Q29" s="95">
        <f>DAY(malumot!$B$79)+P29</f>
        <v>23</v>
      </c>
      <c r="R29" s="90">
        <f>IF(A29&lt;=malumot!$B$82,DATE(YEAR($B$8),MONTH($B$8)+A28,DAY(malumot!$B$79)),0)</f>
        <v>46714</v>
      </c>
      <c r="S29" s="76"/>
      <c r="T29" s="76"/>
      <c r="U29" s="76"/>
      <c r="V29" s="76"/>
    </row>
    <row r="30" spans="1:22" x14ac:dyDescent="0.25">
      <c r="A30" s="82">
        <v>23</v>
      </c>
      <c r="B30" s="83">
        <f>IF(A30&lt;=malumot!$B$82,DATE(YEAR(R30),MONTH(R30),DAY(IF(A30=malumot!$B$82,malumot!$B$67,IF(A30&lt;malumot!$B$82,(Q30),IF(A30&gt;malumot!$B$82,$H$56,0))))))</f>
        <v>46744</v>
      </c>
      <c r="C30" s="47">
        <f t="shared" si="1"/>
        <v>38888888.839999974</v>
      </c>
      <c r="D30" s="47">
        <f t="shared" si="2"/>
        <v>2777777.78</v>
      </c>
      <c r="E30" s="47">
        <f t="shared" si="3"/>
        <v>1757991</v>
      </c>
      <c r="F30" s="47">
        <f t="shared" si="4"/>
        <v>4535768.7799999993</v>
      </c>
      <c r="G30" s="76">
        <f t="shared" si="7"/>
        <v>30</v>
      </c>
      <c r="H30" s="76">
        <f t="shared" si="5"/>
        <v>365</v>
      </c>
      <c r="I30" s="84">
        <f t="shared" si="10"/>
        <v>2777777.78</v>
      </c>
      <c r="J30" s="84">
        <f>SUM($I$8:I29)</f>
        <v>61111111.160000011</v>
      </c>
      <c r="K30" s="84">
        <f t="shared" si="9"/>
        <v>38888888.839999989</v>
      </c>
      <c r="L30" s="78">
        <f>ROUND(C30*malumot!$B$85/H30,2)*G30</f>
        <v>1757991</v>
      </c>
      <c r="M30" s="78">
        <f t="shared" si="0"/>
        <v>4535768.7799999993</v>
      </c>
      <c r="N30" s="78"/>
      <c r="O30" s="93" t="str">
        <f t="shared" si="8"/>
        <v>Чт</v>
      </c>
      <c r="P30" s="95">
        <f t="shared" si="6"/>
        <v>0</v>
      </c>
      <c r="Q30" s="95">
        <f>DAY(malumot!$B$79)+P30</f>
        <v>23</v>
      </c>
      <c r="R30" s="90">
        <f>IF(A30&lt;=malumot!$B$82,DATE(YEAR($B$8),MONTH($B$8)+A29,DAY(malumot!$B$79)),0)</f>
        <v>46744</v>
      </c>
      <c r="S30" s="76"/>
      <c r="T30" s="76"/>
      <c r="U30" s="76"/>
      <c r="V30" s="76"/>
    </row>
    <row r="31" spans="1:22" x14ac:dyDescent="0.25">
      <c r="A31" s="82">
        <v>24</v>
      </c>
      <c r="B31" s="83">
        <f>IF(A31&lt;=malumot!$B$82,DATE(YEAR(R31),MONTH(R31),DAY(IF(A31=malumot!$B$82,malumot!$B$67,IF(A31&lt;malumot!$B$82,(Q31),IF(A31&gt;malumot!$B$82,$H$56,0))))))</f>
        <v>46776</v>
      </c>
      <c r="C31" s="47">
        <f t="shared" ref="C31" si="11">C30-D30</f>
        <v>36111111.059999973</v>
      </c>
      <c r="D31" s="47">
        <f t="shared" ref="D31" si="12">IF(C31=0,L31,IF(C31&gt;1,I31))</f>
        <v>2777777.78</v>
      </c>
      <c r="E31" s="47">
        <f t="shared" ref="E31" si="13">IF(C31=0,N30,IF(C31&gt;1,L31))</f>
        <v>1736490.56</v>
      </c>
      <c r="F31" s="47">
        <f t="shared" ref="F31" si="14">IF(C31=0,N30,IF(C31&gt;1,M31))</f>
        <v>4514268.34</v>
      </c>
      <c r="G31" s="76">
        <f t="shared" si="7"/>
        <v>32</v>
      </c>
      <c r="H31" s="76">
        <f t="shared" si="5"/>
        <v>366</v>
      </c>
      <c r="I31" s="84">
        <f t="shared" si="10"/>
        <v>2777777.78</v>
      </c>
      <c r="J31" s="84">
        <f>SUM($I$8:I30)</f>
        <v>63888888.940000013</v>
      </c>
      <c r="K31" s="84">
        <f t="shared" si="9"/>
        <v>36111111.059999987</v>
      </c>
      <c r="L31" s="78">
        <f>ROUND(C31*malumot!$B$85/H31,2)*G31</f>
        <v>1736490.56</v>
      </c>
      <c r="M31" s="78">
        <f t="shared" si="0"/>
        <v>4514268.34</v>
      </c>
      <c r="N31" s="78"/>
      <c r="O31" s="93" t="str">
        <f t="shared" si="8"/>
        <v>Вс</v>
      </c>
      <c r="P31" s="95">
        <f t="shared" si="6"/>
        <v>1</v>
      </c>
      <c r="Q31" s="95">
        <f>DAY(malumot!$B$79)+P31</f>
        <v>24</v>
      </c>
      <c r="R31" s="90">
        <f>IF(A31&lt;=malumot!$B$82,DATE(YEAR($B$8),MONTH($B$8)+A30,DAY(malumot!$B$79)),0)</f>
        <v>46775</v>
      </c>
      <c r="S31" s="76"/>
      <c r="T31" s="76"/>
      <c r="U31" s="76"/>
      <c r="V31" s="76"/>
    </row>
    <row r="32" spans="1:22" x14ac:dyDescent="0.25">
      <c r="A32" s="82">
        <f>1+A31</f>
        <v>25</v>
      </c>
      <c r="B32" s="83">
        <f>IF(A32&lt;=malumot!$B$82,DATE(YEAR(R32),MONTH(R32),DAY(IF(A32=malumot!$B$82,malumot!$B$67,IF(A32&lt;malumot!$B$82,(Q32),IF(A32&gt;malumot!$B$82,$H$56,0))))))</f>
        <v>46806</v>
      </c>
      <c r="C32" s="47">
        <f t="shared" ref="C32:C42" si="15">C31-D31</f>
        <v>33333333.279999971</v>
      </c>
      <c r="D32" s="47">
        <f t="shared" ref="D32:D42" si="16">IF(C32=0,L32,IF(C32&gt;1,I32))</f>
        <v>2777777.78</v>
      </c>
      <c r="E32" s="47">
        <f t="shared" ref="E32:E42" si="17">IF(C32=0,N31,IF(C32&gt;1,L32))</f>
        <v>1502732.1</v>
      </c>
      <c r="F32" s="47">
        <f t="shared" ref="F32:F42" si="18">IF(C32=0,N31,IF(C32&gt;1,M32))</f>
        <v>4280509.88</v>
      </c>
      <c r="G32" s="76">
        <f t="shared" ref="G32:G42" si="19">B32-B31</f>
        <v>30</v>
      </c>
      <c r="H32" s="76">
        <f t="shared" ref="H32:H42" si="20">DATE(YEAR(B32),12,31)-DATE(YEAR(B32),1,1)+1</f>
        <v>366</v>
      </c>
      <c r="I32" s="84">
        <f t="shared" ref="I32:I42" si="21">IF($L$5=A32,K32,IF($L$5&gt;A32,I31))</f>
        <v>2777777.78</v>
      </c>
      <c r="J32" s="84">
        <f>SUM($I$8:I31)</f>
        <v>66666666.720000014</v>
      </c>
      <c r="K32" s="84">
        <f t="shared" ref="K32:K42" si="22">$J$12-J32</f>
        <v>33333333.279999986</v>
      </c>
      <c r="L32" s="78">
        <f>ROUND(C32*malumot!$B$85/H32,2)*G32</f>
        <v>1502732.1</v>
      </c>
      <c r="M32" s="78">
        <f t="shared" ref="M32:M42" si="23">D32+E32</f>
        <v>4280509.88</v>
      </c>
      <c r="N32" s="78"/>
      <c r="O32" s="93" t="str">
        <f t="shared" ref="O32:O42" si="24">TEXT(R32,"ддд")</f>
        <v>Ср</v>
      </c>
      <c r="P32" s="95">
        <f t="shared" ref="P32:P42" si="25">IF(O32=$U$8,2,IF(O32=$V$8,1,0))</f>
        <v>0</v>
      </c>
      <c r="Q32" s="95">
        <f>DAY(malumot!$B$79)+P32</f>
        <v>23</v>
      </c>
      <c r="R32" s="90">
        <f>IF(A32&lt;=malumot!$B$82,DATE(YEAR($B$8),MONTH($B$8)+A31,DAY(malumot!$B$79)),0)</f>
        <v>46806</v>
      </c>
      <c r="S32" s="76"/>
      <c r="T32" s="76"/>
      <c r="U32" s="76"/>
      <c r="V32" s="76"/>
    </row>
    <row r="33" spans="1:22" x14ac:dyDescent="0.25">
      <c r="A33" s="82">
        <f t="shared" ref="A33:A42" si="26">1+A32</f>
        <v>26</v>
      </c>
      <c r="B33" s="83">
        <f>IF(A33&lt;=malumot!$B$82,DATE(YEAR(R33),MONTH(R33),DAY(IF(A33=malumot!$B$82,malumot!$B$67,IF(A33&lt;malumot!$B$82,(Q33),IF(A33&gt;malumot!$B$82,$H$56,0))))))</f>
        <v>46835</v>
      </c>
      <c r="C33" s="47">
        <f t="shared" si="15"/>
        <v>30555555.49999997</v>
      </c>
      <c r="D33" s="47">
        <f t="shared" si="16"/>
        <v>2777777.78</v>
      </c>
      <c r="E33" s="47">
        <f t="shared" si="17"/>
        <v>1331587.78</v>
      </c>
      <c r="F33" s="47">
        <f t="shared" si="18"/>
        <v>4109365.5599999996</v>
      </c>
      <c r="G33" s="76">
        <f t="shared" si="19"/>
        <v>29</v>
      </c>
      <c r="H33" s="76">
        <f t="shared" si="20"/>
        <v>366</v>
      </c>
      <c r="I33" s="84">
        <f t="shared" si="21"/>
        <v>2777777.78</v>
      </c>
      <c r="J33" s="84">
        <f>SUM($I$8:I32)</f>
        <v>69444444.500000015</v>
      </c>
      <c r="K33" s="84">
        <f t="shared" si="22"/>
        <v>30555555.499999985</v>
      </c>
      <c r="L33" s="78">
        <f>ROUND(C33*malumot!$B$85/H33,2)*G33</f>
        <v>1331587.78</v>
      </c>
      <c r="M33" s="78">
        <f t="shared" si="23"/>
        <v>4109365.5599999996</v>
      </c>
      <c r="N33" s="78"/>
      <c r="O33" s="93" t="str">
        <f t="shared" si="24"/>
        <v>Чт</v>
      </c>
      <c r="P33" s="95">
        <f t="shared" si="25"/>
        <v>0</v>
      </c>
      <c r="Q33" s="95">
        <f>DAY(malumot!$B$79)+P33</f>
        <v>23</v>
      </c>
      <c r="R33" s="90">
        <f>IF(A33&lt;=malumot!$B$82,DATE(YEAR($B$8),MONTH($B$8)+A32,DAY(malumot!$B$79)),0)</f>
        <v>46835</v>
      </c>
      <c r="S33" s="76"/>
      <c r="T33" s="76"/>
      <c r="U33" s="76"/>
      <c r="V33" s="76"/>
    </row>
    <row r="34" spans="1:22" x14ac:dyDescent="0.25">
      <c r="A34" s="82">
        <f t="shared" si="26"/>
        <v>27</v>
      </c>
      <c r="B34" s="83">
        <f>IF(A34&lt;=malumot!$B$82,DATE(YEAR(R34),MONTH(R34),DAY(IF(A34=malumot!$B$82,malumot!$B$67,IF(A34&lt;malumot!$B$82,(Q34),IF(A34&gt;malumot!$B$82,$H$56,0))))))</f>
        <v>46867</v>
      </c>
      <c r="C34" s="47">
        <f t="shared" si="15"/>
        <v>27777777.719999969</v>
      </c>
      <c r="D34" s="47">
        <f t="shared" si="16"/>
        <v>2777777.78</v>
      </c>
      <c r="E34" s="47">
        <f t="shared" si="17"/>
        <v>1335761.9199999999</v>
      </c>
      <c r="F34" s="47">
        <f t="shared" si="18"/>
        <v>4113539.6999999997</v>
      </c>
      <c r="G34" s="76">
        <f t="shared" si="19"/>
        <v>32</v>
      </c>
      <c r="H34" s="76">
        <f t="shared" si="20"/>
        <v>366</v>
      </c>
      <c r="I34" s="84">
        <f t="shared" si="21"/>
        <v>2777777.78</v>
      </c>
      <c r="J34" s="84">
        <f>SUM($I$8:I33)</f>
        <v>72222222.280000016</v>
      </c>
      <c r="K34" s="84">
        <f t="shared" si="22"/>
        <v>27777777.719999984</v>
      </c>
      <c r="L34" s="78">
        <f>ROUND(C34*malumot!$B$85/H34,2)*G34</f>
        <v>1335761.9199999999</v>
      </c>
      <c r="M34" s="78">
        <f t="shared" si="23"/>
        <v>4113539.6999999997</v>
      </c>
      <c r="N34" s="78"/>
      <c r="O34" s="93" t="str">
        <f t="shared" si="24"/>
        <v>Вс</v>
      </c>
      <c r="P34" s="95">
        <f t="shared" si="25"/>
        <v>1</v>
      </c>
      <c r="Q34" s="95">
        <f>DAY(malumot!$B$79)+P34</f>
        <v>24</v>
      </c>
      <c r="R34" s="90">
        <f>IF(A34&lt;=malumot!$B$82,DATE(YEAR($B$8),MONTH($B$8)+A33,DAY(malumot!$B$79)),0)</f>
        <v>46866</v>
      </c>
      <c r="S34" s="76"/>
      <c r="T34" s="76"/>
      <c r="U34" s="76"/>
      <c r="V34" s="76"/>
    </row>
    <row r="35" spans="1:22" x14ac:dyDescent="0.25">
      <c r="A35" s="82">
        <f t="shared" si="26"/>
        <v>28</v>
      </c>
      <c r="B35" s="83">
        <f>IF(A35&lt;=malumot!$B$82,DATE(YEAR(R35),MONTH(R35),DAY(IF(A35=malumot!$B$82,malumot!$B$67,IF(A35&lt;malumot!$B$82,(Q35),IF(A35&gt;malumot!$B$82,$H$56,0))))))</f>
        <v>46896</v>
      </c>
      <c r="C35" s="47">
        <f t="shared" si="15"/>
        <v>24999999.939999968</v>
      </c>
      <c r="D35" s="47">
        <f t="shared" si="16"/>
        <v>2777777.78</v>
      </c>
      <c r="E35" s="47">
        <f t="shared" si="17"/>
        <v>1089480.99</v>
      </c>
      <c r="F35" s="47">
        <f t="shared" si="18"/>
        <v>3867258.7699999996</v>
      </c>
      <c r="G35" s="76">
        <f t="shared" si="19"/>
        <v>29</v>
      </c>
      <c r="H35" s="76">
        <f t="shared" si="20"/>
        <v>366</v>
      </c>
      <c r="I35" s="84">
        <f t="shared" si="21"/>
        <v>2777777.78</v>
      </c>
      <c r="J35" s="84">
        <f>SUM($I$8:I34)</f>
        <v>75000000.060000017</v>
      </c>
      <c r="K35" s="84">
        <f t="shared" si="22"/>
        <v>24999999.939999983</v>
      </c>
      <c r="L35" s="78">
        <f>ROUND(C35*malumot!$B$85/H35,2)*G35</f>
        <v>1089480.99</v>
      </c>
      <c r="M35" s="78">
        <f t="shared" si="23"/>
        <v>3867258.7699999996</v>
      </c>
      <c r="N35" s="78"/>
      <c r="O35" s="93" t="str">
        <f t="shared" si="24"/>
        <v>Вт</v>
      </c>
      <c r="P35" s="95">
        <f t="shared" si="25"/>
        <v>0</v>
      </c>
      <c r="Q35" s="95">
        <f>DAY(malumot!$B$79)+P35</f>
        <v>23</v>
      </c>
      <c r="R35" s="90">
        <f>IF(A35&lt;=malumot!$B$82,DATE(YEAR($B$8),MONTH($B$8)+A34,DAY(malumot!$B$79)),0)</f>
        <v>46896</v>
      </c>
      <c r="S35" s="76"/>
      <c r="T35" s="76"/>
      <c r="U35" s="76"/>
      <c r="V35" s="76"/>
    </row>
    <row r="36" spans="1:22" x14ac:dyDescent="0.25">
      <c r="A36" s="82">
        <f t="shared" si="26"/>
        <v>29</v>
      </c>
      <c r="B36" s="83">
        <f>IF(A36&lt;=malumot!$B$82,DATE(YEAR(R36),MONTH(R36),DAY(IF(A36=malumot!$B$82,malumot!$B$67,IF(A36&lt;malumot!$B$82,(Q36),IF(A36&gt;malumot!$B$82,$H$56,0))))))</f>
        <v>46927</v>
      </c>
      <c r="C36" s="47">
        <f t="shared" si="15"/>
        <v>22222222.159999967</v>
      </c>
      <c r="D36" s="47">
        <f t="shared" si="16"/>
        <v>2777777.78</v>
      </c>
      <c r="E36" s="47">
        <f t="shared" si="17"/>
        <v>1035215.55</v>
      </c>
      <c r="F36" s="47">
        <f t="shared" si="18"/>
        <v>3812993.33</v>
      </c>
      <c r="G36" s="76">
        <f t="shared" si="19"/>
        <v>31</v>
      </c>
      <c r="H36" s="76">
        <f t="shared" si="20"/>
        <v>366</v>
      </c>
      <c r="I36" s="84">
        <f t="shared" si="21"/>
        <v>2777777.78</v>
      </c>
      <c r="J36" s="84">
        <f>SUM($I$8:I35)</f>
        <v>77777777.840000018</v>
      </c>
      <c r="K36" s="84">
        <f t="shared" si="22"/>
        <v>22222222.159999982</v>
      </c>
      <c r="L36" s="78">
        <f>ROUND(C36*malumot!$B$85/H36,2)*G36</f>
        <v>1035215.55</v>
      </c>
      <c r="M36" s="78">
        <f t="shared" si="23"/>
        <v>3812993.33</v>
      </c>
      <c r="N36" s="78"/>
      <c r="O36" s="93" t="str">
        <f t="shared" si="24"/>
        <v>Пт</v>
      </c>
      <c r="P36" s="95">
        <f t="shared" si="25"/>
        <v>0</v>
      </c>
      <c r="Q36" s="95">
        <f>DAY(malumot!$B$79)+P36</f>
        <v>23</v>
      </c>
      <c r="R36" s="90">
        <f>IF(A36&lt;=malumot!$B$82,DATE(YEAR($B$8),MONTH($B$8)+A35,DAY(malumot!$B$79)),0)</f>
        <v>46927</v>
      </c>
      <c r="S36" s="76"/>
      <c r="T36" s="76"/>
      <c r="U36" s="76"/>
      <c r="V36" s="76"/>
    </row>
    <row r="37" spans="1:22" x14ac:dyDescent="0.25">
      <c r="A37" s="82">
        <f t="shared" si="26"/>
        <v>30</v>
      </c>
      <c r="B37" s="83">
        <f>IF(A37&lt;=malumot!$B$82,DATE(YEAR(R37),MONTH(R37),DAY(IF(A37=malumot!$B$82,malumot!$B$67,IF(A37&lt;malumot!$B$82,(Q37),IF(A37&gt;malumot!$B$82,$H$56,0))))))</f>
        <v>46958</v>
      </c>
      <c r="C37" s="47">
        <f t="shared" si="15"/>
        <v>19444444.379999965</v>
      </c>
      <c r="D37" s="47">
        <f t="shared" si="16"/>
        <v>2777777.78</v>
      </c>
      <c r="E37" s="47">
        <f t="shared" si="17"/>
        <v>905813.49</v>
      </c>
      <c r="F37" s="47">
        <f t="shared" si="18"/>
        <v>3683591.2699999996</v>
      </c>
      <c r="G37" s="76">
        <f t="shared" si="19"/>
        <v>31</v>
      </c>
      <c r="H37" s="76">
        <f t="shared" si="20"/>
        <v>366</v>
      </c>
      <c r="I37" s="84">
        <f t="shared" si="21"/>
        <v>2777777.78</v>
      </c>
      <c r="J37" s="84">
        <f>SUM($I$8:I36)</f>
        <v>80555555.62000002</v>
      </c>
      <c r="K37" s="84">
        <f t="shared" si="22"/>
        <v>19444444.37999998</v>
      </c>
      <c r="L37" s="78">
        <f>ROUND(C37*malumot!$B$85/H37,2)*G37</f>
        <v>905813.49</v>
      </c>
      <c r="M37" s="78">
        <f t="shared" si="23"/>
        <v>3683591.2699999996</v>
      </c>
      <c r="N37" s="78"/>
      <c r="O37" s="93" t="str">
        <f t="shared" si="24"/>
        <v>Вс</v>
      </c>
      <c r="P37" s="95">
        <f t="shared" si="25"/>
        <v>1</v>
      </c>
      <c r="Q37" s="95">
        <f>DAY(malumot!$B$79)+P37</f>
        <v>24</v>
      </c>
      <c r="R37" s="90">
        <f>IF(A37&lt;=malumot!$B$82,DATE(YEAR($B$8),MONTH($B$8)+A36,DAY(malumot!$B$79)),0)</f>
        <v>46957</v>
      </c>
      <c r="S37" s="76"/>
      <c r="T37" s="76"/>
      <c r="U37" s="76"/>
      <c r="V37" s="76"/>
    </row>
    <row r="38" spans="1:22" x14ac:dyDescent="0.25">
      <c r="A38" s="82">
        <f t="shared" si="26"/>
        <v>31</v>
      </c>
      <c r="B38" s="83">
        <f>IF(A38&lt;=malumot!$B$82,DATE(YEAR(R38),MONTH(R38),DAY(IF(A38=malumot!$B$82,malumot!$B$67,IF(A38&lt;malumot!$B$82,(Q38),IF(A38&gt;malumot!$B$82,$H$56,0))))))</f>
        <v>46988</v>
      </c>
      <c r="C38" s="47">
        <f t="shared" si="15"/>
        <v>16666666.599999966</v>
      </c>
      <c r="D38" s="47">
        <f t="shared" si="16"/>
        <v>2777777.78</v>
      </c>
      <c r="E38" s="47">
        <f t="shared" si="17"/>
        <v>751366.20000000007</v>
      </c>
      <c r="F38" s="47">
        <f t="shared" si="18"/>
        <v>3529143.98</v>
      </c>
      <c r="G38" s="76">
        <f t="shared" si="19"/>
        <v>30</v>
      </c>
      <c r="H38" s="76">
        <f t="shared" si="20"/>
        <v>366</v>
      </c>
      <c r="I38" s="84">
        <f t="shared" si="21"/>
        <v>2777777.78</v>
      </c>
      <c r="J38" s="84">
        <f>SUM($I$8:I37)</f>
        <v>83333333.400000021</v>
      </c>
      <c r="K38" s="84">
        <f t="shared" si="22"/>
        <v>16666666.599999979</v>
      </c>
      <c r="L38" s="78">
        <f>ROUND(C38*malumot!$B$85/H38,2)*G38</f>
        <v>751366.20000000007</v>
      </c>
      <c r="M38" s="78">
        <f t="shared" si="23"/>
        <v>3529143.98</v>
      </c>
      <c r="N38" s="78"/>
      <c r="O38" s="93" t="str">
        <f t="shared" si="24"/>
        <v>Ср</v>
      </c>
      <c r="P38" s="95">
        <f t="shared" si="25"/>
        <v>0</v>
      </c>
      <c r="Q38" s="95">
        <f>DAY(malumot!$B$79)+P38</f>
        <v>23</v>
      </c>
      <c r="R38" s="90">
        <f>IF(A38&lt;=malumot!$B$82,DATE(YEAR($B$8),MONTH($B$8)+A37,DAY(malumot!$B$79)),0)</f>
        <v>46988</v>
      </c>
      <c r="S38" s="76"/>
      <c r="T38" s="76"/>
      <c r="U38" s="76"/>
      <c r="V38" s="76"/>
    </row>
    <row r="39" spans="1:22" x14ac:dyDescent="0.25">
      <c r="A39" s="82">
        <f t="shared" si="26"/>
        <v>32</v>
      </c>
      <c r="B39" s="83">
        <f>IF(A39&lt;=malumot!$B$82,DATE(YEAR(R39),MONTH(R39),DAY(IF(A39=malumot!$B$82,malumot!$B$67,IF(A39&lt;malumot!$B$82,(Q39),IF(A39&gt;malumot!$B$82,$H$56,0))))))</f>
        <v>47021</v>
      </c>
      <c r="C39" s="47">
        <f t="shared" si="15"/>
        <v>13888888.819999967</v>
      </c>
      <c r="D39" s="47">
        <f t="shared" si="16"/>
        <v>2777777.78</v>
      </c>
      <c r="E39" s="47">
        <f t="shared" si="17"/>
        <v>688752.24</v>
      </c>
      <c r="F39" s="47">
        <f t="shared" si="18"/>
        <v>3466530.0199999996</v>
      </c>
      <c r="G39" s="76">
        <f t="shared" si="19"/>
        <v>33</v>
      </c>
      <c r="H39" s="76">
        <f t="shared" si="20"/>
        <v>366</v>
      </c>
      <c r="I39" s="84">
        <f t="shared" si="21"/>
        <v>2777777.78</v>
      </c>
      <c r="J39" s="84">
        <f>SUM($I$8:I38)</f>
        <v>86111111.180000022</v>
      </c>
      <c r="K39" s="84">
        <f t="shared" si="22"/>
        <v>13888888.819999978</v>
      </c>
      <c r="L39" s="78">
        <f>ROUND(C39*malumot!$B$85/H39,2)*G39</f>
        <v>688752.24</v>
      </c>
      <c r="M39" s="78">
        <f t="shared" si="23"/>
        <v>3466530.0199999996</v>
      </c>
      <c r="N39" s="78"/>
      <c r="O39" s="93" t="str">
        <f t="shared" si="24"/>
        <v>Сб</v>
      </c>
      <c r="P39" s="95">
        <f t="shared" si="25"/>
        <v>2</v>
      </c>
      <c r="Q39" s="95">
        <f>DAY(malumot!$B$79)+P39</f>
        <v>25</v>
      </c>
      <c r="R39" s="90">
        <f>IF(A39&lt;=malumot!$B$82,DATE(YEAR($B$8),MONTH($B$8)+A38,DAY(malumot!$B$79)),0)</f>
        <v>47019</v>
      </c>
      <c r="S39" s="76"/>
      <c r="T39" s="76"/>
      <c r="U39" s="76"/>
      <c r="V39" s="76"/>
    </row>
    <row r="40" spans="1:22" x14ac:dyDescent="0.25">
      <c r="A40" s="82">
        <f t="shared" si="26"/>
        <v>33</v>
      </c>
      <c r="B40" s="83">
        <f>IF(A40&lt;=malumot!$B$82,DATE(YEAR(R40),MONTH(R40),DAY(IF(A40=malumot!$B$82,malumot!$B$67,IF(A40&lt;malumot!$B$82,(Q40),IF(A40&gt;malumot!$B$82,$H$56,0))))))</f>
        <v>47049</v>
      </c>
      <c r="C40" s="47">
        <f t="shared" si="15"/>
        <v>11111111.039999967</v>
      </c>
      <c r="D40" s="47">
        <f t="shared" si="16"/>
        <v>2777777.78</v>
      </c>
      <c r="E40" s="47">
        <f t="shared" si="17"/>
        <v>467516.56</v>
      </c>
      <c r="F40" s="47">
        <f t="shared" si="18"/>
        <v>3245294.34</v>
      </c>
      <c r="G40" s="76">
        <f t="shared" si="19"/>
        <v>28</v>
      </c>
      <c r="H40" s="76">
        <f t="shared" si="20"/>
        <v>366</v>
      </c>
      <c r="I40" s="84">
        <f t="shared" si="21"/>
        <v>2777777.78</v>
      </c>
      <c r="J40" s="84">
        <f>SUM($I$8:I39)</f>
        <v>88888888.960000023</v>
      </c>
      <c r="K40" s="84">
        <f t="shared" si="22"/>
        <v>11111111.039999977</v>
      </c>
      <c r="L40" s="78">
        <f>ROUND(C40*malumot!$B$85/H40,2)*G40</f>
        <v>467516.56</v>
      </c>
      <c r="M40" s="78">
        <f t="shared" si="23"/>
        <v>3245294.34</v>
      </c>
      <c r="N40" s="78"/>
      <c r="O40" s="93" t="str">
        <f t="shared" si="24"/>
        <v>Пн</v>
      </c>
      <c r="P40" s="95">
        <f t="shared" si="25"/>
        <v>0</v>
      </c>
      <c r="Q40" s="95">
        <f>DAY(malumot!$B$79)+P40</f>
        <v>23</v>
      </c>
      <c r="R40" s="90">
        <f>IF(A40&lt;=malumot!$B$82,DATE(YEAR($B$8),MONTH($B$8)+A39,DAY(malumot!$B$79)),0)</f>
        <v>47049</v>
      </c>
      <c r="S40" s="76"/>
      <c r="T40" s="76"/>
      <c r="U40" s="76"/>
      <c r="V40" s="76"/>
    </row>
    <row r="41" spans="1:22" x14ac:dyDescent="0.25">
      <c r="A41" s="82">
        <f t="shared" si="26"/>
        <v>34</v>
      </c>
      <c r="B41" s="83">
        <f>IF(A41&lt;=malumot!$B$82,DATE(YEAR(R41),MONTH(R41),DAY(IF(A41=malumot!$B$82,malumot!$B$67,IF(A41&lt;malumot!$B$82,(Q41),IF(A41&gt;malumot!$B$82,$H$56,0))))))</f>
        <v>47080</v>
      </c>
      <c r="C41" s="47">
        <f t="shared" si="15"/>
        <v>8333333.2599999681</v>
      </c>
      <c r="D41" s="47">
        <f t="shared" si="16"/>
        <v>2777777.78</v>
      </c>
      <c r="E41" s="47">
        <f t="shared" si="17"/>
        <v>388205.87</v>
      </c>
      <c r="F41" s="47">
        <f t="shared" si="18"/>
        <v>3165983.65</v>
      </c>
      <c r="G41" s="76">
        <f t="shared" si="19"/>
        <v>31</v>
      </c>
      <c r="H41" s="76">
        <f t="shared" si="20"/>
        <v>366</v>
      </c>
      <c r="I41" s="84">
        <f t="shared" si="21"/>
        <v>2777777.78</v>
      </c>
      <c r="J41" s="84">
        <f>SUM($I$8:I40)</f>
        <v>91666666.740000024</v>
      </c>
      <c r="K41" s="84">
        <f t="shared" si="22"/>
        <v>8333333.2599999756</v>
      </c>
      <c r="L41" s="78">
        <f>ROUND(C41*malumot!$B$85/H41,2)*G41</f>
        <v>388205.87</v>
      </c>
      <c r="M41" s="78">
        <f t="shared" si="23"/>
        <v>3165983.65</v>
      </c>
      <c r="N41" s="78"/>
      <c r="O41" s="93" t="str">
        <f t="shared" si="24"/>
        <v>Чт</v>
      </c>
      <c r="P41" s="95">
        <f t="shared" si="25"/>
        <v>0</v>
      </c>
      <c r="Q41" s="95">
        <f>DAY(malumot!$B$79)+P41</f>
        <v>23</v>
      </c>
      <c r="R41" s="90">
        <f>IF(A41&lt;=malumot!$B$82,DATE(YEAR($B$8),MONTH($B$8)+A40,DAY(malumot!$B$79)),0)</f>
        <v>47080</v>
      </c>
      <c r="S41" s="76"/>
      <c r="T41" s="76"/>
      <c r="U41" s="76"/>
      <c r="V41" s="76"/>
    </row>
    <row r="42" spans="1:22" x14ac:dyDescent="0.25">
      <c r="A42" s="82">
        <f t="shared" si="26"/>
        <v>35</v>
      </c>
      <c r="B42" s="83">
        <f>IF(A42&lt;=malumot!$B$82,DATE(YEAR(R42),MONTH(R42),DAY(IF(A42=malumot!$B$82,malumot!$B$67,IF(A42&lt;malumot!$B$82,(Q42),IF(A42&gt;malumot!$B$82,$H$56,0))))))</f>
        <v>47112</v>
      </c>
      <c r="C42" s="47">
        <f t="shared" si="15"/>
        <v>5555555.4799999688</v>
      </c>
      <c r="D42" s="47">
        <f t="shared" si="16"/>
        <v>2777777.78</v>
      </c>
      <c r="E42" s="47">
        <f t="shared" si="17"/>
        <v>267152.32</v>
      </c>
      <c r="F42" s="47">
        <f t="shared" si="18"/>
        <v>3044930.0999999996</v>
      </c>
      <c r="G42" s="76">
        <f t="shared" si="19"/>
        <v>32</v>
      </c>
      <c r="H42" s="76">
        <f t="shared" si="20"/>
        <v>366</v>
      </c>
      <c r="I42" s="84">
        <f t="shared" si="21"/>
        <v>2777777.78</v>
      </c>
      <c r="J42" s="84">
        <f>SUM($I$8:I41)</f>
        <v>94444444.520000026</v>
      </c>
      <c r="K42" s="84">
        <f t="shared" si="22"/>
        <v>5555555.4799999744</v>
      </c>
      <c r="L42" s="78">
        <f>ROUND(C42*malumot!$B$85/H42,2)*G42</f>
        <v>267152.32</v>
      </c>
      <c r="M42" s="78">
        <f t="shared" si="23"/>
        <v>3044930.0999999996</v>
      </c>
      <c r="N42" s="78"/>
      <c r="O42" s="93" t="str">
        <f t="shared" si="24"/>
        <v>Сб</v>
      </c>
      <c r="P42" s="95">
        <f t="shared" si="25"/>
        <v>2</v>
      </c>
      <c r="Q42" s="95">
        <f>DAY(malumot!$B$79)+P42</f>
        <v>25</v>
      </c>
      <c r="R42" s="90">
        <f>IF(A42&lt;=malumot!$B$82,DATE(YEAR($B$8),MONTH($B$8)+A41,DAY(malumot!$B$79)),0)</f>
        <v>47110</v>
      </c>
      <c r="S42" s="76"/>
      <c r="T42" s="76"/>
      <c r="U42" s="76"/>
      <c r="V42" s="76"/>
    </row>
    <row r="43" spans="1:22" x14ac:dyDescent="0.25">
      <c r="A43" s="82">
        <f t="shared" ref="A43:A55" si="27">1+A42</f>
        <v>36</v>
      </c>
      <c r="B43" s="83">
        <f>IF(A43&lt;=malumot!$B$82,DATE(YEAR(R43),MONTH(R43),DAY(IF(A43=malumot!$B$82,malumot!$B$67,IF(A43&lt;malumot!$B$82,(Q43),IF(A43&gt;malumot!$B$82,$H$56,0))))))</f>
        <v>47148</v>
      </c>
      <c r="C43" s="47">
        <f t="shared" ref="C43" si="28">C42-D42</f>
        <v>2777777.699999969</v>
      </c>
      <c r="D43" s="47">
        <f t="shared" ref="D43" si="29">IF(C43=0,L43,IF(C43&gt;1,I43))</f>
        <v>2777777.6999999732</v>
      </c>
      <c r="E43" s="47">
        <f t="shared" ref="E43" si="30">IF(C43=0,N42,IF(C43&gt;1,L43))</f>
        <v>150684.84</v>
      </c>
      <c r="F43" s="47">
        <f t="shared" ref="F43" si="31">IF(C43=0,N42,IF(C43&gt;1,M43))</f>
        <v>2928462.539999973</v>
      </c>
      <c r="G43" s="76">
        <f t="shared" ref="G43" si="32">B43-B42</f>
        <v>36</v>
      </c>
      <c r="H43" s="76">
        <f t="shared" ref="H43" si="33">DATE(YEAR(B43),12,31)-DATE(YEAR(B43),1,1)+1</f>
        <v>365</v>
      </c>
      <c r="I43" s="84">
        <f t="shared" ref="I43" si="34">IF($L$5=A43,K43,IF($L$5&gt;A43,I42))</f>
        <v>2777777.6999999732</v>
      </c>
      <c r="J43" s="84">
        <f>SUM($I$8:I42)</f>
        <v>97222222.300000027</v>
      </c>
      <c r="K43" s="84">
        <f t="shared" ref="K43" si="35">$J$12-J43</f>
        <v>2777777.6999999732</v>
      </c>
      <c r="L43" s="78">
        <f>ROUND(C43*malumot!$B$85/H43,2)*G43</f>
        <v>150684.84</v>
      </c>
      <c r="M43" s="78">
        <f t="shared" ref="M43" si="36">D43+E43</f>
        <v>2928462.539999973</v>
      </c>
      <c r="N43" s="78"/>
      <c r="O43" s="93" t="str">
        <f t="shared" ref="O43" si="37">TEXT(R43,"ддд")</f>
        <v>Вт</v>
      </c>
      <c r="P43" s="95">
        <f t="shared" ref="P43" si="38">IF(O43=$U$8,2,IF(O43=$V$8,1,0))</f>
        <v>0</v>
      </c>
      <c r="Q43" s="95">
        <f>DAY(malumot!$B$79)+P43</f>
        <v>23</v>
      </c>
      <c r="R43" s="90">
        <f>IF(A43&lt;=malumot!$B$82,DATE(YEAR($B$8),MONTH($B$8)+A42,DAY(malumot!$B$79)),0)</f>
        <v>47141</v>
      </c>
      <c r="S43" s="76"/>
      <c r="T43" s="76"/>
      <c r="U43" s="76"/>
      <c r="V43" s="76"/>
    </row>
    <row r="44" spans="1:22" x14ac:dyDescent="0.25">
      <c r="A44" s="82">
        <f t="shared" si="27"/>
        <v>37</v>
      </c>
      <c r="B44" s="83" t="b">
        <f>IF(A44&lt;=malumot!$B$82,DATE(YEAR(R44),MONTH(R44),DAY(IF(A44=malumot!$B$82,malumot!$B$67,IF(A44&lt;malumot!$B$82,(Q44),IF(A44&gt;malumot!$B$82,$H$56,0))))))</f>
        <v>0</v>
      </c>
      <c r="C44" s="47">
        <f t="shared" ref="C44:C55" si="39">C43-D43</f>
        <v>-4.1909515857696533E-9</v>
      </c>
      <c r="D44" s="47" t="b">
        <f t="shared" ref="D44:D55" si="40">IF(C44=0,L44,IF(C44&gt;1,I44))</f>
        <v>0</v>
      </c>
      <c r="E44" s="47" t="b">
        <f t="shared" ref="E44:E55" si="41">IF(C44=0,N43,IF(C44&gt;1,L44))</f>
        <v>0</v>
      </c>
      <c r="F44" s="47" t="b">
        <f t="shared" ref="F44:F55" si="42">IF(C44=0,N43,IF(C44&gt;1,M44))</f>
        <v>0</v>
      </c>
      <c r="G44" s="76">
        <f t="shared" ref="G44:G55" si="43">B44-B43</f>
        <v>-47148</v>
      </c>
      <c r="H44" s="76">
        <f t="shared" ref="H44:H55" si="44">DATE(YEAR(B44),12,31)-DATE(YEAR(B44),1,1)+1</f>
        <v>366</v>
      </c>
      <c r="I44" s="84" t="b">
        <f t="shared" ref="I44:I55" si="45">IF($L$5=A44,K44,IF($L$5&gt;A44,I43))</f>
        <v>0</v>
      </c>
      <c r="J44" s="84">
        <f>SUM($I$8:I43)</f>
        <v>100000000</v>
      </c>
      <c r="K44" s="84">
        <f t="shared" ref="K44:K55" si="46">$J$12-J44</f>
        <v>0</v>
      </c>
      <c r="L44" s="78">
        <f>ROUND(C44*malumot!$B$85/H44,2)*G44</f>
        <v>0</v>
      </c>
      <c r="M44" s="78">
        <f t="shared" ref="M44:M55" si="47">D44+E44</f>
        <v>0</v>
      </c>
      <c r="N44" s="78"/>
      <c r="O44" s="93" t="str">
        <f t="shared" ref="O44:O55" si="48">TEXT(R44,"ддд")</f>
        <v>Сб</v>
      </c>
      <c r="P44" s="95">
        <f t="shared" ref="P44:P55" si="49">IF(O44=$U$8,2,IF(O44=$V$8,1,0))</f>
        <v>2</v>
      </c>
      <c r="Q44" s="95">
        <f>DAY(malumot!$B$79)+P44</f>
        <v>25</v>
      </c>
      <c r="R44" s="90">
        <f>IF(A44&lt;=malumot!$B$82,DATE(YEAR($B$8),MONTH($B$8)+A43,DAY(malumot!$B$79)),0)</f>
        <v>0</v>
      </c>
      <c r="S44" s="76"/>
      <c r="T44" s="76"/>
      <c r="U44" s="76"/>
      <c r="V44" s="76"/>
    </row>
    <row r="45" spans="1:22" x14ac:dyDescent="0.25">
      <c r="A45" s="82">
        <f t="shared" si="27"/>
        <v>38</v>
      </c>
      <c r="B45" s="83" t="b">
        <f>IF(A45&lt;=malumot!$B$82,DATE(YEAR(R45),MONTH(R45),DAY(IF(A45=malumot!$B$82,malumot!$B$67,IF(A45&lt;malumot!$B$82,(Q45),IF(A45&gt;malumot!$B$82,$H$56,0))))))</f>
        <v>0</v>
      </c>
      <c r="C45" s="47">
        <f t="shared" si="39"/>
        <v>-4.1909515857696533E-9</v>
      </c>
      <c r="D45" s="47" t="b">
        <f t="shared" si="40"/>
        <v>0</v>
      </c>
      <c r="E45" s="47" t="b">
        <f t="shared" si="41"/>
        <v>0</v>
      </c>
      <c r="F45" s="47" t="b">
        <f t="shared" si="42"/>
        <v>0</v>
      </c>
      <c r="G45" s="76">
        <f t="shared" si="43"/>
        <v>0</v>
      </c>
      <c r="H45" s="76">
        <f t="shared" si="44"/>
        <v>366</v>
      </c>
      <c r="I45" s="84" t="b">
        <f t="shared" si="45"/>
        <v>0</v>
      </c>
      <c r="J45" s="84">
        <f>SUM($I$8:I44)</f>
        <v>100000000</v>
      </c>
      <c r="K45" s="84">
        <f t="shared" si="46"/>
        <v>0</v>
      </c>
      <c r="L45" s="78">
        <f>ROUND(C45*malumot!$B$85/H45,2)*G45</f>
        <v>0</v>
      </c>
      <c r="M45" s="78">
        <f t="shared" si="47"/>
        <v>0</v>
      </c>
      <c r="N45" s="78"/>
      <c r="O45" s="93" t="str">
        <f t="shared" si="48"/>
        <v>Сб</v>
      </c>
      <c r="P45" s="95">
        <f t="shared" si="49"/>
        <v>2</v>
      </c>
      <c r="Q45" s="95">
        <f>DAY(malumot!$B$79)+P45</f>
        <v>25</v>
      </c>
      <c r="R45" s="90">
        <f>IF(A45&lt;=malumot!$B$82,DATE(YEAR($B$8),MONTH($B$8)+A44,DAY(malumot!$B$79)),0)</f>
        <v>0</v>
      </c>
      <c r="S45" s="76"/>
      <c r="T45" s="76"/>
      <c r="U45" s="76"/>
      <c r="V45" s="76"/>
    </row>
    <row r="46" spans="1:22" x14ac:dyDescent="0.25">
      <c r="A46" s="82">
        <f t="shared" si="27"/>
        <v>39</v>
      </c>
      <c r="B46" s="83" t="b">
        <f>IF(A46&lt;=malumot!$B$82,DATE(YEAR(R46),MONTH(R46),DAY(IF(A46=malumot!$B$82,malumot!$B$67,IF(A46&lt;malumot!$B$82,(Q46),IF(A46&gt;malumot!$B$82,$H$56,0))))))</f>
        <v>0</v>
      </c>
      <c r="C46" s="47">
        <f t="shared" si="39"/>
        <v>-4.1909515857696533E-9</v>
      </c>
      <c r="D46" s="47" t="b">
        <f t="shared" si="40"/>
        <v>0</v>
      </c>
      <c r="E46" s="47" t="b">
        <f t="shared" si="41"/>
        <v>0</v>
      </c>
      <c r="F46" s="47" t="b">
        <f t="shared" si="42"/>
        <v>0</v>
      </c>
      <c r="G46" s="76">
        <f t="shared" si="43"/>
        <v>0</v>
      </c>
      <c r="H46" s="76">
        <f t="shared" si="44"/>
        <v>366</v>
      </c>
      <c r="I46" s="84" t="b">
        <f t="shared" si="45"/>
        <v>0</v>
      </c>
      <c r="J46" s="84">
        <f>SUM($I$8:I45)</f>
        <v>100000000</v>
      </c>
      <c r="K46" s="84">
        <f t="shared" si="46"/>
        <v>0</v>
      </c>
      <c r="L46" s="78">
        <f>ROUND(C46*malumot!$B$85/H46,2)*G46</f>
        <v>0</v>
      </c>
      <c r="M46" s="78">
        <f t="shared" si="47"/>
        <v>0</v>
      </c>
      <c r="N46" s="78"/>
      <c r="O46" s="93" t="str">
        <f t="shared" si="48"/>
        <v>Сб</v>
      </c>
      <c r="P46" s="95">
        <f t="shared" si="49"/>
        <v>2</v>
      </c>
      <c r="Q46" s="95">
        <f>DAY(malumot!$B$79)+P46</f>
        <v>25</v>
      </c>
      <c r="R46" s="90">
        <f>IF(A46&lt;=malumot!$B$82,DATE(YEAR($B$8),MONTH($B$8)+A45,DAY(malumot!$B$79)),0)</f>
        <v>0</v>
      </c>
      <c r="S46" s="76"/>
      <c r="T46" s="76"/>
      <c r="U46" s="76"/>
      <c r="V46" s="76"/>
    </row>
    <row r="47" spans="1:22" x14ac:dyDescent="0.25">
      <c r="A47" s="82">
        <f t="shared" si="27"/>
        <v>40</v>
      </c>
      <c r="B47" s="83" t="b">
        <f>IF(A47&lt;=malumot!$B$82,DATE(YEAR(R47),MONTH(R47),DAY(IF(A47=malumot!$B$82,malumot!$B$67,IF(A47&lt;malumot!$B$82,(Q47),IF(A47&gt;malumot!$B$82,$H$56,0))))))</f>
        <v>0</v>
      </c>
      <c r="C47" s="47">
        <f t="shared" si="39"/>
        <v>-4.1909515857696533E-9</v>
      </c>
      <c r="D47" s="47" t="b">
        <f t="shared" si="40"/>
        <v>0</v>
      </c>
      <c r="E47" s="47" t="b">
        <f t="shared" si="41"/>
        <v>0</v>
      </c>
      <c r="F47" s="47" t="b">
        <f t="shared" si="42"/>
        <v>0</v>
      </c>
      <c r="G47" s="76">
        <f t="shared" si="43"/>
        <v>0</v>
      </c>
      <c r="H47" s="76">
        <f t="shared" si="44"/>
        <v>366</v>
      </c>
      <c r="I47" s="84" t="b">
        <f t="shared" si="45"/>
        <v>0</v>
      </c>
      <c r="J47" s="84">
        <f>SUM($I$8:I46)</f>
        <v>100000000</v>
      </c>
      <c r="K47" s="84">
        <f t="shared" si="46"/>
        <v>0</v>
      </c>
      <c r="L47" s="78">
        <f>ROUND(C47*malumot!$B$85/H47,2)*G47</f>
        <v>0</v>
      </c>
      <c r="M47" s="78">
        <f t="shared" si="47"/>
        <v>0</v>
      </c>
      <c r="N47" s="78"/>
      <c r="O47" s="93" t="str">
        <f t="shared" si="48"/>
        <v>Сб</v>
      </c>
      <c r="P47" s="95">
        <f t="shared" si="49"/>
        <v>2</v>
      </c>
      <c r="Q47" s="95">
        <f>DAY(malumot!$B$79)+P47</f>
        <v>25</v>
      </c>
      <c r="R47" s="90">
        <f>IF(A47&lt;=malumot!$B$82,DATE(YEAR($B$8),MONTH($B$8)+A46,DAY(malumot!$B$79)),0)</f>
        <v>0</v>
      </c>
      <c r="S47" s="76"/>
      <c r="T47" s="76"/>
      <c r="U47" s="76"/>
      <c r="V47" s="76"/>
    </row>
    <row r="48" spans="1:22" x14ac:dyDescent="0.25">
      <c r="A48" s="82">
        <f t="shared" si="27"/>
        <v>41</v>
      </c>
      <c r="B48" s="83" t="b">
        <f>IF(A48&lt;=malumot!$B$82,DATE(YEAR(R48),MONTH(R48),DAY(IF(A48=malumot!$B$82,malumot!$B$67,IF(A48&lt;malumot!$B$82,(Q48),IF(A48&gt;malumot!$B$82,$H$56,0))))))</f>
        <v>0</v>
      </c>
      <c r="C48" s="47">
        <f t="shared" si="39"/>
        <v>-4.1909515857696533E-9</v>
      </c>
      <c r="D48" s="47" t="b">
        <f t="shared" si="40"/>
        <v>0</v>
      </c>
      <c r="E48" s="47" t="b">
        <f t="shared" si="41"/>
        <v>0</v>
      </c>
      <c r="F48" s="47" t="b">
        <f t="shared" si="42"/>
        <v>0</v>
      </c>
      <c r="G48" s="76">
        <f t="shared" si="43"/>
        <v>0</v>
      </c>
      <c r="H48" s="76">
        <f t="shared" si="44"/>
        <v>366</v>
      </c>
      <c r="I48" s="84" t="b">
        <f t="shared" si="45"/>
        <v>0</v>
      </c>
      <c r="J48" s="84">
        <f>SUM($I$8:I47)</f>
        <v>100000000</v>
      </c>
      <c r="K48" s="84">
        <f t="shared" si="46"/>
        <v>0</v>
      </c>
      <c r="L48" s="78">
        <f>ROUND(C48*malumot!$B$85/H48,2)*G48</f>
        <v>0</v>
      </c>
      <c r="M48" s="78">
        <f t="shared" si="47"/>
        <v>0</v>
      </c>
      <c r="N48" s="78"/>
      <c r="O48" s="93" t="str">
        <f t="shared" si="48"/>
        <v>Сб</v>
      </c>
      <c r="P48" s="95">
        <f t="shared" si="49"/>
        <v>2</v>
      </c>
      <c r="Q48" s="95">
        <f>DAY(malumot!$B$79)+P48</f>
        <v>25</v>
      </c>
      <c r="R48" s="90">
        <f>IF(A48&lt;=malumot!$B$82,DATE(YEAR($B$8),MONTH($B$8)+A47,DAY(malumot!$B$79)),0)</f>
        <v>0</v>
      </c>
      <c r="S48" s="76"/>
      <c r="T48" s="76"/>
      <c r="U48" s="76"/>
      <c r="V48" s="76"/>
    </row>
    <row r="49" spans="1:22" x14ac:dyDescent="0.25">
      <c r="A49" s="82">
        <f t="shared" si="27"/>
        <v>42</v>
      </c>
      <c r="B49" s="83" t="b">
        <f>IF(A49&lt;=malumot!$B$82,DATE(YEAR(R49),MONTH(R49),DAY(IF(A49=malumot!$B$82,malumot!$B$67,IF(A49&lt;malumot!$B$82,(Q49),IF(A49&gt;malumot!$B$82,$H$56,0))))))</f>
        <v>0</v>
      </c>
      <c r="C49" s="47">
        <f t="shared" si="39"/>
        <v>-4.1909515857696533E-9</v>
      </c>
      <c r="D49" s="47" t="b">
        <f t="shared" si="40"/>
        <v>0</v>
      </c>
      <c r="E49" s="47" t="b">
        <f t="shared" si="41"/>
        <v>0</v>
      </c>
      <c r="F49" s="47" t="b">
        <f t="shared" si="42"/>
        <v>0</v>
      </c>
      <c r="G49" s="76">
        <f t="shared" si="43"/>
        <v>0</v>
      </c>
      <c r="H49" s="76">
        <f t="shared" si="44"/>
        <v>366</v>
      </c>
      <c r="I49" s="84" t="b">
        <f t="shared" si="45"/>
        <v>0</v>
      </c>
      <c r="J49" s="84">
        <f>SUM($I$8:I48)</f>
        <v>100000000</v>
      </c>
      <c r="K49" s="84">
        <f t="shared" si="46"/>
        <v>0</v>
      </c>
      <c r="L49" s="78">
        <f>ROUND(C49*malumot!$B$85/H49,2)*G49</f>
        <v>0</v>
      </c>
      <c r="M49" s="78">
        <f t="shared" si="47"/>
        <v>0</v>
      </c>
      <c r="N49" s="78"/>
      <c r="O49" s="93" t="str">
        <f t="shared" si="48"/>
        <v>Сб</v>
      </c>
      <c r="P49" s="95">
        <f t="shared" si="49"/>
        <v>2</v>
      </c>
      <c r="Q49" s="95">
        <f>DAY(malumot!$B$79)+P49</f>
        <v>25</v>
      </c>
      <c r="R49" s="90">
        <f>IF(A49&lt;=malumot!$B$82,DATE(YEAR($B$8),MONTH($B$8)+A48,DAY(malumot!$B$79)),0)</f>
        <v>0</v>
      </c>
      <c r="S49" s="76"/>
      <c r="T49" s="76"/>
      <c r="U49" s="76"/>
      <c r="V49" s="76"/>
    </row>
    <row r="50" spans="1:22" x14ac:dyDescent="0.25">
      <c r="A50" s="82">
        <f t="shared" si="27"/>
        <v>43</v>
      </c>
      <c r="B50" s="83" t="b">
        <f>IF(A50&lt;=malumot!$B$82,DATE(YEAR(R50),MONTH(R50),DAY(IF(A50=malumot!$B$82,malumot!$B$67,IF(A50&lt;malumot!$B$82,(Q50),IF(A50&gt;malumot!$B$82,$H$56,0))))))</f>
        <v>0</v>
      </c>
      <c r="C50" s="47">
        <f t="shared" si="39"/>
        <v>-4.1909515857696533E-9</v>
      </c>
      <c r="D50" s="47" t="b">
        <f t="shared" si="40"/>
        <v>0</v>
      </c>
      <c r="E50" s="47" t="b">
        <f t="shared" si="41"/>
        <v>0</v>
      </c>
      <c r="F50" s="47" t="b">
        <f t="shared" si="42"/>
        <v>0</v>
      </c>
      <c r="G50" s="76">
        <f t="shared" si="43"/>
        <v>0</v>
      </c>
      <c r="H50" s="76">
        <f t="shared" si="44"/>
        <v>366</v>
      </c>
      <c r="I50" s="84" t="b">
        <f t="shared" si="45"/>
        <v>0</v>
      </c>
      <c r="J50" s="84">
        <f>SUM($I$8:I49)</f>
        <v>100000000</v>
      </c>
      <c r="K50" s="84">
        <f t="shared" si="46"/>
        <v>0</v>
      </c>
      <c r="L50" s="78">
        <f>ROUND(C50*malumot!$B$85/H50,2)*G50</f>
        <v>0</v>
      </c>
      <c r="M50" s="78">
        <f t="shared" si="47"/>
        <v>0</v>
      </c>
      <c r="N50" s="78"/>
      <c r="O50" s="93" t="str">
        <f t="shared" si="48"/>
        <v>Сб</v>
      </c>
      <c r="P50" s="95">
        <f t="shared" si="49"/>
        <v>2</v>
      </c>
      <c r="Q50" s="95">
        <f>DAY(malumot!$B$79)+P50</f>
        <v>25</v>
      </c>
      <c r="R50" s="90">
        <f>IF(A50&lt;=malumot!$B$82,DATE(YEAR($B$8),MONTH($B$8)+A49,DAY(malumot!$B$79)),0)</f>
        <v>0</v>
      </c>
      <c r="S50" s="76"/>
      <c r="T50" s="76"/>
      <c r="U50" s="76"/>
      <c r="V50" s="76"/>
    </row>
    <row r="51" spans="1:22" x14ac:dyDescent="0.25">
      <c r="A51" s="82">
        <f t="shared" si="27"/>
        <v>44</v>
      </c>
      <c r="B51" s="83" t="b">
        <f>IF(A51&lt;=malumot!$B$82,DATE(YEAR(R51),MONTH(R51),DAY(IF(A51=malumot!$B$82,malumot!$B$67,IF(A51&lt;malumot!$B$82,(Q51),IF(A51&gt;malumot!$B$82,$H$56,0))))))</f>
        <v>0</v>
      </c>
      <c r="C51" s="47">
        <f t="shared" si="39"/>
        <v>-4.1909515857696533E-9</v>
      </c>
      <c r="D51" s="47" t="b">
        <f t="shared" si="40"/>
        <v>0</v>
      </c>
      <c r="E51" s="47" t="b">
        <f t="shared" si="41"/>
        <v>0</v>
      </c>
      <c r="F51" s="47" t="b">
        <f t="shared" si="42"/>
        <v>0</v>
      </c>
      <c r="G51" s="76">
        <f t="shared" si="43"/>
        <v>0</v>
      </c>
      <c r="H51" s="76">
        <f t="shared" si="44"/>
        <v>366</v>
      </c>
      <c r="I51" s="84" t="b">
        <f t="shared" si="45"/>
        <v>0</v>
      </c>
      <c r="J51" s="84">
        <f>SUM($I$8:I50)</f>
        <v>100000000</v>
      </c>
      <c r="K51" s="84">
        <f t="shared" si="46"/>
        <v>0</v>
      </c>
      <c r="L51" s="78">
        <f>ROUND(C51*malumot!$B$85/H51,2)*G51</f>
        <v>0</v>
      </c>
      <c r="M51" s="78">
        <f t="shared" si="47"/>
        <v>0</v>
      </c>
      <c r="N51" s="78"/>
      <c r="O51" s="93" t="str">
        <f t="shared" si="48"/>
        <v>Сб</v>
      </c>
      <c r="P51" s="95">
        <f t="shared" si="49"/>
        <v>2</v>
      </c>
      <c r="Q51" s="95">
        <f>DAY(malumot!$B$79)+P51</f>
        <v>25</v>
      </c>
      <c r="R51" s="90">
        <f>IF(A51&lt;=malumot!$B$82,DATE(YEAR($B$8),MONTH($B$8)+A50,DAY(malumot!$B$79)),0)</f>
        <v>0</v>
      </c>
      <c r="S51" s="76"/>
      <c r="T51" s="76"/>
      <c r="U51" s="76"/>
      <c r="V51" s="76"/>
    </row>
    <row r="52" spans="1:22" x14ac:dyDescent="0.25">
      <c r="A52" s="82">
        <f t="shared" si="27"/>
        <v>45</v>
      </c>
      <c r="B52" s="83" t="b">
        <f>IF(A52&lt;=malumot!$B$82,DATE(YEAR(R52),MONTH(R52),DAY(IF(A52=malumot!$B$82,malumot!$B$67,IF(A52&lt;malumot!$B$82,(Q52),IF(A52&gt;malumot!$B$82,$H$56,0))))))</f>
        <v>0</v>
      </c>
      <c r="C52" s="47">
        <f t="shared" si="39"/>
        <v>-4.1909515857696533E-9</v>
      </c>
      <c r="D52" s="47" t="b">
        <f t="shared" si="40"/>
        <v>0</v>
      </c>
      <c r="E52" s="47" t="b">
        <f t="shared" si="41"/>
        <v>0</v>
      </c>
      <c r="F52" s="47" t="b">
        <f t="shared" si="42"/>
        <v>0</v>
      </c>
      <c r="G52" s="76">
        <f t="shared" si="43"/>
        <v>0</v>
      </c>
      <c r="H52" s="76">
        <f t="shared" si="44"/>
        <v>366</v>
      </c>
      <c r="I52" s="84" t="b">
        <f t="shared" si="45"/>
        <v>0</v>
      </c>
      <c r="J52" s="84">
        <f>SUM($I$8:I51)</f>
        <v>100000000</v>
      </c>
      <c r="K52" s="84">
        <f t="shared" si="46"/>
        <v>0</v>
      </c>
      <c r="L52" s="78">
        <f>ROUND(C52*malumot!$B$85/H52,2)*G52</f>
        <v>0</v>
      </c>
      <c r="M52" s="78">
        <f t="shared" si="47"/>
        <v>0</v>
      </c>
      <c r="N52" s="78"/>
      <c r="O52" s="93" t="str">
        <f t="shared" si="48"/>
        <v>Сб</v>
      </c>
      <c r="P52" s="95">
        <f t="shared" si="49"/>
        <v>2</v>
      </c>
      <c r="Q52" s="95">
        <f>DAY(malumot!$B$79)+P52</f>
        <v>25</v>
      </c>
      <c r="R52" s="90">
        <f>IF(A52&lt;=malumot!$B$82,DATE(YEAR($B$8),MONTH($B$8)+A51,DAY(malumot!$B$79)),0)</f>
        <v>0</v>
      </c>
      <c r="S52" s="76"/>
      <c r="T52" s="76"/>
      <c r="U52" s="76"/>
      <c r="V52" s="76"/>
    </row>
    <row r="53" spans="1:22" x14ac:dyDescent="0.25">
      <c r="A53" s="82">
        <f t="shared" si="27"/>
        <v>46</v>
      </c>
      <c r="B53" s="83" t="b">
        <f>IF(A53&lt;=malumot!$B$82,DATE(YEAR(R53),MONTH(R53),DAY(IF(A53=malumot!$B$82,malumot!$B$67,IF(A53&lt;malumot!$B$82,(Q53),IF(A53&gt;malumot!$B$82,$H$56,0))))))</f>
        <v>0</v>
      </c>
      <c r="C53" s="47">
        <f t="shared" si="39"/>
        <v>-4.1909515857696533E-9</v>
      </c>
      <c r="D53" s="47" t="b">
        <f t="shared" si="40"/>
        <v>0</v>
      </c>
      <c r="E53" s="47" t="b">
        <f t="shared" si="41"/>
        <v>0</v>
      </c>
      <c r="F53" s="47" t="b">
        <f t="shared" si="42"/>
        <v>0</v>
      </c>
      <c r="G53" s="76">
        <f t="shared" si="43"/>
        <v>0</v>
      </c>
      <c r="H53" s="76">
        <f t="shared" si="44"/>
        <v>366</v>
      </c>
      <c r="I53" s="84" t="b">
        <f t="shared" si="45"/>
        <v>0</v>
      </c>
      <c r="J53" s="84">
        <f>SUM($I$8:I52)</f>
        <v>100000000</v>
      </c>
      <c r="K53" s="84">
        <f t="shared" si="46"/>
        <v>0</v>
      </c>
      <c r="L53" s="78">
        <f>ROUND(C53*malumot!$B$85/H53,2)*G53</f>
        <v>0</v>
      </c>
      <c r="M53" s="78">
        <f t="shared" si="47"/>
        <v>0</v>
      </c>
      <c r="N53" s="78"/>
      <c r="O53" s="93" t="str">
        <f t="shared" si="48"/>
        <v>Сб</v>
      </c>
      <c r="P53" s="95">
        <f t="shared" si="49"/>
        <v>2</v>
      </c>
      <c r="Q53" s="95">
        <f>DAY(malumot!$B$79)+P53</f>
        <v>25</v>
      </c>
      <c r="R53" s="90">
        <f>IF(A53&lt;=malumot!$B$82,DATE(YEAR($B$8),MONTH($B$8)+A52,DAY(malumot!$B$79)),0)</f>
        <v>0</v>
      </c>
      <c r="S53" s="76"/>
      <c r="T53" s="76"/>
      <c r="U53" s="76"/>
      <c r="V53" s="76"/>
    </row>
    <row r="54" spans="1:22" x14ac:dyDescent="0.25">
      <c r="A54" s="82">
        <f t="shared" si="27"/>
        <v>47</v>
      </c>
      <c r="B54" s="83" t="b">
        <f>IF(A54&lt;=malumot!$B$82,DATE(YEAR(R54),MONTH(R54),DAY(IF(A54=malumot!$B$82,malumot!$B$67,IF(A54&lt;malumot!$B$82,(Q54),IF(A54&gt;malumot!$B$82,$H$56,0))))))</f>
        <v>0</v>
      </c>
      <c r="C54" s="47">
        <f t="shared" si="39"/>
        <v>-4.1909515857696533E-9</v>
      </c>
      <c r="D54" s="47" t="b">
        <f t="shared" si="40"/>
        <v>0</v>
      </c>
      <c r="E54" s="47" t="b">
        <f t="shared" si="41"/>
        <v>0</v>
      </c>
      <c r="F54" s="47" t="b">
        <f t="shared" si="42"/>
        <v>0</v>
      </c>
      <c r="G54" s="76">
        <f t="shared" si="43"/>
        <v>0</v>
      </c>
      <c r="H54" s="76">
        <f t="shared" si="44"/>
        <v>366</v>
      </c>
      <c r="I54" s="84" t="b">
        <f t="shared" si="45"/>
        <v>0</v>
      </c>
      <c r="J54" s="84">
        <f>SUM($I$8:I53)</f>
        <v>100000000</v>
      </c>
      <c r="K54" s="84">
        <f t="shared" si="46"/>
        <v>0</v>
      </c>
      <c r="L54" s="78">
        <f>ROUND(C54*malumot!$B$85/H54,2)*G54</f>
        <v>0</v>
      </c>
      <c r="M54" s="78">
        <f t="shared" si="47"/>
        <v>0</v>
      </c>
      <c r="N54" s="78"/>
      <c r="O54" s="93" t="str">
        <f t="shared" si="48"/>
        <v>Сб</v>
      </c>
      <c r="P54" s="95">
        <f t="shared" si="49"/>
        <v>2</v>
      </c>
      <c r="Q54" s="95">
        <f>DAY(malumot!$B$79)+P54</f>
        <v>25</v>
      </c>
      <c r="R54" s="90">
        <f>IF(A54&lt;=malumot!$B$82,DATE(YEAR($B$8),MONTH($B$8)+A53,DAY(malumot!$B$79)),0)</f>
        <v>0</v>
      </c>
      <c r="S54" s="76"/>
      <c r="T54" s="76"/>
      <c r="U54" s="76"/>
      <c r="V54" s="76"/>
    </row>
    <row r="55" spans="1:22" x14ac:dyDescent="0.25">
      <c r="A55" s="82">
        <f t="shared" si="27"/>
        <v>48</v>
      </c>
      <c r="B55" s="83" t="b">
        <f>IF(A55&lt;=malumot!$B$82,DATE(YEAR(R55),MONTH(R55),DAY(IF(A55=malumot!$B$82,malumot!$B$67,IF(A55&lt;malumot!$B$82,(Q55),IF(A55&gt;malumot!$B$82,$H$56,0))))))</f>
        <v>0</v>
      </c>
      <c r="C55" s="47">
        <f t="shared" si="39"/>
        <v>-4.1909515857696533E-9</v>
      </c>
      <c r="D55" s="47" t="b">
        <f t="shared" si="40"/>
        <v>0</v>
      </c>
      <c r="E55" s="47" t="b">
        <f t="shared" si="41"/>
        <v>0</v>
      </c>
      <c r="F55" s="47" t="b">
        <f t="shared" si="42"/>
        <v>0</v>
      </c>
      <c r="G55" s="76">
        <f t="shared" si="43"/>
        <v>0</v>
      </c>
      <c r="H55" s="76">
        <f t="shared" si="44"/>
        <v>366</v>
      </c>
      <c r="I55" s="84" t="b">
        <f t="shared" si="45"/>
        <v>0</v>
      </c>
      <c r="J55" s="84">
        <f>SUM($I$8:I54)</f>
        <v>100000000</v>
      </c>
      <c r="K55" s="84">
        <f t="shared" si="46"/>
        <v>0</v>
      </c>
      <c r="L55" s="78">
        <f>ROUND(C55*malumot!$B$85/H55,2)*G55</f>
        <v>0</v>
      </c>
      <c r="M55" s="78">
        <f t="shared" si="47"/>
        <v>0</v>
      </c>
      <c r="N55" s="78"/>
      <c r="O55" s="93" t="str">
        <f t="shared" si="48"/>
        <v>Сб</v>
      </c>
      <c r="P55" s="95">
        <f t="shared" si="49"/>
        <v>2</v>
      </c>
      <c r="Q55" s="95">
        <f>DAY(malumot!$B$79)+P55</f>
        <v>25</v>
      </c>
      <c r="R55" s="90">
        <f>IF(A55&lt;=malumot!$B$82,DATE(YEAR($B$8),MONTH($B$8)+A54,DAY(malumot!$B$79)),0)</f>
        <v>0</v>
      </c>
      <c r="S55" s="76"/>
      <c r="T55" s="76"/>
      <c r="U55" s="76"/>
      <c r="V55" s="76"/>
    </row>
    <row r="56" spans="1:22" x14ac:dyDescent="0.25">
      <c r="A56" s="85"/>
      <c r="B56" s="86" t="s">
        <v>6</v>
      </c>
      <c r="C56" s="87"/>
      <c r="D56" s="87">
        <f>SUM(D8:D55)</f>
        <v>100000000</v>
      </c>
      <c r="E56" s="87">
        <f t="shared" ref="E56:F56" si="50">SUM(E8:E55)</f>
        <v>83724200.549999982</v>
      </c>
      <c r="F56" s="87">
        <f t="shared" si="50"/>
        <v>183724200.55000001</v>
      </c>
    </row>
    <row r="57" spans="1:22" ht="9" customHeight="1" x14ac:dyDescent="0.25">
      <c r="B57" s="88"/>
      <c r="C57" s="89"/>
      <c r="D57" s="89"/>
      <c r="E57" s="89"/>
      <c r="F57" s="89"/>
    </row>
    <row r="58" spans="1:22" ht="47.25" customHeight="1" x14ac:dyDescent="0.25">
      <c r="A58" s="294" t="s">
        <v>17</v>
      </c>
      <c r="B58" s="294"/>
      <c r="C58" s="294"/>
      <c r="D58" s="294"/>
      <c r="E58" s="294"/>
      <c r="F58" s="294"/>
    </row>
    <row r="59" spans="1:22" ht="7.5" customHeight="1" x14ac:dyDescent="0.25"/>
    <row r="60" spans="1:22" x14ac:dyDescent="0.25">
      <c r="A60" s="295" t="e">
        <f>#REF!</f>
        <v>#REF!</v>
      </c>
      <c r="B60" s="295"/>
      <c r="C60" s="295"/>
      <c r="D60" s="295" t="e">
        <f>#REF!</f>
        <v>#REF!</v>
      </c>
      <c r="E60" s="295"/>
      <c r="F60" s="295"/>
    </row>
    <row r="61" spans="1:22" ht="11.25" customHeight="1" x14ac:dyDescent="0.25">
      <c r="A61" s="296"/>
      <c r="B61" s="296"/>
      <c r="C61" s="296"/>
      <c r="D61" s="296"/>
      <c r="E61" s="296"/>
      <c r="F61" s="296"/>
    </row>
    <row r="62" spans="1:22" ht="30" customHeight="1" x14ac:dyDescent="0.25">
      <c r="A62" s="297" t="e">
        <f>#REF!</f>
        <v>#REF!</v>
      </c>
      <c r="B62" s="297"/>
      <c r="C62" s="297"/>
      <c r="D62" s="297" t="e">
        <f>#REF!</f>
        <v>#REF!</v>
      </c>
      <c r="E62" s="297"/>
      <c r="F62" s="297"/>
    </row>
    <row r="63" spans="1:22" ht="32.25" customHeight="1" x14ac:dyDescent="0.25">
      <c r="A63" s="293" t="e">
        <f>#REF!</f>
        <v>#REF!</v>
      </c>
      <c r="B63" s="293"/>
      <c r="C63" s="293"/>
      <c r="D63" s="293" t="e">
        <f>#REF!</f>
        <v>#REF!</v>
      </c>
      <c r="E63" s="293"/>
      <c r="F63" s="293"/>
    </row>
    <row r="64" spans="1:22" x14ac:dyDescent="0.25">
      <c r="A64" s="293" t="e">
        <f>#REF!</f>
        <v>#REF!</v>
      </c>
      <c r="B64" s="293"/>
      <c r="C64" s="293"/>
      <c r="D64" s="293" t="str">
        <f>"паспорт серии "&amp;malumot!B16&amp;", "&amp;malumot!B20&amp;""</f>
        <v>паспорт серии AE 2898945, IIV 33212 tomonidan 03.06.2025 yilda berilgan</v>
      </c>
      <c r="E64" s="293"/>
      <c r="F64" s="293"/>
    </row>
    <row r="65" spans="1:6" ht="32.25" customHeight="1" x14ac:dyDescent="0.25">
      <c r="A65" s="293" t="e">
        <f>#REF!</f>
        <v>#REF!</v>
      </c>
      <c r="B65" s="293"/>
      <c r="C65" s="293"/>
      <c r="D65" s="293"/>
      <c r="E65" s="293"/>
      <c r="F65" s="293"/>
    </row>
    <row r="66" spans="1:6" x14ac:dyDescent="0.25">
      <c r="A66" s="293" t="e">
        <f>#REF!</f>
        <v>#REF!</v>
      </c>
      <c r="B66" s="293"/>
      <c r="C66" s="293"/>
      <c r="D66" s="293" t="e">
        <f>#REF!</f>
        <v>#REF!</v>
      </c>
      <c r="E66" s="293"/>
      <c r="F66" s="293"/>
    </row>
    <row r="67" spans="1:6" x14ac:dyDescent="0.25">
      <c r="A67" s="293" t="e">
        <f>#REF!</f>
        <v>#REF!</v>
      </c>
      <c r="B67" s="293"/>
      <c r="C67" s="293"/>
      <c r="D67" s="293" t="e">
        <f>#REF!</f>
        <v>#REF!</v>
      </c>
      <c r="E67" s="293"/>
      <c r="F67" s="293"/>
    </row>
    <row r="68" spans="1:6" x14ac:dyDescent="0.25">
      <c r="A68" s="293" t="e">
        <f>#REF!</f>
        <v>#REF!</v>
      </c>
      <c r="B68" s="293"/>
      <c r="C68" s="293"/>
      <c r="D68" s="293" t="e">
        <f>#REF!</f>
        <v>#REF!</v>
      </c>
      <c r="E68" s="293"/>
      <c r="F68" s="293"/>
    </row>
    <row r="69" spans="1:6" ht="8.25" customHeight="1" x14ac:dyDescent="0.25">
      <c r="A69" s="293"/>
      <c r="B69" s="293"/>
      <c r="C69" s="293"/>
      <c r="D69" s="293"/>
      <c r="E69" s="293"/>
      <c r="F69" s="293"/>
    </row>
    <row r="70" spans="1:6" x14ac:dyDescent="0.25">
      <c r="A70" s="297" t="e">
        <f>#REF!</f>
        <v>#REF!</v>
      </c>
      <c r="B70" s="297"/>
      <c r="C70" s="297"/>
      <c r="D70" s="297" t="e">
        <f>#REF!</f>
        <v>#REF!</v>
      </c>
      <c r="E70" s="297"/>
      <c r="F70" s="297"/>
    </row>
    <row r="71" spans="1:6" ht="7.5" customHeight="1" x14ac:dyDescent="0.25">
      <c r="A71" s="297"/>
      <c r="B71" s="297"/>
      <c r="C71" s="297"/>
      <c r="D71" s="297"/>
      <c r="E71" s="297"/>
      <c r="F71" s="297"/>
    </row>
    <row r="72" spans="1:6" x14ac:dyDescent="0.25">
      <c r="A72" s="297" t="e">
        <f>#REF!</f>
        <v>#REF!</v>
      </c>
      <c r="B72" s="297"/>
      <c r="C72" s="297"/>
      <c r="D72" s="297" t="e">
        <f>#REF!</f>
        <v>#REF!</v>
      </c>
      <c r="E72" s="297"/>
      <c r="F72" s="297"/>
    </row>
    <row r="73" spans="1:6" ht="8.25" customHeight="1" x14ac:dyDescent="0.25">
      <c r="A73" s="293"/>
      <c r="B73" s="293"/>
      <c r="C73" s="293"/>
      <c r="D73" s="293"/>
      <c r="E73" s="293"/>
      <c r="F73" s="293"/>
    </row>
    <row r="74" spans="1:6" ht="30" customHeight="1" x14ac:dyDescent="0.25">
      <c r="A74" s="299"/>
      <c r="B74" s="299"/>
      <c r="C74" s="299"/>
      <c r="D74" s="300" t="e">
        <f>#REF!</f>
        <v>#REF!</v>
      </c>
      <c r="E74" s="300"/>
      <c r="F74" s="300"/>
    </row>
    <row r="75" spans="1:6" x14ac:dyDescent="0.25">
      <c r="A75" s="301"/>
      <c r="B75" s="301"/>
      <c r="C75" s="301"/>
      <c r="D75" s="301"/>
      <c r="E75" s="301"/>
      <c r="F75" s="301"/>
    </row>
    <row r="76" spans="1:6" x14ac:dyDescent="0.25">
      <c r="A76" s="298"/>
      <c r="B76" s="298"/>
      <c r="C76" s="298"/>
      <c r="D76" s="298"/>
      <c r="E76" s="298"/>
      <c r="F76" s="298"/>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55">
    <cfRule type="cellIs" dxfId="7" priority="3" operator="lessThan">
      <formula>22105</formula>
    </cfRule>
  </conditionalFormatting>
  <conditionalFormatting sqref="C8:C55">
    <cfRule type="cellIs" dxfId="6" priority="2" operator="lessThan">
      <formula>1</formula>
    </cfRule>
  </conditionalFormatting>
  <conditionalFormatting sqref="C8:F55">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02"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8" customFormat="1" ht="36.75" customHeight="1" x14ac:dyDescent="0.25">
      <c r="A1" s="107" t="s">
        <v>14</v>
      </c>
      <c r="B1" s="108" t="s">
        <v>3</v>
      </c>
      <c r="D1" s="107"/>
      <c r="E1" s="107" t="s">
        <v>37</v>
      </c>
      <c r="F1" s="107" t="s">
        <v>38</v>
      </c>
      <c r="G1" s="107"/>
      <c r="H1" s="107"/>
      <c r="I1" s="107"/>
      <c r="J1" s="107"/>
      <c r="K1" s="107"/>
      <c r="L1" s="107" t="s">
        <v>39</v>
      </c>
      <c r="M1" s="107" t="s">
        <v>41</v>
      </c>
      <c r="N1" s="107" t="s">
        <v>40</v>
      </c>
    </row>
    <row r="2" spans="1:23" ht="15" customHeight="1" x14ac:dyDescent="0.25">
      <c r="A2" s="101">
        <v>1</v>
      </c>
      <c r="B2" t="s">
        <v>249</v>
      </c>
      <c r="C2" t="s">
        <v>63</v>
      </c>
      <c r="D2" s="103" t="s">
        <v>249</v>
      </c>
      <c r="E2" s="103" t="s">
        <v>43</v>
      </c>
      <c r="F2" s="104">
        <v>44207</v>
      </c>
      <c r="G2" s="94">
        <f>MONTH(F2)</f>
        <v>1</v>
      </c>
      <c r="H2" s="104" t="str">
        <f>IF(G2=$A$26,$A$28,IF(G2=$B$26,$B$28,IF(G2=$C$26,$C$28,IF(G2=$D$26,$D$28,IF(G2=$E$26,$E$28,IF(G2=$F$26,$F$28,IF(G2=$K$26,$K$28,IF(G2=$L$26,$L$28,IF(G2=$M$26,$M$28,IF(G2=$N$26,$N$28,IF(G2=$O$26,$O$28,IF(G2=$P$26,$P$28,0))))))))))))</f>
        <v>yanvar</v>
      </c>
      <c r="I2" s="94">
        <f>DAY(F2)</f>
        <v>11</v>
      </c>
      <c r="J2" s="106">
        <f>YEAR(F2)</f>
        <v>2021</v>
      </c>
      <c r="K2" s="104" t="str">
        <f>""&amp;I2&amp;" "&amp;H2&amp;" "&amp;J2&amp;" г."</f>
        <v>11 yanvar 2021 г.</v>
      </c>
      <c r="L2" s="103">
        <v>5</v>
      </c>
      <c r="M2" s="105">
        <v>15000000</v>
      </c>
      <c r="N2" s="103" t="s">
        <v>126</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5"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01">
        <v>2</v>
      </c>
      <c r="D3" s="103" t="s">
        <v>249</v>
      </c>
      <c r="E3" s="103" t="s">
        <v>42</v>
      </c>
      <c r="F3" s="104">
        <v>43775</v>
      </c>
      <c r="G3" s="94">
        <f>MONTH(F3)</f>
        <v>11</v>
      </c>
      <c r="H3" s="104" t="str">
        <f>IF(G3=$A$26,$A$28,IF(G3=$B$26,$B$28,IF(G3=$C$26,$C$28,IF(G3=$D$26,$D$28,IF(G3=$E$26,$E$28,IF(G3=$F$26,$F$28,IF(G3=$K$26,$K$28,IF(G3=$L$26,$L$28,IF(G3=$M$26,$M$28,IF(G3=$N$26,$N$28,IF(G3=$O$26,$O$28,IF(G3=$P$26,$P$28,0))))))))))))</f>
        <v>noyabr</v>
      </c>
      <c r="I3" s="94">
        <f>DAY(F3)</f>
        <v>6</v>
      </c>
      <c r="J3" s="106">
        <f>YEAR(F3)</f>
        <v>2019</v>
      </c>
      <c r="K3" s="104" t="str">
        <f>""&amp;I3&amp;" "&amp;H3&amp;" "&amp;J3&amp;" г."</f>
        <v>6 noyabr 2019 г.</v>
      </c>
      <c r="L3" s="103">
        <v>386</v>
      </c>
      <c r="M3" s="105">
        <v>15000000</v>
      </c>
      <c r="N3" s="103" t="s">
        <v>126</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01">
        <v>3</v>
      </c>
      <c r="D4" s="103" t="s">
        <v>249</v>
      </c>
      <c r="E4" s="103" t="s">
        <v>42</v>
      </c>
      <c r="F4" s="104">
        <v>44217</v>
      </c>
      <c r="G4" s="94">
        <f>MONTH(F4)</f>
        <v>1</v>
      </c>
      <c r="H4" s="104" t="str">
        <f>IF(G4=$A$26,$A$28,IF(G4=$B$26,$B$28,IF(G4=$C$26,$C$28,IF(G4=$D$26,$D$28,IF(G4=$E$26,$E$28,IF(G4=$F$26,$F$28,IF(G4=$K$26,$K$28,IF(G4=$L$26,$L$28,IF(G4=$M$26,$M$28,IF(G4=$N$26,$N$28,IF(G4=$O$26,$O$28,IF(G4=$P$26,$P$28,0))))))))))))</f>
        <v>yanvar</v>
      </c>
      <c r="I4" s="94">
        <f>DAY(F4)</f>
        <v>21</v>
      </c>
      <c r="J4" s="106">
        <f>YEAR(F4)</f>
        <v>2021</v>
      </c>
      <c r="K4" s="104" t="str">
        <f>""&amp;I4&amp;" "&amp;H4&amp;" "&amp;J4&amp;" г."</f>
        <v>21 yanvar 2021 г.</v>
      </c>
      <c r="L4" s="103">
        <v>33</v>
      </c>
      <c r="M4" s="105">
        <v>15000000</v>
      </c>
      <c r="N4" s="103" t="s">
        <v>126</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01">
        <v>4</v>
      </c>
      <c r="D5" s="103" t="s">
        <v>249</v>
      </c>
      <c r="E5" s="103"/>
      <c r="F5" s="104"/>
      <c r="G5" s="94">
        <f t="shared" ref="G5:G21" si="2">MONTH(F5)</f>
        <v>1</v>
      </c>
      <c r="H5" s="104" t="str">
        <f t="shared" ref="H5:H21" si="3">IF(G5=$A$26,$A$28,IF(G5=$B$26,$B$28,IF(G5=$C$26,$C$28,IF(G5=$D$26,$D$28,IF(G5=$E$26,$E$28,IF(G5=$F$26,$F$28,IF(G5=$K$26,$K$28,IF(G5=$L$26,$L$28,IF(G5=$M$26,$M$28,IF(G5=$N$26,$N$28,IF(G5=$O$26,$O$28,IF(G5=$P$26,$P$28,0))))))))))))</f>
        <v>yanvar</v>
      </c>
      <c r="I5" s="94">
        <f t="shared" ref="I5:I21" si="4">DAY(F5)</f>
        <v>0</v>
      </c>
      <c r="J5" s="106">
        <f t="shared" ref="J5:J21" si="5">YEAR(F5)</f>
        <v>1900</v>
      </c>
      <c r="K5" s="104" t="str">
        <f t="shared" ref="K5:K21" si="6">""&amp;I5&amp;" "&amp;H5&amp;" "&amp;J5&amp;" г."</f>
        <v>0 yanvar 1900 г.</v>
      </c>
      <c r="L5" s="103"/>
      <c r="M5" s="105"/>
      <c r="N5" s="103"/>
      <c r="P5">
        <f t="shared" si="1"/>
        <v>0</v>
      </c>
    </row>
    <row r="6" spans="1:23" ht="15" customHeight="1" x14ac:dyDescent="0.25">
      <c r="A6" s="101">
        <v>5</v>
      </c>
      <c r="D6" s="103" t="s">
        <v>249</v>
      </c>
      <c r="E6" s="103"/>
      <c r="F6" s="104"/>
      <c r="G6" s="94">
        <f t="shared" si="2"/>
        <v>1</v>
      </c>
      <c r="H6" s="104" t="str">
        <f t="shared" si="3"/>
        <v>yanvar</v>
      </c>
      <c r="I6" s="94">
        <f t="shared" si="4"/>
        <v>0</v>
      </c>
      <c r="J6" s="106">
        <f t="shared" si="5"/>
        <v>1900</v>
      </c>
      <c r="K6" s="104" t="str">
        <f t="shared" si="6"/>
        <v>0 yanvar 1900 г.</v>
      </c>
      <c r="L6" s="103"/>
      <c r="M6" s="105"/>
      <c r="N6" s="103"/>
      <c r="P6">
        <f t="shared" si="1"/>
        <v>0</v>
      </c>
    </row>
    <row r="7" spans="1:23" ht="15" customHeight="1" x14ac:dyDescent="0.25">
      <c r="A7" s="101">
        <v>6</v>
      </c>
      <c r="D7" s="103" t="s">
        <v>249</v>
      </c>
      <c r="E7" s="103"/>
      <c r="F7" s="104"/>
      <c r="G7" s="94">
        <f t="shared" si="2"/>
        <v>1</v>
      </c>
      <c r="H7" s="104" t="str">
        <f t="shared" si="3"/>
        <v>yanvar</v>
      </c>
      <c r="I7" s="94">
        <f t="shared" si="4"/>
        <v>0</v>
      </c>
      <c r="J7" s="106">
        <f t="shared" si="5"/>
        <v>1900</v>
      </c>
      <c r="K7" s="104" t="str">
        <f t="shared" si="6"/>
        <v>0 yanvar 1900 г.</v>
      </c>
      <c r="L7" s="103"/>
      <c r="M7" s="105"/>
      <c r="N7" s="103"/>
      <c r="P7">
        <f t="shared" si="1"/>
        <v>0</v>
      </c>
    </row>
    <row r="8" spans="1:23" ht="15" customHeight="1" x14ac:dyDescent="0.25">
      <c r="A8" s="101">
        <v>7</v>
      </c>
      <c r="D8" s="103" t="s">
        <v>249</v>
      </c>
      <c r="E8" s="103"/>
      <c r="F8" s="104"/>
      <c r="G8" s="94">
        <f t="shared" si="2"/>
        <v>1</v>
      </c>
      <c r="H8" s="104" t="str">
        <f t="shared" si="3"/>
        <v>yanvar</v>
      </c>
      <c r="I8" s="94">
        <f t="shared" si="4"/>
        <v>0</v>
      </c>
      <c r="J8" s="106">
        <f t="shared" si="5"/>
        <v>1900</v>
      </c>
      <c r="K8" s="104" t="str">
        <f t="shared" si="6"/>
        <v>0 yanvar 1900 г.</v>
      </c>
      <c r="L8" s="103"/>
      <c r="M8" s="105"/>
      <c r="N8" s="103"/>
      <c r="P8">
        <f t="shared" si="1"/>
        <v>0</v>
      </c>
    </row>
    <row r="9" spans="1:23" ht="15" customHeight="1" x14ac:dyDescent="0.25">
      <c r="A9" s="101">
        <v>8</v>
      </c>
      <c r="D9" s="103" t="s">
        <v>249</v>
      </c>
      <c r="E9" s="103"/>
      <c r="F9" s="104"/>
      <c r="G9" s="94">
        <f t="shared" si="2"/>
        <v>1</v>
      </c>
      <c r="H9" s="104" t="str">
        <f t="shared" si="3"/>
        <v>yanvar</v>
      </c>
      <c r="I9" s="94">
        <f t="shared" si="4"/>
        <v>0</v>
      </c>
      <c r="J9" s="106">
        <f t="shared" si="5"/>
        <v>1900</v>
      </c>
      <c r="K9" s="104" t="str">
        <f t="shared" si="6"/>
        <v>0 yanvar 1900 г.</v>
      </c>
      <c r="L9" s="103"/>
      <c r="M9" s="105"/>
      <c r="N9" s="103"/>
      <c r="P9">
        <f t="shared" si="1"/>
        <v>0</v>
      </c>
    </row>
    <row r="10" spans="1:23" ht="15" customHeight="1" x14ac:dyDescent="0.25">
      <c r="A10" s="101">
        <v>9</v>
      </c>
      <c r="D10" s="103" t="s">
        <v>249</v>
      </c>
      <c r="E10" s="103"/>
      <c r="F10" s="104"/>
      <c r="G10" s="94">
        <f t="shared" si="2"/>
        <v>1</v>
      </c>
      <c r="H10" s="104" t="str">
        <f t="shared" si="3"/>
        <v>yanvar</v>
      </c>
      <c r="I10" s="94">
        <f t="shared" si="4"/>
        <v>0</v>
      </c>
      <c r="J10" s="106">
        <f t="shared" si="5"/>
        <v>1900</v>
      </c>
      <c r="K10" s="104" t="str">
        <f t="shared" si="6"/>
        <v>0 yanvar 1900 г.</v>
      </c>
      <c r="L10" s="103"/>
      <c r="M10" s="105"/>
      <c r="N10" s="103"/>
      <c r="P10">
        <f t="shared" si="1"/>
        <v>0</v>
      </c>
    </row>
    <row r="11" spans="1:23" ht="15" customHeight="1" x14ac:dyDescent="0.25">
      <c r="A11" s="101">
        <v>10</v>
      </c>
      <c r="D11" s="103" t="s">
        <v>249</v>
      </c>
      <c r="E11" s="103"/>
      <c r="F11" s="104"/>
      <c r="G11" s="94">
        <f t="shared" si="2"/>
        <v>1</v>
      </c>
      <c r="H11" s="104" t="str">
        <f t="shared" si="3"/>
        <v>yanvar</v>
      </c>
      <c r="I11" s="94">
        <f t="shared" si="4"/>
        <v>0</v>
      </c>
      <c r="J11" s="106">
        <f t="shared" si="5"/>
        <v>1900</v>
      </c>
      <c r="K11" s="104" t="str">
        <f t="shared" si="6"/>
        <v>0 yanvar 1900 г.</v>
      </c>
      <c r="L11" s="103"/>
      <c r="M11" s="105"/>
      <c r="N11" s="103"/>
      <c r="P11">
        <f t="shared" si="1"/>
        <v>0</v>
      </c>
    </row>
    <row r="12" spans="1:23" ht="15" customHeight="1" x14ac:dyDescent="0.25">
      <c r="A12" s="101">
        <v>11</v>
      </c>
      <c r="D12" s="103" t="s">
        <v>249</v>
      </c>
      <c r="E12" s="103"/>
      <c r="F12" s="104"/>
      <c r="G12" s="94">
        <f t="shared" si="2"/>
        <v>1</v>
      </c>
      <c r="H12" s="104" t="str">
        <f t="shared" si="3"/>
        <v>yanvar</v>
      </c>
      <c r="I12" s="94">
        <f t="shared" si="4"/>
        <v>0</v>
      </c>
      <c r="J12" s="106">
        <f t="shared" si="5"/>
        <v>1900</v>
      </c>
      <c r="K12" s="104" t="str">
        <f t="shared" si="6"/>
        <v>0 yanvar 1900 г.</v>
      </c>
      <c r="L12" s="103"/>
      <c r="M12" s="105"/>
      <c r="N12" s="103"/>
      <c r="P12">
        <f t="shared" si="1"/>
        <v>0</v>
      </c>
    </row>
    <row r="13" spans="1:23" ht="15" customHeight="1" x14ac:dyDescent="0.25">
      <c r="A13" s="101">
        <v>12</v>
      </c>
      <c r="D13" s="103" t="s">
        <v>249</v>
      </c>
      <c r="E13" s="103"/>
      <c r="F13" s="104"/>
      <c r="G13" s="94">
        <f t="shared" si="2"/>
        <v>1</v>
      </c>
      <c r="H13" s="104" t="str">
        <f t="shared" si="3"/>
        <v>yanvar</v>
      </c>
      <c r="I13" s="94">
        <f t="shared" si="4"/>
        <v>0</v>
      </c>
      <c r="J13" s="106">
        <f t="shared" si="5"/>
        <v>1900</v>
      </c>
      <c r="K13" s="104" t="str">
        <f t="shared" si="6"/>
        <v>0 yanvar 1900 г.</v>
      </c>
      <c r="L13" s="103"/>
      <c r="M13" s="105"/>
      <c r="N13" s="103"/>
      <c r="P13">
        <f t="shared" si="1"/>
        <v>0</v>
      </c>
    </row>
    <row r="14" spans="1:23" ht="15" customHeight="1" x14ac:dyDescent="0.25">
      <c r="A14" s="101">
        <v>13</v>
      </c>
      <c r="D14" s="103" t="s">
        <v>249</v>
      </c>
      <c r="E14" s="103"/>
      <c r="F14" s="104"/>
      <c r="G14" s="94">
        <f t="shared" si="2"/>
        <v>1</v>
      </c>
      <c r="H14" s="104" t="str">
        <f t="shared" si="3"/>
        <v>yanvar</v>
      </c>
      <c r="I14" s="94">
        <f t="shared" si="4"/>
        <v>0</v>
      </c>
      <c r="J14" s="106">
        <f t="shared" si="5"/>
        <v>1900</v>
      </c>
      <c r="K14" s="104" t="str">
        <f t="shared" si="6"/>
        <v>0 yanvar 1900 г.</v>
      </c>
      <c r="L14" s="103"/>
      <c r="M14" s="105"/>
      <c r="N14" s="103"/>
      <c r="P14">
        <f t="shared" si="1"/>
        <v>0</v>
      </c>
    </row>
    <row r="15" spans="1:23" ht="15" customHeight="1" x14ac:dyDescent="0.25">
      <c r="A15" s="101">
        <v>14</v>
      </c>
      <c r="D15" s="103" t="s">
        <v>249</v>
      </c>
      <c r="E15" s="103"/>
      <c r="F15" s="104"/>
      <c r="G15" s="94">
        <f t="shared" si="2"/>
        <v>1</v>
      </c>
      <c r="H15" s="104" t="str">
        <f t="shared" si="3"/>
        <v>yanvar</v>
      </c>
      <c r="I15" s="94">
        <f t="shared" si="4"/>
        <v>0</v>
      </c>
      <c r="J15" s="106">
        <f t="shared" si="5"/>
        <v>1900</v>
      </c>
      <c r="K15" s="104" t="str">
        <f t="shared" si="6"/>
        <v>0 yanvar 1900 г.</v>
      </c>
      <c r="L15" s="103"/>
      <c r="M15" s="105"/>
      <c r="N15" s="103"/>
      <c r="P15">
        <f t="shared" si="1"/>
        <v>0</v>
      </c>
    </row>
    <row r="16" spans="1:23" ht="15" customHeight="1" x14ac:dyDescent="0.25">
      <c r="A16" s="101">
        <v>15</v>
      </c>
      <c r="D16" s="103" t="s">
        <v>249</v>
      </c>
      <c r="E16" s="103"/>
      <c r="F16" s="104"/>
      <c r="G16" s="94">
        <f t="shared" si="2"/>
        <v>1</v>
      </c>
      <c r="H16" s="104" t="str">
        <f t="shared" si="3"/>
        <v>yanvar</v>
      </c>
      <c r="I16" s="94">
        <f t="shared" si="4"/>
        <v>0</v>
      </c>
      <c r="J16" s="106">
        <f t="shared" si="5"/>
        <v>1900</v>
      </c>
      <c r="K16" s="104" t="str">
        <f t="shared" si="6"/>
        <v>0 yanvar 1900 г.</v>
      </c>
      <c r="L16" s="103"/>
      <c r="M16" s="105"/>
      <c r="N16" s="103"/>
      <c r="P16">
        <f t="shared" si="1"/>
        <v>0</v>
      </c>
    </row>
    <row r="17" spans="1:17" ht="15" customHeight="1" x14ac:dyDescent="0.25">
      <c r="A17" s="101">
        <v>16</v>
      </c>
      <c r="D17" s="103" t="s">
        <v>249</v>
      </c>
      <c r="E17" s="103"/>
      <c r="F17" s="104"/>
      <c r="G17" s="94">
        <f t="shared" si="2"/>
        <v>1</v>
      </c>
      <c r="H17" s="104" t="str">
        <f t="shared" si="3"/>
        <v>yanvar</v>
      </c>
      <c r="I17" s="94">
        <f t="shared" si="4"/>
        <v>0</v>
      </c>
      <c r="J17" s="106">
        <f t="shared" si="5"/>
        <v>1900</v>
      </c>
      <c r="K17" s="104" t="str">
        <f t="shared" si="6"/>
        <v>0 yanvar 1900 г.</v>
      </c>
      <c r="L17" s="103"/>
      <c r="M17" s="105"/>
      <c r="N17" s="103"/>
      <c r="P17">
        <f t="shared" si="1"/>
        <v>0</v>
      </c>
    </row>
    <row r="18" spans="1:17" ht="15" customHeight="1" x14ac:dyDescent="0.25">
      <c r="A18" s="101">
        <v>17</v>
      </c>
      <c r="D18" s="103" t="s">
        <v>249</v>
      </c>
      <c r="E18" s="103"/>
      <c r="F18" s="104"/>
      <c r="G18" s="94">
        <f t="shared" si="2"/>
        <v>1</v>
      </c>
      <c r="H18" s="104" t="str">
        <f t="shared" si="3"/>
        <v>yanvar</v>
      </c>
      <c r="I18" s="94">
        <f t="shared" si="4"/>
        <v>0</v>
      </c>
      <c r="J18" s="106">
        <f t="shared" si="5"/>
        <v>1900</v>
      </c>
      <c r="K18" s="104" t="str">
        <f t="shared" si="6"/>
        <v>0 yanvar 1900 г.</v>
      </c>
      <c r="L18" s="103"/>
      <c r="M18" s="105"/>
      <c r="N18" s="103"/>
      <c r="P18">
        <f t="shared" si="1"/>
        <v>0</v>
      </c>
    </row>
    <row r="19" spans="1:17" ht="15" customHeight="1" x14ac:dyDescent="0.25">
      <c r="A19" s="101">
        <v>18</v>
      </c>
      <c r="D19" s="103" t="s">
        <v>249</v>
      </c>
      <c r="E19" s="103"/>
      <c r="F19" s="104"/>
      <c r="G19" s="94">
        <f t="shared" si="2"/>
        <v>1</v>
      </c>
      <c r="H19" s="104" t="str">
        <f t="shared" si="3"/>
        <v>yanvar</v>
      </c>
      <c r="I19" s="94">
        <f t="shared" si="4"/>
        <v>0</v>
      </c>
      <c r="J19" s="106">
        <f t="shared" si="5"/>
        <v>1900</v>
      </c>
      <c r="K19" s="104" t="str">
        <f t="shared" si="6"/>
        <v>0 yanvar 1900 г.</v>
      </c>
      <c r="L19" s="103"/>
      <c r="M19" s="105"/>
      <c r="N19" s="103"/>
      <c r="P19">
        <f t="shared" si="1"/>
        <v>0</v>
      </c>
    </row>
    <row r="20" spans="1:17" ht="15" customHeight="1" x14ac:dyDescent="0.25">
      <c r="A20" s="101">
        <v>19</v>
      </c>
      <c r="D20" s="103" t="s">
        <v>249</v>
      </c>
      <c r="E20" s="103"/>
      <c r="F20" s="104"/>
      <c r="G20" s="94">
        <f t="shared" si="2"/>
        <v>1</v>
      </c>
      <c r="H20" s="104" t="str">
        <f t="shared" si="3"/>
        <v>yanvar</v>
      </c>
      <c r="I20" s="94">
        <f t="shared" si="4"/>
        <v>0</v>
      </c>
      <c r="J20" s="106">
        <f t="shared" si="5"/>
        <v>1900</v>
      </c>
      <c r="K20" s="104" t="str">
        <f t="shared" si="6"/>
        <v>0 yanvar 1900 г.</v>
      </c>
      <c r="L20" s="103"/>
      <c r="M20" s="105"/>
      <c r="N20" s="103"/>
      <c r="P20">
        <f t="shared" si="1"/>
        <v>0</v>
      </c>
    </row>
    <row r="21" spans="1:17" ht="15" customHeight="1" x14ac:dyDescent="0.25">
      <c r="A21" s="101">
        <v>20</v>
      </c>
      <c r="D21" s="103" t="s">
        <v>249</v>
      </c>
      <c r="E21" s="103"/>
      <c r="F21" s="104"/>
      <c r="G21" s="94">
        <f t="shared" si="2"/>
        <v>1</v>
      </c>
      <c r="H21" s="104" t="str">
        <f t="shared" si="3"/>
        <v>yanvar</v>
      </c>
      <c r="I21" s="94">
        <f t="shared" si="4"/>
        <v>0</v>
      </c>
      <c r="J21" s="106">
        <f t="shared" si="5"/>
        <v>1900</v>
      </c>
      <c r="K21" s="104" t="str">
        <f t="shared" si="6"/>
        <v>0 yanvar 1900 г.</v>
      </c>
      <c r="L21" s="103"/>
      <c r="M21" s="105"/>
      <c r="N21" s="103"/>
      <c r="P21">
        <f t="shared" si="1"/>
        <v>0</v>
      </c>
    </row>
    <row r="22" spans="1:17" x14ac:dyDescent="0.25">
      <c r="M22" s="109">
        <f>SUM(M2:M21)+malumot!B143</f>
        <v>150000000</v>
      </c>
      <c r="Q22" t="s">
        <v>248</v>
      </c>
    </row>
    <row r="23" spans="1:17" x14ac:dyDescent="0.25">
      <c r="A23" s="90"/>
      <c r="B23" s="91"/>
      <c r="C23" s="91"/>
      <c r="D23" s="91"/>
      <c r="E23" s="91"/>
      <c r="F23" s="91"/>
      <c r="G23" s="91"/>
      <c r="H23" s="91"/>
      <c r="I23" s="91"/>
      <c r="J23" s="91"/>
      <c r="K23" s="91"/>
      <c r="L23" s="91"/>
      <c r="M23" s="91"/>
      <c r="N23" s="91"/>
      <c r="O23" s="91"/>
    </row>
    <row r="24" spans="1:17" x14ac:dyDescent="0.25">
      <c r="A24" s="91"/>
      <c r="B24" s="91"/>
      <c r="C24" s="91"/>
      <c r="D24" s="91"/>
      <c r="E24" s="91"/>
      <c r="F24" s="91"/>
      <c r="G24" s="91"/>
      <c r="H24" s="91"/>
      <c r="I24" s="91"/>
      <c r="J24" s="91"/>
      <c r="K24" s="91"/>
      <c r="L24" s="91"/>
      <c r="M24" s="91"/>
      <c r="N24" s="91"/>
      <c r="O24" s="91"/>
    </row>
    <row r="25" spans="1:17" x14ac:dyDescent="0.25">
      <c r="A25" s="91">
        <f>MONTH(F2)</f>
        <v>1</v>
      </c>
      <c r="B25" s="91" t="str">
        <f>IF(A25=A26,A28,IF(A25=B26,B28,IF(A25=C26,C28,IF(A25=D26,D28,IF(A25=E26,E28,IF(A25=F26,F28,IF(A25=K26,K28,IF(A25=L26,L28,IF(A25=M26,M28,IF(A25=N26,N28,IF(A25=O26,O28,IF(A25=#REF!,#REF!,))))))))))))</f>
        <v>yanvar</v>
      </c>
      <c r="C25" s="91">
        <f>DAY(F2)</f>
        <v>11</v>
      </c>
      <c r="D25" s="91">
        <f>YEAR(F2)</f>
        <v>2021</v>
      </c>
      <c r="E25" s="91"/>
      <c r="F25" s="91"/>
      <c r="G25" s="91"/>
      <c r="H25" s="91"/>
      <c r="I25" s="91"/>
      <c r="J25" s="91"/>
      <c r="K25" s="91"/>
      <c r="L25" s="91"/>
      <c r="M25" s="91"/>
      <c r="N25" s="91"/>
      <c r="O25" s="91"/>
    </row>
    <row r="26" spans="1:17" x14ac:dyDescent="0.25">
      <c r="A26" s="91">
        <v>1</v>
      </c>
      <c r="B26" s="91">
        <v>2</v>
      </c>
      <c r="C26" s="91">
        <v>3</v>
      </c>
      <c r="D26" s="91">
        <v>4</v>
      </c>
      <c r="E26" s="91">
        <v>5</v>
      </c>
      <c r="F26" s="91">
        <v>6</v>
      </c>
      <c r="G26" s="91"/>
      <c r="H26" s="91"/>
      <c r="I26" s="91"/>
      <c r="J26" s="91"/>
      <c r="K26" s="91">
        <v>7</v>
      </c>
      <c r="L26" s="91">
        <v>8</v>
      </c>
      <c r="M26" s="91">
        <v>9</v>
      </c>
      <c r="N26" s="91">
        <v>10</v>
      </c>
      <c r="O26" s="91">
        <v>11</v>
      </c>
      <c r="P26" s="91">
        <v>12</v>
      </c>
    </row>
    <row r="27" spans="1:17" x14ac:dyDescent="0.25">
      <c r="A27" s="91"/>
      <c r="B27" s="91"/>
      <c r="C27" s="91"/>
      <c r="D27" s="91"/>
      <c r="E27" s="91"/>
      <c r="F27" s="91"/>
      <c r="G27" s="91"/>
      <c r="H27" s="91"/>
      <c r="I27" s="91"/>
      <c r="J27" s="91"/>
      <c r="K27" s="91"/>
      <c r="L27" s="91"/>
      <c r="M27" s="91"/>
      <c r="N27" s="91"/>
      <c r="O27" s="91"/>
    </row>
    <row r="28" spans="1:17" x14ac:dyDescent="0.25">
      <c r="A28" s="91" t="s">
        <v>115</v>
      </c>
      <c r="B28" s="91" t="s">
        <v>116</v>
      </c>
      <c r="C28" s="91" t="s">
        <v>105</v>
      </c>
      <c r="D28" s="91" t="s">
        <v>106</v>
      </c>
      <c r="E28" s="91" t="s">
        <v>107</v>
      </c>
      <c r="F28" s="91" t="s">
        <v>108</v>
      </c>
      <c r="G28" s="91"/>
      <c r="H28" s="91"/>
      <c r="I28" s="91"/>
      <c r="J28" s="91"/>
      <c r="K28" s="91" t="s">
        <v>22</v>
      </c>
      <c r="L28" s="91" t="s">
        <v>110</v>
      </c>
      <c r="M28" s="91" t="s">
        <v>247</v>
      </c>
      <c r="N28" s="91" t="s">
        <v>246</v>
      </c>
      <c r="O28" s="91" t="s">
        <v>113</v>
      </c>
      <c r="P28" s="91" t="s">
        <v>114</v>
      </c>
    </row>
    <row r="29" spans="1:17" x14ac:dyDescent="0.25">
      <c r="A29" s="91" t="s">
        <v>115</v>
      </c>
      <c r="B29" s="91" t="s">
        <v>116</v>
      </c>
      <c r="C29" s="91" t="s">
        <v>105</v>
      </c>
      <c r="D29" s="91" t="s">
        <v>106</v>
      </c>
      <c r="E29" s="91" t="s">
        <v>107</v>
      </c>
      <c r="F29" s="91" t="s">
        <v>108</v>
      </c>
      <c r="G29" s="91"/>
      <c r="H29" s="91"/>
      <c r="I29" s="91"/>
      <c r="J29" s="91"/>
      <c r="K29" s="91" t="s">
        <v>25</v>
      </c>
      <c r="L29" s="91" t="s">
        <v>110</v>
      </c>
      <c r="M29" s="91" t="s">
        <v>247</v>
      </c>
      <c r="N29" s="91" t="s">
        <v>246</v>
      </c>
      <c r="O29" s="91" t="s">
        <v>113</v>
      </c>
      <c r="P29" s="91" t="s">
        <v>114</v>
      </c>
    </row>
    <row r="30" spans="1:17" x14ac:dyDescent="0.25">
      <c r="A30" s="91"/>
      <c r="B30" s="91"/>
      <c r="C30" s="91"/>
      <c r="D30" s="91"/>
      <c r="E30" s="91"/>
      <c r="F30" s="91"/>
      <c r="G30" s="91"/>
      <c r="H30" s="91"/>
      <c r="I30" s="91"/>
      <c r="J30" s="91"/>
      <c r="K30" s="91"/>
      <c r="L30" s="92"/>
      <c r="M30" s="92"/>
      <c r="N30" s="92"/>
      <c r="O30" s="92"/>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x14ac:dyDescent="0.25"/>
  <cols>
    <col min="1" max="1" width="9.140625" style="12"/>
    <col min="2" max="2" width="10.140625" style="12" bestFit="1" customWidth="1"/>
    <col min="3" max="3" width="16.5703125" style="12" customWidth="1"/>
    <col min="4" max="4" width="17.140625" style="12" customWidth="1"/>
    <col min="5" max="5" width="17.85546875" style="12" customWidth="1"/>
    <col min="6" max="6" width="20.85546875" style="12" customWidth="1"/>
    <col min="7" max="7" width="10.140625" style="12" customWidth="1" outlineLevel="1"/>
    <col min="8" max="16384" width="9.140625" style="12"/>
  </cols>
  <sheetData>
    <row r="1" spans="1:8" x14ac:dyDescent="0.25">
      <c r="A1" s="33"/>
      <c r="B1" s="33"/>
      <c r="C1" s="33"/>
      <c r="D1" s="33"/>
      <c r="E1" s="302" t="s">
        <v>15</v>
      </c>
      <c r="F1" s="302"/>
    </row>
    <row r="2" spans="1:8" x14ac:dyDescent="0.25">
      <c r="A2" s="33"/>
      <c r="B2" s="33"/>
      <c r="C2" s="33"/>
      <c r="D2" s="33"/>
      <c r="E2" s="33"/>
      <c r="F2" s="34" t="str">
        <f>"к договору микрозайма "&amp;malumot!B74&amp;""</f>
        <v>к договору микрозайма 30 yanvar 2026 y.dan №254- XMS</v>
      </c>
    </row>
    <row r="3" spans="1:8" ht="6.75" customHeight="1" x14ac:dyDescent="0.25">
      <c r="A3" s="33"/>
      <c r="B3" s="33"/>
      <c r="C3" s="33"/>
      <c r="D3" s="33"/>
      <c r="E3" s="33"/>
      <c r="F3" s="33"/>
    </row>
    <row r="4" spans="1:8" x14ac:dyDescent="0.25">
      <c r="A4" s="303" t="s">
        <v>16</v>
      </c>
      <c r="B4" s="303"/>
      <c r="C4" s="303"/>
      <c r="D4" s="303"/>
      <c r="E4" s="303"/>
      <c r="F4" s="303"/>
    </row>
    <row r="5" spans="1:8" ht="7.5" customHeight="1" x14ac:dyDescent="0.25"/>
    <row r="6" spans="1:8" x14ac:dyDescent="0.25">
      <c r="A6" s="304" t="s">
        <v>14</v>
      </c>
      <c r="B6" s="305" t="s">
        <v>8</v>
      </c>
      <c r="C6" s="305" t="s">
        <v>9</v>
      </c>
      <c r="D6" s="306" t="s">
        <v>10</v>
      </c>
      <c r="E6" s="306"/>
      <c r="F6" s="306"/>
    </row>
    <row r="7" spans="1:8" s="13" customFormat="1" x14ac:dyDescent="0.25">
      <c r="A7" s="304"/>
      <c r="B7" s="305"/>
      <c r="C7" s="305"/>
      <c r="D7" s="14" t="s">
        <v>11</v>
      </c>
      <c r="E7" s="14" t="s">
        <v>12</v>
      </c>
      <c r="F7" s="14" t="s">
        <v>13</v>
      </c>
    </row>
    <row r="8" spans="1:8" x14ac:dyDescent="0.25">
      <c r="A8" s="15">
        <v>1</v>
      </c>
      <c r="B8" s="29">
        <f>'График дифференц'!B8</f>
        <v>46076</v>
      </c>
      <c r="C8" s="30">
        <f>malumot!B76</f>
        <v>100000000</v>
      </c>
      <c r="D8" s="30">
        <f>IF(A8&lt;malumot!$B$82,'График аннуитет.'!F8-'График аннуитет.'!E8,'График аннуитет.'!C8)</f>
        <v>2107561.6800000002</v>
      </c>
      <c r="E8" s="30">
        <f>ROUND(C8*malumot!$B$85/H8,2)*'График аннуитет.'!G8</f>
        <v>3616438.32</v>
      </c>
      <c r="F8" s="30">
        <f>malumot!B91</f>
        <v>5724000</v>
      </c>
      <c r="G8" s="12">
        <f>B8-malumot!B67</f>
        <v>24</v>
      </c>
      <c r="H8" s="12">
        <f>DATE(YEAR(B8),12,31)-DATE(YEAR(B8),1,1)+1</f>
        <v>365</v>
      </c>
    </row>
    <row r="9" spans="1:8" x14ac:dyDescent="0.25">
      <c r="A9" s="15">
        <v>2</v>
      </c>
      <c r="B9" s="29">
        <f>'График дифференц'!B9</f>
        <v>46104</v>
      </c>
      <c r="C9" s="30">
        <f t="shared" ref="C9:C30" si="0">C8-D8</f>
        <v>97892438.319999993</v>
      </c>
      <c r="D9" s="30">
        <f>IF(A9&lt;malumot!$B$82,'График аннуитет.'!F9-'График аннуитет.'!E9,'График аннуитет.'!C9)</f>
        <v>1593743.8000000003</v>
      </c>
      <c r="E9" s="30">
        <f>ROUND(C9*malumot!$B$85/H9,2)*'График аннуитет.'!G9</f>
        <v>4130256.1999999997</v>
      </c>
      <c r="F9" s="30">
        <f>IF(A9&lt;malumot!$B$82,'График аннуитет.'!F8,'График аннуитет.'!D9+'График аннуитет.'!E9)</f>
        <v>5724000</v>
      </c>
      <c r="G9" s="12">
        <f>B9-B8</f>
        <v>28</v>
      </c>
      <c r="H9" s="12">
        <f t="shared" ref="H9:H31" si="1">DATE(YEAR(B9),12,31)-DATE(YEAR(B9),1,1)+1</f>
        <v>365</v>
      </c>
    </row>
    <row r="10" spans="1:8" x14ac:dyDescent="0.25">
      <c r="A10" s="15">
        <v>3</v>
      </c>
      <c r="B10" s="29">
        <f>'График дифференц'!B10</f>
        <v>46135</v>
      </c>
      <c r="C10" s="30">
        <f t="shared" si="0"/>
        <v>96298694.519999996</v>
      </c>
      <c r="D10" s="30">
        <f>IF(A10&lt;malumot!$B$82,'График аннуитет.'!F10-'График аннуитет.'!E10,'График аннуитет.'!C10)</f>
        <v>1225663.7800000003</v>
      </c>
      <c r="E10" s="30">
        <f>ROUND(C10*malumot!$B$85/H10,2)*'График аннуитет.'!G10</f>
        <v>4498336.22</v>
      </c>
      <c r="F10" s="30">
        <f>IF(A10&lt;malumot!$B$82,'График аннуитет.'!F9,'График аннуитет.'!D10+'График аннуитет.'!E10)</f>
        <v>5724000</v>
      </c>
      <c r="G10" s="12">
        <f t="shared" ref="G10:G24" si="2">B10-B9</f>
        <v>31</v>
      </c>
      <c r="H10" s="12">
        <f t="shared" si="1"/>
        <v>365</v>
      </c>
    </row>
    <row r="11" spans="1:8" x14ac:dyDescent="0.25">
      <c r="A11" s="15">
        <v>4</v>
      </c>
      <c r="B11" s="29">
        <f>'График дифференц'!B11</f>
        <v>46167</v>
      </c>
      <c r="C11" s="30">
        <f t="shared" si="0"/>
        <v>95073030.739999995</v>
      </c>
      <c r="D11" s="30">
        <f>IF(A11&lt;malumot!$B$82,'График аннуитет.'!F11-'График аннуитет.'!E11,'График аннуитет.'!C11)</f>
        <v>1139656.6399999997</v>
      </c>
      <c r="E11" s="30">
        <f>ROUND(C11*malumot!$B$85/H11,2)*'График аннуитет.'!G11</f>
        <v>4584343.3600000003</v>
      </c>
      <c r="F11" s="30">
        <f>IF(A11&lt;malumot!$B$82,'График аннуитет.'!F10,'График аннуитет.'!D11+'График аннуитет.'!E11)</f>
        <v>5724000</v>
      </c>
      <c r="G11" s="12">
        <f t="shared" si="2"/>
        <v>32</v>
      </c>
      <c r="H11" s="12">
        <f t="shared" si="1"/>
        <v>365</v>
      </c>
    </row>
    <row r="12" spans="1:8" x14ac:dyDescent="0.25">
      <c r="A12" s="15">
        <v>5</v>
      </c>
      <c r="B12" s="29">
        <f>'График дифференц'!B12</f>
        <v>46196</v>
      </c>
      <c r="C12" s="30">
        <f t="shared" si="0"/>
        <v>93933374.099999994</v>
      </c>
      <c r="D12" s="30">
        <f>IF(A12&lt;malumot!$B$82,'График аннуитет.'!F12-'График аннуитет.'!E12,'График аннуитет.'!C12)</f>
        <v>1619240.2399999998</v>
      </c>
      <c r="E12" s="30">
        <f>ROUND(C12*malumot!$B$85/H12,2)*'График аннуитет.'!G12</f>
        <v>4104759.7600000002</v>
      </c>
      <c r="F12" s="30">
        <f>IF(A12&lt;malumot!$B$82,'График аннуитет.'!F11,'График аннуитет.'!D12+'График аннуитет.'!E12)</f>
        <v>5724000</v>
      </c>
      <c r="G12" s="12">
        <f t="shared" si="2"/>
        <v>29</v>
      </c>
      <c r="H12" s="12">
        <f t="shared" si="1"/>
        <v>365</v>
      </c>
    </row>
    <row r="13" spans="1:8" x14ac:dyDescent="0.25">
      <c r="A13" s="15">
        <v>6</v>
      </c>
      <c r="B13" s="29">
        <f>'График дифференц'!B13</f>
        <v>46226</v>
      </c>
      <c r="C13" s="30">
        <f t="shared" si="0"/>
        <v>92314133.859999999</v>
      </c>
      <c r="D13" s="30">
        <f>IF(A13&lt;malumot!$B$82,'График аннуитет.'!F13-'График аннуитет.'!E13,'График аннуитет.'!C13)</f>
        <v>1550895.3000000003</v>
      </c>
      <c r="E13" s="30">
        <f>ROUND(C13*malumot!$B$85/H13,2)*'График аннуитет.'!G13</f>
        <v>4173104.6999999997</v>
      </c>
      <c r="F13" s="30">
        <f>IF(A13&lt;malumot!$B$82,'График аннуитет.'!F12,'График аннуитет.'!D13+'График аннуитет.'!E13)</f>
        <v>5724000</v>
      </c>
      <c r="G13" s="12">
        <f t="shared" si="2"/>
        <v>30</v>
      </c>
      <c r="H13" s="12">
        <f t="shared" si="1"/>
        <v>365</v>
      </c>
    </row>
    <row r="14" spans="1:8" x14ac:dyDescent="0.25">
      <c r="A14" s="15">
        <v>7</v>
      </c>
      <c r="B14" s="29">
        <f>'График дифференц'!B14</f>
        <v>46258</v>
      </c>
      <c r="C14" s="30">
        <f t="shared" si="0"/>
        <v>90763238.560000002</v>
      </c>
      <c r="D14" s="30">
        <f>IF(A14&lt;malumot!$B$82,'График аннуитет.'!F14-'График аннуитет.'!E14,'График аннуитет.'!C14)</f>
        <v>1347471.3600000003</v>
      </c>
      <c r="E14" s="30">
        <f>ROUND(C14*malumot!$B$85/H14,2)*'График аннуитет.'!G14</f>
        <v>4376528.6399999997</v>
      </c>
      <c r="F14" s="30">
        <f>IF(A14&lt;malumot!$B$82,'График аннуитет.'!F13,'График аннуитет.'!D14+'График аннуитет.'!E14)</f>
        <v>5724000</v>
      </c>
      <c r="G14" s="12">
        <f t="shared" si="2"/>
        <v>32</v>
      </c>
      <c r="H14" s="12">
        <f t="shared" si="1"/>
        <v>365</v>
      </c>
    </row>
    <row r="15" spans="1:8" x14ac:dyDescent="0.25">
      <c r="A15" s="15">
        <v>8</v>
      </c>
      <c r="B15" s="29">
        <f>'График дифференц'!B15</f>
        <v>46288</v>
      </c>
      <c r="C15" s="30">
        <f t="shared" si="0"/>
        <v>89415767.200000003</v>
      </c>
      <c r="D15" s="30">
        <f>IF(A15&lt;malumot!$B$82,'График аннуитет.'!F15-'График аннуитет.'!E15,'График аннуитет.'!C15)</f>
        <v>1681917.3000000003</v>
      </c>
      <c r="E15" s="30">
        <f>ROUND(C15*malumot!$B$85/H15,2)*'График аннуитет.'!G15</f>
        <v>4042082.6999999997</v>
      </c>
      <c r="F15" s="30">
        <f>IF(A15&lt;malumot!$B$82,'График аннуитет.'!F14,'График аннуитет.'!D15+'График аннуитет.'!E15)</f>
        <v>5724000</v>
      </c>
      <c r="G15" s="12">
        <f t="shared" si="2"/>
        <v>30</v>
      </c>
      <c r="H15" s="12">
        <f t="shared" si="1"/>
        <v>365</v>
      </c>
    </row>
    <row r="16" spans="1:8" x14ac:dyDescent="0.25">
      <c r="A16" s="15">
        <v>9</v>
      </c>
      <c r="B16" s="29">
        <f>'График дифференц'!B16</f>
        <v>46318</v>
      </c>
      <c r="C16" s="30">
        <f t="shared" si="0"/>
        <v>87733849.900000006</v>
      </c>
      <c r="D16" s="30">
        <f>IF(A16&lt;malumot!$B$82,'График аннуитет.'!F16-'График аннуитет.'!E16,'График аннуитет.'!C16)</f>
        <v>1757949.2999999998</v>
      </c>
      <c r="E16" s="30">
        <f>ROUND(C16*malumot!$B$85/H16,2)*'График аннуитет.'!G16</f>
        <v>3966050.7</v>
      </c>
      <c r="F16" s="30">
        <f>IF(A16&lt;malumot!$B$82,'График аннуитет.'!F15,'График аннуитет.'!D16+'График аннуитет.'!E16)</f>
        <v>5724000</v>
      </c>
      <c r="G16" s="12">
        <f t="shared" si="2"/>
        <v>30</v>
      </c>
      <c r="H16" s="12">
        <f t="shared" si="1"/>
        <v>365</v>
      </c>
    </row>
    <row r="17" spans="1:8" x14ac:dyDescent="0.25">
      <c r="A17" s="15">
        <v>10</v>
      </c>
      <c r="B17" s="29">
        <f>'График дифференц'!B17</f>
        <v>46349</v>
      </c>
      <c r="C17" s="30">
        <f t="shared" si="0"/>
        <v>85975900.600000009</v>
      </c>
      <c r="D17" s="30">
        <f>IF(A17&lt;malumot!$B$82,'График аннуитет.'!F17-'График аннуитет.'!E17,'График аннуитет.'!C17)</f>
        <v>1707865.37</v>
      </c>
      <c r="E17" s="30">
        <f>ROUND(C17*malumot!$B$85/H17,2)*'График аннуитет.'!G17</f>
        <v>4016134.63</v>
      </c>
      <c r="F17" s="30">
        <f>IF(A17&lt;malumot!$B$82,'График аннуитет.'!F16,'График аннуитет.'!D17+'График аннуитет.'!E17)</f>
        <v>5724000</v>
      </c>
      <c r="G17" s="12">
        <f t="shared" si="2"/>
        <v>31</v>
      </c>
      <c r="H17" s="12">
        <f t="shared" si="1"/>
        <v>365</v>
      </c>
    </row>
    <row r="18" spans="1:8" x14ac:dyDescent="0.25">
      <c r="A18" s="15">
        <v>11</v>
      </c>
      <c r="B18" s="29">
        <f>'График дифференц'!B18</f>
        <v>46379</v>
      </c>
      <c r="C18" s="30">
        <f t="shared" si="0"/>
        <v>84268035.230000004</v>
      </c>
      <c r="D18" s="30">
        <f>IF(A18&lt;malumot!$B$82,'График аннуитет.'!F18-'График аннуитет.'!E18,'График аннуитет.'!C18)</f>
        <v>1914623.1</v>
      </c>
      <c r="E18" s="30">
        <f>ROUND(C18*malumot!$B$85/H18,2)*'График аннуитет.'!G18</f>
        <v>3809376.9</v>
      </c>
      <c r="F18" s="30">
        <f>IF(A18&lt;malumot!$B$82,'График аннуитет.'!F17,'График аннуитет.'!D18+'График аннуитет.'!E18)</f>
        <v>5724000</v>
      </c>
      <c r="G18" s="12">
        <f t="shared" si="2"/>
        <v>30</v>
      </c>
      <c r="H18" s="12">
        <f t="shared" si="1"/>
        <v>365</v>
      </c>
    </row>
    <row r="19" spans="1:8" x14ac:dyDescent="0.25">
      <c r="A19" s="15">
        <v>12</v>
      </c>
      <c r="B19" s="29">
        <f>'График дифференц'!B19</f>
        <v>46412</v>
      </c>
      <c r="C19" s="30">
        <f t="shared" si="0"/>
        <v>82353412.13000001</v>
      </c>
      <c r="D19" s="30">
        <f>IF(A19&lt;malumot!$B$82,'График аннуитет.'!F19-'График аннуитет.'!E19,'График аннуитет.'!C19)</f>
        <v>1628892.06</v>
      </c>
      <c r="E19" s="30">
        <f>ROUND(C19*malumot!$B$85/H19,2)*'График аннуитет.'!G19</f>
        <v>4095107.94</v>
      </c>
      <c r="F19" s="30">
        <f>IF(A19&lt;malumot!$B$82,'График аннуитет.'!F18,'График аннуитет.'!D19+'График аннуитет.'!E19)</f>
        <v>5724000</v>
      </c>
      <c r="G19" s="12">
        <f>B19-B18</f>
        <v>33</v>
      </c>
      <c r="H19" s="12">
        <f t="shared" si="1"/>
        <v>365</v>
      </c>
    </row>
    <row r="20" spans="1:8" x14ac:dyDescent="0.25">
      <c r="A20" s="15">
        <v>13</v>
      </c>
      <c r="B20" s="29">
        <f>'График дифференц'!B20</f>
        <v>46441</v>
      </c>
      <c r="C20" s="30">
        <f t="shared" si="0"/>
        <v>80724520.070000008</v>
      </c>
      <c r="D20" s="30">
        <f>IF(A20&lt;malumot!$B$82,'График аннуитет.'!F20-'График аннуитет.'!E20,'График аннуитет.'!C20)</f>
        <v>2196448.9899999998</v>
      </c>
      <c r="E20" s="30">
        <f>ROUND(C20*malumot!$B$85/H20,2)*'График аннуитет.'!G20</f>
        <v>3527551.0100000002</v>
      </c>
      <c r="F20" s="30">
        <f>IF(A20&lt;malumot!$B$82,'График аннуитет.'!F19,'График аннуитет.'!D20+'График аннуитет.'!E20)</f>
        <v>5724000</v>
      </c>
      <c r="G20" s="12">
        <f t="shared" si="2"/>
        <v>29</v>
      </c>
      <c r="H20" s="12">
        <f t="shared" si="1"/>
        <v>365</v>
      </c>
    </row>
    <row r="21" spans="1:8" x14ac:dyDescent="0.25">
      <c r="A21" s="15">
        <v>14</v>
      </c>
      <c r="B21" s="29">
        <f>'График дифференц'!B21</f>
        <v>46469</v>
      </c>
      <c r="C21" s="30">
        <f t="shared" si="0"/>
        <v>78528071.080000013</v>
      </c>
      <c r="D21" s="30">
        <f>IF(A21&lt;malumot!$B$82,'График аннуитет.'!F21-'График аннуитет.'!E21,'График аннуитет.'!C21)</f>
        <v>2410760.84</v>
      </c>
      <c r="E21" s="30">
        <f>ROUND(C21*malumot!$B$85/H21,2)*'График аннуитет.'!G21</f>
        <v>3313239.16</v>
      </c>
      <c r="F21" s="30">
        <f>IF(A21&lt;malumot!$B$82,'График аннуитет.'!F20,'График аннуитет.'!D21+'График аннуитет.'!E21)</f>
        <v>5724000</v>
      </c>
      <c r="G21" s="12">
        <f t="shared" si="2"/>
        <v>28</v>
      </c>
      <c r="H21" s="12">
        <f t="shared" si="1"/>
        <v>365</v>
      </c>
    </row>
    <row r="22" spans="1:8" x14ac:dyDescent="0.25">
      <c r="A22" s="15">
        <v>15</v>
      </c>
      <c r="B22" s="29">
        <f>'График дифференц'!B22</f>
        <v>46500</v>
      </c>
      <c r="C22" s="30">
        <f t="shared" si="0"/>
        <v>76117310.24000001</v>
      </c>
      <c r="D22" s="30">
        <f>IF(A22&lt;malumot!$B$82,'График аннуитет.'!F22-'График аннуитет.'!E22,'График аннуитет.'!C22)</f>
        <v>2168383.0799999996</v>
      </c>
      <c r="E22" s="30">
        <f>ROUND(C22*malumot!$B$85/H22,2)*'График аннуитет.'!G22</f>
        <v>3555616.9200000004</v>
      </c>
      <c r="F22" s="30">
        <f>IF(A22&lt;malumot!$B$82,'График аннуитет.'!F21,'График аннуитет.'!D22+'График аннуитет.'!E22)</f>
        <v>5724000</v>
      </c>
      <c r="G22" s="12">
        <f t="shared" si="2"/>
        <v>31</v>
      </c>
      <c r="H22" s="12">
        <f t="shared" si="1"/>
        <v>365</v>
      </c>
    </row>
    <row r="23" spans="1:8" x14ac:dyDescent="0.25">
      <c r="A23" s="15">
        <v>16</v>
      </c>
      <c r="B23" s="29">
        <f>'График дифференц'!B23</f>
        <v>46531</v>
      </c>
      <c r="C23" s="30">
        <f t="shared" si="0"/>
        <v>73948927.160000011</v>
      </c>
      <c r="D23" s="30">
        <f>IF(A23&lt;malumot!$B$82,'График аннуитет.'!F23-'График аннуитет.'!E23,'График аннуитет.'!C23)</f>
        <v>2269673.41</v>
      </c>
      <c r="E23" s="30">
        <f>ROUND(C23*malumot!$B$85/H23,2)*'График аннуитет.'!G23</f>
        <v>3454326.59</v>
      </c>
      <c r="F23" s="30">
        <f>IF(A23&lt;malumot!$B$82,'График аннуитет.'!F22,'График аннуитет.'!D23+'График аннуитет.'!E23)</f>
        <v>5724000</v>
      </c>
      <c r="G23" s="12">
        <f t="shared" si="2"/>
        <v>31</v>
      </c>
      <c r="H23" s="12">
        <f t="shared" si="1"/>
        <v>365</v>
      </c>
    </row>
    <row r="24" spans="1:8" x14ac:dyDescent="0.25">
      <c r="A24" s="15">
        <v>17</v>
      </c>
      <c r="B24" s="29">
        <f>'График дифференц'!B24</f>
        <v>46561</v>
      </c>
      <c r="C24" s="30">
        <f t="shared" si="0"/>
        <v>71679253.750000015</v>
      </c>
      <c r="D24" s="30">
        <f>IF(A24&lt;malumot!$B$82,'График аннуитет.'!F24-'График аннуитет.'!E24,'График аннуитет.'!C24)</f>
        <v>2483705.1</v>
      </c>
      <c r="E24" s="30">
        <f>ROUND(C24*malumot!$B$85/H24,2)*'График аннуитет.'!G24</f>
        <v>3240294.9</v>
      </c>
      <c r="F24" s="30">
        <f>IF(A24&lt;malumot!$B$82,'График аннуитет.'!F23,'График аннуитет.'!D24+'График аннуитет.'!E24)</f>
        <v>5724000</v>
      </c>
      <c r="G24" s="12">
        <f t="shared" si="2"/>
        <v>30</v>
      </c>
      <c r="H24" s="12">
        <f t="shared" si="1"/>
        <v>365</v>
      </c>
    </row>
    <row r="25" spans="1:8" x14ac:dyDescent="0.25">
      <c r="A25" s="15">
        <v>18</v>
      </c>
      <c r="B25" s="29">
        <f>'График дифференц'!B25</f>
        <v>46591</v>
      </c>
      <c r="C25" s="30">
        <f t="shared" si="0"/>
        <v>69195548.650000021</v>
      </c>
      <c r="D25" s="30">
        <f>IF(A25&lt;malumot!$B$82,'График аннуитет.'!F25-'График аннуитет.'!E25,'График аннуитет.'!C25)</f>
        <v>2595981.9</v>
      </c>
      <c r="E25" s="30">
        <f>ROUND(C25*malumot!$B$85/H25,2)*'График аннуитет.'!G25</f>
        <v>3128018.1</v>
      </c>
      <c r="F25" s="30">
        <f>IF(A25&lt;malumot!$B$82,'График аннуитет.'!F24,'График аннуитет.'!D25+'График аннуитет.'!E25)</f>
        <v>5724000</v>
      </c>
      <c r="G25" s="12">
        <f>B25-B24</f>
        <v>30</v>
      </c>
      <c r="H25" s="12">
        <f t="shared" si="1"/>
        <v>365</v>
      </c>
    </row>
    <row r="26" spans="1:8" x14ac:dyDescent="0.25">
      <c r="A26" s="15">
        <v>19</v>
      </c>
      <c r="B26" s="29">
        <f>'График дифференц'!B26</f>
        <v>46622</v>
      </c>
      <c r="C26" s="30">
        <f t="shared" si="0"/>
        <v>66599566.750000022</v>
      </c>
      <c r="D26" s="30">
        <f>IF(A26&lt;malumot!$B$82,'График аннуитет.'!F26-'График аннуитет.'!E26,'График аннуитет.'!C26)</f>
        <v>2612979.19</v>
      </c>
      <c r="E26" s="30">
        <f>ROUND(C26*malumot!$B$85/H26,2)*'График аннуитет.'!G26</f>
        <v>3111020.81</v>
      </c>
      <c r="F26" s="30">
        <f>IF(A26&lt;malumot!$B$82,'График аннуитет.'!F25,'График аннуитет.'!D26+'График аннуитет.'!E26)</f>
        <v>5724000</v>
      </c>
      <c r="G26" s="12">
        <f t="shared" ref="G26:G30" si="3">B26-B25</f>
        <v>31</v>
      </c>
      <c r="H26" s="12">
        <f t="shared" si="1"/>
        <v>365</v>
      </c>
    </row>
    <row r="27" spans="1:8" x14ac:dyDescent="0.25">
      <c r="A27" s="15">
        <v>20</v>
      </c>
      <c r="B27" s="29">
        <f>'График дифференц'!B27</f>
        <v>46653</v>
      </c>
      <c r="C27" s="30">
        <f t="shared" si="0"/>
        <v>63986587.560000025</v>
      </c>
      <c r="D27" s="30">
        <f>IF(A27&lt;malumot!$B$82,'График аннуитет.'!F27-'График аннуитет.'!E27,'График аннуитет.'!C27)</f>
        <v>2735037.35</v>
      </c>
      <c r="E27" s="30">
        <f>ROUND(C27*malumot!$B$85/H27,2)*'График аннуитет.'!G27</f>
        <v>2988962.65</v>
      </c>
      <c r="F27" s="30">
        <f>IF(A27&lt;malumot!$B$82,'График аннуитет.'!F26,'График аннуитет.'!D27+'График аннуитет.'!E27)</f>
        <v>5724000</v>
      </c>
      <c r="G27" s="12">
        <f t="shared" si="3"/>
        <v>31</v>
      </c>
      <c r="H27" s="12">
        <f t="shared" si="1"/>
        <v>365</v>
      </c>
    </row>
    <row r="28" spans="1:8" x14ac:dyDescent="0.25">
      <c r="A28" s="15">
        <v>21</v>
      </c>
      <c r="B28" s="29">
        <f>'График дифференц'!B28</f>
        <v>46685</v>
      </c>
      <c r="C28" s="30">
        <f t="shared" si="0"/>
        <v>61251550.210000023</v>
      </c>
      <c r="D28" s="30">
        <f>IF(A28&lt;malumot!$B$82,'График аннуитет.'!F28-'График аннуитет.'!E28,'График аннуитет.'!C28)</f>
        <v>2770500.48</v>
      </c>
      <c r="E28" s="30">
        <f>ROUND(C28*malumot!$B$85/H28,2)*'График аннуитет.'!G28</f>
        <v>2953499.52</v>
      </c>
      <c r="F28" s="30">
        <f>IF(A28&lt;malumot!$B$82,'График аннуитет.'!F27,'График аннуитет.'!D28+'График аннуитет.'!E28)</f>
        <v>5724000</v>
      </c>
      <c r="G28" s="12">
        <f t="shared" si="3"/>
        <v>32</v>
      </c>
      <c r="H28" s="12">
        <f t="shared" si="1"/>
        <v>365</v>
      </c>
    </row>
    <row r="29" spans="1:8" x14ac:dyDescent="0.25">
      <c r="A29" s="15">
        <v>22</v>
      </c>
      <c r="B29" s="29">
        <f>'График дифференц'!B29</f>
        <v>46714</v>
      </c>
      <c r="C29" s="30">
        <f t="shared" si="0"/>
        <v>58481049.730000027</v>
      </c>
      <c r="D29" s="30">
        <f>IF(A29&lt;malumot!$B$82,'График аннуитет.'!F29-'График аннуитет.'!E29,'График аннуитет.'!C29)</f>
        <v>3168458.23</v>
      </c>
      <c r="E29" s="30">
        <f>ROUND(C29*malumot!$B$85/H29,2)*'График аннуитет.'!G29</f>
        <v>2555541.77</v>
      </c>
      <c r="F29" s="30">
        <f>IF(A29&lt;malumot!$B$82,'График аннуитет.'!F28,'График аннуитет.'!D29+'График аннуитет.'!E29)</f>
        <v>5724000</v>
      </c>
      <c r="G29" s="12">
        <f t="shared" si="3"/>
        <v>29</v>
      </c>
      <c r="H29" s="12">
        <f t="shared" si="1"/>
        <v>365</v>
      </c>
    </row>
    <row r="30" spans="1:8" x14ac:dyDescent="0.25">
      <c r="A30" s="15">
        <v>23</v>
      </c>
      <c r="B30" s="29">
        <f>'График дифференц'!B30</f>
        <v>46744</v>
      </c>
      <c r="C30" s="30">
        <f t="shared" si="0"/>
        <v>55312591.50000003</v>
      </c>
      <c r="D30" s="30">
        <f>IF(A30&lt;malumot!$B$82,'График аннуитет.'!F30-'График аннуитет.'!E30,'График аннуитет.'!C30)</f>
        <v>3223567.8</v>
      </c>
      <c r="E30" s="30">
        <f>ROUND(C30*malumot!$B$85/H30,2)*'График аннуитет.'!G30</f>
        <v>2500432.2000000002</v>
      </c>
      <c r="F30" s="30">
        <f>IF(A30&lt;malumot!$B$82,'График аннуитет.'!F29,'График аннуитет.'!D30+'График аннуитет.'!E30)</f>
        <v>5724000</v>
      </c>
      <c r="G30" s="12">
        <f t="shared" si="3"/>
        <v>30</v>
      </c>
      <c r="H30" s="12">
        <f t="shared" si="1"/>
        <v>365</v>
      </c>
    </row>
    <row r="31" spans="1:8" x14ac:dyDescent="0.25">
      <c r="A31" s="15">
        <v>24</v>
      </c>
      <c r="B31" s="29">
        <f>'График дифференц'!B31</f>
        <v>46776</v>
      </c>
      <c r="C31" s="30">
        <f t="shared" ref="C31" si="4">C30-D30</f>
        <v>52089023.700000033</v>
      </c>
      <c r="D31" s="30">
        <f>IF(A31&lt;malumot!$B$82,'График аннуитет.'!F31-'График аннуитет.'!E31,'График аннуитет.'!C31)</f>
        <v>3219172.48</v>
      </c>
      <c r="E31" s="30">
        <f>ROUND(C31*malumot!$B$85/H31,2)*'График аннуитет.'!G31</f>
        <v>2504827.52</v>
      </c>
      <c r="F31" s="30">
        <f>IF(A31&lt;malumot!$B$82,'График аннуитет.'!F30,'График аннуитет.'!D31+'График аннуитет.'!E31)</f>
        <v>5724000</v>
      </c>
      <c r="G31" s="12">
        <f>B31-B30</f>
        <v>32</v>
      </c>
      <c r="H31" s="12">
        <f t="shared" si="1"/>
        <v>366</v>
      </c>
    </row>
    <row r="32" spans="1:8" x14ac:dyDescent="0.25">
      <c r="A32" s="15">
        <f>1+A31</f>
        <v>25</v>
      </c>
      <c r="B32" s="29">
        <f>'График дифференц'!B32</f>
        <v>46806</v>
      </c>
      <c r="C32" s="30">
        <f t="shared" ref="C32:C43" si="5">C31-D31</f>
        <v>48869851.220000036</v>
      </c>
      <c r="D32" s="30">
        <f>IF(A32&lt;malumot!$B$82,'График аннуитет.'!F32-'График аннуитет.'!E32,'График аннуитет.'!C32)</f>
        <v>3520851</v>
      </c>
      <c r="E32" s="30">
        <f>ROUND(C32*malumot!$B$85/H32,2)*'График аннуитет.'!G32</f>
        <v>2203149</v>
      </c>
      <c r="F32" s="30">
        <f>IF(A32&lt;malumot!$B$82,'График аннуитет.'!F31,'График аннуитет.'!D32+'График аннуитет.'!E32)</f>
        <v>5724000</v>
      </c>
      <c r="G32" s="12">
        <f t="shared" ref="G32:G43" si="6">B32-B31</f>
        <v>30</v>
      </c>
      <c r="H32" s="12">
        <f t="shared" ref="H32:H43" si="7">DATE(YEAR(B32),12,31)-DATE(YEAR(B32),1,1)+1</f>
        <v>366</v>
      </c>
    </row>
    <row r="33" spans="1:8" x14ac:dyDescent="0.25">
      <c r="A33" s="15">
        <f t="shared" ref="A33:A55" si="8">1+A32</f>
        <v>26</v>
      </c>
      <c r="B33" s="29">
        <f>'График дифференц'!B33</f>
        <v>46835</v>
      </c>
      <c r="C33" s="30">
        <f t="shared" si="5"/>
        <v>45349000.220000036</v>
      </c>
      <c r="D33" s="30">
        <f>IF(A33&lt;malumot!$B$82,'График аннуитет.'!F33-'График аннуитет.'!E33,'График аннуитет.'!C33)</f>
        <v>3747725.4000000004</v>
      </c>
      <c r="E33" s="30">
        <f>ROUND(C33*malumot!$B$85/H33,2)*'График аннуитет.'!G33</f>
        <v>1976274.5999999999</v>
      </c>
      <c r="F33" s="30">
        <f>IF(A33&lt;malumot!$B$82,'График аннуитет.'!F32,'График аннуитет.'!D33+'График аннуитет.'!E33)</f>
        <v>5724000</v>
      </c>
      <c r="G33" s="12">
        <f t="shared" si="6"/>
        <v>29</v>
      </c>
      <c r="H33" s="12">
        <f t="shared" si="7"/>
        <v>366</v>
      </c>
    </row>
    <row r="34" spans="1:8" x14ac:dyDescent="0.25">
      <c r="A34" s="15">
        <f t="shared" si="8"/>
        <v>27</v>
      </c>
      <c r="B34" s="29">
        <f>'График дифференц'!B34</f>
        <v>46867</v>
      </c>
      <c r="C34" s="30">
        <f t="shared" si="5"/>
        <v>41601274.820000038</v>
      </c>
      <c r="D34" s="30">
        <f>IF(A34&lt;malumot!$B$82,'График аннуитет.'!F34-'График аннуитет.'!E34,'График аннуитет.'!C34)</f>
        <v>3723501.44</v>
      </c>
      <c r="E34" s="30">
        <f>ROUND(C34*malumot!$B$85/H34,2)*'График аннуитет.'!G34</f>
        <v>2000498.56</v>
      </c>
      <c r="F34" s="30">
        <f>IF(A34&lt;malumot!$B$82,'График аннуитет.'!F33,'График аннуитет.'!D34+'График аннуитет.'!E34)</f>
        <v>5724000</v>
      </c>
      <c r="G34" s="12">
        <f t="shared" si="6"/>
        <v>32</v>
      </c>
      <c r="H34" s="12">
        <f t="shared" si="7"/>
        <v>366</v>
      </c>
    </row>
    <row r="35" spans="1:8" x14ac:dyDescent="0.25">
      <c r="A35" s="15">
        <f t="shared" si="8"/>
        <v>28</v>
      </c>
      <c r="B35" s="29">
        <f>'График дифференц'!B35</f>
        <v>46896</v>
      </c>
      <c r="C35" s="30">
        <f t="shared" si="5"/>
        <v>37877773.38000004</v>
      </c>
      <c r="D35" s="30">
        <f>IF(A35&lt;malumot!$B$82,'График аннуитет.'!F35-'График аннуитет.'!E35,'График аннуитет.'!C35)</f>
        <v>4073315.65</v>
      </c>
      <c r="E35" s="30">
        <f>ROUND(C35*malumot!$B$85/H35,2)*'График аннуитет.'!G35</f>
        <v>1650684.35</v>
      </c>
      <c r="F35" s="30">
        <f>IF(A35&lt;malumot!$B$82,'График аннуитет.'!F34,'График аннуитет.'!D35+'График аннуитет.'!E35)</f>
        <v>5724000</v>
      </c>
      <c r="G35" s="12">
        <f t="shared" si="6"/>
        <v>29</v>
      </c>
      <c r="H35" s="12">
        <f t="shared" si="7"/>
        <v>366</v>
      </c>
    </row>
    <row r="36" spans="1:8" x14ac:dyDescent="0.25">
      <c r="A36" s="15">
        <f t="shared" si="8"/>
        <v>29</v>
      </c>
      <c r="B36" s="29">
        <f>'График дифференц'!B36</f>
        <v>46927</v>
      </c>
      <c r="C36" s="30">
        <f t="shared" si="5"/>
        <v>33804457.730000041</v>
      </c>
      <c r="D36" s="30">
        <f>IF(A36&lt;malumot!$B$82,'График аннуитет.'!F36-'График аннуитет.'!E36,'График аннуитет.'!C36)</f>
        <v>4149229.45</v>
      </c>
      <c r="E36" s="30">
        <f>ROUND(C36*malumot!$B$85/H36,2)*'График аннуитет.'!G36</f>
        <v>1574770.55</v>
      </c>
      <c r="F36" s="30">
        <f>IF(A36&lt;malumot!$B$82,'График аннуитет.'!F35,'График аннуитет.'!D36+'График аннуитет.'!E36)</f>
        <v>5724000</v>
      </c>
      <c r="G36" s="12">
        <f t="shared" si="6"/>
        <v>31</v>
      </c>
      <c r="H36" s="12">
        <f t="shared" si="7"/>
        <v>366</v>
      </c>
    </row>
    <row r="37" spans="1:8" x14ac:dyDescent="0.25">
      <c r="A37" s="15">
        <f t="shared" si="8"/>
        <v>30</v>
      </c>
      <c r="B37" s="29">
        <f>'График дифференц'!B37</f>
        <v>46958</v>
      </c>
      <c r="C37" s="30">
        <f t="shared" si="5"/>
        <v>29655228.280000042</v>
      </c>
      <c r="D37" s="30">
        <f>IF(A37&lt;malumot!$B$82,'График аннуитет.'!F37-'График аннуитет.'!E37,'График аннуитет.'!C37)</f>
        <v>4342520.03</v>
      </c>
      <c r="E37" s="30">
        <f>ROUND(C37*malumot!$B$85/H37,2)*'График аннуитет.'!G37</f>
        <v>1381479.97</v>
      </c>
      <c r="F37" s="30">
        <f>IF(A37&lt;malumot!$B$82,'График аннуитет.'!F36,'График аннуитет.'!D37+'График аннуитет.'!E37)</f>
        <v>5724000</v>
      </c>
      <c r="G37" s="12">
        <f t="shared" si="6"/>
        <v>31</v>
      </c>
      <c r="H37" s="12">
        <f t="shared" si="7"/>
        <v>366</v>
      </c>
    </row>
    <row r="38" spans="1:8" x14ac:dyDescent="0.25">
      <c r="A38" s="15">
        <f t="shared" si="8"/>
        <v>31</v>
      </c>
      <c r="B38" s="29">
        <f>'График дифференц'!B38</f>
        <v>46988</v>
      </c>
      <c r="C38" s="30">
        <f t="shared" si="5"/>
        <v>25312708.250000041</v>
      </c>
      <c r="D38" s="30">
        <f>IF(A38&lt;malumot!$B$82,'График аннуитет.'!F38-'График аннуитет.'!E38,'График аннуитет.'!C38)</f>
        <v>4582853.4000000004</v>
      </c>
      <c r="E38" s="30">
        <f>ROUND(C38*malumot!$B$85/H38,2)*'График аннуитет.'!G38</f>
        <v>1141146.6000000001</v>
      </c>
      <c r="F38" s="30">
        <f>IF(A38&lt;malumot!$B$82,'График аннуитет.'!F37,'График аннуитет.'!D38+'График аннуитет.'!E38)</f>
        <v>5724000</v>
      </c>
      <c r="G38" s="12">
        <f t="shared" si="6"/>
        <v>30</v>
      </c>
      <c r="H38" s="12">
        <f t="shared" si="7"/>
        <v>366</v>
      </c>
    </row>
    <row r="39" spans="1:8" x14ac:dyDescent="0.25">
      <c r="A39" s="15">
        <f t="shared" si="8"/>
        <v>32</v>
      </c>
      <c r="B39" s="29">
        <f>'График дифференц'!B39</f>
        <v>47021</v>
      </c>
      <c r="C39" s="30">
        <f t="shared" si="5"/>
        <v>20729854.850000039</v>
      </c>
      <c r="D39" s="30">
        <f>IF(A39&lt;malumot!$B$82,'График аннуитет.'!F39-'График аннуитет.'!E39,'График аннуитет.'!C39)</f>
        <v>4696003.1399999997</v>
      </c>
      <c r="E39" s="30">
        <f>ROUND(C39*malumot!$B$85/H39,2)*'График аннуитет.'!G39</f>
        <v>1027996.86</v>
      </c>
      <c r="F39" s="30">
        <f>IF(A39&lt;malumot!$B$82,'График аннуитет.'!F38,'График аннуитет.'!D39+'График аннуитет.'!E39)</f>
        <v>5724000</v>
      </c>
      <c r="G39" s="12">
        <f t="shared" si="6"/>
        <v>33</v>
      </c>
      <c r="H39" s="12">
        <f t="shared" si="7"/>
        <v>366</v>
      </c>
    </row>
    <row r="40" spans="1:8" x14ac:dyDescent="0.25">
      <c r="A40" s="15">
        <f t="shared" si="8"/>
        <v>33</v>
      </c>
      <c r="B40" s="29">
        <f>'График дифференц'!B40</f>
        <v>47049</v>
      </c>
      <c r="C40" s="30">
        <f t="shared" si="5"/>
        <v>16033851.710000038</v>
      </c>
      <c r="D40" s="30">
        <f>IF(A40&lt;malumot!$B$82,'График аннуитет.'!F40-'График аннуитет.'!E40,'График аннуитет.'!C40)</f>
        <v>5049351.4800000004</v>
      </c>
      <c r="E40" s="30">
        <f>ROUND(C40*malumot!$B$85/H40,2)*'График аннуитет.'!G40</f>
        <v>674648.52</v>
      </c>
      <c r="F40" s="30">
        <f>IF(A40&lt;malumot!$B$82,'График аннуитет.'!F39,'График аннуитет.'!D40+'График аннуитет.'!E40)</f>
        <v>5724000</v>
      </c>
      <c r="G40" s="12">
        <f t="shared" si="6"/>
        <v>28</v>
      </c>
      <c r="H40" s="12">
        <f t="shared" si="7"/>
        <v>366</v>
      </c>
    </row>
    <row r="41" spans="1:8" x14ac:dyDescent="0.25">
      <c r="A41" s="15">
        <f t="shared" si="8"/>
        <v>34</v>
      </c>
      <c r="B41" s="29">
        <f>'График дифференц'!B41</f>
        <v>47080</v>
      </c>
      <c r="C41" s="30">
        <f t="shared" si="5"/>
        <v>10984500.230000038</v>
      </c>
      <c r="D41" s="30">
        <f>IF(A41&lt;malumot!$B$82,'График аннуитет.'!F41-'График аннуитет.'!E41,'График аннуитет.'!C41)</f>
        <v>5212290.4400000004</v>
      </c>
      <c r="E41" s="30">
        <f>ROUND(C41*malumot!$B$85/H41,2)*'График аннуитет.'!G41</f>
        <v>511709.55999999994</v>
      </c>
      <c r="F41" s="30">
        <f>IF(A41&lt;malumot!$B$82,'График аннуитет.'!F40,'График аннуитет.'!D41+'График аннуитет.'!E41)</f>
        <v>5724000</v>
      </c>
      <c r="G41" s="12">
        <f t="shared" si="6"/>
        <v>31</v>
      </c>
      <c r="H41" s="12">
        <f t="shared" si="7"/>
        <v>366</v>
      </c>
    </row>
    <row r="42" spans="1:8" x14ac:dyDescent="0.25">
      <c r="A42" s="15">
        <f t="shared" si="8"/>
        <v>35</v>
      </c>
      <c r="B42" s="29">
        <f>'График дифференц'!B42</f>
        <v>47112</v>
      </c>
      <c r="C42" s="30">
        <f t="shared" si="5"/>
        <v>5772209.7900000373</v>
      </c>
      <c r="D42" s="30">
        <f>IF(A42&lt;malumot!$B$82,'График аннуитет.'!F42-'График аннуитет.'!E42,'График аннуитет.'!C42)</f>
        <v>5446429.1200000001</v>
      </c>
      <c r="E42" s="30">
        <f>ROUND(C42*malumot!$B$85/H42,2)*'График аннуитет.'!G42</f>
        <v>277570.88</v>
      </c>
      <c r="F42" s="30">
        <f>IF(A42&lt;malumot!$B$82,'График аннуитет.'!F41,'График аннуитет.'!D42+'График аннуитет.'!E42)</f>
        <v>5724000</v>
      </c>
      <c r="G42" s="12">
        <f t="shared" si="6"/>
        <v>32</v>
      </c>
      <c r="H42" s="12">
        <f t="shared" si="7"/>
        <v>366</v>
      </c>
    </row>
    <row r="43" spans="1:8" x14ac:dyDescent="0.25">
      <c r="A43" s="15">
        <f t="shared" si="8"/>
        <v>36</v>
      </c>
      <c r="B43" s="29">
        <f>'График дифференц'!B43</f>
        <v>47148</v>
      </c>
      <c r="C43" s="30">
        <f t="shared" si="5"/>
        <v>325780.67000003718</v>
      </c>
      <c r="D43" s="30">
        <f>IF(A43&lt;malumot!$B$82,'График аннуитет.'!F43-'График аннуитет.'!E43,'График аннуитет.'!C43)</f>
        <v>325780.67000003718</v>
      </c>
      <c r="E43" s="30">
        <f>ROUND(C43*malumot!$B$85/H43,2)*'График аннуитет.'!G43</f>
        <v>17672.399999999998</v>
      </c>
      <c r="F43" s="30">
        <f>IF(A43&lt;malumot!$B$82,'График аннуитет.'!F42,'График аннуитет.'!D43+'График аннуитет.'!E43)</f>
        <v>343453.0700000372</v>
      </c>
      <c r="G43" s="12">
        <f t="shared" si="6"/>
        <v>36</v>
      </c>
      <c r="H43" s="12">
        <f t="shared" si="7"/>
        <v>365</v>
      </c>
    </row>
    <row r="44" spans="1:8" x14ac:dyDescent="0.25">
      <c r="A44" s="15">
        <f t="shared" si="8"/>
        <v>37</v>
      </c>
      <c r="B44" s="29" t="b">
        <f>'График дифференц'!B44</f>
        <v>0</v>
      </c>
      <c r="C44" s="30">
        <f t="shared" ref="C44:C55" si="9">C43-D43</f>
        <v>0</v>
      </c>
      <c r="D44" s="30">
        <f>IF(A44&lt;malumot!$B$82,'График аннуитет.'!F44-'График аннуитет.'!E44,'График аннуитет.'!C44)</f>
        <v>0</v>
      </c>
      <c r="E44" s="30">
        <f>ROUND(C44*malumot!$B$85/H44,2)*'График аннуитет.'!G44</f>
        <v>0</v>
      </c>
      <c r="F44" s="30">
        <f>IF(A44&lt;malumot!$B$82,'График аннуитет.'!F43,'График аннуитет.'!D44+'График аннуитет.'!E44)</f>
        <v>0</v>
      </c>
      <c r="G44" s="12">
        <f t="shared" ref="G44:G55" si="10">B44-B43</f>
        <v>-47148</v>
      </c>
      <c r="H44" s="12">
        <f t="shared" ref="H44:H55" si="11">DATE(YEAR(B44),12,31)-DATE(YEAR(B44),1,1)+1</f>
        <v>366</v>
      </c>
    </row>
    <row r="45" spans="1:8" x14ac:dyDescent="0.25">
      <c r="A45" s="15">
        <f t="shared" si="8"/>
        <v>38</v>
      </c>
      <c r="B45" s="29" t="b">
        <f>'График дифференц'!B45</f>
        <v>0</v>
      </c>
      <c r="C45" s="30">
        <f t="shared" si="9"/>
        <v>0</v>
      </c>
      <c r="D45" s="30">
        <f>IF(A45&lt;malumot!$B$82,'График аннуитет.'!F45-'График аннуитет.'!E45,'График аннуитет.'!C45)</f>
        <v>0</v>
      </c>
      <c r="E45" s="30">
        <f>ROUND(C45*malumot!$B$85/H45,2)*'График аннуитет.'!G45</f>
        <v>0</v>
      </c>
      <c r="F45" s="30">
        <f>IF(A45&lt;malumot!$B$82,'График аннуитет.'!F44,'График аннуитет.'!D45+'График аннуитет.'!E45)</f>
        <v>0</v>
      </c>
      <c r="G45" s="12">
        <f t="shared" si="10"/>
        <v>0</v>
      </c>
      <c r="H45" s="12">
        <f t="shared" si="11"/>
        <v>366</v>
      </c>
    </row>
    <row r="46" spans="1:8" x14ac:dyDescent="0.25">
      <c r="A46" s="15">
        <f t="shared" si="8"/>
        <v>39</v>
      </c>
      <c r="B46" s="29" t="b">
        <f>'График дифференц'!B46</f>
        <v>0</v>
      </c>
      <c r="C46" s="30">
        <f t="shared" si="9"/>
        <v>0</v>
      </c>
      <c r="D46" s="30">
        <f>IF(A46&lt;malumot!$B$82,'График аннуитет.'!F46-'График аннуитет.'!E46,'График аннуитет.'!C46)</f>
        <v>0</v>
      </c>
      <c r="E46" s="30">
        <f>ROUND(C46*malumot!$B$85/H46,2)*'График аннуитет.'!G46</f>
        <v>0</v>
      </c>
      <c r="F46" s="30">
        <f>IF(A46&lt;malumot!$B$82,'График аннуитет.'!F45,'График аннуитет.'!D46+'График аннуитет.'!E46)</f>
        <v>0</v>
      </c>
      <c r="G46" s="12">
        <f t="shared" si="10"/>
        <v>0</v>
      </c>
      <c r="H46" s="12">
        <f t="shared" si="11"/>
        <v>366</v>
      </c>
    </row>
    <row r="47" spans="1:8" x14ac:dyDescent="0.25">
      <c r="A47" s="15">
        <f t="shared" si="8"/>
        <v>40</v>
      </c>
      <c r="B47" s="29" t="b">
        <f>'График дифференц'!B47</f>
        <v>0</v>
      </c>
      <c r="C47" s="30">
        <f t="shared" si="9"/>
        <v>0</v>
      </c>
      <c r="D47" s="30">
        <f>IF(A47&lt;malumot!$B$82,'График аннуитет.'!F47-'График аннуитет.'!E47,'График аннуитет.'!C47)</f>
        <v>0</v>
      </c>
      <c r="E47" s="30">
        <f>ROUND(C47*malumot!$B$85/H47,2)*'График аннуитет.'!G47</f>
        <v>0</v>
      </c>
      <c r="F47" s="30">
        <f>IF(A47&lt;malumot!$B$82,'График аннуитет.'!F46,'График аннуитет.'!D47+'График аннуитет.'!E47)</f>
        <v>0</v>
      </c>
      <c r="G47" s="12">
        <f t="shared" si="10"/>
        <v>0</v>
      </c>
      <c r="H47" s="12">
        <f t="shared" si="11"/>
        <v>366</v>
      </c>
    </row>
    <row r="48" spans="1:8" x14ac:dyDescent="0.25">
      <c r="A48" s="15">
        <f t="shared" si="8"/>
        <v>41</v>
      </c>
      <c r="B48" s="29" t="b">
        <f>'График дифференц'!B48</f>
        <v>0</v>
      </c>
      <c r="C48" s="30">
        <f t="shared" si="9"/>
        <v>0</v>
      </c>
      <c r="D48" s="30">
        <f>IF(A48&lt;malumot!$B$82,'График аннуитет.'!F48-'График аннуитет.'!E48,'График аннуитет.'!C48)</f>
        <v>0</v>
      </c>
      <c r="E48" s="30">
        <f>ROUND(C48*malumot!$B$85/H48,2)*'График аннуитет.'!G48</f>
        <v>0</v>
      </c>
      <c r="F48" s="30">
        <f>IF(A48&lt;malumot!$B$82,'График аннуитет.'!F47,'График аннуитет.'!D48+'График аннуитет.'!E48)</f>
        <v>0</v>
      </c>
      <c r="G48" s="12">
        <f t="shared" si="10"/>
        <v>0</v>
      </c>
      <c r="H48" s="12">
        <f t="shared" si="11"/>
        <v>366</v>
      </c>
    </row>
    <row r="49" spans="1:8" x14ac:dyDescent="0.25">
      <c r="A49" s="15">
        <f t="shared" si="8"/>
        <v>42</v>
      </c>
      <c r="B49" s="29" t="b">
        <f>'График дифференц'!B49</f>
        <v>0</v>
      </c>
      <c r="C49" s="30">
        <f t="shared" si="9"/>
        <v>0</v>
      </c>
      <c r="D49" s="30">
        <f>IF(A49&lt;malumot!$B$82,'График аннуитет.'!F49-'График аннуитет.'!E49,'График аннуитет.'!C49)</f>
        <v>0</v>
      </c>
      <c r="E49" s="30">
        <f>ROUND(C49*malumot!$B$85/H49,2)*'График аннуитет.'!G49</f>
        <v>0</v>
      </c>
      <c r="F49" s="30">
        <f>IF(A49&lt;malumot!$B$82,'График аннуитет.'!F48,'График аннуитет.'!D49+'График аннуитет.'!E49)</f>
        <v>0</v>
      </c>
      <c r="G49" s="12">
        <f t="shared" si="10"/>
        <v>0</v>
      </c>
      <c r="H49" s="12">
        <f t="shared" si="11"/>
        <v>366</v>
      </c>
    </row>
    <row r="50" spans="1:8" x14ac:dyDescent="0.25">
      <c r="A50" s="15">
        <f t="shared" si="8"/>
        <v>43</v>
      </c>
      <c r="B50" s="29" t="b">
        <f>'График дифференц'!B50</f>
        <v>0</v>
      </c>
      <c r="C50" s="30">
        <f t="shared" si="9"/>
        <v>0</v>
      </c>
      <c r="D50" s="30">
        <f>IF(A50&lt;malumot!$B$82,'График аннуитет.'!F50-'График аннуитет.'!E50,'График аннуитет.'!C50)</f>
        <v>0</v>
      </c>
      <c r="E50" s="30">
        <f>ROUND(C50*malumot!$B$85/H50,2)*'График аннуитет.'!G50</f>
        <v>0</v>
      </c>
      <c r="F50" s="30">
        <f>IF(A50&lt;malumot!$B$82,'График аннуитет.'!F49,'График аннуитет.'!D50+'График аннуитет.'!E50)</f>
        <v>0</v>
      </c>
      <c r="G50" s="12">
        <f t="shared" si="10"/>
        <v>0</v>
      </c>
      <c r="H50" s="12">
        <f t="shared" si="11"/>
        <v>366</v>
      </c>
    </row>
    <row r="51" spans="1:8" x14ac:dyDescent="0.25">
      <c r="A51" s="15">
        <f t="shared" si="8"/>
        <v>44</v>
      </c>
      <c r="B51" s="29" t="b">
        <f>'График дифференц'!B51</f>
        <v>0</v>
      </c>
      <c r="C51" s="30">
        <f t="shared" si="9"/>
        <v>0</v>
      </c>
      <c r="D51" s="30">
        <f>IF(A51&lt;malumot!$B$82,'График аннуитет.'!F51-'График аннуитет.'!E51,'График аннуитет.'!C51)</f>
        <v>0</v>
      </c>
      <c r="E51" s="30">
        <f>ROUND(C51*malumot!$B$85/H51,2)*'График аннуитет.'!G51</f>
        <v>0</v>
      </c>
      <c r="F51" s="30">
        <f>IF(A51&lt;malumot!$B$82,'График аннуитет.'!F50,'График аннуитет.'!D51+'График аннуитет.'!E51)</f>
        <v>0</v>
      </c>
      <c r="G51" s="12">
        <f t="shared" si="10"/>
        <v>0</v>
      </c>
      <c r="H51" s="12">
        <f t="shared" si="11"/>
        <v>366</v>
      </c>
    </row>
    <row r="52" spans="1:8" x14ac:dyDescent="0.25">
      <c r="A52" s="15">
        <f t="shared" si="8"/>
        <v>45</v>
      </c>
      <c r="B52" s="29" t="b">
        <f>'График дифференц'!B52</f>
        <v>0</v>
      </c>
      <c r="C52" s="30">
        <f t="shared" si="9"/>
        <v>0</v>
      </c>
      <c r="D52" s="30">
        <f>IF(A52&lt;malumot!$B$82,'График аннуитет.'!F52-'График аннуитет.'!E52,'График аннуитет.'!C52)</f>
        <v>0</v>
      </c>
      <c r="E52" s="30">
        <f>ROUND(C52*malumot!$B$85/H52,2)*'График аннуитет.'!G52</f>
        <v>0</v>
      </c>
      <c r="F52" s="30">
        <f>IF(A52&lt;malumot!$B$82,'График аннуитет.'!F51,'График аннуитет.'!D52+'График аннуитет.'!E52)</f>
        <v>0</v>
      </c>
      <c r="G52" s="12">
        <f t="shared" si="10"/>
        <v>0</v>
      </c>
      <c r="H52" s="12">
        <f t="shared" si="11"/>
        <v>366</v>
      </c>
    </row>
    <row r="53" spans="1:8" x14ac:dyDescent="0.25">
      <c r="A53" s="15">
        <f t="shared" si="8"/>
        <v>46</v>
      </c>
      <c r="B53" s="29" t="b">
        <f>'График дифференц'!B53</f>
        <v>0</v>
      </c>
      <c r="C53" s="30">
        <f t="shared" si="9"/>
        <v>0</v>
      </c>
      <c r="D53" s="30">
        <f>IF(A53&lt;malumot!$B$82,'График аннуитет.'!F53-'График аннуитет.'!E53,'График аннуитет.'!C53)</f>
        <v>0</v>
      </c>
      <c r="E53" s="30">
        <f>ROUND(C53*malumot!$B$85/H53,2)*'График аннуитет.'!G53</f>
        <v>0</v>
      </c>
      <c r="F53" s="30">
        <f>IF(A53&lt;malumot!$B$82,'График аннуитет.'!F52,'График аннуитет.'!D53+'График аннуитет.'!E53)</f>
        <v>0</v>
      </c>
      <c r="G53" s="12">
        <f t="shared" si="10"/>
        <v>0</v>
      </c>
      <c r="H53" s="12">
        <f t="shared" si="11"/>
        <v>366</v>
      </c>
    </row>
    <row r="54" spans="1:8" x14ac:dyDescent="0.25">
      <c r="A54" s="15">
        <f t="shared" si="8"/>
        <v>47</v>
      </c>
      <c r="B54" s="29" t="b">
        <f>'График дифференц'!B54</f>
        <v>0</v>
      </c>
      <c r="C54" s="30">
        <f t="shared" si="9"/>
        <v>0</v>
      </c>
      <c r="D54" s="30">
        <f>IF(A54&lt;malumot!$B$82,'График аннуитет.'!F54-'График аннуитет.'!E54,'График аннуитет.'!C54)</f>
        <v>0</v>
      </c>
      <c r="E54" s="30">
        <f>ROUND(C54*malumot!$B$85/H54,2)*'График аннуитет.'!G54</f>
        <v>0</v>
      </c>
      <c r="F54" s="30">
        <f>IF(A54&lt;malumot!$B$82,'График аннуитет.'!F53,'График аннуитет.'!D54+'График аннуитет.'!E54)</f>
        <v>0</v>
      </c>
      <c r="G54" s="12">
        <f t="shared" si="10"/>
        <v>0</v>
      </c>
      <c r="H54" s="12">
        <f t="shared" si="11"/>
        <v>366</v>
      </c>
    </row>
    <row r="55" spans="1:8" x14ac:dyDescent="0.25">
      <c r="A55" s="15">
        <f t="shared" si="8"/>
        <v>48</v>
      </c>
      <c r="B55" s="29" t="b">
        <f>'График дифференц'!B55</f>
        <v>0</v>
      </c>
      <c r="C55" s="30">
        <f t="shared" si="9"/>
        <v>0</v>
      </c>
      <c r="D55" s="30">
        <f>IF(A55&lt;malumot!$B$82,'График аннуитет.'!F55-'График аннуитет.'!E55,'График аннуитет.'!C55)</f>
        <v>0</v>
      </c>
      <c r="E55" s="30">
        <f>ROUND(C55*malumot!$B$85/H55,2)*'График аннуитет.'!G55</f>
        <v>0</v>
      </c>
      <c r="F55" s="30">
        <f>IF(A55&lt;malumot!$B$82,'График аннуитет.'!F54,'График аннуитет.'!D55+'График аннуитет.'!E55)</f>
        <v>0</v>
      </c>
      <c r="G55" s="12">
        <f t="shared" si="10"/>
        <v>0</v>
      </c>
      <c r="H55" s="12">
        <f t="shared" si="11"/>
        <v>366</v>
      </c>
    </row>
    <row r="56" spans="1:8" x14ac:dyDescent="0.25">
      <c r="A56" s="42"/>
      <c r="B56" s="43" t="s">
        <v>6</v>
      </c>
      <c r="C56" s="44"/>
      <c r="D56" s="44">
        <f>SUM(D8:D55)</f>
        <v>100000000.00000003</v>
      </c>
      <c r="E56" s="44">
        <f t="shared" ref="E56:F56" si="12">SUM(E8:E55)</f>
        <v>100683453.06999998</v>
      </c>
      <c r="F56" s="44">
        <f t="shared" si="12"/>
        <v>200683453.07000002</v>
      </c>
    </row>
    <row r="57" spans="1:8" ht="9" customHeight="1" x14ac:dyDescent="0.25">
      <c r="B57" s="31"/>
      <c r="C57" s="32"/>
      <c r="D57" s="32"/>
      <c r="E57" s="32"/>
      <c r="F57" s="32"/>
    </row>
    <row r="58" spans="1:8" ht="47.25" customHeight="1" x14ac:dyDescent="0.25">
      <c r="A58" s="280" t="s">
        <v>17</v>
      </c>
      <c r="B58" s="280"/>
      <c r="C58" s="280"/>
      <c r="D58" s="280"/>
      <c r="E58" s="280"/>
      <c r="F58" s="280"/>
    </row>
    <row r="59" spans="1:8" ht="7.5" customHeight="1" x14ac:dyDescent="0.25"/>
    <row r="60" spans="1:8" x14ac:dyDescent="0.25">
      <c r="A60" s="308" t="e">
        <f>#REF!</f>
        <v>#REF!</v>
      </c>
      <c r="B60" s="308"/>
      <c r="C60" s="308"/>
      <c r="D60" s="308" t="e">
        <f>#REF!</f>
        <v>#REF!</v>
      </c>
      <c r="E60" s="308"/>
      <c r="F60" s="308"/>
    </row>
    <row r="61" spans="1:8" ht="11.25" customHeight="1" x14ac:dyDescent="0.25">
      <c r="A61" s="309"/>
      <c r="B61" s="309"/>
      <c r="C61" s="309"/>
      <c r="D61" s="309"/>
      <c r="E61" s="309"/>
      <c r="F61" s="309"/>
    </row>
    <row r="62" spans="1:8" ht="30" customHeight="1" x14ac:dyDescent="0.25">
      <c r="A62" s="282" t="e">
        <f>#REF!</f>
        <v>#REF!</v>
      </c>
      <c r="B62" s="282"/>
      <c r="C62" s="282"/>
      <c r="D62" s="282" t="e">
        <f>#REF!</f>
        <v>#REF!</v>
      </c>
      <c r="E62" s="282"/>
      <c r="F62" s="282"/>
    </row>
    <row r="63" spans="1:8" ht="32.25" customHeight="1" x14ac:dyDescent="0.25">
      <c r="A63" s="307" t="e">
        <f>#REF!</f>
        <v>#REF!</v>
      </c>
      <c r="B63" s="307"/>
      <c r="C63" s="307"/>
      <c r="D63" s="307" t="e">
        <f>#REF!</f>
        <v>#REF!</v>
      </c>
      <c r="E63" s="307"/>
      <c r="F63" s="307"/>
    </row>
    <row r="64" spans="1:8" x14ac:dyDescent="0.25">
      <c r="A64" s="307" t="e">
        <f>#REF!</f>
        <v>#REF!</v>
      </c>
      <c r="B64" s="307"/>
      <c r="C64" s="307"/>
      <c r="D64" s="307" t="str">
        <f>"паспорт серии "&amp;malumot!B16&amp;", "&amp;malumot!B20&amp;""</f>
        <v>паспорт серии AE 2898945, IIV 33212 tomonidan 03.06.2025 yilda berilgan</v>
      </c>
      <c r="E64" s="307"/>
      <c r="F64" s="307"/>
    </row>
    <row r="65" spans="1:6" ht="32.25" customHeight="1" x14ac:dyDescent="0.25">
      <c r="A65" s="307" t="e">
        <f>#REF!</f>
        <v>#REF!</v>
      </c>
      <c r="B65" s="307"/>
      <c r="C65" s="307"/>
      <c r="D65" s="307"/>
      <c r="E65" s="307"/>
      <c r="F65" s="307"/>
    </row>
    <row r="66" spans="1:6" x14ac:dyDescent="0.25">
      <c r="A66" s="307" t="e">
        <f>#REF!</f>
        <v>#REF!</v>
      </c>
      <c r="B66" s="307"/>
      <c r="C66" s="307"/>
      <c r="D66" s="307" t="e">
        <f>#REF!</f>
        <v>#REF!</v>
      </c>
      <c r="E66" s="307"/>
      <c r="F66" s="307"/>
    </row>
    <row r="67" spans="1:6" x14ac:dyDescent="0.25">
      <c r="A67" s="307" t="e">
        <f>#REF!</f>
        <v>#REF!</v>
      </c>
      <c r="B67" s="307"/>
      <c r="C67" s="307"/>
      <c r="D67" s="307" t="e">
        <f>#REF!</f>
        <v>#REF!</v>
      </c>
      <c r="E67" s="307"/>
      <c r="F67" s="307"/>
    </row>
    <row r="68" spans="1:6" x14ac:dyDescent="0.25">
      <c r="A68" s="307" t="e">
        <f>#REF!</f>
        <v>#REF!</v>
      </c>
      <c r="B68" s="307"/>
      <c r="C68" s="307"/>
      <c r="D68" s="307" t="e">
        <f>#REF!</f>
        <v>#REF!</v>
      </c>
      <c r="E68" s="307"/>
      <c r="F68" s="307"/>
    </row>
    <row r="69" spans="1:6" ht="8.25" customHeight="1" x14ac:dyDescent="0.25">
      <c r="A69" s="307"/>
      <c r="B69" s="307"/>
      <c r="C69" s="307"/>
      <c r="D69" s="307"/>
      <c r="E69" s="307"/>
      <c r="F69" s="307"/>
    </row>
    <row r="70" spans="1:6" x14ac:dyDescent="0.25">
      <c r="A70" s="282" t="e">
        <f>#REF!</f>
        <v>#REF!</v>
      </c>
      <c r="B70" s="282"/>
      <c r="C70" s="282"/>
      <c r="D70" s="282" t="e">
        <f>#REF!</f>
        <v>#REF!</v>
      </c>
      <c r="E70" s="282"/>
      <c r="F70" s="282"/>
    </row>
    <row r="71" spans="1:6" ht="7.5" customHeight="1" x14ac:dyDescent="0.25">
      <c r="A71" s="282"/>
      <c r="B71" s="282"/>
      <c r="C71" s="282"/>
      <c r="D71" s="282"/>
      <c r="E71" s="282"/>
      <c r="F71" s="282"/>
    </row>
    <row r="72" spans="1:6" x14ac:dyDescent="0.25">
      <c r="A72" s="282" t="e">
        <f>#REF!</f>
        <v>#REF!</v>
      </c>
      <c r="B72" s="282"/>
      <c r="C72" s="282"/>
      <c r="D72" s="282" t="e">
        <f>#REF!</f>
        <v>#REF!</v>
      </c>
      <c r="E72" s="282"/>
      <c r="F72" s="282"/>
    </row>
    <row r="73" spans="1:6" ht="8.25" customHeight="1" x14ac:dyDescent="0.25">
      <c r="A73" s="307"/>
      <c r="B73" s="307"/>
      <c r="C73" s="307"/>
      <c r="D73" s="307"/>
      <c r="E73" s="307"/>
      <c r="F73" s="307"/>
    </row>
    <row r="74" spans="1:6" ht="30" customHeight="1" x14ac:dyDescent="0.25">
      <c r="A74" s="311"/>
      <c r="B74" s="311"/>
      <c r="C74" s="311"/>
      <c r="D74" s="312"/>
      <c r="E74" s="312"/>
      <c r="F74" s="312"/>
    </row>
    <row r="75" spans="1:6" x14ac:dyDescent="0.25">
      <c r="A75" s="313"/>
      <c r="B75" s="313"/>
      <c r="C75" s="313"/>
      <c r="D75" s="313"/>
      <c r="E75" s="313"/>
      <c r="F75" s="313"/>
    </row>
    <row r="76" spans="1:6" x14ac:dyDescent="0.25">
      <c r="A76" s="310"/>
      <c r="B76" s="310"/>
      <c r="C76" s="310"/>
      <c r="D76" s="310"/>
      <c r="E76" s="310"/>
      <c r="F76" s="310"/>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55">
    <cfRule type="cellIs" dxfId="4" priority="3" operator="lessThan">
      <formula>22105</formula>
    </cfRule>
  </conditionalFormatting>
  <conditionalFormatting sqref="C8:C55">
    <cfRule type="cellIs" dxfId="3" priority="2" operator="lessThan">
      <formula>1</formula>
    </cfRule>
  </conditionalFormatting>
  <conditionalFormatting sqref="C8:F55">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67"/>
  <sheetViews>
    <sheetView view="pageBreakPreview" topLeftCell="A13" zoomScaleSheetLayoutView="100" workbookViewId="0">
      <selection activeCell="A26" sqref="A26:E26"/>
    </sheetView>
  </sheetViews>
  <sheetFormatPr defaultColWidth="9.140625" defaultRowHeight="15" outlineLevelRow="1" x14ac:dyDescent="0.25"/>
  <cols>
    <col min="1" max="2" width="23.7109375" style="12" customWidth="1"/>
    <col min="3" max="3" width="18.28515625" style="12" customWidth="1"/>
    <col min="4" max="5" width="17" style="12" customWidth="1"/>
    <col min="6" max="16384" width="9.140625" style="12"/>
  </cols>
  <sheetData>
    <row r="1" spans="1:5" ht="36" customHeight="1" x14ac:dyDescent="0.25">
      <c r="A1" s="282" t="str">
        <f>""&amp;malumot!B158&amp;"
mikromoliya tashkilotining Xulosasi"</f>
        <v>«CLEVER MIKROMOLIYA TASHKILOTI» MChJ
mikromoliya tashkilotining Xulosasi</v>
      </c>
      <c r="B1" s="282"/>
      <c r="C1" s="282"/>
      <c r="D1" s="282"/>
      <c r="E1" s="282"/>
    </row>
    <row r="2" spans="1:5" x14ac:dyDescent="0.25">
      <c r="A2" s="280"/>
      <c r="B2" s="280"/>
      <c r="C2" s="280"/>
      <c r="D2" s="280"/>
      <c r="E2" s="280"/>
    </row>
    <row r="3" spans="1:5" x14ac:dyDescent="0.25">
      <c r="A3" s="282" t="s">
        <v>197</v>
      </c>
      <c r="B3" s="282"/>
      <c r="C3" s="282"/>
      <c r="D3" s="282"/>
      <c r="E3" s="282"/>
    </row>
    <row r="4" spans="1:5" x14ac:dyDescent="0.25">
      <c r="A4" s="280" t="str">
        <f>"Mijozning to'liq ismi sharifi: "&amp;malumot!B5&amp;""</f>
        <v>Mijozning to'liq ismi sharifi: OLLABERGANOVA GO'ZALOY IBRAHIMOVNA</v>
      </c>
      <c r="B4" s="280"/>
      <c r="C4" s="280"/>
      <c r="D4" s="280"/>
      <c r="E4" s="280"/>
    </row>
    <row r="5" spans="1:5" x14ac:dyDescent="0.25">
      <c r="A5" s="280" t="str">
        <f>"Tug'ilgan sanasi: "&amp;malumot!B15&amp;""</f>
        <v>Tug'ilgan sanasi: 12.07.1990 y</v>
      </c>
      <c r="B5" s="280"/>
      <c r="C5" s="280"/>
      <c r="D5" s="280"/>
      <c r="E5" s="280"/>
    </row>
    <row r="6" spans="1:5" ht="31.5" customHeight="1" x14ac:dyDescent="0.25">
      <c r="A6" s="280" t="str">
        <f>"Pasport seriyasi "&amp;malumot!B16&amp;" "&amp;malumot!B20&amp;", amal qilish muddati - "&amp;malumot!B21&amp;""</f>
        <v>Pasport seriyasi AE 2898945 IIV 33212 tomonidan 03.06.2025 yilda berilgan, amal qilish muddati - 02.06.2035 y.</v>
      </c>
      <c r="B6" s="280"/>
      <c r="C6" s="280"/>
      <c r="D6" s="280"/>
      <c r="E6" s="280"/>
    </row>
    <row r="7" spans="1:5" ht="48" customHeight="1" x14ac:dyDescent="0.25">
      <c r="A7" s="280" t="str">
        <f>"Ro‘yxatdan o‘tgan manzili: "&amp;malumot!B22&amp;", mo'ljal: "&amp;malumot!B26&amp;""</f>
        <v>Ro‘yxatdan o‘tgan manzili: XORAZM VILOYATI QO'SHKO'PIR TUMANI XOSIYON QFY XOSIYON MFY SHOLIKOR KO'CHASI 37-UY, mo'ljal: 47-SON MAKTAB</v>
      </c>
      <c r="B7" s="280"/>
      <c r="C7" s="280"/>
      <c r="D7" s="280"/>
      <c r="E7" s="280"/>
    </row>
    <row r="8" spans="1:5" ht="23.25" customHeight="1" x14ac:dyDescent="0.25">
      <c r="A8" s="280" t="str">
        <f>"Ish joyi: "&amp;malumot!B52&amp;" lavozimi "&amp;malumot!B49&amp;"da "&amp;malumot!B44&amp;""</f>
        <v>Ish joyi:  lavozimi OLLABERGANOVA GO'ZALOY IBRAHIMOVNAda OLLABERGANOVA GO'ZALOY IBRAHIMOVNA</v>
      </c>
      <c r="B8" s="280"/>
      <c r="C8" s="280"/>
      <c r="D8" s="280"/>
      <c r="E8" s="280"/>
    </row>
    <row r="9" spans="1:5" x14ac:dyDescent="0.25">
      <c r="A9" s="280"/>
      <c r="B9" s="280"/>
      <c r="C9" s="280"/>
      <c r="D9" s="280"/>
      <c r="E9" s="280"/>
    </row>
    <row r="10" spans="1:5" x14ac:dyDescent="0.25">
      <c r="A10" s="282" t="str">
        <f>"Mijoz tomonidan so’ralgan "&amp;malumot!B65&amp;" shartlari:"</f>
        <v>Mijoz tomonidan so’ralgan mikroqarz shartlari:</v>
      </c>
      <c r="B10" s="282"/>
      <c r="C10" s="282"/>
      <c r="D10" s="282"/>
      <c r="E10" s="282"/>
    </row>
    <row r="11" spans="1:5" x14ac:dyDescent="0.25">
      <c r="A11" s="280" t="str">
        <f>kredit_ariza!A13:D13</f>
        <v>Mikroqarz summasi: 100 000 000,00 (yuz million so'm) so'm.</v>
      </c>
      <c r="B11" s="280"/>
      <c r="C11" s="280"/>
      <c r="D11" s="280"/>
      <c r="E11" s="280"/>
    </row>
    <row r="12" spans="1:5" x14ac:dyDescent="0.25">
      <c r="A12" s="280" t="str">
        <f>kredit_ariza!A14:D14</f>
        <v>Mikroqarz muddati: 36 (O'ttiz olti  ) oy.</v>
      </c>
      <c r="B12" s="280"/>
      <c r="C12" s="280"/>
      <c r="D12" s="280"/>
      <c r="E12" s="280"/>
    </row>
    <row r="13" spans="1:5" x14ac:dyDescent="0.25">
      <c r="A13" s="280" t="str">
        <f>kredit_ariza!A15:D15</f>
        <v>Mikroqarzdan foydalanganlik uchun foiz stavkasi: yillik  55% (Ellik besh  ) foiz</v>
      </c>
      <c r="B13" s="280"/>
      <c r="C13" s="280"/>
      <c r="D13" s="280"/>
      <c r="E13" s="280"/>
    </row>
    <row r="14" spans="1:5" x14ac:dyDescent="0.25">
      <c r="A14" s="280" t="str">
        <f>kredit_ariza!A16:D16</f>
        <v>Mikroqarz bo'yicha asosiy qarz va foizlarni to'lash:</v>
      </c>
      <c r="B14" s="280"/>
      <c r="C14" s="280"/>
      <c r="D14" s="280"/>
      <c r="E14" s="280"/>
    </row>
    <row r="15" spans="1:5" ht="18.75" customHeight="1" x14ac:dyDescent="0.25">
      <c r="A15" s="280" t="str">
        <f>kredit_ariza!A19:D19</f>
        <v xml:space="preserve"> - mikroqarz shartnomasi bo'yicha har oy annuitet to'lovlari amalga oshiriladi</v>
      </c>
      <c r="B15" s="280"/>
      <c r="C15" s="280"/>
      <c r="D15" s="280"/>
      <c r="E15" s="280"/>
    </row>
    <row r="16" spans="1:5" ht="14.25" customHeight="1" x14ac:dyDescent="0.25">
      <c r="A16" s="281" t="str">
        <f>kredit_ariza!A20:D20</f>
        <v xml:space="preserve">  Oxirgi yakuniy to'lov mikroqarz shartnomasi tuzilgan kundan boshlab oxirgi oyning oxirgi kunida amalga oshiriladi</v>
      </c>
      <c r="B16" s="281"/>
      <c r="C16" s="281"/>
      <c r="D16" s="281"/>
      <c r="E16" s="281"/>
    </row>
    <row r="17" spans="1:5" x14ac:dyDescent="0.25">
      <c r="A17" s="280" t="str">
        <f>kredit_ariza!A21:D21</f>
        <v>Mikroqarz ta’minoti::</v>
      </c>
      <c r="B17" s="280"/>
      <c r="C17" s="280"/>
      <c r="D17" s="280"/>
      <c r="E17" s="280"/>
    </row>
    <row r="18" spans="1:5" ht="67.5" customHeight="1" x14ac:dyDescent="0.25">
      <c r="A18" s="280" t="str">
        <f>kredit_ariza!A22:D22</f>
        <v xml:space="preserve">1.  Egalik huquqi OLLABERGANOVA GO'ZALOY IBRAHIMOVNAga tegishli bo'lgan umumiy maydoni - 88.79  va yashash maydoni - 42.17 7 -xonali  yakka tartibdagi uy-joy, XORAZM VILOYATI QO'SHKO'PIR TUMANI XOSIYON QFY XOSIYON MFY SHOLIKOR KO'CHASI 37-UY </v>
      </c>
      <c r="B18" s="280"/>
      <c r="C18" s="280"/>
      <c r="D18" s="280"/>
      <c r="E18" s="280"/>
    </row>
    <row r="19" spans="1:5" x14ac:dyDescent="0.25">
      <c r="A19" s="282" t="s">
        <v>198</v>
      </c>
      <c r="B19" s="282"/>
      <c r="C19" s="282"/>
      <c r="D19" s="282"/>
      <c r="E19" s="282"/>
    </row>
    <row r="20" spans="1:5" ht="21" customHeight="1" x14ac:dyDescent="0.25">
      <c r="A20" s="280" t="str">
        <f>"Anketaga muvofiq "&amp;malumot!B9&amp;"ning o‘rtacha oylik daromadi  "&amp;FIXED(malumot!B60)&amp;" so‘mni tashkil etdi."</f>
        <v>Anketaga muvofiq ADXAMJONOV SH.SHning o‘rtacha oylik daromadi  23 000 000,00 so‘mni tashkil etdi.</v>
      </c>
      <c r="B20" s="280"/>
      <c r="C20" s="280"/>
      <c r="D20" s="280"/>
      <c r="E20" s="280"/>
    </row>
    <row r="21" spans="1:5" ht="21" customHeight="1" x14ac:dyDescent="0.25">
      <c r="A21" s="280" t="str">
        <f>"Mijozning o'rtacha oylik xarajatlari "&amp;FIXED(mijoz_anketasi!F27)&amp;" so'mni tashkil etdi"</f>
        <v>Mijozning o'rtacha oylik xarajatlari 1 700 000,00 so'mni tashkil etdi</v>
      </c>
      <c r="B21" s="280"/>
      <c r="C21" s="280"/>
      <c r="D21" s="280"/>
      <c r="E21" s="280"/>
    </row>
    <row r="22" spans="1:5" ht="18" hidden="1" customHeight="1" x14ac:dyDescent="0.25">
      <c r="A22" s="280" t="str">
        <f>IF(malumot!B78=malumot!C78,xulosa!A23:E23,xulosa!A24:E24)</f>
        <v>Mikroqarz bo‘yicha oylik annuitet to‘lovi miqdori 5 724 000,00 so‘mni tashkil etadi.</v>
      </c>
      <c r="B22" s="280"/>
      <c r="C22" s="280"/>
      <c r="D22" s="280"/>
      <c r="E22" s="280"/>
    </row>
    <row r="23" spans="1:5" ht="21" hidden="1" customHeight="1" x14ac:dyDescent="0.25">
      <c r="A23" s="280" t="str">
        <f>""&amp;malumot!C64&amp;" shartnomasi bo'yicha birinchi oy uchun to'lov "&amp;FIXED(malumot!B91)&amp;" so'mni tashkil etadi."</f>
        <v>Mikroqarz shartnomasi bo'yicha birinchi oy uchun to'lov 5 724 000,00 so'mni tashkil etadi.</v>
      </c>
      <c r="B23" s="280"/>
      <c r="C23" s="280"/>
      <c r="D23" s="280"/>
      <c r="E23" s="280"/>
    </row>
    <row r="24" spans="1:5" ht="19.5" customHeight="1" x14ac:dyDescent="0.25">
      <c r="A24" s="280" t="str">
        <f>""&amp;malumot!C64&amp;" bo‘yicha oylik "&amp;malumot!B78&amp;" to‘lovi miqdori "&amp;FIXED(malumot!B91)&amp;" so‘mni tashkil etadi."</f>
        <v>Mikroqarz bo‘yicha oylik annuitet to‘lovi miqdori 5 724 000,00 so‘mni tashkil etadi.</v>
      </c>
      <c r="B24" s="280"/>
      <c r="C24" s="280"/>
      <c r="D24" s="280"/>
      <c r="E24" s="280"/>
    </row>
    <row r="25" spans="1:5" ht="48.75" customHeight="1" x14ac:dyDescent="0.25">
      <c r="A25" s="281" t="s">
        <v>454</v>
      </c>
      <c r="B25" s="281"/>
      <c r="C25" s="281"/>
      <c r="D25" s="281"/>
      <c r="E25" s="281"/>
    </row>
    <row r="26" spans="1:5" x14ac:dyDescent="0.25">
      <c r="A26" s="282" t="str">
        <f>""&amp;malumot!C64&amp;" bo’yicha ta’minot:"</f>
        <v>Mikroqarz bo’yicha ta’minot:</v>
      </c>
      <c r="B26" s="282"/>
      <c r="C26" s="282"/>
      <c r="D26" s="282"/>
      <c r="E26" s="282"/>
    </row>
    <row r="27" spans="1:5" ht="31.5" hidden="1" customHeight="1" x14ac:dyDescent="0.25">
      <c r="A27" s="280" t="str">
        <f>" - "&amp;malumot!B124&amp;" ga mulk huquqi asosida tegishli avtotransport vositasi "&amp;malumot!B132&amp;" , quyidagi tafsilotlarga muvofiq:"</f>
        <v xml:space="preserve"> - OLLABERGANOVA GO'ZALOY IBRAHIMOVNA ga mulk huquqi asosida tegishli avtotransport vositasi  , quyidagi tafsilotlarga muvofiq:</v>
      </c>
      <c r="B27" s="280"/>
      <c r="C27" s="280"/>
      <c r="D27" s="280"/>
      <c r="E27" s="280"/>
    </row>
    <row r="28" spans="1:5" ht="67.5" hidden="1" customHeight="1" x14ac:dyDescent="0.25">
      <c r="A28" s="280" t="str">
        <f>" -   "&amp;malumot!C124&amp;" ga mulk huquqi asosida tegishli ko'chmas mulk shaklida "&amp;malumot!C133&amp;", manzili: "&amp;malumot!C130&amp;", quyidagi tafsilotlarga muvofiq:"</f>
        <v xml:space="preserve"> -   OLLABERGANOVA GO'ZALOY IBRAHIMOVNA ga mulk huquqi asosida tegishli ko'chmas mulk shaklida 7 -xonali  yakka tartibdagi uy-joy, manzili: XORAZM VILOYATI QO'SHKO'PIR TUMANI XOSIYON QFY XOSIYON MFY SHOLIKOR KO'CHASI 37-UY, quyidagi tafsilotlarga muvofiq:</v>
      </c>
      <c r="B28" s="280"/>
      <c r="C28" s="280"/>
      <c r="D28" s="280"/>
      <c r="E28" s="280"/>
    </row>
    <row r="29" spans="1:5" ht="49.5" customHeight="1" x14ac:dyDescent="0.25">
      <c r="A29" s="280" t="str">
        <f>IF(malumot!B110="Avtotransport",xulosa!A27:E27,xulosa!A28:E28)</f>
        <v xml:space="preserve"> -   OLLABERGANOVA GO'ZALOY IBRAHIMOVNA ga mulk huquqi asosida tegishli ko'chmas mulk shaklida 7 -xonali  yakka tartibdagi uy-joy, manzili: XORAZM VILOYATI QO'SHKO'PIR TUMANI XOSIYON QFY XOSIYON MFY SHOLIKOR KO'CHASI 37-UY, quyidagi tafsilotlarga muvofiq:</v>
      </c>
      <c r="B29" s="280"/>
      <c r="C29" s="280"/>
      <c r="D29" s="280"/>
      <c r="E29" s="280"/>
    </row>
    <row r="30" spans="1:5" s="13" customFormat="1" ht="47.25" customHeight="1" outlineLevel="1" x14ac:dyDescent="0.25">
      <c r="A30" s="35" t="str">
        <f>dalolatnoma!A29</f>
        <v>Nomi</v>
      </c>
      <c r="B30" s="35" t="str">
        <f>dalolatnoma!B29</f>
        <v>Davlat ro'yxatidan o'tkazilgan yer maydoni</v>
      </c>
      <c r="C30" s="35" t="str">
        <f>dalolatnoma!C29</f>
        <v>Yashash maydoni</v>
      </c>
      <c r="D30" s="35" t="str">
        <f>dalolatnoma!D29</f>
        <v>Foydalanishga topshirilgan sanasi</v>
      </c>
      <c r="E30" s="35" t="str">
        <f>dalolatnoma!E29</f>
        <v>Kelishilgan garov qiymati, so'm</v>
      </c>
    </row>
    <row r="31" spans="1:5" s="17" customFormat="1" ht="102.75" customHeight="1" outlineLevel="1" x14ac:dyDescent="0.25">
      <c r="A31" s="14" t="str">
        <f>dalolatnoma!A30</f>
        <v>7 -xonali  yakka tartibdagi uy-joy</v>
      </c>
      <c r="B31" s="14" t="str">
        <f>dalolatnoma!B30</f>
        <v>420 kv.m</v>
      </c>
      <c r="C31" s="14" t="str">
        <f>dalolatnoma!C30</f>
        <v>42.17 kv.m</v>
      </c>
      <c r="D31" s="14" t="str">
        <f>dalolatnoma!D30</f>
        <v>26.01.2026</v>
      </c>
      <c r="E31" s="14" t="str">
        <f>dalolatnoma!E30</f>
        <v>105 000 000,00 
(yuz besh million so'm)</v>
      </c>
    </row>
    <row r="32" spans="1:5" ht="18.75" customHeight="1" outlineLevel="1" x14ac:dyDescent="0.25">
      <c r="A32" s="280" t="str">
        <f>dalolatnoma!A22</f>
        <v>-* ko'chmas mulk egasi: OLLABERGANOVA GO'ZALOY IBRAHIMOVNA</v>
      </c>
      <c r="B32" s="280"/>
      <c r="C32" s="280"/>
      <c r="D32" s="280"/>
      <c r="E32" s="280"/>
    </row>
    <row r="33" spans="1:5" ht="20.25" customHeight="1" outlineLevel="1" x14ac:dyDescent="0.25">
      <c r="A33" s="280" t="str">
        <f>dalolatnoma!A23</f>
        <v>-* reest raqami: 26.01.2026 yildan №1733212/Y-26001010</v>
      </c>
      <c r="B33" s="280"/>
      <c r="C33" s="280"/>
      <c r="D33" s="280"/>
      <c r="E33" s="280"/>
    </row>
    <row r="34" spans="1:5" ht="33" customHeight="1" outlineLevel="1" x14ac:dyDescent="0.25">
      <c r="A34" s="280" t="str">
        <f>dalolatnoma!A24</f>
        <v>-*  kadastr raqami: №22:09:41:01:02:0317</v>
      </c>
      <c r="B34" s="280"/>
      <c r="C34" s="280"/>
      <c r="D34" s="280"/>
      <c r="E34" s="280"/>
    </row>
    <row r="35" spans="1:5" ht="33" customHeight="1" outlineLevel="1" x14ac:dyDescent="0.25">
      <c r="A35" s="280" t="str">
        <f>dalolatnoma!A25</f>
        <v>-* manzili: XORAZM VILOYATI QO'SHKO'PIR TUMANI XOSIYON QFY XOSIYON MFY SHOLIKOR KO'CHASI 37-UY</v>
      </c>
      <c r="B35" s="280"/>
      <c r="C35" s="280"/>
      <c r="D35" s="280"/>
      <c r="E35" s="280"/>
    </row>
    <row r="36" spans="1:5" ht="39" customHeight="1" x14ac:dyDescent="0.25">
      <c r="A36" s="282" t="str">
        <f>""&amp;malumot!B158&amp;"
mikromoliya tashkilotining Xulosasi"</f>
        <v>«CLEVER MIKROMOLIYA TASHKILOTI» MChJ
mikromoliya tashkilotining Xulosasi</v>
      </c>
      <c r="B36" s="282"/>
      <c r="C36" s="282"/>
      <c r="D36" s="282"/>
      <c r="E36" s="282"/>
    </row>
    <row r="37" spans="1:5" ht="33.75" customHeight="1" x14ac:dyDescent="0.25">
      <c r="A37" s="280" t="str">
        <f>""&amp;malumot!B158&amp;" kredit qo‘mitasining xulosasiga quyidagi shartlarda "&amp;malumot!B10&amp;"ga "&amp;malumot!B65&amp;" berish masalasi kiritiladi:"</f>
        <v>«CLEVER MIKROMOLIYA TASHKILOTI» MChJ kredit qo‘mitasining xulosasiga quyidagi shartlarda ADXAMJONOV SHOXRUX SHORAXM O'G'LIga mikroqarz berish masalasi kiritiladi:</v>
      </c>
      <c r="B37" s="280"/>
      <c r="C37" s="280"/>
      <c r="D37" s="280"/>
      <c r="E37" s="280"/>
    </row>
    <row r="38" spans="1:5" x14ac:dyDescent="0.25">
      <c r="A38" s="280" t="str">
        <f>A11</f>
        <v>Mikroqarz summasi: 100 000 000,00 (yuz million so'm) so'm.</v>
      </c>
      <c r="B38" s="280"/>
      <c r="C38" s="280"/>
      <c r="D38" s="280"/>
      <c r="E38" s="280"/>
    </row>
    <row r="39" spans="1:5" x14ac:dyDescent="0.25">
      <c r="A39" s="280" t="str">
        <f t="shared" ref="A39:A45" si="0">A12</f>
        <v>Mikroqarz muddati: 36 (O'ttiz olti  ) oy.</v>
      </c>
      <c r="B39" s="280"/>
      <c r="C39" s="280"/>
      <c r="D39" s="280"/>
      <c r="E39" s="280"/>
    </row>
    <row r="40" spans="1:5" x14ac:dyDescent="0.25">
      <c r="A40" s="280" t="str">
        <f t="shared" si="0"/>
        <v>Mikroqarzdan foydalanganlik uchun foiz stavkasi: yillik  55% (Ellik besh  ) foiz</v>
      </c>
      <c r="B40" s="280"/>
      <c r="C40" s="280"/>
      <c r="D40" s="280"/>
      <c r="E40" s="280"/>
    </row>
    <row r="41" spans="1:5" x14ac:dyDescent="0.25">
      <c r="A41" s="280" t="str">
        <f t="shared" si="0"/>
        <v>Mikroqarz bo'yicha asosiy qarz va foizlarni to'lash:</v>
      </c>
      <c r="B41" s="280"/>
      <c r="C41" s="280"/>
      <c r="D41" s="280"/>
      <c r="E41" s="280"/>
    </row>
    <row r="42" spans="1:5" ht="20.25" customHeight="1" x14ac:dyDescent="0.25">
      <c r="A42" s="280" t="str">
        <f t="shared" si="0"/>
        <v xml:space="preserve"> - mikroqarz shartnomasi bo'yicha har oy annuitet to'lovlari amalga oshiriladi</v>
      </c>
      <c r="B42" s="280"/>
      <c r="C42" s="280"/>
      <c r="D42" s="280"/>
      <c r="E42" s="280"/>
    </row>
    <row r="43" spans="1:5" ht="35.25" customHeight="1" x14ac:dyDescent="0.25">
      <c r="A43" s="280" t="str">
        <f t="shared" si="0"/>
        <v xml:space="preserve">  Oxirgi yakuniy to'lov mikroqarz shartnomasi tuzilgan kundan boshlab oxirgi oyning oxirgi kunida amalga oshiriladi</v>
      </c>
      <c r="B43" s="280"/>
      <c r="C43" s="280"/>
      <c r="D43" s="280"/>
      <c r="E43" s="280"/>
    </row>
    <row r="44" spans="1:5" ht="22.5" customHeight="1" x14ac:dyDescent="0.25">
      <c r="A44" s="280" t="str">
        <f t="shared" si="0"/>
        <v>Mikroqarz ta’minoti::</v>
      </c>
      <c r="B44" s="280"/>
      <c r="C44" s="280"/>
      <c r="D44" s="280"/>
      <c r="E44" s="280"/>
    </row>
    <row r="45" spans="1:5" ht="69" customHeight="1" x14ac:dyDescent="0.25">
      <c r="A45" s="280" t="str">
        <f t="shared" si="0"/>
        <v xml:space="preserve">1.  Egalik huquqi OLLABERGANOVA GO'ZALOY IBRAHIMOVNAga tegishli bo'lgan umumiy maydoni - 88.79  va yashash maydoni - 42.17 7 -xonali  yakka tartibdagi uy-joy, XORAZM VILOYATI QO'SHKO'PIR TUMANI XOSIYON QFY XOSIYON MFY SHOLIKOR KO'CHASI 37-UY </v>
      </c>
      <c r="B45" s="280"/>
      <c r="C45" s="280"/>
      <c r="D45" s="280"/>
      <c r="E45" s="280"/>
    </row>
    <row r="46" spans="1:5" x14ac:dyDescent="0.25">
      <c r="A46" s="280"/>
      <c r="B46" s="280"/>
      <c r="C46" s="280"/>
      <c r="D46" s="280"/>
      <c r="E46" s="280"/>
    </row>
    <row r="47" spans="1:5" ht="29.25" customHeight="1" x14ac:dyDescent="0.25">
      <c r="A47" s="280" t="str">
        <f>""&amp;malumot!B158&amp;" mikromoliya tashkilotining xulosasi  "&amp;TEXT(malumot!B2,"ДД.ММ.ГГГГ")&amp;" y. tayyorlangan"</f>
        <v>«CLEVER MIKROMOLIYA TASHKILOTI» MChJ mikromoliya tashkilotining xulosasi  30.01.2026 y. tayyorlangan</v>
      </c>
      <c r="B47" s="280"/>
      <c r="C47" s="280"/>
      <c r="D47" s="280"/>
      <c r="E47" s="280"/>
    </row>
    <row r="48" spans="1:5" hidden="1" x14ac:dyDescent="0.25">
      <c r="A48" s="280"/>
      <c r="B48" s="280"/>
      <c r="C48" s="280"/>
      <c r="D48" s="280"/>
      <c r="E48" s="280"/>
    </row>
    <row r="49" spans="1:5" ht="15.75" hidden="1" customHeight="1" x14ac:dyDescent="0.25">
      <c r="A49" s="281"/>
      <c r="B49" s="281"/>
      <c r="C49" s="281"/>
      <c r="D49" s="18"/>
      <c r="E49" s="19"/>
    </row>
    <row r="50" spans="1:5" ht="35.25" hidden="1" customHeight="1" x14ac:dyDescent="0.25">
      <c r="A50" s="281"/>
      <c r="B50" s="281"/>
      <c r="C50" s="281"/>
      <c r="D50" s="19"/>
      <c r="E50" s="19"/>
    </row>
    <row r="51" spans="1:5" hidden="1" x14ac:dyDescent="0.25">
      <c r="A51" s="280"/>
      <c r="B51" s="280"/>
      <c r="C51" s="280"/>
      <c r="D51" s="280"/>
      <c r="E51" s="280"/>
    </row>
    <row r="52" spans="1:5" ht="59.25" customHeight="1" x14ac:dyDescent="0.25">
      <c r="A52" s="280" t="str">
        <f>""&amp;malumot!B158&amp;" mikromoliya tashkilotining Kredit qo‘mitasi a’zolari "&amp;malumot!B158&amp;"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2" s="280"/>
      <c r="C52" s="280"/>
      <c r="D52" s="280"/>
      <c r="E52" s="280"/>
    </row>
    <row r="53" spans="1:5" x14ac:dyDescent="0.25">
      <c r="A53" s="16" t="s">
        <v>388</v>
      </c>
      <c r="B53" s="314"/>
      <c r="C53" s="314"/>
      <c r="D53" s="16"/>
      <c r="E53" s="16"/>
    </row>
    <row r="54" spans="1:5" x14ac:dyDescent="0.25">
      <c r="C54" s="33"/>
    </row>
    <row r="55" spans="1:5" x14ac:dyDescent="0.25">
      <c r="A55" s="182" t="str">
        <f>malumot!A172</f>
        <v>Xorazm filiali boshlig'i</v>
      </c>
      <c r="B55" s="33"/>
      <c r="C55" s="33"/>
      <c r="D55" s="33" t="str">
        <f>malumot!B172</f>
        <v>M.Sharipov</v>
      </c>
    </row>
    <row r="56" spans="1:5" x14ac:dyDescent="0.25">
      <c r="A56" s="182"/>
      <c r="B56" s="33"/>
      <c r="C56" s="33"/>
      <c r="D56" s="33"/>
    </row>
    <row r="57" spans="1:5" x14ac:dyDescent="0.25">
      <c r="A57" s="182"/>
      <c r="B57" s="120"/>
      <c r="C57" s="33"/>
      <c r="D57" s="33"/>
    </row>
    <row r="58" spans="1:5" x14ac:dyDescent="0.25">
      <c r="A58" s="182"/>
      <c r="B58" s="33"/>
      <c r="C58" s="33"/>
      <c r="D58" s="33"/>
    </row>
    <row r="59" spans="1:5" ht="29.25" x14ac:dyDescent="0.25">
      <c r="A59" s="182" t="str">
        <f>malumot!A170</f>
        <v xml:space="preserve">Kreditlash bo’limi boshlig’i </v>
      </c>
      <c r="B59" s="33"/>
      <c r="C59" s="33"/>
      <c r="D59" s="33" t="str">
        <f>malumot!B170</f>
        <v>J. Sadiriddinzoda</v>
      </c>
    </row>
    <row r="60" spans="1:5" x14ac:dyDescent="0.25">
      <c r="A60" s="182"/>
      <c r="B60" s="33"/>
      <c r="C60" s="33"/>
      <c r="D60" s="33"/>
    </row>
    <row r="61" spans="1:5" x14ac:dyDescent="0.25">
      <c r="A61" s="182"/>
      <c r="B61" s="33"/>
      <c r="C61" s="33"/>
      <c r="D61" s="33"/>
    </row>
    <row r="62" spans="1:5" x14ac:dyDescent="0.25">
      <c r="A62" s="182"/>
      <c r="B62" s="33"/>
      <c r="C62" s="33"/>
      <c r="D62" s="33"/>
    </row>
    <row r="63" spans="1:5" ht="29.25" x14ac:dyDescent="0.25">
      <c r="A63" s="182" t="str">
        <f>malumot!A171</f>
        <v>Monitoring bo’limi boshlig’i</v>
      </c>
      <c r="B63" s="33"/>
      <c r="C63" s="33"/>
      <c r="D63" s="33" t="str">
        <f>malumot!B171</f>
        <v>D.Axmedov</v>
      </c>
    </row>
    <row r="64" spans="1:5" x14ac:dyDescent="0.25">
      <c r="A64" s="182"/>
      <c r="B64" s="33"/>
      <c r="C64" s="33"/>
      <c r="D64" s="33"/>
    </row>
    <row r="65" spans="1:4" x14ac:dyDescent="0.25">
      <c r="A65" s="182"/>
      <c r="B65" s="33"/>
      <c r="C65" s="33"/>
      <c r="D65" s="33"/>
    </row>
    <row r="66" spans="1:4" x14ac:dyDescent="0.25">
      <c r="A66" s="182"/>
      <c r="B66" s="33"/>
      <c r="C66" s="33"/>
      <c r="D66" s="33"/>
    </row>
    <row r="67" spans="1:4" x14ac:dyDescent="0.25">
      <c r="A67" s="120" t="s">
        <v>453</v>
      </c>
      <c r="B67" s="33"/>
      <c r="C67" s="33"/>
      <c r="D67" s="33" t="s">
        <v>418</v>
      </c>
    </row>
  </sheetData>
  <mergeCells count="51">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49:C49"/>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s>
  <pageMargins left="0.7" right="0.7" top="0.75" bottom="0.75" header="0.3" footer="0.3"/>
  <pageSetup paperSize="9" scale="84" orientation="portrait" r:id="rId1"/>
  <rowBreaks count="1" manualBreakCount="1">
    <brk id="3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tabColor rgb="FF00B050"/>
  </sheetPr>
  <dimension ref="A2:F69"/>
  <sheetViews>
    <sheetView view="pageBreakPreview" topLeftCell="A31" zoomScaleNormal="100" zoomScaleSheetLayoutView="100" workbookViewId="0">
      <selection activeCell="A61" sqref="A61:XFD61"/>
    </sheetView>
  </sheetViews>
  <sheetFormatPr defaultColWidth="9.140625" defaultRowHeight="15" outlineLevelRow="1" x14ac:dyDescent="0.25"/>
  <cols>
    <col min="1" max="1" width="29.7109375" style="12" customWidth="1"/>
    <col min="2" max="2" width="22.85546875" style="12" customWidth="1"/>
    <col min="3" max="3" width="22.42578125" style="12" customWidth="1"/>
    <col min="4" max="4" width="21.42578125" style="12" customWidth="1"/>
    <col min="5" max="5" width="21.5703125" style="12" customWidth="1"/>
    <col min="6" max="16384" width="9.140625" style="12"/>
  </cols>
  <sheetData>
    <row r="2" spans="1:5" ht="37.5" customHeight="1" x14ac:dyDescent="0.25">
      <c r="A2" s="303" t="str">
        <f>"GAROV PREDMETI QIYMATINI KELISHISH 
№"&amp;malumot!B148&amp;" SONLI DALOLATNOMASI
 "</f>
        <v xml:space="preserve">GAROV PREDMETI QIYMATINI KELISHISH 
№1 SONLI DALOLATNOMASI
 </v>
      </c>
      <c r="B2" s="303"/>
      <c r="C2" s="303"/>
      <c r="D2" s="303"/>
      <c r="E2" s="303"/>
    </row>
    <row r="3" spans="1:5" x14ac:dyDescent="0.25">
      <c r="A3" s="36"/>
      <c r="B3" s="36"/>
      <c r="C3" s="36"/>
      <c r="D3" s="36"/>
      <c r="E3" s="36"/>
    </row>
    <row r="4" spans="1:5" x14ac:dyDescent="0.25">
      <c r="A4" s="33" t="s">
        <v>201</v>
      </c>
      <c r="B4" s="33"/>
      <c r="C4" s="33"/>
      <c r="D4" s="33"/>
      <c r="E4" s="33" t="str">
        <f>malumot!B149</f>
        <v>30 yanvar 2026 y.</v>
      </c>
    </row>
    <row r="5" spans="1:5" ht="9" customHeight="1" x14ac:dyDescent="0.25">
      <c r="A5" s="280"/>
      <c r="B5" s="280"/>
      <c r="C5" s="280"/>
      <c r="D5" s="280"/>
      <c r="E5" s="280"/>
    </row>
    <row r="6" spans="1:5" ht="77.25" customHeight="1" x14ac:dyDescent="0.25">
      <c r="A6" s="280" t="str">
        <f>IF(malumot!B110="avtotransport",dalolatnoma!A10:E10,dalolatnoma!A7:E7)</f>
        <v xml:space="preserve">«CLEVER MIKROMOLIYA TASHKILOTI» MChJning (1-tomon) vakili bo‘lgan  Xorazm filiali boshlig'i M.Sharipov, va O‘zbekiston Respublikasi fuqarosi  OLLABERGANOVA GO'ZALOY IBRAHIMOVNA (2-tomon) va garov egasi OLLABERGANOVA GO'ZALOY IBRAHIMOVNA (3-tomon) 30 yanvar 2026 y.dan №254- XMS Mikroqarz shartnomasiga muvofiq 1-tomon 2-tomonga berilgan mikroqarz bo‘yicha ta’minot sifatida taqdim etilgan, 2-tomonga mulk huquqi asosida tegishli bo‘lgan mulkning garov qiymatini kelishish muzokaralari o’tkazildi. </v>
      </c>
      <c r="B6" s="280"/>
      <c r="C6" s="280"/>
      <c r="D6" s="280"/>
      <c r="E6" s="280"/>
    </row>
    <row r="7" spans="1:5" ht="88.5" hidden="1" customHeight="1" x14ac:dyDescent="0.25">
      <c r="A7" s="280" t="str">
        <f>IF(malumot!B100="ha",dalolatnoma!A9:E9,dalolatnoma!A8:E8)</f>
        <v xml:space="preserve">«CLEVER MIKROMOLIYA TASHKILOTI» MChJning (1-tomon) vakili bo‘lgan  Xorazm filiali boshlig'i M.Sharipov, va O‘zbekiston Respublikasi fuqarosi  OLLABERGANOVA GO'ZALOY IBRAHIMOVNA (2-tomon) va garov egasi OLLABERGANOVA GO'ZALOY IBRAHIMOVNA (3-tomon) 30 yanvar 2026 y.dan №254- XMS Mikroqarz shartnomasiga muvofiq 1-tomon 2-tomonga berilgan mikroqarz bo‘yicha ta’minot sifatida taqdim etilgan, 2-tomonga mulk huquqi asosida tegishli bo‘lgan mulkning garov qiymatini kelishish muzokaralari o’tkazildi. </v>
      </c>
      <c r="B7" s="280"/>
      <c r="C7" s="280"/>
      <c r="D7" s="280"/>
      <c r="E7" s="280"/>
    </row>
    <row r="8" spans="1:5" ht="88.5" hidden="1" customHeight="1" x14ac:dyDescent="0.25">
      <c r="A8" s="280" t="str">
        <f>""&amp;malumot!B158&amp;"ning (1-tomon) vakili bo‘lgan  "&amp;malumot!A161&amp;" "&amp;malumot!B161&amp;",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Xorazm filiali boshlig'i M.Sharipov, va O‘zbekiston Respublikasi fuqarosi  OLLABERGANOVA GO'ZALOY IBRAHIMOVNA (2-tomon) va garov egasi OLLABERGANOVA GO'ZALOY IBRAHIMOVNA (3-tomon) 30 yanvar 2026 y.dan №254- XMS Mikroqarz shartnomasiga muvofiq 1-tomon 2-tomonga berilgan mikroqarz bo‘yicha ta’minot sifatida taqdim etilgan, 2-tomonga mulk huquqi asosida tegishli bo‘lgan mulkning garov qiymatini kelishish muzokaralari o’tkazildi. </v>
      </c>
      <c r="B8" s="280"/>
      <c r="C8" s="280"/>
      <c r="D8" s="280"/>
      <c r="E8" s="280"/>
    </row>
    <row r="9" spans="1:5" ht="88.5" hidden="1" customHeight="1" x14ac:dyDescent="0.25">
      <c r="A9" s="280" t="str">
        <f>""&amp;malumot!B158&amp;"ning (1-tomon) vakili bo‘lgan  "&amp;malumot!A161&amp;" "&amp;malumot!B161&amp;",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Xorazm filiali boshlig'i M.Sharipov, va O‘zbekiston Respublikasi fuqarosi  OLLABERGANOVA GO'ZALOY IBRAHIMOVNA (2-tomon) va garov egasi OLLABERGANOVA GO'ZALOY IBRAHIMOVNA (3-tomon) 30 yanvar 2026 y.dan №254- XMS Mikroqarz shartnomasiga muvofiq 1-tomon 2-tomonga berilgan mikroqarz bo‘yicha ta’minot sifatida taqdim etilgan, 2-tomonga mulk huquqi asosida tegishli bo‘lgan mulkning garov qiymatini kelishish muzokaralari o’tkazildi. </v>
      </c>
      <c r="B9" s="280"/>
      <c r="C9" s="280"/>
      <c r="D9" s="280"/>
      <c r="E9" s="280"/>
    </row>
    <row r="10" spans="1:5" ht="88.5" hidden="1" customHeight="1" x14ac:dyDescent="0.25">
      <c r="A10" s="280" t="str">
        <f>IF(malumot!B100="ha",dalolatnoma!A12:E12,dalolatnoma!A11:E11)</f>
        <v>«CLEVER MIKROMOLIYA TASHKILOTI» MChJning (1-tomon) vakili bo‘lgan  Xorazm filiali boshlig'i M.Sharipov, O‘zbekiston Respublikasi fuqarosi va garovga beruvchi OLLABERGANOVA GO'ZALOY IBRAHIMOVNA (2-tomon) o’rtalarida, 30 yanvar 2026 y.dan №254- XMS-sonli Mikroqarz shartnomasiga muvofiq 1-tomon 2-tomonga berilgan mikroqarz bo‘yicha ta’minot sifatida taqdim etilgan, 2-tomonga mulk huquqi asosida tegishli bo‘lgan mulkning garov qiymatini kelishish muzokaralari o’tkazildi.</v>
      </c>
      <c r="B10" s="280"/>
      <c r="C10" s="280"/>
      <c r="D10" s="280"/>
      <c r="E10" s="280"/>
    </row>
    <row r="11" spans="1:5" ht="88.5" hidden="1" customHeight="1" x14ac:dyDescent="0.25">
      <c r="A11" s="280" t="str">
        <f>""&amp;malumot!B158&amp;"ning (1-tomon) vakili bo‘lgan  "&amp;malumot!A161&amp;" "&amp;malumot!B161&amp;", O‘zbekiston Respublikasi fuqarosi "&amp;malumot!B5&amp;" (2-tomon) va garovga beruvchi O‘zbekiston Respublikasi fuqarosi "&amp;malumot!B124&amp;"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Xorazm filiali boshlig'i M.Sharipov, O‘zbekiston Respublikasi fuqarosi OLLABERGANOVA GO'ZALOY IBRAHIMOVNA (2-tomon) va garovga beruvchi O‘zbekiston Respublikasi fuqarosi OLLABERGANOVA GO'ZALOY IBRAHIMOVNA (3-tomon) o’rtalarida, 30 yanvar 2026 y.dan №254- XMS-sonli Mikroqarz shartnomasiga muvofiq 1-tomon 2-tomonga berilgan mikroqarz bo‘yicha ta’minot sifatida taqdim etilgan, 3-tomonga mulk huquqi asosida tegishli bo‘lgan mulkning garov qiymatini kelishish muzokaralari o’tkazildi.</v>
      </c>
      <c r="B11" s="280"/>
      <c r="C11" s="280"/>
      <c r="D11" s="280"/>
      <c r="E11" s="280"/>
    </row>
    <row r="12" spans="1:5" ht="88.5" hidden="1" customHeight="1" x14ac:dyDescent="0.25">
      <c r="A12" s="280" t="str">
        <f>""&amp;malumot!B158&amp;"ning (1-tomon) vakili bo‘lgan  "&amp;malumot!A161&amp;" "&amp;malumot!B161&amp;",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Xorazm filiali boshlig'i M.Sharipov, O‘zbekiston Respublikasi fuqarosi va garovga beruvchi OLLABERGANOVA GO'ZALOY IBRAHIMOVNA (2-tomon) o’rtalarida, 30 yanvar 2026 y.dan №254- XMS-sonli Mikroqarz shartnomasiga muvofiq 1-tomon 2-tomonga berilgan mikroqarz bo‘yicha ta’minot sifatida taqdim etilgan, 2-tomonga mulk huquqi asosida tegishli bo‘lgan mulkning garov qiymatini kelishish muzokaralari o’tkazildi.</v>
      </c>
      <c r="B12" s="280"/>
      <c r="C12" s="280"/>
      <c r="D12" s="280"/>
      <c r="E12" s="280"/>
    </row>
    <row r="13" spans="1:5" ht="88.5" hidden="1" customHeight="1" x14ac:dyDescent="0.25">
      <c r="A13" s="280" t="str">
        <f>"Garov predmeti sifatida "&amp;malumot!B132&amp;", 3-tomonga egalik huquqi tegishli bo'lgan, quyidagi tafsilotlarga ega avtotransport vositasi taqdim etiladi:"</f>
        <v>Garov predmeti sifatida , 3-tomonga egalik huquqi tegishli bo'lgan, quyidagi tafsilotlarga ega avtotransport vositasi taqdim etiladi:</v>
      </c>
      <c r="B13" s="280"/>
      <c r="C13" s="280"/>
      <c r="D13" s="280"/>
      <c r="E13" s="280"/>
    </row>
    <row r="14" spans="1:5" ht="88.5" hidden="1" customHeight="1" x14ac:dyDescent="0.25">
      <c r="A14" s="280" t="str">
        <f>"Garov predmeti sifatida "&amp;malumot!B132&amp;", 2-tomonga egalik huquqi tegishli bo'lgan, quyidagi tafsilotlarga ega avtotransport vositasi taqdim etiladi:"</f>
        <v>Garov predmeti sifatida , 2-tomonga egalik huquqi tegishli bo'lgan, quyidagi tafsilotlarga ega avtotransport vositasi taqdim etiladi:</v>
      </c>
      <c r="B14" s="280"/>
      <c r="C14" s="280"/>
      <c r="D14" s="280"/>
      <c r="E14" s="280"/>
    </row>
    <row r="15" spans="1:5" ht="88.5" hidden="1" customHeight="1" x14ac:dyDescent="0.25">
      <c r="A15" s="280" t="str">
        <f>IF(malumot!B100="ha",dalolatnoma!A14:E14,dalolatnoma!A13:E13)</f>
        <v>Garov predmeti sifatida , 2-tomonga egalik huquqi tegishli bo'lgan, quyidagi tafsilotlarga ega avtotransport vositasi taqdim etiladi:</v>
      </c>
      <c r="B15" s="280"/>
      <c r="C15" s="280"/>
      <c r="D15" s="280"/>
      <c r="E15" s="280"/>
    </row>
    <row r="16" spans="1:5" ht="88.5" hidden="1" customHeight="1" x14ac:dyDescent="0.25">
      <c r="A16" s="280" t="str">
        <f>"Garov predmeti sifatida "&amp;malumot!C133&amp;", 2-tomonga egalik huquqi tegishli bo'lgan, quyidagi tafsilotlarga ega ko'chmas mulk taqdim etiladi:"</f>
        <v>Garov predmeti sifatida 7 -xonali  yakka tartibdagi uy-joy, 2-tomonga egalik huquqi tegishli bo'lgan, quyidagi tafsilotlarga ega ko'chmas mulk taqdim etiladi:</v>
      </c>
      <c r="B16" s="280"/>
      <c r="C16" s="280"/>
      <c r="D16" s="280"/>
      <c r="E16" s="280"/>
    </row>
    <row r="17" spans="1:5" ht="13.5" hidden="1" customHeight="1" x14ac:dyDescent="0.25">
      <c r="A17" s="280" t="str">
        <f>"Garov predmeti sifatida "&amp;malumot!C133&amp;", 3-tomonga egalik huquqi tegishli bo'lgan, quyidagi tafsilotlarga ega ko'chmas mulk taqdim etiladi:"</f>
        <v>Garov predmeti sifatida 7 -xonali  yakka tartibdagi uy-joy, 3-tomonga egalik huquqi tegishli bo'lgan, quyidagi tafsilotlarga ega ko'chmas mulk taqdim etiladi:</v>
      </c>
      <c r="B17" s="280"/>
      <c r="C17" s="280"/>
      <c r="D17" s="280"/>
      <c r="E17" s="280"/>
    </row>
    <row r="18" spans="1:5" ht="11.25" hidden="1" customHeight="1" x14ac:dyDescent="0.25">
      <c r="A18" s="280" t="str">
        <f>IF(malumot!B100="ha",dalolatnoma!A16:E16,dalolatnoma!A17:E17)</f>
        <v>Garov predmeti sifatida 7 -xonali  yakka tartibdagi uy-joy, 2-tomonga egalik huquqi tegishli bo'lgan, quyidagi tafsilotlarga ega ko'chmas mulk taqdim etiladi:</v>
      </c>
      <c r="B18" s="280"/>
      <c r="C18" s="280"/>
      <c r="D18" s="280"/>
      <c r="E18" s="280"/>
    </row>
    <row r="19" spans="1:5" ht="36.75" customHeight="1" x14ac:dyDescent="0.25">
      <c r="A19" s="280" t="str">
        <f>IF(malumot!B110="Avtotransport",dalolatnoma!A15:E15,dalolatnoma!A18:E18)</f>
        <v>Garov predmeti sifatida 7 -xonali  yakka tartibdagi uy-joy, 2-tomonga egalik huquqi tegishli bo'lgan, quyidagi tafsilotlarga ega ko'chmas mulk taqdim etiladi:</v>
      </c>
      <c r="B19" s="280"/>
      <c r="C19" s="280"/>
      <c r="D19" s="280"/>
      <c r="E19" s="280"/>
    </row>
    <row r="20" spans="1:5" ht="48" customHeight="1" outlineLevel="1" x14ac:dyDescent="0.25">
      <c r="A20" s="35" t="s">
        <v>199</v>
      </c>
      <c r="B20" s="315" t="str">
        <f>IF(malumot!B110=malumot!C110,"Kuzov turi  va kuzov raqami*","Davlat ro'yxatidan o'tkazilgan yer maydoni")</f>
        <v>Davlat ro'yxatidan o'tkazilgan yer maydoni</v>
      </c>
      <c r="C20" s="316"/>
      <c r="D20" s="35" t="str">
        <f>IF(malumot!B110=malumot!C110,"Dvigatel va shassi raqami*","Yashash maydoni")</f>
        <v>Yashash maydoni</v>
      </c>
      <c r="E20" s="35" t="str">
        <f>IF(malumot!B110=malumot!C110,"Ishlab chiqarilgan yili va rangi**","Umumiy maydoni")</f>
        <v>Umumiy maydoni</v>
      </c>
    </row>
    <row r="21" spans="1:5" ht="83.25" customHeight="1" outlineLevel="1" x14ac:dyDescent="0.25">
      <c r="A21" s="14" t="str">
        <f>IF(malumot!B110=malumot!C110,malumot!B132,malumot!C132)</f>
        <v>7 -xonali  yakka tartibdagi uy-joy</v>
      </c>
      <c r="B21" s="305" t="str">
        <f>IF(malumot!B110=malumot!C110,malumot!B134,CONCATENATE(malumot!C138," kv.m",""))</f>
        <v>420 kv.m</v>
      </c>
      <c r="C21" s="305"/>
      <c r="D21" s="14" t="str">
        <f>IF(malumot!B110=malumot!C110,malumot!B137,malumot!E140)</f>
        <v>42.17 kv.m</v>
      </c>
      <c r="E21" s="14" t="str">
        <f>IF(malumot!B110=malumot!C110,malumot!B140,malumot!E137)</f>
        <v>88.79 kv.m</v>
      </c>
    </row>
    <row r="22" spans="1:5" ht="17.25" customHeight="1" outlineLevel="1" x14ac:dyDescent="0.25">
      <c r="A22" s="280" t="str">
        <f>"-* "&amp;IF(malumot!B110=malumot!C110,"avtotransport "&amp;"egasi: "&amp;malumot!B124&amp;"","ko'chmas mulk"&amp;" egasi: "&amp;malumot!B124&amp;"")</f>
        <v>-* ko'chmas mulk egasi: OLLABERGANOVA GO'ZALOY IBRAHIMOVNA</v>
      </c>
      <c r="B22" s="280"/>
      <c r="C22" s="280"/>
      <c r="D22" s="280"/>
      <c r="E22" s="280"/>
    </row>
    <row r="23" spans="1:5" outlineLevel="1" x14ac:dyDescent="0.25">
      <c r="A23" s="280" t="str">
        <f>IF(malumot!B110=malumot!C110,"-* texnik pasport: "&amp;malumot!B131&amp;"","-* reest raqami: "&amp;malumot!C131&amp;"")</f>
        <v>-* reest raqami: 26.01.2026 yildan №1733212/Y-26001010</v>
      </c>
      <c r="B23" s="280"/>
      <c r="C23" s="280"/>
      <c r="D23" s="280"/>
      <c r="E23" s="280"/>
    </row>
    <row r="24" spans="1:5" s="156" customFormat="1" ht="36.75" customHeight="1" outlineLevel="1" x14ac:dyDescent="0.25">
      <c r="A24" s="280" t="str">
        <f>IF(malumot!B110=malumot!C110,"-* roʻyxatdan oʻtgan manzili/garaj manzili: "&amp;malumot!B129&amp;"","-*  kadastr raqami: "&amp;malumot!C134&amp;"")</f>
        <v>-*  kadastr raqami: №22:09:41:01:02:0317</v>
      </c>
      <c r="B24" s="280"/>
      <c r="C24" s="280"/>
      <c r="D24" s="280"/>
      <c r="E24" s="280"/>
    </row>
    <row r="25" spans="1:5" ht="33" customHeight="1" outlineLevel="1" x14ac:dyDescent="0.25">
      <c r="A25" s="280" t="str">
        <f>IF(malumot!B110=malumot!C110,"-* davlat raqami: "&amp;malumot!B133&amp;"","-* manzili: "&amp;malumot!C130&amp;"")</f>
        <v>-* manzili: XORAZM VILOYATI QO'SHKO'PIR TUMANI XOSIYON QFY XOSIYON MFY SHOLIKOR KO'CHASI 37-UY</v>
      </c>
      <c r="B25" s="280"/>
      <c r="C25" s="280"/>
      <c r="D25" s="280"/>
      <c r="E25" s="280"/>
    </row>
    <row r="26" spans="1:5" ht="65.25" hidden="1" customHeight="1" x14ac:dyDescent="0.25">
      <c r="A26" s="280" t="str">
        <f>IF(malumot!B100="ha",dalolatnoma!A28:E28,dalolatnoma!A27:E27)</f>
        <v>Tomonlar o’rtasida o’tkazilgan muzokaralar natijalariga ko‘ra, 2-tomon ta’minot sifatida quyidagi tafsilotlarga ega bo’lgan garov predmetini taqdim etadi, 1-tomon esa ushbu garov predmetini  30 yanvar 2026 y.dan №254- XMS Mikroqarz shartnomasi bo‘yicha berilgan mikroqarz bo‘yicha  
105 000 000,00 (yuz besh million so'm) so’m bo‘lgan kelishilgan garov qiymatida qabul qiladi::</v>
      </c>
      <c r="B26" s="280"/>
      <c r="C26" s="280"/>
      <c r="D26" s="280"/>
      <c r="E26" s="280"/>
    </row>
    <row r="27" spans="1:5" ht="66" hidden="1" customHeight="1" x14ac:dyDescent="0.25">
      <c r="A27" s="280"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30 yanvar 2026 y.dan №254- XMS mikroqarz shartnomasi bo‘yicha berilgan mikroqarz bo‘yicha  
105 000 000,00 (yuz besh million so'm) so’m bo‘lgan kelishilgan garov qiymatida qabul qiladi::</v>
      </c>
      <c r="B27" s="280"/>
      <c r="C27" s="280"/>
      <c r="D27" s="280"/>
      <c r="E27" s="280"/>
    </row>
    <row r="28" spans="1:5" ht="68.25" customHeight="1" x14ac:dyDescent="0.25">
      <c r="A28" s="280"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30 yanvar 2026 y.dan №254- XMS Mikroqarz shartnomasi bo‘yicha berilgan mikroqarz bo‘yicha  
105 000 000,00 (yuz besh million so'm) so’m bo‘lgan kelishilgan garov qiymatida qabul qiladi::</v>
      </c>
      <c r="B28" s="280"/>
      <c r="C28" s="280"/>
      <c r="D28" s="280"/>
      <c r="E28" s="280"/>
    </row>
    <row r="29" spans="1:5" ht="51.75" customHeight="1" outlineLevel="1" x14ac:dyDescent="0.25">
      <c r="A29" s="35" t="s">
        <v>199</v>
      </c>
      <c r="B29" s="35" t="str">
        <f>B20</f>
        <v>Davlat ro'yxatidan o'tkazilgan yer maydoni</v>
      </c>
      <c r="C29" s="35" t="str">
        <f>D20</f>
        <v>Yashash maydoni</v>
      </c>
      <c r="D29" s="35" t="str">
        <f>IF(malumot!B110=malumot!C110,"Ishlab chiqarilgan yili va rangi*","Foydalanishga topshirilgan sanasi")</f>
        <v>Foydalanishga topshirilgan sanasi</v>
      </c>
      <c r="E29" s="35" t="s">
        <v>200</v>
      </c>
    </row>
    <row r="30" spans="1:5" ht="76.5" customHeight="1" outlineLevel="1" x14ac:dyDescent="0.25">
      <c r="A30" s="14" t="str">
        <f>A21</f>
        <v>7 -xonali  yakka tartibdagi uy-joy</v>
      </c>
      <c r="B30" s="14" t="str">
        <f>B21</f>
        <v>420 kv.m</v>
      </c>
      <c r="C30" s="14" t="str">
        <f>D21</f>
        <v>42.17 kv.m</v>
      </c>
      <c r="D30" s="14" t="str">
        <f>IF(malumot!B110=malumot!C110,E21,TEXT(malumot!C142,"ДД.ММ.ГГГГ"))</f>
        <v>26.01.2026</v>
      </c>
      <c r="E30" s="14" t="str">
        <f>""&amp;FIXED(malumot!B143,2)&amp;" 
("&amp;malumot!B144&amp;")"</f>
        <v>105 000 000,00 
(yuz besh million so'm)</v>
      </c>
    </row>
    <row r="31" spans="1:5" ht="16.5" customHeight="1" x14ac:dyDescent="0.25">
      <c r="A31" s="13"/>
      <c r="B31" s="13"/>
      <c r="C31" s="13"/>
      <c r="D31" s="13"/>
      <c r="E31" s="13"/>
    </row>
    <row r="32" spans="1:5" ht="56.25" hidden="1" customHeight="1" outlineLevel="1" x14ac:dyDescent="0.25">
      <c r="A32" s="35" t="s">
        <v>4</v>
      </c>
      <c r="B32" s="35" t="s">
        <v>18</v>
      </c>
      <c r="C32" s="35" t="s">
        <v>19</v>
      </c>
      <c r="D32" s="35" t="s">
        <v>20</v>
      </c>
      <c r="E32" s="35" t="s">
        <v>5</v>
      </c>
    </row>
    <row r="33" spans="1:5" ht="15.75" hidden="1" customHeight="1" outlineLevel="1" x14ac:dyDescent="0.25">
      <c r="A33" s="14" t="e">
        <f>#REF!</f>
        <v>#REF!</v>
      </c>
      <c r="B33" s="100" t="e">
        <f>#REF!</f>
        <v>#REF!</v>
      </c>
      <c r="C33" s="100" t="e">
        <f>#REF!</f>
        <v>#REF!</v>
      </c>
      <c r="D33" s="100" t="e">
        <f>#REF!</f>
        <v>#REF!</v>
      </c>
      <c r="E33" s="318" t="str">
        <f>""&amp;FIXED(malumot!C143,2)&amp;" ("&amp;malumot!B144&amp;")"</f>
        <v>105 000 000,00 (yuz besh million so'm)</v>
      </c>
    </row>
    <row r="34" spans="1:5" ht="15.75" hidden="1" customHeight="1" outlineLevel="1" x14ac:dyDescent="0.25">
      <c r="A34" s="14"/>
      <c r="B34" s="100"/>
      <c r="C34" s="100"/>
      <c r="D34" s="100"/>
      <c r="E34" s="319"/>
    </row>
    <row r="35" spans="1:5" ht="15.75" hidden="1" customHeight="1" outlineLevel="1" x14ac:dyDescent="0.25">
      <c r="A35" s="14" t="e">
        <f>#REF!</f>
        <v>#REF!</v>
      </c>
      <c r="B35" s="100" t="e">
        <f>#REF!</f>
        <v>#REF!</v>
      </c>
      <c r="C35" s="100" t="e">
        <f>#REF!</f>
        <v>#REF!</v>
      </c>
      <c r="D35" s="100" t="e">
        <f>#REF!</f>
        <v>#REF!</v>
      </c>
      <c r="E35" s="319"/>
    </row>
    <row r="36" spans="1:5" ht="15.75" hidden="1" customHeight="1" outlineLevel="1" x14ac:dyDescent="0.25">
      <c r="A36" s="14" t="e">
        <f>#REF!</f>
        <v>#REF!</v>
      </c>
      <c r="B36" s="100" t="e">
        <f>#REF!</f>
        <v>#REF!</v>
      </c>
      <c r="C36" s="100" t="e">
        <f>#REF!</f>
        <v>#REF!</v>
      </c>
      <c r="D36" s="100" t="e">
        <f>#REF!</f>
        <v>#REF!</v>
      </c>
      <c r="E36" s="319"/>
    </row>
    <row r="37" spans="1:5" ht="15.75" hidden="1" customHeight="1" outlineLevel="1" x14ac:dyDescent="0.25">
      <c r="A37" s="14" t="e">
        <f>#REF!</f>
        <v>#REF!</v>
      </c>
      <c r="B37" s="100" t="e">
        <f>#REF!</f>
        <v>#REF!</v>
      </c>
      <c r="C37" s="100" t="e">
        <f>#REF!</f>
        <v>#REF!</v>
      </c>
      <c r="D37" s="100" t="e">
        <f>#REF!</f>
        <v>#REF!</v>
      </c>
      <c r="E37" s="319"/>
    </row>
    <row r="38" spans="1:5" ht="15.75" hidden="1" customHeight="1" outlineLevel="1" x14ac:dyDescent="0.25">
      <c r="A38" s="14" t="e">
        <f>#REF!</f>
        <v>#REF!</v>
      </c>
      <c r="B38" s="100" t="e">
        <f>#REF!</f>
        <v>#REF!</v>
      </c>
      <c r="C38" s="100" t="e">
        <f>#REF!</f>
        <v>#REF!</v>
      </c>
      <c r="D38" s="100" t="e">
        <f>#REF!</f>
        <v>#REF!</v>
      </c>
      <c r="E38" s="319"/>
    </row>
    <row r="39" spans="1:5" ht="15.75" hidden="1" customHeight="1" outlineLevel="1" x14ac:dyDescent="0.25">
      <c r="A39" s="14" t="e">
        <f>#REF!</f>
        <v>#REF!</v>
      </c>
      <c r="B39" s="100" t="e">
        <f>#REF!</f>
        <v>#REF!</v>
      </c>
      <c r="C39" s="100" t="e">
        <f>#REF!</f>
        <v>#REF!</v>
      </c>
      <c r="D39" s="100" t="e">
        <f>#REF!</f>
        <v>#REF!</v>
      </c>
      <c r="E39" s="319"/>
    </row>
    <row r="40" spans="1:5" ht="15.75" hidden="1" customHeight="1" outlineLevel="1" x14ac:dyDescent="0.25">
      <c r="A40" s="14" t="e">
        <f>#REF!</f>
        <v>#REF!</v>
      </c>
      <c r="B40" s="100" t="e">
        <f>#REF!</f>
        <v>#REF!</v>
      </c>
      <c r="C40" s="100" t="e">
        <f>#REF!</f>
        <v>#REF!</v>
      </c>
      <c r="D40" s="100" t="e">
        <f>#REF!</f>
        <v>#REF!</v>
      </c>
      <c r="E40" s="319"/>
    </row>
    <row r="41" spans="1:5" ht="15.75" hidden="1" customHeight="1" outlineLevel="1" x14ac:dyDescent="0.25">
      <c r="A41" s="14" t="e">
        <f>#REF!</f>
        <v>#REF!</v>
      </c>
      <c r="B41" s="100" t="e">
        <f>#REF!</f>
        <v>#REF!</v>
      </c>
      <c r="C41" s="100" t="e">
        <f>#REF!</f>
        <v>#REF!</v>
      </c>
      <c r="D41" s="100" t="e">
        <f>#REF!</f>
        <v>#REF!</v>
      </c>
      <c r="E41" s="319"/>
    </row>
    <row r="42" spans="1:5" ht="15.75" hidden="1" customHeight="1" outlineLevel="1" x14ac:dyDescent="0.25">
      <c r="A42" s="14" t="e">
        <f>#REF!</f>
        <v>#REF!</v>
      </c>
      <c r="B42" s="100" t="e">
        <f>#REF!</f>
        <v>#REF!</v>
      </c>
      <c r="C42" s="100" t="e">
        <f>#REF!</f>
        <v>#REF!</v>
      </c>
      <c r="D42" s="100" t="e">
        <f>#REF!</f>
        <v>#REF!</v>
      </c>
      <c r="E42" s="319"/>
    </row>
    <row r="43" spans="1:5" ht="15.75" hidden="1" customHeight="1" outlineLevel="1" x14ac:dyDescent="0.25">
      <c r="A43" s="14" t="e">
        <f>#REF!</f>
        <v>#REF!</v>
      </c>
      <c r="B43" s="14" t="e">
        <f>#REF!</f>
        <v>#REF!</v>
      </c>
      <c r="C43" s="14" t="e">
        <f>#REF!</f>
        <v>#REF!</v>
      </c>
      <c r="D43" s="14" t="e">
        <f>#REF!</f>
        <v>#REF!</v>
      </c>
      <c r="E43" s="320"/>
    </row>
    <row r="44" spans="1:5" s="33" customFormat="1" ht="15.75" hidden="1" customHeight="1" outlineLevel="1" x14ac:dyDescent="0.2">
      <c r="A44" s="35" t="e">
        <f>#REF!</f>
        <v>#REF!</v>
      </c>
      <c r="B44" s="35" t="e">
        <f>#REF!</f>
        <v>#REF!</v>
      </c>
      <c r="C44" s="35" t="e">
        <f>#REF!</f>
        <v>#REF!</v>
      </c>
      <c r="D44" s="35" t="e">
        <f>#REF!</f>
        <v>#REF!</v>
      </c>
      <c r="E44" s="35" t="str">
        <f>FIXED(malumot!C143,2)</f>
        <v>105 000 000,00</v>
      </c>
    </row>
    <row r="45" spans="1:5" ht="12.75" customHeight="1" collapsed="1" x14ac:dyDescent="0.25">
      <c r="A45" s="13"/>
      <c r="B45" s="13"/>
      <c r="C45" s="13"/>
      <c r="D45" s="13"/>
      <c r="E45" s="13"/>
    </row>
    <row r="46" spans="1:5" ht="93.75" hidden="1" customHeight="1" x14ac:dyDescent="0.25">
      <c r="A46" s="280"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80"/>
      <c r="C46" s="280"/>
      <c r="D46" s="280"/>
      <c r="E46" s="280"/>
    </row>
    <row r="47" spans="1:5" ht="42" customHeight="1" x14ac:dyDescent="0.25">
      <c r="A47" s="280" t="s">
        <v>203</v>
      </c>
      <c r="B47" s="280"/>
      <c r="C47" s="280"/>
      <c r="D47" s="280"/>
      <c r="E47" s="280"/>
    </row>
    <row r="48" spans="1:5" ht="35.25" customHeight="1" x14ac:dyDescent="0.25">
      <c r="A48" s="280" t="str">
        <f>"Shunday qilib, garov predmetining kelishilgan garov qiymati  "&amp;FIXED(malumot!B143)&amp;" ("&amp;malumot!B144&amp;") so‘mni tashkil etadi."</f>
        <v>Shunday qilib, garov predmetining kelishilgan garov qiymati  105 000 000,00 (yuz besh million so'm) so‘mni tashkil etadi.</v>
      </c>
      <c r="B48" s="280"/>
      <c r="C48" s="280"/>
      <c r="D48" s="280"/>
      <c r="E48" s="280"/>
    </row>
    <row r="49" spans="1:6" ht="35.25" hidden="1" customHeight="1" x14ac:dyDescent="0.25">
      <c r="A49" s="16"/>
      <c r="B49" s="16"/>
      <c r="C49" s="16"/>
      <c r="D49" s="16">
        <f>IF(malumot!B99=malumot!C99,malumot!C143,IF(malumot!B99=malumot!D99,'Данные для послед. Залога'!M22,0))</f>
        <v>105000000</v>
      </c>
      <c r="E49" s="16" t="str">
        <f>IF(malumot!B99=malumot!C99,malumot!B144,IF(malumot!B99=malumot!D99,'Данные для послед. Залога'!Q22,0))</f>
        <v>yuz besh million so'm</v>
      </c>
    </row>
    <row r="50" spans="1:6" x14ac:dyDescent="0.25">
      <c r="A50" s="314" t="s">
        <v>204</v>
      </c>
      <c r="B50" s="314"/>
      <c r="C50" s="314"/>
      <c r="D50" s="18"/>
      <c r="E50" s="18"/>
    </row>
    <row r="51" spans="1:6" x14ac:dyDescent="0.25">
      <c r="A51" s="314" t="str">
        <f>malumot!B159</f>
        <v>«CLEVER MIKROMOLIYA TASHKILOTI» MChJ</v>
      </c>
      <c r="B51" s="314"/>
      <c r="C51" s="314"/>
      <c r="D51" s="148"/>
      <c r="E51" s="148"/>
    </row>
    <row r="52" spans="1:6" ht="15" customHeight="1" x14ac:dyDescent="0.25">
      <c r="A52" s="314" t="str">
        <f>""&amp;malumot!A161&amp;""</f>
        <v>Xorazm filiali boshlig'i</v>
      </c>
      <c r="B52" s="314"/>
      <c r="C52" s="314"/>
      <c r="D52" s="183"/>
      <c r="E52" s="183" t="str">
        <f>malumot!B161</f>
        <v>M.Sharipov</v>
      </c>
    </row>
    <row r="53" spans="1:6" x14ac:dyDescent="0.25">
      <c r="A53" s="49"/>
      <c r="B53" s="49"/>
      <c r="C53" s="49"/>
      <c r="D53" s="49"/>
      <c r="E53" s="49"/>
    </row>
    <row r="54" spans="1:6" x14ac:dyDescent="0.25">
      <c r="A54" s="314"/>
      <c r="B54" s="314"/>
      <c r="C54" s="314"/>
      <c r="D54" s="49"/>
      <c r="E54" s="49"/>
    </row>
    <row r="55" spans="1:6" hidden="1" x14ac:dyDescent="0.25">
      <c r="A55" s="281" t="s">
        <v>44</v>
      </c>
      <c r="B55" s="281"/>
      <c r="C55" s="281"/>
      <c r="D55" s="49"/>
      <c r="E55" s="49"/>
    </row>
    <row r="56" spans="1:6" hidden="1" x14ac:dyDescent="0.25">
      <c r="A56" s="281" t="str">
        <f>malumot!B159</f>
        <v>«CLEVER MIKROMOLIYA TASHKILOTI» MChJ</v>
      </c>
      <c r="B56" s="281"/>
      <c r="C56" s="281"/>
      <c r="D56" s="281" t="str">
        <f>"_______________   "&amp;malumot!B170&amp;""</f>
        <v>_______________   J. Sadiriddinzoda</v>
      </c>
      <c r="E56" s="281"/>
    </row>
    <row r="57" spans="1:6" ht="12.75" customHeight="1" x14ac:dyDescent="0.25">
      <c r="A57" s="281"/>
      <c r="B57" s="281"/>
      <c r="C57" s="281"/>
      <c r="D57" s="281"/>
      <c r="E57" s="281"/>
    </row>
    <row r="58" spans="1:6" x14ac:dyDescent="0.25">
      <c r="A58" s="314" t="s">
        <v>205</v>
      </c>
      <c r="B58" s="314"/>
      <c r="C58" s="314"/>
      <c r="D58" s="281"/>
      <c r="E58" s="281"/>
    </row>
    <row r="59" spans="1:6" ht="31.5" customHeight="1" x14ac:dyDescent="0.25">
      <c r="A59" s="281" t="s">
        <v>206</v>
      </c>
      <c r="B59" s="281"/>
      <c r="C59" s="281"/>
      <c r="D59" s="314" t="str">
        <f>"_______________  "&amp;malumot!B7&amp;""</f>
        <v>_______________  OLLABERGANOVA G.I.</v>
      </c>
      <c r="E59" s="314"/>
    </row>
    <row r="60" spans="1:6" x14ac:dyDescent="0.25">
      <c r="A60" s="281"/>
      <c r="B60" s="281"/>
      <c r="C60" s="281"/>
      <c r="D60" s="317" t="str">
        <f>IF(malumot!B100="да","",malumot!B125)</f>
        <v>OLLABERGANOVA G.I.</v>
      </c>
      <c r="E60" s="317"/>
    </row>
    <row r="61" spans="1:6" ht="18.75" hidden="1" customHeight="1" x14ac:dyDescent="0.25">
      <c r="A61" s="314" t="str">
        <f>+IF(malumot!B100="ha"," ","3-tomondan:")</f>
        <v xml:space="preserve"> </v>
      </c>
      <c r="B61" s="314"/>
      <c r="C61" s="314"/>
      <c r="D61" s="314" t="str">
        <f>"_______________  "&amp;malumot!B113&amp;""</f>
        <v>_______________  OLLABEREGANOVA G.I.</v>
      </c>
      <c r="E61" s="314"/>
      <c r="F61" s="12" t="str">
        <f>IF(malumot!B101=malumot!D101,B7,"")</f>
        <v/>
      </c>
    </row>
    <row r="62" spans="1:6" x14ac:dyDescent="0.25">
      <c r="A62" s="281" t="str">
        <f>+IF(malumot!B100="ha"," ","O'zbekiston Respublikasi fuqarosi")</f>
        <v xml:space="preserve"> </v>
      </c>
      <c r="B62" s="281"/>
      <c r="C62" s="281"/>
      <c r="D62" s="314"/>
      <c r="E62" s="314"/>
    </row>
    <row r="63" spans="1:6" x14ac:dyDescent="0.25">
      <c r="D63" s="321"/>
      <c r="E63" s="321"/>
    </row>
    <row r="64" spans="1:6" hidden="1" x14ac:dyDescent="0.25">
      <c r="B64" s="297" t="str">
        <f>garov_ariza!A20</f>
        <v/>
      </c>
      <c r="C64" s="297"/>
      <c r="D64" s="297"/>
      <c r="E64" s="297"/>
    </row>
    <row r="65" spans="2:5" hidden="1" x14ac:dyDescent="0.25">
      <c r="B65" s="297"/>
      <c r="C65" s="297"/>
      <c r="D65" s="297"/>
      <c r="E65" s="297"/>
    </row>
    <row r="66" spans="2:5" hidden="1" x14ac:dyDescent="0.25">
      <c r="B66" s="297"/>
      <c r="C66" s="297"/>
      <c r="D66" s="297"/>
      <c r="E66" s="297"/>
    </row>
    <row r="67" spans="2:5" hidden="1" x14ac:dyDescent="0.25">
      <c r="B67" s="297"/>
      <c r="C67" s="297"/>
      <c r="D67" s="297"/>
      <c r="E67" s="297"/>
    </row>
    <row r="69" spans="2:5" s="211" customFormat="1" x14ac:dyDescent="0.25"/>
  </sheetData>
  <mergeCells count="50">
    <mergeCell ref="A61:C61"/>
    <mergeCell ref="D61:E61"/>
    <mergeCell ref="A62:C62"/>
    <mergeCell ref="D62:E62"/>
    <mergeCell ref="D63:E63"/>
    <mergeCell ref="B64:E67"/>
    <mergeCell ref="A22:E22"/>
    <mergeCell ref="A23:E23"/>
    <mergeCell ref="A14:E14"/>
    <mergeCell ref="A15:E15"/>
    <mergeCell ref="A16:E16"/>
    <mergeCell ref="A17:E17"/>
    <mergeCell ref="A18:E18"/>
    <mergeCell ref="A58:C58"/>
    <mergeCell ref="D58:E58"/>
    <mergeCell ref="A59:C59"/>
    <mergeCell ref="D59:E59"/>
    <mergeCell ref="A60:C60"/>
    <mergeCell ref="D60:E60"/>
    <mergeCell ref="A27:E27"/>
    <mergeCell ref="E33:E43"/>
    <mergeCell ref="A54:C54"/>
    <mergeCell ref="A55:C55"/>
    <mergeCell ref="A57:C57"/>
    <mergeCell ref="D57:E57"/>
    <mergeCell ref="A56:C56"/>
    <mergeCell ref="D56:E56"/>
    <mergeCell ref="A19:E19"/>
    <mergeCell ref="A24:E24"/>
    <mergeCell ref="A50:C50"/>
    <mergeCell ref="A51:C51"/>
    <mergeCell ref="A52:C52"/>
    <mergeCell ref="A46:E46"/>
    <mergeCell ref="A47:E47"/>
    <mergeCell ref="B20:C20"/>
    <mergeCell ref="B21:C21"/>
    <mergeCell ref="A28:E28"/>
    <mergeCell ref="A48:E48"/>
    <mergeCell ref="A26:E26"/>
    <mergeCell ref="A25:E25"/>
    <mergeCell ref="A2:E2"/>
    <mergeCell ref="A11:E11"/>
    <mergeCell ref="A12:E12"/>
    <mergeCell ref="A13:E13"/>
    <mergeCell ref="A10:E10"/>
    <mergeCell ref="A5:E5"/>
    <mergeCell ref="A6:E6"/>
    <mergeCell ref="A7:E7"/>
    <mergeCell ref="A8:E8"/>
    <mergeCell ref="A9:E9"/>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2">
    <tabColor rgb="FF00B050"/>
    <pageSetUpPr fitToPage="1"/>
  </sheetPr>
  <dimension ref="A2:P76"/>
  <sheetViews>
    <sheetView view="pageBreakPreview" topLeftCell="A31" zoomScaleNormal="100" zoomScaleSheetLayoutView="100" workbookViewId="0">
      <selection activeCell="E9" sqref="E9:E20"/>
    </sheetView>
  </sheetViews>
  <sheetFormatPr defaultColWidth="9.140625" defaultRowHeight="15" outlineLevelCol="1" x14ac:dyDescent="0.25"/>
  <cols>
    <col min="1" max="1" width="9.140625" style="12"/>
    <col min="2" max="2" width="13.7109375" style="12" customWidth="1"/>
    <col min="3" max="3" width="20.140625" style="12" customWidth="1"/>
    <col min="4" max="4" width="20.28515625" style="12" customWidth="1"/>
    <col min="5" max="5" width="19.5703125" style="12" customWidth="1"/>
    <col min="6" max="6" width="18.28515625" style="12" customWidth="1"/>
    <col min="7" max="7" width="10.140625" style="12" customWidth="1" outlineLevel="1"/>
    <col min="8" max="8" width="19.7109375" style="12" customWidth="1"/>
    <col min="9" max="10" width="9.140625" style="12" customWidth="1"/>
    <col min="11" max="16384" width="9.140625" style="12"/>
  </cols>
  <sheetData>
    <row r="2" spans="1:16" ht="2.25" customHeight="1" x14ac:dyDescent="0.25">
      <c r="A2" s="33"/>
      <c r="B2" s="33"/>
      <c r="C2" s="33"/>
      <c r="D2" s="33"/>
      <c r="E2" s="302"/>
      <c r="F2" s="302"/>
      <c r="G2" s="17"/>
    </row>
    <row r="3" spans="1:16" ht="46.5" customHeight="1" x14ac:dyDescent="0.25">
      <c r="A3" s="33"/>
      <c r="B3" s="33"/>
      <c r="C3" s="33"/>
      <c r="D3" s="33"/>
      <c r="E3" s="322" t="str">
        <f>""&amp;malumot!B74&amp;" 
"&amp;malumot!B65&amp;" shartnomasiga 
1 sonli ilova"</f>
        <v>30 yanvar 2026 y.dan №254- XMS 
mikroqarz shartnomasiga 
1 sonli ilova</v>
      </c>
      <c r="F3" s="322"/>
      <c r="G3" s="17"/>
    </row>
    <row r="4" spans="1:16" ht="5.25" customHeight="1" x14ac:dyDescent="0.25">
      <c r="A4" s="33"/>
      <c r="B4" s="33"/>
      <c r="C4" s="33"/>
      <c r="D4" s="33"/>
      <c r="E4" s="33"/>
      <c r="F4" s="33"/>
    </row>
    <row r="5" spans="1:16" x14ac:dyDescent="0.25">
      <c r="A5" s="303" t="s">
        <v>257</v>
      </c>
      <c r="B5" s="303"/>
      <c r="C5" s="303"/>
      <c r="D5" s="303"/>
      <c r="E5" s="303"/>
      <c r="F5" s="303"/>
    </row>
    <row r="6" spans="1:16" ht="4.5" customHeight="1" x14ac:dyDescent="0.25"/>
    <row r="7" spans="1:16" ht="15" customHeight="1" x14ac:dyDescent="0.25">
      <c r="A7" s="304" t="s">
        <v>14</v>
      </c>
      <c r="B7" s="305" t="s">
        <v>258</v>
      </c>
      <c r="C7" s="305" t="s">
        <v>259</v>
      </c>
      <c r="D7" s="306" t="s">
        <v>260</v>
      </c>
      <c r="E7" s="306"/>
      <c r="F7" s="306"/>
    </row>
    <row r="8" spans="1:16" s="13" customFormat="1" x14ac:dyDescent="0.25">
      <c r="A8" s="304"/>
      <c r="B8" s="305"/>
      <c r="C8" s="305"/>
      <c r="D8" s="14" t="s">
        <v>261</v>
      </c>
      <c r="E8" s="14" t="s">
        <v>262</v>
      </c>
      <c r="F8" s="14" t="s">
        <v>263</v>
      </c>
    </row>
    <row r="9" spans="1:16" x14ac:dyDescent="0.25">
      <c r="A9" s="15">
        <v>1</v>
      </c>
      <c r="B9" s="29">
        <f>'График аннуитет.'!B8</f>
        <v>46076</v>
      </c>
      <c r="C9" s="30">
        <f>IF(malumot!$B$78=malumot!$C$78,'График дифференц'!C8,IF(malumot!$B$78=malumot!$D$78,'График аннуитет.'!C8))</f>
        <v>100000000</v>
      </c>
      <c r="D9" s="30">
        <f>IF(malumot!$B$78=malumot!$C$78,'График дифференц'!D8,IF(malumot!$B$78=malumot!$D$78,'График аннуитет.'!D8))</f>
        <v>2107561.6800000002</v>
      </c>
      <c r="E9" s="30">
        <f>IF(malumot!$B$78=malumot!$C$78,'График дифференц'!E8,IF(malumot!$B$78=malumot!$D$78,'График аннуитет.'!E8))</f>
        <v>3616438.32</v>
      </c>
      <c r="F9" s="30">
        <f>IF(malumot!$B$78=malumot!$C$78,'График дифференц'!F8,IF(malumot!$B$78=malumot!$D$78,'График аннуитет.'!F8))</f>
        <v>5724000</v>
      </c>
    </row>
    <row r="10" spans="1:16" x14ac:dyDescent="0.25">
      <c r="A10" s="15">
        <v>2</v>
      </c>
      <c r="B10" s="29">
        <f>'График аннуитет.'!B9</f>
        <v>46104</v>
      </c>
      <c r="C10" s="30">
        <f>IF(malumot!$B$78=malumot!$C$78,'График дифференц'!C9,IF(malumot!$B$78=malumot!$D$78,'График аннуитет.'!C9))</f>
        <v>97892438.319999993</v>
      </c>
      <c r="D10" s="30">
        <f>IF(malumot!$B$78=malumot!$C$78,'График дифференц'!D9,IF(malumot!$B$78=malumot!$D$78,'График аннуитет.'!D9))</f>
        <v>1593743.8000000003</v>
      </c>
      <c r="E10" s="30">
        <f>IF(malumot!$B$78=malumot!$C$78,'График дифференц'!E9,IF(malumot!$B$78=malumot!$D$78,'График аннуитет.'!E9))</f>
        <v>4130256.1999999997</v>
      </c>
      <c r="F10" s="30">
        <f>IF(malumot!$B$78=malumot!$C$78,'График дифференц'!F9,IF(malumot!$B$78=malumot!$D$78,'График аннуитет.'!F9))</f>
        <v>5724000</v>
      </c>
    </row>
    <row r="11" spans="1:16" x14ac:dyDescent="0.25">
      <c r="A11" s="15">
        <v>3</v>
      </c>
      <c r="B11" s="29">
        <f>'График аннуитет.'!B10</f>
        <v>46135</v>
      </c>
      <c r="C11" s="30">
        <f>IF(malumot!$B$78=malumot!$C$78,'График дифференц'!C10,IF(malumot!$B$78=malumot!$D$78,'График аннуитет.'!C10))</f>
        <v>96298694.519999996</v>
      </c>
      <c r="D11" s="30">
        <f>IF(malumot!$B$78=malumot!$C$78,'График дифференц'!D10,IF(malumot!$B$78=malumot!$D$78,'График аннуитет.'!D10))</f>
        <v>1225663.7800000003</v>
      </c>
      <c r="E11" s="30">
        <f>IF(malumot!$B$78=malumot!$C$78,'График дифференц'!E10,IF(malumot!$B$78=malumot!$D$78,'График аннуитет.'!E10))</f>
        <v>4498336.22</v>
      </c>
      <c r="F11" s="30">
        <f>IF(malumot!$B$78=malumot!$C$78,'График дифференц'!F10,IF(malumot!$B$78=malumot!$D$78,'График аннуитет.'!F10))</f>
        <v>5724000</v>
      </c>
    </row>
    <row r="12" spans="1:16" x14ac:dyDescent="0.25">
      <c r="A12" s="15">
        <v>4</v>
      </c>
      <c r="B12" s="29">
        <f>'График аннуитет.'!B11</f>
        <v>46167</v>
      </c>
      <c r="C12" s="30">
        <f>IF(malumot!$B$78=malumot!$C$78,'График дифференц'!C11,IF(malumot!$B$78=malumot!$D$78,'График аннуитет.'!C11))</f>
        <v>95073030.739999995</v>
      </c>
      <c r="D12" s="30">
        <f>IF(malumot!$B$78=malumot!$C$78,'График дифференц'!D11,IF(malumot!$B$78=malumot!$D$78,'График аннуитет.'!D11))</f>
        <v>1139656.6399999997</v>
      </c>
      <c r="E12" s="30">
        <f>IF(malumot!$B$78=malumot!$C$78,'График дифференц'!E11,IF(malumot!$B$78=malumot!$D$78,'График аннуитет.'!E11))</f>
        <v>4584343.3600000003</v>
      </c>
      <c r="F12" s="30">
        <f>IF(malumot!$B$78=malumot!$C$78,'График дифференц'!F11,IF(malumot!$B$78=malumot!$D$78,'График аннуитет.'!F11))</f>
        <v>5724000</v>
      </c>
      <c r="H12" s="323" t="s">
        <v>364</v>
      </c>
      <c r="I12" s="323"/>
      <c r="J12" s="323"/>
      <c r="K12" s="323"/>
      <c r="L12" s="323"/>
      <c r="M12" s="323"/>
      <c r="N12" s="323"/>
      <c r="O12" s="323"/>
      <c r="P12" s="323"/>
    </row>
    <row r="13" spans="1:16" x14ac:dyDescent="0.25">
      <c r="A13" s="15">
        <v>5</v>
      </c>
      <c r="B13" s="29">
        <f>'График аннуитет.'!B12</f>
        <v>46196</v>
      </c>
      <c r="C13" s="30">
        <f>IF(malumot!$B$78=malumot!$C$78,'График дифференц'!C12,IF(malumot!$B$78=malumot!$D$78,'График аннуитет.'!C12))</f>
        <v>93933374.099999994</v>
      </c>
      <c r="D13" s="30">
        <f>IF(malumot!$B$78=malumot!$C$78,'График дифференц'!D12,IF(malumot!$B$78=malumot!$D$78,'График аннуитет.'!D12))</f>
        <v>1619240.2399999998</v>
      </c>
      <c r="E13" s="30">
        <f>IF(malumot!$B$78=malumot!$C$78,'График дифференц'!E12,IF(malumot!$B$78=malumot!$D$78,'График аннуитет.'!E12))</f>
        <v>4104759.7600000002</v>
      </c>
      <c r="F13" s="30">
        <f>IF(malumot!$B$78=malumot!$C$78,'График дифференц'!F12,IF(malumot!$B$78=malumot!$D$78,'График аннуитет.'!F12))</f>
        <v>5724000</v>
      </c>
      <c r="H13" s="323"/>
      <c r="I13" s="323"/>
      <c r="J13" s="323"/>
      <c r="K13" s="323"/>
      <c r="L13" s="323"/>
      <c r="M13" s="323"/>
      <c r="N13" s="323"/>
      <c r="O13" s="323"/>
      <c r="P13" s="323"/>
    </row>
    <row r="14" spans="1:16" x14ac:dyDescent="0.25">
      <c r="A14" s="15">
        <v>6</v>
      </c>
      <c r="B14" s="29">
        <f>'График аннуитет.'!B13</f>
        <v>46226</v>
      </c>
      <c r="C14" s="30">
        <f>IF(malumot!$B$78=malumot!$C$78,'График дифференц'!C13,IF(malumot!$B$78=malumot!$D$78,'График аннуитет.'!C13))</f>
        <v>92314133.859999999</v>
      </c>
      <c r="D14" s="30">
        <f>IF(malumot!$B$78=malumot!$C$78,'График дифференц'!D13,IF(malumot!$B$78=malumot!$D$78,'График аннуитет.'!D13))</f>
        <v>1550895.3000000003</v>
      </c>
      <c r="E14" s="30">
        <f>IF(malumot!$B$78=malumot!$C$78,'График дифференц'!E13,IF(malumot!$B$78=malumot!$D$78,'График аннуитет.'!E13))</f>
        <v>4173104.6999999997</v>
      </c>
      <c r="F14" s="30">
        <f>IF(malumot!$B$78=malumot!$C$78,'График дифференц'!F13,IF(malumot!$B$78=malumot!$D$78,'График аннуитет.'!F13))</f>
        <v>5724000</v>
      </c>
      <c r="H14" s="323"/>
      <c r="I14" s="323"/>
      <c r="J14" s="323"/>
      <c r="K14" s="323"/>
      <c r="L14" s="323"/>
      <c r="M14" s="323"/>
      <c r="N14" s="323"/>
      <c r="O14" s="323"/>
      <c r="P14" s="323"/>
    </row>
    <row r="15" spans="1:16" x14ac:dyDescent="0.25">
      <c r="A15" s="15">
        <v>7</v>
      </c>
      <c r="B15" s="29">
        <f>'График аннуитет.'!B14</f>
        <v>46258</v>
      </c>
      <c r="C15" s="30">
        <f>IF(malumot!$B$78=malumot!$C$78,'График дифференц'!C14,IF(malumot!$B$78=malumot!$D$78,'График аннуитет.'!C14))</f>
        <v>90763238.560000002</v>
      </c>
      <c r="D15" s="30">
        <f>IF(malumot!$B$78=malumot!$C$78,'График дифференц'!D14,IF(malumot!$B$78=malumot!$D$78,'График аннуитет.'!D14))</f>
        <v>1347471.3600000003</v>
      </c>
      <c r="E15" s="30">
        <f>IF(malumot!$B$78=malumot!$C$78,'График дифференц'!E14,IF(malumot!$B$78=malumot!$D$78,'График аннуитет.'!E14))</f>
        <v>4376528.6399999997</v>
      </c>
      <c r="F15" s="30">
        <f>IF(malumot!$B$78=malumot!$C$78,'График дифференц'!F14,IF(malumot!$B$78=malumot!$D$78,'График аннуитет.'!F14))</f>
        <v>5724000</v>
      </c>
      <c r="H15" s="323"/>
      <c r="I15" s="323"/>
      <c r="J15" s="323"/>
      <c r="K15" s="323"/>
      <c r="L15" s="323"/>
      <c r="M15" s="323"/>
      <c r="N15" s="323"/>
      <c r="O15" s="323"/>
      <c r="P15" s="323"/>
    </row>
    <row r="16" spans="1:16" x14ac:dyDescent="0.25">
      <c r="A16" s="15">
        <v>8</v>
      </c>
      <c r="B16" s="29">
        <f>'График аннуитет.'!B15</f>
        <v>46288</v>
      </c>
      <c r="C16" s="30">
        <f>IF(malumot!$B$78=malumot!$C$78,'График дифференц'!C15,IF(malumot!$B$78=malumot!$D$78,'График аннуитет.'!C15))</f>
        <v>89415767.200000003</v>
      </c>
      <c r="D16" s="30">
        <f>IF(malumot!$B$78=malumot!$C$78,'График дифференц'!D15,IF(malumot!$B$78=malumot!$D$78,'График аннуитет.'!D15))</f>
        <v>1681917.3000000003</v>
      </c>
      <c r="E16" s="30">
        <f>IF(malumot!$B$78=malumot!$C$78,'График дифференц'!E15,IF(malumot!$B$78=malumot!$D$78,'График аннуитет.'!E15))</f>
        <v>4042082.6999999997</v>
      </c>
      <c r="F16" s="30">
        <f>IF(malumot!$B$78=malumot!$C$78,'График дифференц'!F15,IF(malumot!$B$78=malumot!$D$78,'График аннуитет.'!F15))</f>
        <v>5724000</v>
      </c>
      <c r="H16" s="323"/>
      <c r="I16" s="323"/>
      <c r="J16" s="323"/>
      <c r="K16" s="323"/>
      <c r="L16" s="323"/>
      <c r="M16" s="323"/>
      <c r="N16" s="323"/>
      <c r="O16" s="323"/>
      <c r="P16" s="323"/>
    </row>
    <row r="17" spans="1:16" x14ac:dyDescent="0.25">
      <c r="A17" s="15">
        <v>9</v>
      </c>
      <c r="B17" s="29">
        <f>'График аннуитет.'!B16</f>
        <v>46318</v>
      </c>
      <c r="C17" s="30">
        <f>IF(malumot!$B$78=malumot!$C$78,'График дифференц'!C16,IF(malumot!$B$78=malumot!$D$78,'График аннуитет.'!C16))</f>
        <v>87733849.900000006</v>
      </c>
      <c r="D17" s="30">
        <f>IF(malumot!$B$78=malumot!$C$78,'График дифференц'!D16,IF(malumot!$B$78=malumot!$D$78,'График аннуитет.'!D16))</f>
        <v>1757949.2999999998</v>
      </c>
      <c r="E17" s="30">
        <f>IF(malumot!$B$78=malumot!$C$78,'График дифференц'!E16,IF(malumot!$B$78=malumot!$D$78,'График аннуитет.'!E16))</f>
        <v>3966050.7</v>
      </c>
      <c r="F17" s="30">
        <f>IF(malumot!$B$78=malumot!$C$78,'График дифференц'!F16,IF(malumot!$B$78=malumot!$D$78,'График аннуитет.'!F16))</f>
        <v>5724000</v>
      </c>
      <c r="H17" s="323"/>
      <c r="I17" s="323"/>
      <c r="J17" s="323"/>
      <c r="K17" s="323"/>
      <c r="L17" s="323"/>
      <c r="M17" s="323"/>
      <c r="N17" s="323"/>
      <c r="O17" s="323"/>
      <c r="P17" s="323"/>
    </row>
    <row r="18" spans="1:16" x14ac:dyDescent="0.25">
      <c r="A18" s="15">
        <v>10</v>
      </c>
      <c r="B18" s="29">
        <f>'График аннуитет.'!B17</f>
        <v>46349</v>
      </c>
      <c r="C18" s="30">
        <f>IF(malumot!$B$78=malumot!$C$78,'График дифференц'!C17,IF(malumot!$B$78=malumot!$D$78,'График аннуитет.'!C17))</f>
        <v>85975900.600000009</v>
      </c>
      <c r="D18" s="30">
        <f>IF(malumot!$B$78=malumot!$C$78,'График дифференц'!D17,IF(malumot!$B$78=malumot!$D$78,'График аннуитет.'!D17))</f>
        <v>1707865.37</v>
      </c>
      <c r="E18" s="30">
        <f>IF(malumot!$B$78=malumot!$C$78,'График дифференц'!E17,IF(malumot!$B$78=malumot!$D$78,'График аннуитет.'!E17))</f>
        <v>4016134.63</v>
      </c>
      <c r="F18" s="30">
        <f>IF(malumot!$B$78=malumot!$C$78,'График дифференц'!F17,IF(malumot!$B$78=malumot!$D$78,'График аннуитет.'!F17))</f>
        <v>5724000</v>
      </c>
      <c r="H18" s="323"/>
      <c r="I18" s="323"/>
      <c r="J18" s="323"/>
      <c r="K18" s="323"/>
      <c r="L18" s="323"/>
      <c r="M18" s="323"/>
      <c r="N18" s="323"/>
      <c r="O18" s="323"/>
      <c r="P18" s="323"/>
    </row>
    <row r="19" spans="1:16" x14ac:dyDescent="0.25">
      <c r="A19" s="15">
        <v>11</v>
      </c>
      <c r="B19" s="29">
        <f>'График аннуитет.'!B18</f>
        <v>46379</v>
      </c>
      <c r="C19" s="30">
        <f>IF(malumot!$B$78=malumot!$C$78,'График дифференц'!C18,IF(malumot!$B$78=malumot!$D$78,'График аннуитет.'!C18))</f>
        <v>84268035.230000004</v>
      </c>
      <c r="D19" s="30">
        <f>IF(malumot!$B$78=malumot!$C$78,'График дифференц'!D18,IF(malumot!$B$78=malumot!$D$78,'График аннуитет.'!D18))</f>
        <v>1914623.1</v>
      </c>
      <c r="E19" s="30">
        <f>IF(malumot!$B$78=malumot!$C$78,'График дифференц'!E18,IF(malumot!$B$78=malumot!$D$78,'График аннуитет.'!E18))</f>
        <v>3809376.9</v>
      </c>
      <c r="F19" s="30">
        <f>IF(malumot!$B$78=malumot!$C$78,'График дифференц'!F18,IF(malumot!$B$78=malumot!$D$78,'График аннуитет.'!F18))</f>
        <v>5724000</v>
      </c>
      <c r="H19" s="323"/>
      <c r="I19" s="323"/>
      <c r="J19" s="323"/>
      <c r="K19" s="323"/>
      <c r="L19" s="323"/>
      <c r="M19" s="323"/>
      <c r="N19" s="323"/>
      <c r="O19" s="323"/>
      <c r="P19" s="323"/>
    </row>
    <row r="20" spans="1:16" x14ac:dyDescent="0.25">
      <c r="A20" s="15">
        <v>12</v>
      </c>
      <c r="B20" s="29">
        <f>'График аннуитет.'!B19</f>
        <v>46412</v>
      </c>
      <c r="C20" s="30">
        <f>IF(malumot!$B$78=malumot!$C$78,'График дифференц'!C19,IF(malumot!$B$78=malumot!$D$78,'График аннуитет.'!C19))</f>
        <v>82353412.13000001</v>
      </c>
      <c r="D20" s="30">
        <f>IF(malumot!$B$78=malumot!$C$78,'График дифференц'!D19,IF(malumot!$B$78=malumot!$D$78,'График аннуитет.'!D19))</f>
        <v>1628892.06</v>
      </c>
      <c r="E20" s="30">
        <f>IF(malumot!$B$78=malumot!$C$78,'График дифференц'!E19,IF(malumot!$B$78=malumot!$D$78,'График аннуитет.'!E19))</f>
        <v>4095107.94</v>
      </c>
      <c r="F20" s="30">
        <f>IF(malumot!$B$78=malumot!$C$78,'График дифференц'!F19,IF(malumot!$B$78=malumot!$D$78,'График аннуитет.'!F19))</f>
        <v>5724000</v>
      </c>
      <c r="H20" s="323"/>
      <c r="I20" s="323"/>
      <c r="J20" s="323"/>
      <c r="K20" s="323"/>
      <c r="L20" s="323"/>
      <c r="M20" s="323"/>
      <c r="N20" s="323"/>
      <c r="O20" s="323"/>
      <c r="P20" s="323"/>
    </row>
    <row r="21" spans="1:16" x14ac:dyDescent="0.25">
      <c r="A21" s="15">
        <v>13</v>
      </c>
      <c r="B21" s="29">
        <f>'График аннуитет.'!B20</f>
        <v>46441</v>
      </c>
      <c r="C21" s="30">
        <f>IF(malumot!$B$78=malumot!$C$78,'График дифференц'!C20,IF(malumot!$B$78=malumot!$D$78,'График аннуитет.'!C20))</f>
        <v>80724520.070000008</v>
      </c>
      <c r="D21" s="30">
        <f>IF(malumot!$B$78=malumot!$C$78,'График дифференц'!D20,IF(malumot!$B$78=malumot!$D$78,'График аннуитет.'!D20))</f>
        <v>2196448.9899999998</v>
      </c>
      <c r="E21" s="30">
        <f>IF(malumot!$B$78=malumot!$C$78,'График дифференц'!E20,IF(malumot!$B$78=malumot!$D$78,'График аннуитет.'!E20))</f>
        <v>3527551.0100000002</v>
      </c>
      <c r="F21" s="30">
        <f>IF(malumot!$B$78=malumot!$C$78,'График дифференц'!F20,IF(malumot!$B$78=malumot!$D$78,'График аннуитет.'!F20))</f>
        <v>5724000</v>
      </c>
      <c r="H21" s="323"/>
      <c r="I21" s="323"/>
      <c r="J21" s="323"/>
      <c r="K21" s="323"/>
      <c r="L21" s="323"/>
      <c r="M21" s="323"/>
      <c r="N21" s="323"/>
      <c r="O21" s="323"/>
      <c r="P21" s="323"/>
    </row>
    <row r="22" spans="1:16" x14ac:dyDescent="0.25">
      <c r="A22" s="15">
        <v>14</v>
      </c>
      <c r="B22" s="29">
        <f>'График аннуитет.'!B21</f>
        <v>46469</v>
      </c>
      <c r="C22" s="30">
        <f>IF(malumot!$B$78=malumot!$C$78,'График дифференц'!C21,IF(malumot!$B$78=malumot!$D$78,'График аннуитет.'!C21))</f>
        <v>78528071.080000013</v>
      </c>
      <c r="D22" s="30">
        <f>IF(malumot!$B$78=malumot!$C$78,'График дифференц'!D21,IF(malumot!$B$78=malumot!$D$78,'График аннуитет.'!D21))</f>
        <v>2410760.84</v>
      </c>
      <c r="E22" s="30">
        <f>IF(malumot!$B$78=malumot!$C$78,'График дифференц'!E21,IF(malumot!$B$78=malumot!$D$78,'График аннуитет.'!E21))</f>
        <v>3313239.16</v>
      </c>
      <c r="F22" s="30">
        <f>IF(malumot!$B$78=malumot!$C$78,'График дифференц'!F21,IF(malumot!$B$78=malumot!$D$78,'График аннуитет.'!F21))</f>
        <v>5724000</v>
      </c>
      <c r="H22" s="323"/>
      <c r="I22" s="323"/>
      <c r="J22" s="323"/>
      <c r="K22" s="323"/>
      <c r="L22" s="323"/>
      <c r="M22" s="323"/>
      <c r="N22" s="323"/>
      <c r="O22" s="323"/>
      <c r="P22" s="323"/>
    </row>
    <row r="23" spans="1:16" x14ac:dyDescent="0.25">
      <c r="A23" s="15">
        <v>15</v>
      </c>
      <c r="B23" s="29">
        <f>'График аннуитет.'!B22</f>
        <v>46500</v>
      </c>
      <c r="C23" s="30">
        <f>IF(malumot!$B$78=malumot!$C$78,'График дифференц'!C22,IF(malumot!$B$78=malumot!$D$78,'График аннуитет.'!C22))</f>
        <v>76117310.24000001</v>
      </c>
      <c r="D23" s="30">
        <f>IF(malumot!$B$78=malumot!$C$78,'График дифференц'!D22,IF(malumot!$B$78=malumot!$D$78,'График аннуитет.'!D22))</f>
        <v>2168383.0799999996</v>
      </c>
      <c r="E23" s="30">
        <f>IF(malumot!$B$78=malumot!$C$78,'График дифференц'!E22,IF(malumot!$B$78=malumot!$D$78,'График аннуитет.'!E22))</f>
        <v>3555616.9200000004</v>
      </c>
      <c r="F23" s="30">
        <f>IF(malumot!$B$78=malumot!$C$78,'График дифференц'!F22,IF(malumot!$B$78=malumot!$D$78,'График аннуитет.'!F22))</f>
        <v>5724000</v>
      </c>
      <c r="H23" s="323"/>
      <c r="I23" s="323"/>
      <c r="J23" s="323"/>
      <c r="K23" s="323"/>
      <c r="L23" s="323"/>
      <c r="M23" s="323"/>
      <c r="N23" s="323"/>
      <c r="O23" s="323"/>
      <c r="P23" s="323"/>
    </row>
    <row r="24" spans="1:16" x14ac:dyDescent="0.25">
      <c r="A24" s="15">
        <v>16</v>
      </c>
      <c r="B24" s="29">
        <f>'График аннуитет.'!B23</f>
        <v>46531</v>
      </c>
      <c r="C24" s="30">
        <f>IF(malumot!$B$78=malumot!$C$78,'График дифференц'!C23,IF(malumot!$B$78=malumot!$D$78,'График аннуитет.'!C23))</f>
        <v>73948927.160000011</v>
      </c>
      <c r="D24" s="30">
        <f>IF(malumot!$B$78=malumot!$C$78,'График дифференц'!D23,IF(malumot!$B$78=malumot!$D$78,'График аннуитет.'!D23))</f>
        <v>2269673.41</v>
      </c>
      <c r="E24" s="30">
        <f>IF(malumot!$B$78=malumot!$C$78,'График дифференц'!E23,IF(malumot!$B$78=malumot!$D$78,'График аннуитет.'!E23))</f>
        <v>3454326.59</v>
      </c>
      <c r="F24" s="30">
        <f>IF(malumot!$B$78=malumot!$C$78,'График дифференц'!F23,IF(malumot!$B$78=malumot!$D$78,'График аннуитет.'!F23))</f>
        <v>5724000</v>
      </c>
      <c r="H24" s="323"/>
      <c r="I24" s="323"/>
      <c r="J24" s="323"/>
      <c r="K24" s="323"/>
      <c r="L24" s="323"/>
      <c r="M24" s="323"/>
      <c r="N24" s="323"/>
      <c r="O24" s="323"/>
      <c r="P24" s="323"/>
    </row>
    <row r="25" spans="1:16" x14ac:dyDescent="0.25">
      <c r="A25" s="15">
        <v>17</v>
      </c>
      <c r="B25" s="29">
        <f>'График аннуитет.'!B24</f>
        <v>46561</v>
      </c>
      <c r="C25" s="30">
        <f>IF(malumot!$B$78=malumot!$C$78,'График дифференц'!C24,IF(malumot!$B$78=malumot!$D$78,'График аннуитет.'!C24))</f>
        <v>71679253.750000015</v>
      </c>
      <c r="D25" s="30">
        <f>IF(malumot!$B$78=malumot!$C$78,'График дифференц'!D24,IF(malumot!$B$78=malumot!$D$78,'График аннуитет.'!D24))</f>
        <v>2483705.1</v>
      </c>
      <c r="E25" s="30">
        <f>IF(malumot!$B$78=malumot!$C$78,'График дифференц'!E24,IF(malumot!$B$78=malumot!$D$78,'График аннуитет.'!E24))</f>
        <v>3240294.9</v>
      </c>
      <c r="F25" s="30">
        <f>IF(malumot!$B$78=malumot!$C$78,'График дифференц'!F24,IF(malumot!$B$78=malumot!$D$78,'График аннуитет.'!F24))</f>
        <v>5724000</v>
      </c>
    </row>
    <row r="26" spans="1:16" x14ac:dyDescent="0.25">
      <c r="A26" s="15">
        <v>18</v>
      </c>
      <c r="B26" s="29">
        <f>'График аннуитет.'!B25</f>
        <v>46591</v>
      </c>
      <c r="C26" s="30">
        <f>IF(malumot!$B$78=malumot!$C$78,'График дифференц'!C25,IF(malumot!$B$78=malumot!$D$78,'График аннуитет.'!C25))</f>
        <v>69195548.650000021</v>
      </c>
      <c r="D26" s="30">
        <f>IF(malumot!$B$78=malumot!$C$78,'График дифференц'!D25,IF(malumot!$B$78=malumot!$D$78,'График аннуитет.'!D25))</f>
        <v>2595981.9</v>
      </c>
      <c r="E26" s="30">
        <f>IF(malumot!$B$78=malumot!$C$78,'График дифференц'!E25,IF(malumot!$B$78=malumot!$D$78,'График аннуитет.'!E25))</f>
        <v>3128018.1</v>
      </c>
      <c r="F26" s="30">
        <f>IF(malumot!$B$78=malumot!$C$78,'График дифференц'!F25,IF(malumot!$B$78=malumot!$D$78,'График аннуитет.'!F25))</f>
        <v>5724000</v>
      </c>
    </row>
    <row r="27" spans="1:16" x14ac:dyDescent="0.25">
      <c r="A27" s="15">
        <f>1+A26</f>
        <v>19</v>
      </c>
      <c r="B27" s="29">
        <f>'График аннуитет.'!B26</f>
        <v>46622</v>
      </c>
      <c r="C27" s="30">
        <f>IF(malumot!$B$78=malumot!$C$78,'График дифференц'!C26,IF(malumot!$B$78=malumot!$D$78,'График аннуитет.'!C26))</f>
        <v>66599566.750000022</v>
      </c>
      <c r="D27" s="30">
        <f>IF(malumot!$B$78=malumot!$C$78,'График дифференц'!D26,IF(malumot!$B$78=malumot!$D$78,'График аннуитет.'!D26))</f>
        <v>2612979.19</v>
      </c>
      <c r="E27" s="30">
        <f>IF(malumot!$B$78=malumot!$C$78,'График дифференц'!E26,IF(malumot!$B$78=malumot!$D$78,'График аннуитет.'!E26))</f>
        <v>3111020.81</v>
      </c>
      <c r="F27" s="30">
        <f>IF(malumot!$B$78=malumot!$C$78,'График дифференц'!F26,IF(malumot!$B$78=malumot!$D$78,'График аннуитет.'!F26))</f>
        <v>5724000</v>
      </c>
    </row>
    <row r="28" spans="1:16" x14ac:dyDescent="0.25">
      <c r="A28" s="15">
        <f t="shared" ref="A28:A43" si="0">1+A27</f>
        <v>20</v>
      </c>
      <c r="B28" s="29">
        <f>'График аннуитет.'!B27</f>
        <v>46653</v>
      </c>
      <c r="C28" s="30">
        <f>IF(malumot!$B$78=malumot!$C$78,'График дифференц'!C27,IF(malumot!$B$78=malumot!$D$78,'График аннуитет.'!C27))</f>
        <v>63986587.560000025</v>
      </c>
      <c r="D28" s="30">
        <f>IF(malumot!$B$78=malumot!$C$78,'График дифференц'!D27,IF(malumot!$B$78=malumot!$D$78,'График аннуитет.'!D27))</f>
        <v>2735037.35</v>
      </c>
      <c r="E28" s="30">
        <f>IF(malumot!$B$78=malumot!$C$78,'График дифференц'!E27,IF(malumot!$B$78=malumot!$D$78,'График аннуитет.'!E27))</f>
        <v>2988962.65</v>
      </c>
      <c r="F28" s="30">
        <f>IF(malumot!$B$78=malumot!$C$78,'График дифференц'!F27,IF(malumot!$B$78=malumot!$D$78,'График аннуитет.'!F27))</f>
        <v>5724000</v>
      </c>
    </row>
    <row r="29" spans="1:16" x14ac:dyDescent="0.25">
      <c r="A29" s="15">
        <f t="shared" si="0"/>
        <v>21</v>
      </c>
      <c r="B29" s="29">
        <f>'График аннуитет.'!B28</f>
        <v>46685</v>
      </c>
      <c r="C29" s="30">
        <f>IF(malumot!$B$78=malumot!$C$78,'График дифференц'!C28,IF(malumot!$B$78=malumot!$D$78,'График аннуитет.'!C28))</f>
        <v>61251550.210000023</v>
      </c>
      <c r="D29" s="30">
        <f>IF(malumot!$B$78=malumot!$C$78,'График дифференц'!D28,IF(malumot!$B$78=malumot!$D$78,'График аннуитет.'!D28))</f>
        <v>2770500.48</v>
      </c>
      <c r="E29" s="30">
        <f>IF(malumot!$B$78=malumot!$C$78,'График дифференц'!E28,IF(malumot!$B$78=malumot!$D$78,'График аннуитет.'!E28))</f>
        <v>2953499.52</v>
      </c>
      <c r="F29" s="30">
        <f>IF(malumot!$B$78=malumot!$C$78,'График дифференц'!F28,IF(malumot!$B$78=malumot!$D$78,'График аннуитет.'!F28))</f>
        <v>5724000</v>
      </c>
    </row>
    <row r="30" spans="1:16" x14ac:dyDescent="0.25">
      <c r="A30" s="15">
        <f t="shared" si="0"/>
        <v>22</v>
      </c>
      <c r="B30" s="29">
        <f>'График аннуитет.'!B29</f>
        <v>46714</v>
      </c>
      <c r="C30" s="30">
        <f>IF(malumot!$B$78=malumot!$C$78,'График дифференц'!C29,IF(malumot!$B$78=malumot!$D$78,'График аннуитет.'!C29))</f>
        <v>58481049.730000027</v>
      </c>
      <c r="D30" s="30">
        <f>IF(malumot!$B$78=malumot!$C$78,'График дифференц'!D29,IF(malumot!$B$78=malumot!$D$78,'График аннуитет.'!D29))</f>
        <v>3168458.23</v>
      </c>
      <c r="E30" s="30">
        <f>IF(malumot!$B$78=malumot!$C$78,'График дифференц'!E29,IF(malumot!$B$78=malumot!$D$78,'График аннуитет.'!E29))</f>
        <v>2555541.77</v>
      </c>
      <c r="F30" s="30">
        <f>IF(malumot!$B$78=malumot!$C$78,'График дифференц'!F29,IF(malumot!$B$78=malumot!$D$78,'График аннуитет.'!F29))</f>
        <v>5724000</v>
      </c>
    </row>
    <row r="31" spans="1:16" x14ac:dyDescent="0.25">
      <c r="A31" s="15">
        <f t="shared" si="0"/>
        <v>23</v>
      </c>
      <c r="B31" s="29">
        <f>'График аннуитет.'!B30</f>
        <v>46744</v>
      </c>
      <c r="C31" s="30">
        <f>IF(malumot!$B$78=malumot!$C$78,'График дифференц'!C30,IF(malumot!$B$78=malumot!$D$78,'График аннуитет.'!C30))</f>
        <v>55312591.50000003</v>
      </c>
      <c r="D31" s="30">
        <f>IF(malumot!$B$78=malumot!$C$78,'График дифференц'!D30,IF(malumot!$B$78=malumot!$D$78,'График аннуитет.'!D30))</f>
        <v>3223567.8</v>
      </c>
      <c r="E31" s="30">
        <f>IF(malumot!$B$78=malumot!$C$78,'График дифференц'!E30,IF(malumot!$B$78=malumot!$D$78,'График аннуитет.'!E30))</f>
        <v>2500432.2000000002</v>
      </c>
      <c r="F31" s="30">
        <f>IF(malumot!$B$78=malumot!$C$78,'График дифференц'!F30,IF(malumot!$B$78=malumot!$D$78,'График аннуитет.'!F30))</f>
        <v>5724000</v>
      </c>
    </row>
    <row r="32" spans="1:16" x14ac:dyDescent="0.25">
      <c r="A32" s="15">
        <f t="shared" si="0"/>
        <v>24</v>
      </c>
      <c r="B32" s="29">
        <f>'График аннуитет.'!B31</f>
        <v>46776</v>
      </c>
      <c r="C32" s="30">
        <f>IF(malumot!$B$78=malumot!$C$78,'График дифференц'!C31,IF(malumot!$B$78=malumot!$D$78,'График аннуитет.'!C31))</f>
        <v>52089023.700000033</v>
      </c>
      <c r="D32" s="30">
        <f>IF(malumot!$B$78=malumot!$C$78,'График дифференц'!D31,IF(malumot!$B$78=malumot!$D$78,'График аннуитет.'!D31))</f>
        <v>3219172.48</v>
      </c>
      <c r="E32" s="30">
        <f>IF(malumot!$B$78=malumot!$C$78,'График дифференц'!E31,IF(malumot!$B$78=malumot!$D$78,'График аннуитет.'!E31))</f>
        <v>2504827.52</v>
      </c>
      <c r="F32" s="30">
        <f>IF(malumot!$B$78=malumot!$C$78,'График дифференц'!F31,IF(malumot!$B$78=malumot!$D$78,'График аннуитет.'!F31))</f>
        <v>5724000</v>
      </c>
    </row>
    <row r="33" spans="1:6" ht="15.75" customHeight="1" x14ac:dyDescent="0.25">
      <c r="A33" s="15">
        <f t="shared" si="0"/>
        <v>25</v>
      </c>
      <c r="B33" s="29">
        <f>IF('График аннуитет.'!B32=FALSE,"",'График аннуитет.'!B32)</f>
        <v>46806</v>
      </c>
      <c r="C33" s="30">
        <f>IF(malumot!$B$78=malumot!$C$78,'График дифференц'!C32,IF(malumot!$B$78=malumot!$D$78,'График аннуитет.'!C32))</f>
        <v>48869851.220000036</v>
      </c>
      <c r="D33" s="30">
        <f>IF(malumot!$B$78=malumot!$C$78,'График дифференц'!D32,IF(malumot!$B$78=malumot!$D$78,'График аннуитет.'!D32))</f>
        <v>3520851</v>
      </c>
      <c r="E33" s="30">
        <f>IF(malumot!$B$78=malumot!$C$78,'График дифференц'!E32,IF(malumot!$B$78=malumot!$D$78,'График аннуитет.'!E32))</f>
        <v>2203149</v>
      </c>
      <c r="F33" s="30">
        <f>IF(malumot!$B$78=malumot!$C$78,'График дифференц'!F32,IF(malumot!$B$78=malumot!$D$78,'График аннуитет.'!F32))</f>
        <v>5724000</v>
      </c>
    </row>
    <row r="34" spans="1:6" ht="15.75" customHeight="1" x14ac:dyDescent="0.25">
      <c r="A34" s="15">
        <f t="shared" si="0"/>
        <v>26</v>
      </c>
      <c r="B34" s="29">
        <f>IF('График аннуитет.'!B33=FALSE,"",'График аннуитет.'!B33)</f>
        <v>46835</v>
      </c>
      <c r="C34" s="30">
        <f>IF(malumot!$B$78=malumot!$C$78,'График дифференц'!C33,IF(malumot!$B$78=malumot!$D$78,'График аннуитет.'!C33))</f>
        <v>45349000.220000036</v>
      </c>
      <c r="D34" s="30">
        <f>IF(malumot!$B$78=malumot!$C$78,'График дифференц'!D33,IF(malumot!$B$78=malumot!$D$78,'График аннуитет.'!D33))</f>
        <v>3747725.4000000004</v>
      </c>
      <c r="E34" s="30">
        <f>IF(malumot!$B$78=malumot!$C$78,'График дифференц'!E33,IF(malumot!$B$78=malumot!$D$78,'График аннуитет.'!E33))</f>
        <v>1976274.5999999999</v>
      </c>
      <c r="F34" s="30">
        <f>IF(malumot!$B$78=malumot!$C$78,'График дифференц'!F33,IF(malumot!$B$78=malumot!$D$78,'График аннуитет.'!F33))</f>
        <v>5724000</v>
      </c>
    </row>
    <row r="35" spans="1:6" ht="15.75" customHeight="1" x14ac:dyDescent="0.25">
      <c r="A35" s="15">
        <f t="shared" si="0"/>
        <v>27</v>
      </c>
      <c r="B35" s="29">
        <f>IF('График аннуитет.'!B34=FALSE,"",'График аннуитет.'!B34)</f>
        <v>46867</v>
      </c>
      <c r="C35" s="30">
        <f>IF(malumot!$B$78=malumot!$C$78,'График дифференц'!C34,IF(malumot!$B$78=malumot!$D$78,'График аннуитет.'!C34))</f>
        <v>41601274.820000038</v>
      </c>
      <c r="D35" s="30">
        <f>IF(malumot!$B$78=malumot!$C$78,'График дифференц'!D34,IF(malumot!$B$78=malumot!$D$78,'График аннуитет.'!D34))</f>
        <v>3723501.44</v>
      </c>
      <c r="E35" s="30">
        <f>IF(malumot!$B$78=malumot!$C$78,'График дифференц'!E34,IF(malumot!$B$78=malumot!$D$78,'График аннуитет.'!E34))</f>
        <v>2000498.56</v>
      </c>
      <c r="F35" s="30">
        <f>IF(malumot!$B$78=malumot!$C$78,'График дифференц'!F34,IF(malumot!$B$78=malumot!$D$78,'График аннуитет.'!F34))</f>
        <v>5724000</v>
      </c>
    </row>
    <row r="36" spans="1:6" ht="15.75" customHeight="1" x14ac:dyDescent="0.25">
      <c r="A36" s="15">
        <f t="shared" si="0"/>
        <v>28</v>
      </c>
      <c r="B36" s="29">
        <f>IF('График аннуитет.'!B35=FALSE,"",'График аннуитет.'!B35)</f>
        <v>46896</v>
      </c>
      <c r="C36" s="30">
        <f>IF(malumot!$B$78=malumot!$C$78,'График дифференц'!C35,IF(malumot!$B$78=malumot!$D$78,'График аннуитет.'!C35))</f>
        <v>37877773.38000004</v>
      </c>
      <c r="D36" s="30">
        <f>IF(malumot!$B$78=malumot!$C$78,'График дифференц'!D35,IF(malumot!$B$78=malumot!$D$78,'График аннуитет.'!D35))</f>
        <v>4073315.65</v>
      </c>
      <c r="E36" s="30">
        <f>IF(malumot!$B$78=malumot!$C$78,'График дифференц'!E35,IF(malumot!$B$78=malumot!$D$78,'График аннуитет.'!E35))</f>
        <v>1650684.35</v>
      </c>
      <c r="F36" s="30">
        <f>IF(malumot!$B$78=malumot!$C$78,'График дифференц'!F35,IF(malumot!$B$78=malumot!$D$78,'График аннуитет.'!F35))</f>
        <v>5724000</v>
      </c>
    </row>
    <row r="37" spans="1:6" ht="15.75" customHeight="1" x14ac:dyDescent="0.25">
      <c r="A37" s="15">
        <f t="shared" si="0"/>
        <v>29</v>
      </c>
      <c r="B37" s="29">
        <f>IF('График аннуитет.'!B36=FALSE,"",'График аннуитет.'!B36)</f>
        <v>46927</v>
      </c>
      <c r="C37" s="30">
        <f>IF(malumot!$B$78=malumot!$C$78,'График дифференц'!C36,IF(malumot!$B$78=malumot!$D$78,'График аннуитет.'!C36))</f>
        <v>33804457.730000041</v>
      </c>
      <c r="D37" s="30">
        <f>IF(malumot!$B$78=malumot!$C$78,'График дифференц'!D36,IF(malumot!$B$78=malumot!$D$78,'График аннуитет.'!D36))</f>
        <v>4149229.45</v>
      </c>
      <c r="E37" s="30">
        <f>IF(malumot!$B$78=malumot!$C$78,'График дифференц'!E36,IF(malumot!$B$78=malumot!$D$78,'График аннуитет.'!E36))</f>
        <v>1574770.55</v>
      </c>
      <c r="F37" s="30">
        <f>IF(malumot!$B$78=malumot!$C$78,'График дифференц'!F36,IF(malumot!$B$78=malumot!$D$78,'График аннуитет.'!F36))</f>
        <v>5724000</v>
      </c>
    </row>
    <row r="38" spans="1:6" ht="15.75" customHeight="1" x14ac:dyDescent="0.25">
      <c r="A38" s="15">
        <f t="shared" si="0"/>
        <v>30</v>
      </c>
      <c r="B38" s="29">
        <f>IF('График аннуитет.'!B37=FALSE,"",'График аннуитет.'!B37)</f>
        <v>46958</v>
      </c>
      <c r="C38" s="30">
        <f>IF(malumot!$B$78=malumot!$C$78,'График дифференц'!C37,IF(malumot!$B$78=malumot!$D$78,'График аннуитет.'!C37))</f>
        <v>29655228.280000042</v>
      </c>
      <c r="D38" s="30">
        <f>IF(malumot!$B$78=malumot!$C$78,'График дифференц'!D37,IF(malumot!$B$78=malumot!$D$78,'График аннуитет.'!D37))</f>
        <v>4342520.03</v>
      </c>
      <c r="E38" s="30">
        <f>IF(malumot!$B$78=malumot!$C$78,'График дифференц'!E37,IF(malumot!$B$78=malumot!$D$78,'График аннуитет.'!E37))</f>
        <v>1381479.97</v>
      </c>
      <c r="F38" s="30">
        <f>IF(malumot!$B$78=malumot!$C$78,'График дифференц'!F37,IF(malumot!$B$78=malumot!$D$78,'График аннуитет.'!F37))</f>
        <v>5724000</v>
      </c>
    </row>
    <row r="39" spans="1:6" ht="15.75" customHeight="1" x14ac:dyDescent="0.25">
      <c r="A39" s="15">
        <f t="shared" si="0"/>
        <v>31</v>
      </c>
      <c r="B39" s="29">
        <f>IF('График аннуитет.'!B38=FALSE,"",'График аннуитет.'!B38)</f>
        <v>46988</v>
      </c>
      <c r="C39" s="30">
        <f>IF(malumot!$B$78=malumot!$C$78,'График дифференц'!C38,IF(malumot!$B$78=malumot!$D$78,'График аннуитет.'!C38))</f>
        <v>25312708.250000041</v>
      </c>
      <c r="D39" s="30">
        <f>IF(malumot!$B$78=malumot!$C$78,'График дифференц'!D38,IF(malumot!$B$78=malumot!$D$78,'График аннуитет.'!D38))</f>
        <v>4582853.4000000004</v>
      </c>
      <c r="E39" s="30">
        <f>IF(malumot!$B$78=malumot!$C$78,'График дифференц'!E38,IF(malumot!$B$78=malumot!$D$78,'График аннуитет.'!E38))</f>
        <v>1141146.6000000001</v>
      </c>
      <c r="F39" s="30">
        <f>IF(malumot!$B$78=malumot!$C$78,'График дифференц'!F38,IF(malumot!$B$78=malumot!$D$78,'График аннуитет.'!F38))</f>
        <v>5724000</v>
      </c>
    </row>
    <row r="40" spans="1:6" ht="15.75" customHeight="1" x14ac:dyDescent="0.25">
      <c r="A40" s="15">
        <f t="shared" si="0"/>
        <v>32</v>
      </c>
      <c r="B40" s="29">
        <f>IF('График аннуитет.'!B39=FALSE,"",'График аннуитет.'!B39)</f>
        <v>47021</v>
      </c>
      <c r="C40" s="30">
        <f>IF(malumot!$B$78=malumot!$C$78,'График дифференц'!C39,IF(malumot!$B$78=malumot!$D$78,'График аннуитет.'!C39))</f>
        <v>20729854.850000039</v>
      </c>
      <c r="D40" s="30">
        <f>IF(malumot!$B$78=malumot!$C$78,'График дифференц'!D39,IF(malumot!$B$78=malumot!$D$78,'График аннуитет.'!D39))</f>
        <v>4696003.1399999997</v>
      </c>
      <c r="E40" s="30">
        <f>IF(malumot!$B$78=malumot!$C$78,'График дифференц'!E39,IF(malumot!$B$78=malumot!$D$78,'График аннуитет.'!E39))</f>
        <v>1027996.86</v>
      </c>
      <c r="F40" s="30">
        <f>IF(malumot!$B$78=malumot!$C$78,'График дифференц'!F39,IF(malumot!$B$78=malumot!$D$78,'График аннуитет.'!F39))</f>
        <v>5724000</v>
      </c>
    </row>
    <row r="41" spans="1:6" ht="15.75" customHeight="1" x14ac:dyDescent="0.25">
      <c r="A41" s="15">
        <f t="shared" si="0"/>
        <v>33</v>
      </c>
      <c r="B41" s="29">
        <f>IF('График аннуитет.'!B40=FALSE,"",'График аннуитет.'!B40)</f>
        <v>47049</v>
      </c>
      <c r="C41" s="30">
        <f>IF(malumot!$B$78=malumot!$C$78,'График дифференц'!C40,IF(malumot!$B$78=malumot!$D$78,'График аннуитет.'!C40))</f>
        <v>16033851.710000038</v>
      </c>
      <c r="D41" s="30">
        <f>IF(malumot!$B$78=malumot!$C$78,'График дифференц'!D40,IF(malumot!$B$78=malumot!$D$78,'График аннуитет.'!D40))</f>
        <v>5049351.4800000004</v>
      </c>
      <c r="E41" s="30">
        <f>IF(malumot!$B$78=malumot!$C$78,'График дифференц'!E40,IF(malumot!$B$78=malumot!$D$78,'График аннуитет.'!E40))</f>
        <v>674648.52</v>
      </c>
      <c r="F41" s="30">
        <f>IF(malumot!$B$78=malumot!$C$78,'График дифференц'!F40,IF(malumot!$B$78=malumot!$D$78,'График аннуитет.'!F40))</f>
        <v>5724000</v>
      </c>
    </row>
    <row r="42" spans="1:6" ht="15.75" customHeight="1" x14ac:dyDescent="0.25">
      <c r="A42" s="15">
        <f t="shared" si="0"/>
        <v>34</v>
      </c>
      <c r="B42" s="29">
        <f>IF('График аннуитет.'!B41=FALSE,"",'График аннуитет.'!B41)</f>
        <v>47080</v>
      </c>
      <c r="C42" s="30">
        <f>IF(malumot!$B$78=malumot!$C$78,'График дифференц'!C41,IF(malumot!$B$78=malumot!$D$78,'График аннуитет.'!C41))</f>
        <v>10984500.230000038</v>
      </c>
      <c r="D42" s="30">
        <f>IF(malumot!$B$78=malumot!$C$78,'График дифференц'!D41,IF(malumot!$B$78=malumot!$D$78,'График аннуитет.'!D41))</f>
        <v>5212290.4400000004</v>
      </c>
      <c r="E42" s="30">
        <f>IF(malumot!$B$78=malumot!$C$78,'График дифференц'!E41,IF(malumot!$B$78=malumot!$D$78,'График аннуитет.'!E41))</f>
        <v>511709.55999999994</v>
      </c>
      <c r="F42" s="30">
        <f>IF(malumot!$B$78=malumot!$C$78,'График дифференц'!F41,IF(malumot!$B$78=malumot!$D$78,'График аннуитет.'!F41))</f>
        <v>5724000</v>
      </c>
    </row>
    <row r="43" spans="1:6" ht="15.75" customHeight="1" x14ac:dyDescent="0.25">
      <c r="A43" s="15">
        <f t="shared" si="0"/>
        <v>35</v>
      </c>
      <c r="B43" s="29">
        <f>IF('График аннуитет.'!B42=FALSE,"",'График аннуитет.'!B42)</f>
        <v>47112</v>
      </c>
      <c r="C43" s="30">
        <f>IF(malumot!$B$78=malumot!$C$78,'График дифференц'!C42,IF(malumot!$B$78=malumot!$D$78,'График аннуитет.'!C42))</f>
        <v>5772209.7900000373</v>
      </c>
      <c r="D43" s="30">
        <f>IF(malumot!$B$78=malumot!$C$78,'График дифференц'!D42,IF(malumot!$B$78=malumot!$D$78,'График аннуитет.'!D42))</f>
        <v>5446429.1200000001</v>
      </c>
      <c r="E43" s="30">
        <f>IF(malumot!$B$78=malumot!$C$78,'График дифференц'!E42,IF(malumot!$B$78=malumot!$D$78,'График аннуитет.'!E42))</f>
        <v>277570.88</v>
      </c>
      <c r="F43" s="30">
        <f>IF(malumot!$B$78=malumot!$C$78,'График дифференц'!F42,IF(malumot!$B$78=malumot!$D$78,'График аннуитет.'!F42))</f>
        <v>5724000</v>
      </c>
    </row>
    <row r="44" spans="1:6" ht="15.75" customHeight="1" x14ac:dyDescent="0.25">
      <c r="A44" s="15">
        <f>1+A43</f>
        <v>36</v>
      </c>
      <c r="B44" s="29">
        <f>IF('График аннуитет.'!B43=FALSE,"",'График аннуитет.'!B43)</f>
        <v>47148</v>
      </c>
      <c r="C44" s="30">
        <f>IF(malumot!$B$78=malumot!$C$78,'График дифференц'!C43,IF(malumot!$B$78=malumot!$D$78,'График аннуитет.'!C43))</f>
        <v>325780.67000003718</v>
      </c>
      <c r="D44" s="30">
        <f>IF(malumot!$B$78=malumot!$C$78,'График дифференц'!D43,IF(malumot!$B$78=malumot!$D$78,'График аннуитет.'!D43))</f>
        <v>325780.67000003718</v>
      </c>
      <c r="E44" s="30">
        <f>IF(malumot!$B$78=malumot!$C$78,'График дифференц'!E43,IF(malumot!$B$78=malumot!$D$78,'График аннуитет.'!E43))</f>
        <v>17672.399999999998</v>
      </c>
      <c r="F44" s="30">
        <f>IF(malumot!$B$78=malumot!$C$78,'График дифференц'!F43,IF(malumot!$B$78=malumot!$D$78,'График аннуитет.'!F43))</f>
        <v>343453.0700000372</v>
      </c>
    </row>
    <row r="45" spans="1:6" ht="15.75" hidden="1" customHeight="1" x14ac:dyDescent="0.25">
      <c r="A45" s="15">
        <f t="shared" ref="A45:A56" si="1">1+A44</f>
        <v>37</v>
      </c>
      <c r="B45" s="29" t="str">
        <f>IF('График аннуитет.'!B44=FALSE,"",'График аннуитет.'!B44)</f>
        <v/>
      </c>
      <c r="C45" s="30">
        <f>IF(malumot!$B$78=malumot!$C$78,'График дифференц'!C44,IF(malumot!$B$78=malumot!$D$78,'График аннуитет.'!C44))</f>
        <v>0</v>
      </c>
      <c r="D45" s="30">
        <f>IF(malumot!$B$78=malumot!$C$78,'График дифференц'!D44,IF(malumot!$B$78=malumot!$D$78,'График аннуитет.'!D44))</f>
        <v>0</v>
      </c>
      <c r="E45" s="30">
        <f>IF(malumot!$B$78=malumot!$C$78,'График дифференц'!E44,IF(malumot!$B$78=malumot!$D$78,'График аннуитет.'!E44))</f>
        <v>0</v>
      </c>
      <c r="F45" s="30">
        <f>IF(malumot!$B$78=malumot!$C$78,'График дифференц'!F44,IF(malumot!$B$78=malumot!$D$78,'График аннуитет.'!F44))</f>
        <v>0</v>
      </c>
    </row>
    <row r="46" spans="1:6" ht="15.75" hidden="1" customHeight="1" x14ac:dyDescent="0.25">
      <c r="A46" s="15">
        <f t="shared" si="1"/>
        <v>38</v>
      </c>
      <c r="B46" s="29" t="str">
        <f>IF('График аннуитет.'!B45=FALSE,"",'График аннуитет.'!B45)</f>
        <v/>
      </c>
      <c r="C46" s="30">
        <f>IF(malumot!$B$78=malumot!$C$78,'График дифференц'!C45,IF(malumot!$B$78=malumot!$D$78,'График аннуитет.'!C45))</f>
        <v>0</v>
      </c>
      <c r="D46" s="30">
        <f>IF(malumot!$B$78=malumot!$C$78,'График дифференц'!D45,IF(malumot!$B$78=malumot!$D$78,'График аннуитет.'!D45))</f>
        <v>0</v>
      </c>
      <c r="E46" s="30">
        <f>IF(malumot!$B$78=malumot!$C$78,'График дифференц'!E45,IF(malumot!$B$78=malumot!$D$78,'График аннуитет.'!E45))</f>
        <v>0</v>
      </c>
      <c r="F46" s="30">
        <f>IF(malumot!$B$78=malumot!$C$78,'График дифференц'!F45,IF(malumot!$B$78=malumot!$D$78,'График аннуитет.'!F45))</f>
        <v>0</v>
      </c>
    </row>
    <row r="47" spans="1:6" ht="15.75" hidden="1" customHeight="1" x14ac:dyDescent="0.25">
      <c r="A47" s="15">
        <f t="shared" si="1"/>
        <v>39</v>
      </c>
      <c r="B47" s="29" t="str">
        <f>IF('График аннуитет.'!B46=FALSE,"",'График аннуитет.'!B46)</f>
        <v/>
      </c>
      <c r="C47" s="30">
        <f>IF(malumot!$B$78=malumot!$C$78,'График дифференц'!C46,IF(malumot!$B$78=malumot!$D$78,'График аннуитет.'!C46))</f>
        <v>0</v>
      </c>
      <c r="D47" s="30">
        <f>IF(malumot!$B$78=malumot!$C$78,'График дифференц'!D46,IF(malumot!$B$78=malumot!$D$78,'График аннуитет.'!D46))</f>
        <v>0</v>
      </c>
      <c r="E47" s="30">
        <f>IF(malumot!$B$78=malumot!$C$78,'График дифференц'!E46,IF(malumot!$B$78=malumot!$D$78,'График аннуитет.'!E46))</f>
        <v>0</v>
      </c>
      <c r="F47" s="30">
        <f>IF(malumot!$B$78=malumot!$C$78,'График дифференц'!F46,IF(malumot!$B$78=malumot!$D$78,'График аннуитет.'!F46))</f>
        <v>0</v>
      </c>
    </row>
    <row r="48" spans="1:6" ht="15.75" hidden="1" customHeight="1" x14ac:dyDescent="0.25">
      <c r="A48" s="15">
        <f t="shared" si="1"/>
        <v>40</v>
      </c>
      <c r="B48" s="29" t="str">
        <f>IF('График аннуитет.'!B47=FALSE,"",'График аннуитет.'!B47)</f>
        <v/>
      </c>
      <c r="C48" s="30">
        <f>IF(malumot!$B$78=malumot!$C$78,'График дифференц'!C47,IF(malumot!$B$78=malumot!$D$78,'График аннуитет.'!C47))</f>
        <v>0</v>
      </c>
      <c r="D48" s="30">
        <f>IF(malumot!$B$78=malumot!$C$78,'График дифференц'!D47,IF(malumot!$B$78=malumot!$D$78,'График аннуитет.'!D47))</f>
        <v>0</v>
      </c>
      <c r="E48" s="30">
        <f>IF(malumot!$B$78=malumot!$C$78,'График дифференц'!E47,IF(malumot!$B$78=malumot!$D$78,'График аннуитет.'!E47))</f>
        <v>0</v>
      </c>
      <c r="F48" s="30">
        <f>IF(malumot!$B$78=malumot!$C$78,'График дифференц'!F47,IF(malumot!$B$78=malumot!$D$78,'График аннуитет.'!F47))</f>
        <v>0</v>
      </c>
    </row>
    <row r="49" spans="1:6" ht="15.75" hidden="1" customHeight="1" x14ac:dyDescent="0.25">
      <c r="A49" s="15">
        <f t="shared" si="1"/>
        <v>41</v>
      </c>
      <c r="B49" s="29" t="str">
        <f>IF('График аннуитет.'!B48=FALSE,"",'График аннуитет.'!B48)</f>
        <v/>
      </c>
      <c r="C49" s="30">
        <f>IF(malumot!$B$78=malumot!$C$78,'График дифференц'!C48,IF(malumot!$B$78=malumot!$D$78,'График аннуитет.'!C48))</f>
        <v>0</v>
      </c>
      <c r="D49" s="30">
        <f>IF(malumot!$B$78=malumot!$C$78,'График дифференц'!D48,IF(malumot!$B$78=malumot!$D$78,'График аннуитет.'!D48))</f>
        <v>0</v>
      </c>
      <c r="E49" s="30">
        <f>IF(malumot!$B$78=malumot!$C$78,'График дифференц'!E48,IF(malumot!$B$78=malumot!$D$78,'График аннуитет.'!E48))</f>
        <v>0</v>
      </c>
      <c r="F49" s="30">
        <f>IF(malumot!$B$78=malumot!$C$78,'График дифференц'!F48,IF(malumot!$B$78=malumot!$D$78,'График аннуитет.'!F48))</f>
        <v>0</v>
      </c>
    </row>
    <row r="50" spans="1:6" ht="15.75" hidden="1" customHeight="1" x14ac:dyDescent="0.25">
      <c r="A50" s="15">
        <f t="shared" si="1"/>
        <v>42</v>
      </c>
      <c r="B50" s="29" t="str">
        <f>IF('График аннуитет.'!B49=FALSE,"",'График аннуитет.'!B49)</f>
        <v/>
      </c>
      <c r="C50" s="30">
        <f>IF(malumot!$B$78=malumot!$C$78,'График дифференц'!C49,IF(malumot!$B$78=malumot!$D$78,'График аннуитет.'!C49))</f>
        <v>0</v>
      </c>
      <c r="D50" s="30">
        <f>IF(malumot!$B$78=malumot!$C$78,'График дифференц'!D49,IF(malumot!$B$78=malumot!$D$78,'График аннуитет.'!D49))</f>
        <v>0</v>
      </c>
      <c r="E50" s="30">
        <f>IF(malumot!$B$78=malumot!$C$78,'График дифференц'!E49,IF(malumot!$B$78=malumot!$D$78,'График аннуитет.'!E49))</f>
        <v>0</v>
      </c>
      <c r="F50" s="30">
        <f>IF(malumot!$B$78=malumot!$C$78,'График дифференц'!F49,IF(malumot!$B$78=malumot!$D$78,'График аннуитет.'!F49))</f>
        <v>0</v>
      </c>
    </row>
    <row r="51" spans="1:6" ht="15.75" hidden="1" customHeight="1" x14ac:dyDescent="0.25">
      <c r="A51" s="15">
        <f t="shared" si="1"/>
        <v>43</v>
      </c>
      <c r="B51" s="29" t="str">
        <f>IF('График аннуитет.'!B50=FALSE,"",'График аннуитет.'!B50)</f>
        <v/>
      </c>
      <c r="C51" s="30">
        <f>IF(malumot!$B$78=malumot!$C$78,'График дифференц'!C50,IF(malumot!$B$78=malumot!$D$78,'График аннуитет.'!C50))</f>
        <v>0</v>
      </c>
      <c r="D51" s="30">
        <f>IF(malumot!$B$78=malumot!$C$78,'График дифференц'!D50,IF(malumot!$B$78=malumot!$D$78,'График аннуитет.'!D50))</f>
        <v>0</v>
      </c>
      <c r="E51" s="30">
        <f>IF(malumot!$B$78=malumot!$C$78,'График дифференц'!E50,IF(malumot!$B$78=malumot!$D$78,'График аннуитет.'!E50))</f>
        <v>0</v>
      </c>
      <c r="F51" s="30">
        <f>IF(malumot!$B$78=malumot!$C$78,'График дифференц'!F50,IF(malumot!$B$78=malumot!$D$78,'График аннуитет.'!F50))</f>
        <v>0</v>
      </c>
    </row>
    <row r="52" spans="1:6" ht="15.75" hidden="1" customHeight="1" x14ac:dyDescent="0.25">
      <c r="A52" s="15">
        <f t="shared" si="1"/>
        <v>44</v>
      </c>
      <c r="B52" s="29" t="str">
        <f>IF('График аннуитет.'!B51=FALSE,"",'График аннуитет.'!B51)</f>
        <v/>
      </c>
      <c r="C52" s="30">
        <f>IF(malumot!$B$78=malumot!$C$78,'График дифференц'!C51,IF(malumot!$B$78=malumot!$D$78,'График аннуитет.'!C51))</f>
        <v>0</v>
      </c>
      <c r="D52" s="30">
        <f>IF(malumot!$B$78=malumot!$C$78,'График дифференц'!D51,IF(malumot!$B$78=malumot!$D$78,'График аннуитет.'!D51))</f>
        <v>0</v>
      </c>
      <c r="E52" s="30">
        <f>IF(malumot!$B$78=malumot!$C$78,'График дифференц'!E51,IF(malumot!$B$78=malumot!$D$78,'График аннуитет.'!E51))</f>
        <v>0</v>
      </c>
      <c r="F52" s="30">
        <f>IF(malumot!$B$78=malumot!$C$78,'График дифференц'!F51,IF(malumot!$B$78=malumot!$D$78,'График аннуитет.'!F51))</f>
        <v>0</v>
      </c>
    </row>
    <row r="53" spans="1:6" ht="15.75" hidden="1" customHeight="1" x14ac:dyDescent="0.25">
      <c r="A53" s="15">
        <f t="shared" si="1"/>
        <v>45</v>
      </c>
      <c r="B53" s="29" t="str">
        <f>IF('График аннуитет.'!B52=FALSE,"",'График аннуитет.'!B52)</f>
        <v/>
      </c>
      <c r="C53" s="30">
        <f>IF(malumot!$B$78=malumot!$C$78,'График дифференц'!C52,IF(malumot!$B$78=malumot!$D$78,'График аннуитет.'!C52))</f>
        <v>0</v>
      </c>
      <c r="D53" s="30">
        <f>IF(malumot!$B$78=malumot!$C$78,'График дифференц'!D52,IF(malumot!$B$78=malumot!$D$78,'График аннуитет.'!D52))</f>
        <v>0</v>
      </c>
      <c r="E53" s="30">
        <f>IF(malumot!$B$78=malumot!$C$78,'График дифференц'!E52,IF(malumot!$B$78=malumot!$D$78,'График аннуитет.'!E52))</f>
        <v>0</v>
      </c>
      <c r="F53" s="30">
        <f>IF(malumot!$B$78=malumot!$C$78,'График дифференц'!F52,IF(malumot!$B$78=malumot!$D$78,'График аннуитет.'!F52))</f>
        <v>0</v>
      </c>
    </row>
    <row r="54" spans="1:6" ht="15.75" hidden="1" customHeight="1" x14ac:dyDescent="0.25">
      <c r="A54" s="15">
        <f t="shared" si="1"/>
        <v>46</v>
      </c>
      <c r="B54" s="29" t="str">
        <f>IF('График аннуитет.'!B53=FALSE,"",'График аннуитет.'!B53)</f>
        <v/>
      </c>
      <c r="C54" s="30">
        <f>IF(malumot!$B$78=malumot!$C$78,'График дифференц'!C53,IF(malumot!$B$78=malumot!$D$78,'График аннуитет.'!C53))</f>
        <v>0</v>
      </c>
      <c r="D54" s="30">
        <f>IF(malumot!$B$78=malumot!$C$78,'График дифференц'!D53,IF(malumot!$B$78=malumot!$D$78,'График аннуитет.'!D53))</f>
        <v>0</v>
      </c>
      <c r="E54" s="30">
        <f>IF(malumot!$B$78=malumot!$C$78,'График дифференц'!E53,IF(malumot!$B$78=malumot!$D$78,'График аннуитет.'!E53))</f>
        <v>0</v>
      </c>
      <c r="F54" s="30">
        <f>IF(malumot!$B$78=malumot!$C$78,'График дифференц'!F53,IF(malumot!$B$78=malumot!$D$78,'График аннуитет.'!F53))</f>
        <v>0</v>
      </c>
    </row>
    <row r="55" spans="1:6" ht="15.75" hidden="1" customHeight="1" x14ac:dyDescent="0.25">
      <c r="A55" s="15">
        <f t="shared" si="1"/>
        <v>47</v>
      </c>
      <c r="B55" s="29" t="str">
        <f>IF('График аннуитет.'!B54=FALSE,"",'График аннуитет.'!B54)</f>
        <v/>
      </c>
      <c r="C55" s="30">
        <f>IF(malumot!$B$78=malumot!$C$78,'График дифференц'!C54,IF(malumot!$B$78=malumot!$D$78,'График аннуитет.'!C54))</f>
        <v>0</v>
      </c>
      <c r="D55" s="30">
        <f>IF(malumot!$B$78=malumot!$C$78,'График дифференц'!D54,IF(malumot!$B$78=malumot!$D$78,'График аннуитет.'!D54))</f>
        <v>0</v>
      </c>
      <c r="E55" s="30">
        <f>IF(malumot!$B$78=malumot!$C$78,'График дифференц'!E54,IF(malumot!$B$78=malumot!$D$78,'График аннуитет.'!E54))</f>
        <v>0</v>
      </c>
      <c r="F55" s="30">
        <f>IF(malumot!$B$78=malumot!$C$78,'График дифференц'!F54,IF(malumot!$B$78=malumot!$D$78,'График аннуитет.'!F54))</f>
        <v>0</v>
      </c>
    </row>
    <row r="56" spans="1:6" ht="15.75" hidden="1" customHeight="1" x14ac:dyDescent="0.25">
      <c r="A56" s="15">
        <f t="shared" si="1"/>
        <v>48</v>
      </c>
      <c r="B56" s="29" t="str">
        <f>IF('График аннуитет.'!B55=FALSE,"",'График аннуитет.'!B55)</f>
        <v/>
      </c>
      <c r="C56" s="30">
        <f>IF(malumot!$B$78=malumot!$C$78,'График дифференц'!C55,IF(malumot!$B$78=malumot!$D$78,'График аннуитет.'!C55))</f>
        <v>0</v>
      </c>
      <c r="D56" s="30">
        <f>IF(malumot!$B$78=malumot!$C$78,'График дифференц'!D55,IF(malumot!$B$78=malumot!$D$78,'График аннуитет.'!D55))</f>
        <v>0</v>
      </c>
      <c r="E56" s="30">
        <f>IF(malumot!$B$78=malumot!$C$78,'График дифференц'!E55,IF(malumot!$B$78=malumot!$D$78,'График аннуитет.'!E55))</f>
        <v>0</v>
      </c>
      <c r="F56" s="30">
        <f>IF(malumot!$B$78=malumot!$C$78,'График дифференц'!F55,IF(malumot!$B$78=malumot!$D$78,'График аннуитет.'!F55))</f>
        <v>0</v>
      </c>
    </row>
    <row r="57" spans="1:6" ht="15" customHeight="1" x14ac:dyDescent="0.25">
      <c r="A57" s="42"/>
      <c r="B57" s="43" t="s">
        <v>202</v>
      </c>
      <c r="C57" s="44"/>
      <c r="D57" s="44">
        <f>SUM(D9:D56)</f>
        <v>100000000.00000003</v>
      </c>
      <c r="E57" s="44">
        <f t="shared" ref="E57:F57" si="2">SUM(E9:E56)</f>
        <v>100683453.06999998</v>
      </c>
      <c r="F57" s="44">
        <f t="shared" si="2"/>
        <v>200683453.07000002</v>
      </c>
    </row>
    <row r="58" spans="1:6" ht="15" customHeight="1" x14ac:dyDescent="0.25">
      <c r="B58" s="31"/>
      <c r="C58" s="32"/>
      <c r="D58" s="32"/>
      <c r="E58" s="32"/>
      <c r="F58" s="32"/>
    </row>
    <row r="59" spans="1:6" ht="33.75" customHeight="1" x14ac:dyDescent="0.25">
      <c r="A59" s="280"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59" s="280"/>
      <c r="C59" s="280"/>
      <c r="D59" s="280"/>
      <c r="E59" s="280"/>
      <c r="F59" s="280"/>
    </row>
    <row r="60" spans="1:6" ht="6.75" customHeight="1" x14ac:dyDescent="0.25"/>
    <row r="61" spans="1:6" ht="15" customHeight="1" x14ac:dyDescent="0.25">
      <c r="A61" s="308" t="s">
        <v>264</v>
      </c>
      <c r="B61" s="308"/>
      <c r="C61" s="308"/>
      <c r="D61" s="308" t="s">
        <v>269</v>
      </c>
      <c r="E61" s="308"/>
      <c r="F61" s="308"/>
    </row>
    <row r="62" spans="1:6" ht="11.25" customHeight="1" x14ac:dyDescent="0.25">
      <c r="A62" s="309"/>
      <c r="B62" s="309"/>
      <c r="C62" s="309"/>
      <c r="D62" s="309"/>
      <c r="E62" s="309"/>
      <c r="F62" s="309"/>
    </row>
    <row r="63" spans="1:6" ht="30" customHeight="1" x14ac:dyDescent="0.25">
      <c r="A63" s="314" t="str">
        <f>shartnoma!A117</f>
        <v>«CLEVER MIKROMOLIYA TASHKILOTI» MChJ</v>
      </c>
      <c r="B63" s="314"/>
      <c r="C63" s="314"/>
      <c r="D63" s="282" t="str">
        <f>shartnoma!B117</f>
        <v>OLLABERGANOVA GO'ZALOY IBRAHIMOVNA</v>
      </c>
      <c r="E63" s="282"/>
      <c r="F63" s="282"/>
    </row>
    <row r="64" spans="1:6" ht="51.75" customHeight="1" x14ac:dyDescent="0.25">
      <c r="A64" s="281" t="str">
        <f>shartnoma!A119</f>
        <v>Manzil: Toshkent shahri, Olmazor tumani, Sagbon ko'chasi, 30 boshi berk, 6-uy</v>
      </c>
      <c r="B64" s="281"/>
      <c r="C64" s="281"/>
      <c r="D64" s="281" t="str">
        <f>shartnoma!B119</f>
        <v>Manzil: XORAZM VILOYATI QO'SHKO'PIR TUMANI XOSIYON QFY XOSIYON MFY SHOLIKOR KO'CHASI 37-UY</v>
      </c>
      <c r="E64" s="281"/>
      <c r="F64" s="281"/>
    </row>
    <row r="65" spans="1:6" ht="15" customHeight="1" x14ac:dyDescent="0.25">
      <c r="A65" s="281" t="str">
        <f>shartnoma!A120</f>
        <v>h/r: №20216000105068380006</v>
      </c>
      <c r="B65" s="281"/>
      <c r="C65" s="281"/>
      <c r="D65" s="281" t="str">
        <f>shartnoma!B121</f>
        <v>Pasport: AE 2898945, IIV 33212 tomonidan 03.06.2025 yilda berilgan</v>
      </c>
      <c r="E65" s="281"/>
      <c r="F65" s="281"/>
    </row>
    <row r="66" spans="1:6" ht="25.5" customHeight="1" x14ac:dyDescent="0.25">
      <c r="A66" s="281" t="str">
        <f>shartnoma!A121</f>
        <v>MFO: №01183 в Toshkent sh., "ANOR BANK"</v>
      </c>
      <c r="B66" s="281"/>
      <c r="C66" s="281"/>
      <c r="D66" s="281"/>
      <c r="E66" s="281"/>
      <c r="F66" s="281"/>
    </row>
    <row r="67" spans="1:6" ht="15" customHeight="1" x14ac:dyDescent="0.25">
      <c r="A67" s="281" t="str">
        <f>shartnoma!A122</f>
        <v>STIR: 306365847</v>
      </c>
      <c r="B67" s="281"/>
      <c r="C67" s="281"/>
      <c r="D67" s="281" t="str">
        <f>shartnoma!B122</f>
        <v>Tel: 93-586-24-94 KLIENT</v>
      </c>
      <c r="E67" s="281"/>
      <c r="F67" s="281"/>
    </row>
    <row r="68" spans="1:6" ht="15" customHeight="1" x14ac:dyDescent="0.25">
      <c r="A68" s="281" t="str">
        <f>shartnoma!A123</f>
        <v>Tel: (78) 113 31 33</v>
      </c>
      <c r="B68" s="281"/>
      <c r="C68" s="281"/>
      <c r="D68" s="281" t="str">
        <f>shartnoma!B123</f>
        <v>93-068-65-04 OTASI</v>
      </c>
      <c r="E68" s="281"/>
      <c r="F68" s="281"/>
    </row>
    <row r="69" spans="1:6" ht="15" customHeight="1" x14ac:dyDescent="0.25">
      <c r="A69" s="281" t="str">
        <f>shartnoma!A124</f>
        <v>(78) 113 31 34</v>
      </c>
      <c r="B69" s="281"/>
      <c r="C69" s="281"/>
      <c r="D69" s="281" t="str">
        <f>shartnoma!B124</f>
        <v>77-734-07-90 BEXRUZBEK</v>
      </c>
      <c r="E69" s="281"/>
      <c r="F69" s="281"/>
    </row>
    <row r="70" spans="1:6" ht="23.25" customHeight="1" x14ac:dyDescent="0.25">
      <c r="A70" s="307"/>
      <c r="B70" s="307"/>
      <c r="C70" s="307"/>
      <c r="D70" s="307" t="str">
        <f>IF(shartnoma!B125=0,"",shartnoma!B125)</f>
        <v/>
      </c>
      <c r="E70" s="307"/>
      <c r="F70" s="307"/>
    </row>
    <row r="71" spans="1:6" ht="22.5" customHeight="1" x14ac:dyDescent="0.25">
      <c r="A71" s="324" t="str">
        <f>malumot!A161</f>
        <v>Xorazm filiali boshlig'i</v>
      </c>
      <c r="B71" s="324"/>
      <c r="C71" s="324"/>
      <c r="D71" s="282" t="str">
        <f>shartnoma!B126</f>
        <v>OLLABERGANOVA G.I.     __________________</v>
      </c>
      <c r="E71" s="282"/>
      <c r="F71" s="282"/>
    </row>
    <row r="72" spans="1:6" ht="15" customHeight="1" x14ac:dyDescent="0.25">
      <c r="A72" s="324" t="str">
        <f>malumot!B161</f>
        <v>M.Sharipov</v>
      </c>
      <c r="B72" s="324"/>
      <c r="C72" s="324"/>
      <c r="D72" s="282"/>
      <c r="E72" s="282"/>
      <c r="F72" s="282"/>
    </row>
    <row r="73" spans="1:6" ht="24" customHeight="1" x14ac:dyDescent="0.25">
      <c r="A73" s="307"/>
      <c r="B73" s="307"/>
      <c r="C73" s="307"/>
      <c r="D73" s="307"/>
      <c r="E73" s="307"/>
      <c r="F73" s="307"/>
    </row>
    <row r="74" spans="1:6" ht="30" customHeight="1" x14ac:dyDescent="0.25">
      <c r="A74" s="311"/>
      <c r="B74" s="311"/>
      <c r="C74" s="311"/>
      <c r="D74" s="312"/>
      <c r="E74" s="312"/>
      <c r="F74" s="312"/>
    </row>
    <row r="75" spans="1:6" x14ac:dyDescent="0.25">
      <c r="A75" s="313"/>
      <c r="B75" s="313"/>
      <c r="C75" s="313"/>
      <c r="D75" s="313"/>
      <c r="E75" s="313"/>
      <c r="F75" s="313"/>
    </row>
    <row r="76" spans="1:6" x14ac:dyDescent="0.25">
      <c r="A76" s="310"/>
      <c r="B76" s="310"/>
      <c r="C76" s="310"/>
      <c r="D76" s="310"/>
      <c r="E76" s="310"/>
      <c r="F76" s="310"/>
    </row>
  </sheetData>
  <mergeCells count="40">
    <mergeCell ref="H12:P24"/>
    <mergeCell ref="A76:C76"/>
    <mergeCell ref="D76:F76"/>
    <mergeCell ref="A73:C73"/>
    <mergeCell ref="D73:F73"/>
    <mergeCell ref="A74:C74"/>
    <mergeCell ref="D74:F74"/>
    <mergeCell ref="A75:C75"/>
    <mergeCell ref="D75:F75"/>
    <mergeCell ref="A71:C71"/>
    <mergeCell ref="D71:F71"/>
    <mergeCell ref="A72:C72"/>
    <mergeCell ref="D72:F72"/>
    <mergeCell ref="A68:C68"/>
    <mergeCell ref="D68:F68"/>
    <mergeCell ref="A69:C69"/>
    <mergeCell ref="D69:F69"/>
    <mergeCell ref="A70:C70"/>
    <mergeCell ref="D70:F70"/>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E2:F2"/>
    <mergeCell ref="A5:F5"/>
    <mergeCell ref="A7:A8"/>
    <mergeCell ref="B7:B8"/>
    <mergeCell ref="C7:C8"/>
    <mergeCell ref="D7:F7"/>
    <mergeCell ref="E3:F3"/>
  </mergeCells>
  <conditionalFormatting sqref="B9:B56">
    <cfRule type="cellIs" dxfId="1" priority="2" operator="lessThan">
      <formula>22105</formula>
    </cfRule>
  </conditionalFormatting>
  <conditionalFormatting sqref="C9:F56">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6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23"/>
  <sheetViews>
    <sheetView view="pageBreakPreview" topLeftCell="A9" zoomScale="115" zoomScaleNormal="130" zoomScaleSheetLayoutView="115" workbookViewId="0">
      <selection activeCell="A21" sqref="A21"/>
    </sheetView>
  </sheetViews>
  <sheetFormatPr defaultColWidth="9.140625" defaultRowHeight="15.75" x14ac:dyDescent="0.25"/>
  <cols>
    <col min="1" max="1" width="16.42578125" style="5" customWidth="1"/>
    <col min="2" max="2" width="18.42578125" style="5" customWidth="1"/>
    <col min="3" max="3" width="17.5703125" style="5" customWidth="1"/>
    <col min="4" max="4" width="28.5703125" style="5" customWidth="1"/>
    <col min="5" max="16384" width="9.140625" style="5"/>
  </cols>
  <sheetData>
    <row r="1" spans="1:4" ht="33.75" customHeight="1" x14ac:dyDescent="0.25">
      <c r="C1" s="327" t="str">
        <f>malumot!B158&amp;" ijrochi direktori"</f>
        <v>«CLEVER MIKROMOLIYA TASHKILOTI» MChJ ijrochi direktori</v>
      </c>
      <c r="D1" s="327"/>
    </row>
    <row r="2" spans="1:4" x14ac:dyDescent="0.25">
      <c r="C2" s="328" t="s">
        <v>419</v>
      </c>
      <c r="D2" s="328"/>
    </row>
    <row r="3" spans="1:4" x14ac:dyDescent="0.25">
      <c r="C3" s="10"/>
      <c r="D3" s="10"/>
    </row>
    <row r="4" spans="1:4" ht="69.75" customHeight="1" x14ac:dyDescent="0.25">
      <c r="C4" s="326" t="str">
        <f>malumot!B22&amp;" manzilida istiqomat qiluvchi"</f>
        <v>XORAZM VILOYATI QO'SHKO'PIR TUMANI XOSIYON QFY XOSIYON MFY SHOLIKOR KO'CHASI 37-UY manzilida istiqomat qiluvchi</v>
      </c>
      <c r="D4" s="326"/>
    </row>
    <row r="5" spans="1:4" ht="36" customHeight="1" x14ac:dyDescent="0.25">
      <c r="C5" s="326" t="str">
        <f>malumot!B5&amp;" tomonidan"</f>
        <v>OLLABERGANOVA GO'ZALOY IBRAHIMOVNA tomonidan</v>
      </c>
      <c r="D5" s="326"/>
    </row>
    <row r="6" spans="1:4" ht="56.25" customHeight="1" x14ac:dyDescent="0.25">
      <c r="C6" s="325" t="str">
        <f>"Pasport: "&amp;malumot!B16&amp;", "&amp;malumot!B20</f>
        <v>Pasport: AE 2898945, IIV 33212 tomonidan 03.06.2025 yilda berilgan</v>
      </c>
      <c r="D6" s="325"/>
    </row>
    <row r="8" spans="1:4" x14ac:dyDescent="0.25">
      <c r="A8" s="270" t="s">
        <v>377</v>
      </c>
      <c r="B8" s="270"/>
      <c r="C8" s="270"/>
      <c r="D8" s="270"/>
    </row>
    <row r="9" spans="1:4" ht="66" customHeight="1" x14ac:dyDescent="0.25">
      <c r="A9" s="325" t="str">
        <f>"       Men, " &amp; malumot!B5 &amp; " sizdan " &amp; malumot!B2 &amp; " yildagi " &amp; malumot!B1 &amp; "-sonli kredit shartnomasiga asosan " &amp; malumot!B76  &amp; "(" &amp; malumot!B77 &amp; ")"  &amp; "so'm pul mablag'larini quyidagi rekvizitlar asosida o'tkazib berishingizni so'rayman: "</f>
        <v xml:space="preserve">       Men, OLLABERGANOVA GO'ZALOY IBRAHIMOVNA sizdan 30.01.2026 yildagi №254- XMS-sonli kredit shartnomasiga asosan 100000000(yuz million so'm)so'm pul mablag'larini quyidagi rekvizitlar asosida o'tkazib berishingizni so'rayman: </v>
      </c>
      <c r="B9" s="325"/>
      <c r="C9" s="325"/>
      <c r="D9" s="325"/>
    </row>
    <row r="10" spans="1:4" x14ac:dyDescent="0.25">
      <c r="A10" s="169" t="str">
        <f>malumot!A93</f>
        <v>Bank nomi:</v>
      </c>
      <c r="B10" s="325" t="str">
        <f>malumot!B93</f>
        <v>TURONBANK</v>
      </c>
      <c r="C10" s="325"/>
      <c r="D10" s="169"/>
    </row>
    <row r="11" spans="1:4" x14ac:dyDescent="0.25">
      <c r="A11" s="169" t="str">
        <f>malumot!A94</f>
        <v>H/r:</v>
      </c>
      <c r="B11" s="325" t="str">
        <f>malumot!B94</f>
        <v>2312 0000 4000 1128 6001</v>
      </c>
      <c r="C11" s="325"/>
      <c r="D11" s="169"/>
    </row>
    <row r="12" spans="1:4" x14ac:dyDescent="0.25">
      <c r="A12" s="169" t="str">
        <f>malumot!A95</f>
        <v>MFO:</v>
      </c>
      <c r="B12" s="325" t="str">
        <f>malumot!B95</f>
        <v>00446</v>
      </c>
      <c r="C12" s="325"/>
      <c r="D12" s="169"/>
    </row>
    <row r="13" spans="1:4" x14ac:dyDescent="0.25">
      <c r="A13" s="169" t="str">
        <f>malumot!A96</f>
        <v>STIR:</v>
      </c>
      <c r="B13" s="325" t="str">
        <f>malumot!B96</f>
        <v>201 055 108</v>
      </c>
      <c r="C13" s="325"/>
      <c r="D13" s="169"/>
    </row>
    <row r="14" spans="1:4" x14ac:dyDescent="0.25">
      <c r="A14" s="169" t="str">
        <f>malumot!A97</f>
        <v>Karta raqami:</v>
      </c>
      <c r="B14" s="325" t="str">
        <f>malumot!B97</f>
        <v>5614 6885 1385 0601</v>
      </c>
      <c r="C14" s="325"/>
      <c r="D14" s="169"/>
    </row>
    <row r="15" spans="1:4" x14ac:dyDescent="0.25">
      <c r="A15" s="169"/>
      <c r="B15" s="169"/>
      <c r="C15" s="169"/>
      <c r="D15" s="169"/>
    </row>
    <row r="16" spans="1:4" x14ac:dyDescent="0.25">
      <c r="A16" s="326" t="str">
        <f>malumot!B5</f>
        <v>OLLABERGANOVA GO'ZALOY IBRAHIMOVNA</v>
      </c>
      <c r="B16" s="326"/>
      <c r="C16" s="326"/>
      <c r="D16" s="171" t="s">
        <v>384</v>
      </c>
    </row>
    <row r="17" spans="1:4" x14ac:dyDescent="0.25">
      <c r="A17" s="10"/>
      <c r="B17" s="10"/>
      <c r="C17" s="10"/>
      <c r="D17" s="172" t="s">
        <v>321</v>
      </c>
    </row>
    <row r="18" spans="1:4" x14ac:dyDescent="0.25">
      <c r="A18" s="10"/>
      <c r="B18" s="10"/>
      <c r="C18" s="10"/>
      <c r="D18" s="10"/>
    </row>
    <row r="19" spans="1:4" x14ac:dyDescent="0.25">
      <c r="A19" s="10"/>
      <c r="B19" s="10"/>
      <c r="C19" s="10"/>
      <c r="D19" s="10"/>
    </row>
    <row r="20" spans="1:4" ht="48.75" customHeight="1" x14ac:dyDescent="0.25">
      <c r="A20" s="327" t="str">
        <f>malumot!B158&amp;" ijrochi direktori"</f>
        <v>«CLEVER MIKROMOLIYA TASHKILOTI» MChJ ijrochi direktori</v>
      </c>
      <c r="B20" s="327"/>
      <c r="C20" s="10"/>
      <c r="D20" s="59" t="s">
        <v>418</v>
      </c>
    </row>
    <row r="23" spans="1:4" x14ac:dyDescent="0.25">
      <c r="A23" s="5" t="s">
        <v>386</v>
      </c>
      <c r="B23" s="5" t="s">
        <v>387</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C32"/>
  <sheetViews>
    <sheetView view="pageBreakPreview" topLeftCell="A7" zoomScale="145" zoomScaleNormal="175" zoomScaleSheetLayoutView="145" workbookViewId="0">
      <selection activeCell="A13" sqref="A13:C13"/>
    </sheetView>
  </sheetViews>
  <sheetFormatPr defaultColWidth="0" defaultRowHeight="15.75" x14ac:dyDescent="0.25"/>
  <cols>
    <col min="1" max="1" width="26" style="5" customWidth="1"/>
    <col min="2" max="2" width="15.28515625" style="5" customWidth="1"/>
    <col min="3" max="3" width="34.5703125" style="5" customWidth="1"/>
    <col min="4" max="16384" width="9.140625" style="5" hidden="1"/>
  </cols>
  <sheetData>
    <row r="1" spans="1:3" hidden="1" x14ac:dyDescent="0.25"/>
    <row r="2" spans="1:3" hidden="1" x14ac:dyDescent="0.25"/>
    <row r="3" spans="1:3" hidden="1" x14ac:dyDescent="0.25"/>
    <row r="4" spans="1:3" hidden="1" x14ac:dyDescent="0.25"/>
    <row r="6" spans="1:3" ht="17.25" customHeight="1" x14ac:dyDescent="0.25">
      <c r="C6" s="11" t="str">
        <f>malumot!B158</f>
        <v>«CLEVER MIKROMOLIYA TASHKILOTI» MChJ</v>
      </c>
    </row>
    <row r="7" spans="1:3" ht="33" customHeight="1" x14ac:dyDescent="0.25">
      <c r="A7" s="184"/>
      <c r="B7" s="184"/>
      <c r="C7" s="188" t="str">
        <f>malumot!A161&amp;" "&amp;malumot!B161 &amp;"ga"</f>
        <v>Xorazm filiali boshlig'i M.Sharipovga</v>
      </c>
    </row>
    <row r="8" spans="1:3" x14ac:dyDescent="0.25">
      <c r="A8" s="189"/>
      <c r="B8" s="189"/>
      <c r="C8" s="188" t="str">
        <f>malumot!B113 &amp; "dan"</f>
        <v>OLLABEREGANOVA G.I.dan</v>
      </c>
    </row>
    <row r="9" spans="1:3" ht="15.75" hidden="1" customHeight="1" x14ac:dyDescent="0.25">
      <c r="C9" s="190" t="str">
        <f>[2]malumot!B119</f>
        <v>FAYZIYEV JAMSHID KURBONOVICH</v>
      </c>
    </row>
    <row r="10" spans="1:3" ht="15.75" hidden="1" customHeight="1" x14ac:dyDescent="0.25">
      <c r="C10" s="190">
        <f>[2]malumot!C119</f>
        <v>0</v>
      </c>
    </row>
    <row r="11" spans="1:3" ht="15.75" hidden="1" customHeight="1" x14ac:dyDescent="0.25">
      <c r="C11" s="189" t="s">
        <v>391</v>
      </c>
    </row>
    <row r="12" spans="1:3" x14ac:dyDescent="0.25">
      <c r="B12" s="5" t="s">
        <v>377</v>
      </c>
    </row>
    <row r="13" spans="1:3" ht="125.25" customHeight="1" x14ac:dyDescent="0.25">
      <c r="A13" s="329" t="s">
        <v>422</v>
      </c>
      <c r="B13" s="329"/>
      <c r="C13" s="329"/>
    </row>
    <row r="14" spans="1:3" ht="124.5" hidden="1" customHeight="1" x14ac:dyDescent="0.25">
      <c r="A14" s="330" t="str">
        <f>""&amp;malumot!B12&amp;" tomonidan so’ralayotgan "&amp;malumot!B83&amp;" ("&amp;malumot!B82&amp;") oy muddatga, "&amp;FIXED(malumot!B76,0)&amp;" ("&amp;malumot!B77&amp;") miqdoridagi "&amp;malumot!B65&amp;"ning ta’minoti sifatida menga mulk huquqi asosida tegishli bo’lgan  "&amp;malumot!B133&amp;", "&amp;malumot!B135&amp;", "&amp;malumot!B138&amp;", "&amp;malumot!B141&amp;", avtotransport vositasini qabul qilishingizni so’rayman:"</f>
        <v>ADXAMJONOV SHOXRUX SHORAXM O'G'LI tomonidan so’ralayotgan O'ttiz olti   (36) oy muddatga, 100 000 000 (yuz million so'm) miqdoridagi mikroqarzning ta’minoti sifatida menga mulk huquqi asosida tegishli bo’lgan  , , , , avtotransport vositasini qabul qilishingizni so’rayman:</v>
      </c>
      <c r="B14" s="330"/>
      <c r="C14" s="330"/>
    </row>
    <row r="15" spans="1:3" ht="9" hidden="1" customHeight="1" x14ac:dyDescent="0.25">
      <c r="A15" s="330" t="str">
        <f>""&amp;[2]malumot!B12&amp;" tomonidan so’ralayotgan "&amp;[2]malumot!B81&amp;" ("&amp;[2]malumot!B82&amp;") oy muddatga, "&amp;FIXED([2]malumot!B75,0)&amp;" ("&amp;[2]malumot!B76&amp;") miqdoridagi "&amp;[2]malumot!B65&amp;"ning ta’minoti sifatida menga mulk huquqi asosida tegishli bo’lgan  "&amp;[2]malumot!C134&amp;", umumiy maydoni "&amp;[2]malumot!C138&amp;" va yashash maydoni "&amp;[2]malumot!C141&amp;"  "&amp;[2]malumot!C131&amp;" manzilda joylashgan ko'chmas mulkni qabul qilishingizni so’rayman:"</f>
        <v>XAYATOV OTABEK KURBANOVICH tomonidan so’ralayotgan 48 (Qirq sakkiz  ) oy muddatga, 26 000 000 (yigirma olti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30"/>
      <c r="C15" s="330"/>
    </row>
    <row r="18" spans="1:3" x14ac:dyDescent="0.25">
      <c r="C18" s="190" t="s">
        <v>392</v>
      </c>
    </row>
    <row r="19" spans="1:3" ht="18.75" customHeight="1" x14ac:dyDescent="0.25">
      <c r="A19" s="10" t="str">
        <f>+IF(malumot!B100="ha",malumot!B7,malumot!B113)</f>
        <v>OLLABERGANOVA G.I.</v>
      </c>
      <c r="C19" s="191" t="str">
        <f>malumot!B2</f>
        <v>30.01.2026</v>
      </c>
    </row>
    <row r="20" spans="1:3" s="331" customFormat="1" ht="48" hidden="1" customHeight="1" x14ac:dyDescent="0.25">
      <c r="A20" s="331" t="str">
        <f>IF(malumot!B100=malumot!D100,CONCATENATE(A28," ",A32,A26),"")</f>
        <v/>
      </c>
    </row>
    <row r="21" spans="1:3" x14ac:dyDescent="0.25">
      <c r="A21" s="174"/>
      <c r="B21" s="174"/>
      <c r="C21" s="174"/>
    </row>
    <row r="22" spans="1:3" x14ac:dyDescent="0.25">
      <c r="A22" s="174"/>
      <c r="B22" s="174"/>
      <c r="C22" s="174"/>
    </row>
    <row r="23" spans="1:3" x14ac:dyDescent="0.25">
      <c r="A23" s="142" t="str">
        <f>malumot!A161</f>
        <v>Xorazm filiali boshlig'i</v>
      </c>
      <c r="B23" s="142"/>
      <c r="C23" s="188" t="str">
        <f>malumot!B161</f>
        <v>M.Sharipov</v>
      </c>
    </row>
    <row r="24" spans="1:3" x14ac:dyDescent="0.25">
      <c r="A24" s="142"/>
      <c r="B24" s="142"/>
      <c r="C24" s="188"/>
    </row>
    <row r="25" spans="1:3" x14ac:dyDescent="0.25">
      <c r="A25" s="142"/>
      <c r="B25" s="142"/>
      <c r="C25" s="188"/>
    </row>
    <row r="26" spans="1:3" hidden="1" x14ac:dyDescent="0.25">
      <c r="A26" s="5" t="str">
        <f>" xususiy faoliyat ko'rsatuvchi notarius tomonidan "&amp;malumot!B104&amp;" "&amp;malumot!B105&amp;" berilgan ishonchnomaga asosan "</f>
        <v xml:space="preserve"> xususiy faoliyat ko'rsatuvchi notarius tomonidan   berilgan ishonchnomaga asosan </v>
      </c>
    </row>
    <row r="27" spans="1:3" hidden="1" x14ac:dyDescent="0.25"/>
    <row r="28" spans="1:3" hidden="1" x14ac:dyDescent="0.25">
      <c r="A28" s="5" t="str">
        <f>"№"&amp;malumot!B107&amp; ""</f>
        <v>№</v>
      </c>
    </row>
    <row r="29" spans="1:3" hidden="1" x14ac:dyDescent="0.25">
      <c r="A29" s="201">
        <f>malumot!B108</f>
        <v>0</v>
      </c>
    </row>
    <row r="30" spans="1:3" hidden="1" x14ac:dyDescent="0.25">
      <c r="A30" s="5" t="str">
        <f>TEXT(A29,"ДД.ММ.ГГГГ")</f>
        <v>00.01.1900</v>
      </c>
    </row>
    <row r="31" spans="1:3" hidden="1" x14ac:dyDescent="0.25">
      <c r="A31" s="5" t="s">
        <v>409</v>
      </c>
    </row>
    <row r="32" spans="1:3" hidden="1" x14ac:dyDescent="0.25">
      <c r="A32" s="5" t="str">
        <f>CONCATENATE(A30,A31)</f>
        <v>00.01.1900sanasidan</v>
      </c>
    </row>
  </sheetData>
  <mergeCells count="4">
    <mergeCell ref="A13:C13"/>
    <mergeCell ref="A14:C14"/>
    <mergeCell ref="A15:C15"/>
    <mergeCell ref="A20:XFD20"/>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7">
    <tabColor rgb="FF00B050"/>
  </sheetPr>
  <dimension ref="B1:G42"/>
  <sheetViews>
    <sheetView view="pageBreakPreview" zoomScaleSheetLayoutView="100" workbookViewId="0">
      <selection activeCell="B17" sqref="B17"/>
    </sheetView>
  </sheetViews>
  <sheetFormatPr defaultColWidth="9.140625" defaultRowHeight="15" x14ac:dyDescent="0.25"/>
  <cols>
    <col min="1" max="1" width="3.42578125" style="12" customWidth="1"/>
    <col min="2" max="3" width="17.85546875" style="17" customWidth="1"/>
    <col min="4" max="4" width="15" style="17" customWidth="1"/>
    <col min="5" max="5" width="17.85546875" style="17" customWidth="1"/>
    <col min="6" max="6" width="9" style="17" customWidth="1"/>
    <col min="7" max="7" width="4.7109375" style="17" customWidth="1"/>
    <col min="8" max="16384" width="9.140625" style="12"/>
  </cols>
  <sheetData>
    <row r="1" spans="2:7" ht="15.75" thickBot="1" x14ac:dyDescent="0.3"/>
    <row r="2" spans="2:7" ht="62.25" customHeight="1" x14ac:dyDescent="0.35">
      <c r="B2" s="337" t="str">
        <f>malumot!B159</f>
        <v>«CLEVER MIKROMOLIYA TASHKILOTI» MChJ</v>
      </c>
      <c r="C2" s="338"/>
      <c r="D2" s="338"/>
      <c r="E2" s="338"/>
      <c r="F2" s="339"/>
      <c r="G2" s="37"/>
    </row>
    <row r="3" spans="2:7" x14ac:dyDescent="0.25">
      <c r="B3" s="332"/>
      <c r="C3" s="313"/>
      <c r="D3" s="313"/>
      <c r="E3" s="313"/>
      <c r="F3" s="333"/>
      <c r="G3" s="38"/>
    </row>
    <row r="4" spans="2:7" ht="8.25" customHeight="1" x14ac:dyDescent="0.25">
      <c r="B4" s="50"/>
      <c r="F4" s="51"/>
      <c r="G4" s="38"/>
    </row>
    <row r="5" spans="2:7" ht="12" customHeight="1" x14ac:dyDescent="0.25">
      <c r="B5" s="40"/>
      <c r="C5" s="38"/>
      <c r="D5" s="38"/>
      <c r="E5" s="38"/>
      <c r="F5" s="41"/>
      <c r="G5" s="38"/>
    </row>
    <row r="6" spans="2:7" ht="6.75" customHeight="1" x14ac:dyDescent="0.25">
      <c r="B6" s="40"/>
      <c r="C6" s="38"/>
      <c r="D6" s="38"/>
      <c r="E6" s="38"/>
      <c r="F6" s="41"/>
      <c r="G6" s="38"/>
    </row>
    <row r="7" spans="2:7" ht="6.75" customHeight="1" x14ac:dyDescent="0.25">
      <c r="B7" s="40"/>
      <c r="C7" s="38"/>
      <c r="D7" s="38"/>
      <c r="E7" s="38"/>
      <c r="F7" s="41"/>
      <c r="G7" s="38"/>
    </row>
    <row r="8" spans="2:7" x14ac:dyDescent="0.25">
      <c r="B8" s="40"/>
      <c r="C8" s="38"/>
      <c r="D8" s="38"/>
      <c r="E8" s="38"/>
      <c r="F8" s="41"/>
      <c r="G8" s="38"/>
    </row>
    <row r="9" spans="2:7" x14ac:dyDescent="0.25">
      <c r="B9" s="40"/>
      <c r="C9" s="38"/>
      <c r="D9" s="38"/>
      <c r="E9" s="38"/>
      <c r="F9" s="41"/>
      <c r="G9" s="38"/>
    </row>
    <row r="10" spans="2:7" x14ac:dyDescent="0.25">
      <c r="B10" s="332" t="s">
        <v>24</v>
      </c>
      <c r="C10" s="313"/>
      <c r="D10" s="313"/>
      <c r="E10" s="313"/>
      <c r="F10" s="333"/>
      <c r="G10" s="38"/>
    </row>
    <row r="11" spans="2:7" x14ac:dyDescent="0.25">
      <c r="B11" s="332" t="s">
        <v>24</v>
      </c>
      <c r="C11" s="313"/>
      <c r="D11" s="313"/>
      <c r="E11" s="313"/>
      <c r="F11" s="333"/>
      <c r="G11" s="38"/>
    </row>
    <row r="12" spans="2:7" ht="135" customHeight="1" x14ac:dyDescent="0.8">
      <c r="B12" s="340" t="str">
        <f>malumot!B5</f>
        <v>OLLABERGANOVA GO'ZALOY IBRAHIMOVNA</v>
      </c>
      <c r="C12" s="341"/>
      <c r="D12" s="341"/>
      <c r="E12" s="341"/>
      <c r="F12" s="342"/>
      <c r="G12" s="39"/>
    </row>
    <row r="13" spans="2:7" x14ac:dyDescent="0.25">
      <c r="B13" s="332"/>
      <c r="C13" s="313"/>
      <c r="D13" s="313"/>
      <c r="E13" s="313"/>
      <c r="F13" s="333"/>
      <c r="G13" s="38"/>
    </row>
    <row r="14" spans="2:7" x14ac:dyDescent="0.25">
      <c r="B14" s="40"/>
      <c r="C14" s="38"/>
      <c r="D14" s="38"/>
      <c r="E14" s="38"/>
      <c r="F14" s="41"/>
      <c r="G14" s="38"/>
    </row>
    <row r="15" spans="2:7" x14ac:dyDescent="0.25">
      <c r="B15" s="40"/>
      <c r="C15" s="38"/>
      <c r="D15" s="38"/>
      <c r="E15" s="38"/>
      <c r="F15" s="41"/>
      <c r="G15" s="38"/>
    </row>
    <row r="16" spans="2:7" x14ac:dyDescent="0.25">
      <c r="B16" s="40"/>
      <c r="C16" s="38"/>
      <c r="D16" s="38"/>
      <c r="E16" s="38"/>
      <c r="F16" s="41"/>
      <c r="G16" s="38"/>
    </row>
    <row r="17" spans="2:7" x14ac:dyDescent="0.25">
      <c r="B17" s="40"/>
      <c r="C17" s="38"/>
      <c r="D17" s="38"/>
      <c r="E17" s="38"/>
      <c r="F17" s="41"/>
      <c r="G17" s="38"/>
    </row>
    <row r="18" spans="2:7" x14ac:dyDescent="0.25">
      <c r="B18" s="332"/>
      <c r="C18" s="313"/>
      <c r="D18" s="313"/>
      <c r="E18" s="313"/>
      <c r="F18" s="333"/>
      <c r="G18" s="38"/>
    </row>
    <row r="19" spans="2:7" ht="20.25" x14ac:dyDescent="0.3">
      <c r="B19" s="334" t="str">
        <f>""&amp;malumot!C64&amp;" shartnoma "&amp;malumot!B74&amp;""</f>
        <v>Mikroqarz shartnoma 30 yanvar 2026 y.dan №254- XMS</v>
      </c>
      <c r="C19" s="335"/>
      <c r="D19" s="335"/>
      <c r="E19" s="335"/>
      <c r="F19" s="336"/>
      <c r="G19" s="38"/>
    </row>
    <row r="20" spans="2:7" x14ac:dyDescent="0.25">
      <c r="B20" s="332"/>
      <c r="C20" s="313"/>
      <c r="D20" s="313"/>
      <c r="E20" s="313"/>
      <c r="F20" s="333"/>
      <c r="G20" s="38"/>
    </row>
    <row r="21" spans="2:7" x14ac:dyDescent="0.25">
      <c r="B21" s="332"/>
      <c r="C21" s="313"/>
      <c r="D21" s="313"/>
      <c r="E21" s="313"/>
      <c r="F21" s="333"/>
      <c r="G21" s="38"/>
    </row>
    <row r="22" spans="2:7" x14ac:dyDescent="0.25">
      <c r="B22" s="332"/>
      <c r="C22" s="313"/>
      <c r="D22" s="313"/>
      <c r="E22" s="313"/>
      <c r="F22" s="333"/>
      <c r="G22" s="38"/>
    </row>
    <row r="23" spans="2:7" x14ac:dyDescent="0.25">
      <c r="B23" s="332"/>
      <c r="C23" s="313"/>
      <c r="D23" s="313"/>
      <c r="E23" s="313"/>
      <c r="F23" s="333"/>
      <c r="G23" s="38"/>
    </row>
    <row r="24" spans="2:7" x14ac:dyDescent="0.25">
      <c r="B24" s="346" t="str">
        <f>" Foiz stavkasi: "&amp;malumot!B86&amp;"%"</f>
        <v xml:space="preserve"> Foiz stavkasi: 55%</v>
      </c>
      <c r="C24" s="347"/>
      <c r="D24" s="347"/>
      <c r="E24" s="347"/>
      <c r="F24" s="348"/>
      <c r="G24" s="38"/>
    </row>
    <row r="25" spans="2:7" ht="15" customHeight="1" x14ac:dyDescent="0.25">
      <c r="B25" s="346" t="str">
        <f>" "&amp;malumot!C64&amp;" muddati: "&amp;malumot!B82&amp;" oy"</f>
        <v xml:space="preserve"> Mikroqarz muddati: 36 oy</v>
      </c>
      <c r="C25" s="347"/>
      <c r="D25" s="347"/>
      <c r="E25" s="347"/>
      <c r="F25" s="348"/>
      <c r="G25" s="38"/>
    </row>
    <row r="26" spans="2:7" x14ac:dyDescent="0.25">
      <c r="B26" s="346" t="str">
        <f>" "&amp;malumot!C64&amp;" miqdori: "&amp;FIXED(malumot!B76,2)&amp;" so'm"</f>
        <v xml:space="preserve"> Mikroqarz miqdori: 100 000 000,00 so'm</v>
      </c>
      <c r="C26" s="347"/>
      <c r="D26" s="347"/>
      <c r="E26" s="347"/>
      <c r="F26" s="348"/>
      <c r="G26" s="38"/>
    </row>
    <row r="27" spans="2:7" x14ac:dyDescent="0.25">
      <c r="B27" s="332"/>
      <c r="C27" s="313"/>
      <c r="D27" s="313"/>
      <c r="E27" s="313"/>
      <c r="F27" s="333"/>
      <c r="G27" s="38"/>
    </row>
    <row r="28" spans="2:7" hidden="1" x14ac:dyDescent="0.25">
      <c r="G28" s="38"/>
    </row>
    <row r="29" spans="2:7" x14ac:dyDescent="0.25">
      <c r="B29" s="332"/>
      <c r="C29" s="313"/>
      <c r="D29" s="313"/>
      <c r="E29" s="313"/>
      <c r="F29" s="333"/>
      <c r="G29" s="38"/>
    </row>
    <row r="30" spans="2:7" ht="12.75" customHeight="1" x14ac:dyDescent="0.25">
      <c r="B30" s="40"/>
      <c r="C30" s="38"/>
      <c r="D30" s="38"/>
      <c r="E30" s="38"/>
      <c r="F30" s="41"/>
      <c r="G30" s="38"/>
    </row>
    <row r="31" spans="2:7" x14ac:dyDescent="0.25">
      <c r="B31" s="40"/>
      <c r="C31" s="38"/>
      <c r="D31" s="38"/>
      <c r="E31" s="38"/>
      <c r="F31" s="41"/>
      <c r="G31" s="38"/>
    </row>
    <row r="32" spans="2:7" ht="2.25" customHeight="1" x14ac:dyDescent="0.25">
      <c r="B32" s="40"/>
      <c r="C32" s="38"/>
      <c r="D32" s="38"/>
      <c r="E32" s="38"/>
      <c r="F32" s="41"/>
      <c r="G32" s="38"/>
    </row>
    <row r="33" spans="2:7" x14ac:dyDescent="0.25">
      <c r="B33" s="40"/>
      <c r="C33" s="38"/>
      <c r="D33" s="38"/>
      <c r="E33" s="38"/>
      <c r="F33" s="41"/>
      <c r="G33" s="38"/>
    </row>
    <row r="34" spans="2:7" x14ac:dyDescent="0.25">
      <c r="B34" s="40"/>
      <c r="C34" s="38"/>
      <c r="D34" s="38"/>
      <c r="E34" s="38"/>
      <c r="F34" s="41"/>
      <c r="G34" s="38"/>
    </row>
    <row r="35" spans="2:7" x14ac:dyDescent="0.25">
      <c r="B35" s="40"/>
      <c r="C35" s="38"/>
      <c r="D35" s="38"/>
      <c r="E35" s="38"/>
      <c r="F35" s="41"/>
      <c r="G35" s="38"/>
    </row>
    <row r="36" spans="2:7" x14ac:dyDescent="0.25">
      <c r="B36" s="40"/>
      <c r="C36" s="38"/>
      <c r="D36" s="38"/>
      <c r="E36" s="38"/>
      <c r="F36" s="41"/>
      <c r="G36" s="38"/>
    </row>
    <row r="37" spans="2:7" x14ac:dyDescent="0.25">
      <c r="B37" s="40"/>
      <c r="C37" s="38"/>
      <c r="D37" s="38"/>
      <c r="E37" s="38"/>
      <c r="F37" s="41"/>
      <c r="G37" s="38"/>
    </row>
    <row r="38" spans="2:7" x14ac:dyDescent="0.25">
      <c r="B38" s="40"/>
      <c r="C38" s="38"/>
      <c r="D38" s="38"/>
      <c r="E38" s="38"/>
      <c r="F38" s="41"/>
      <c r="G38" s="38"/>
    </row>
    <row r="39" spans="2:7" x14ac:dyDescent="0.25">
      <c r="B39" s="40"/>
      <c r="C39" s="38"/>
      <c r="D39" s="38"/>
      <c r="E39" s="38"/>
      <c r="F39" s="41"/>
      <c r="G39" s="38"/>
    </row>
    <row r="40" spans="2:7" ht="15.75" thickBot="1" x14ac:dyDescent="0.3">
      <c r="B40" s="343" t="str">
        <f>"Toshkent sh., "&amp;malumot!B70&amp;""</f>
        <v>Toshkent sh., 30 yanvar 2026 y.</v>
      </c>
      <c r="C40" s="344"/>
      <c r="D40" s="344"/>
      <c r="E40" s="344"/>
      <c r="F40" s="345"/>
      <c r="G40" s="38"/>
    </row>
    <row r="41" spans="2:7" x14ac:dyDescent="0.25">
      <c r="B41" s="313"/>
      <c r="C41" s="313"/>
      <c r="D41" s="313"/>
      <c r="E41" s="313"/>
      <c r="F41" s="313"/>
      <c r="G41" s="38"/>
    </row>
    <row r="42" spans="2:7" x14ac:dyDescent="0.25">
      <c r="B42" s="313"/>
      <c r="C42" s="313"/>
      <c r="D42" s="313"/>
      <c r="E42" s="313"/>
      <c r="F42" s="313"/>
      <c r="G42" s="38"/>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5">
    <tabColor rgb="FF00B050"/>
  </sheetPr>
  <dimension ref="A1:F43"/>
  <sheetViews>
    <sheetView view="pageBreakPreview" topLeftCell="A15" zoomScaleSheetLayoutView="100" workbookViewId="0">
      <selection activeCell="B24" sqref="B24"/>
    </sheetView>
  </sheetViews>
  <sheetFormatPr defaultColWidth="9.140625" defaultRowHeight="12.75" x14ac:dyDescent="0.2"/>
  <cols>
    <col min="1" max="6" width="14.28515625" style="20" customWidth="1"/>
    <col min="7" max="16384" width="9.140625" style="20"/>
  </cols>
  <sheetData>
    <row r="1" spans="1:6" x14ac:dyDescent="0.2">
      <c r="A1" s="353" t="s">
        <v>210</v>
      </c>
      <c r="B1" s="353"/>
      <c r="C1" s="353"/>
      <c r="D1" s="353"/>
      <c r="E1" s="353"/>
      <c r="F1" s="353"/>
    </row>
    <row r="2" spans="1:6" ht="35.25" customHeight="1" x14ac:dyDescent="0.2">
      <c r="A2" s="354" t="s">
        <v>316</v>
      </c>
      <c r="B2" s="354"/>
      <c r="C2" s="354"/>
      <c r="D2" s="354"/>
      <c r="E2" s="354"/>
      <c r="F2" s="354"/>
    </row>
    <row r="3" spans="1:6" x14ac:dyDescent="0.2">
      <c r="A3" s="353" t="s">
        <v>211</v>
      </c>
      <c r="B3" s="353"/>
      <c r="C3" s="353"/>
      <c r="D3" s="353"/>
      <c r="E3" s="353"/>
      <c r="F3" s="353"/>
    </row>
    <row r="4" spans="1:6" x14ac:dyDescent="0.2">
      <c r="A4" s="349" t="str">
        <f>xulosa!A4:E4</f>
        <v>Mijozning to'liq ismi sharifi: OLLABERGANOVA GO'ZALOY IBRAHIMOVNA</v>
      </c>
      <c r="B4" s="349"/>
      <c r="C4" s="349"/>
      <c r="D4" s="349"/>
      <c r="E4" s="349"/>
      <c r="F4" s="349"/>
    </row>
    <row r="5" spans="1:6" x14ac:dyDescent="0.2">
      <c r="A5" s="349" t="str">
        <f>xulosa!A5:E5</f>
        <v>Tug'ilgan sanasi: 12.07.1990 y</v>
      </c>
      <c r="B5" s="349"/>
      <c r="C5" s="349"/>
      <c r="D5" s="349"/>
      <c r="E5" s="349"/>
      <c r="F5" s="349"/>
    </row>
    <row r="6" spans="1:6" ht="32.25" customHeight="1" x14ac:dyDescent="0.2">
      <c r="A6" s="349" t="str">
        <f>xulosa!A6:E6</f>
        <v>Pasport seriyasi AE 2898945 IIV 33212 tomonidan 03.06.2025 yilda berilgan, amal qilish muddati - 02.06.2035 y.</v>
      </c>
      <c r="B6" s="349"/>
      <c r="C6" s="349"/>
      <c r="D6" s="349"/>
      <c r="E6" s="349"/>
      <c r="F6" s="349"/>
    </row>
    <row r="7" spans="1:6" x14ac:dyDescent="0.2">
      <c r="A7" s="349" t="str">
        <f>"Fuqaroligi: "&amp;malumot!B32&amp;""</f>
        <v>Fuqaroligi: O’zbekiston Respublikasi</v>
      </c>
      <c r="B7" s="349"/>
      <c r="C7" s="349"/>
      <c r="D7" s="349"/>
      <c r="E7" s="349"/>
      <c r="F7" s="349"/>
    </row>
    <row r="8" spans="1:6" ht="26.25" customHeight="1" x14ac:dyDescent="0.2">
      <c r="A8" s="349" t="str">
        <f>xulosa!A7:E7</f>
        <v>Ro‘yxatdan o‘tgan manzili: XORAZM VILOYATI QO'SHKO'PIR TUMANI XOSIYON QFY XOSIYON MFY SHOLIKOR KO'CHASI 37-UY, mo'ljal: 47-SON MAKTAB</v>
      </c>
      <c r="B8" s="349"/>
      <c r="C8" s="349"/>
      <c r="D8" s="349"/>
      <c r="E8" s="349"/>
      <c r="F8" s="349"/>
    </row>
    <row r="9" spans="1:6" x14ac:dyDescent="0.2">
      <c r="A9" s="349" t="str">
        <f>IF(malumot!B23="mos keladi"," ",mijoz_anketasi!A10:F10)</f>
        <v xml:space="preserve"> </v>
      </c>
      <c r="B9" s="349"/>
      <c r="C9" s="349"/>
      <c r="D9" s="349"/>
      <c r="E9" s="349"/>
      <c r="F9" s="349"/>
    </row>
    <row r="10" spans="1:6" ht="31.5" hidden="1" customHeight="1" x14ac:dyDescent="0.2">
      <c r="A10" s="349" t="str">
        <f>"Haqiqatdan yashash joy manzili: "&amp;malumot!B28&amp;""</f>
        <v>Haqiqatdan yashash joy manzili: XORAZM VILOYATI QO'SHKO'PIR TUMANI XOSIYON QFY XOSIYON MFY SHOLIKOR KO'CHASI 37-UY</v>
      </c>
      <c r="B10" s="349"/>
      <c r="C10" s="349"/>
      <c r="D10" s="349"/>
      <c r="E10" s="349"/>
      <c r="F10" s="349"/>
    </row>
    <row r="11" spans="1:6" ht="16.5" hidden="1" customHeight="1" x14ac:dyDescent="0.2">
      <c r="A11" s="349" t="str">
        <f>xulosa!A8:E8</f>
        <v>Ish joyi:  lavozimi OLLABERGANOVA GO'ZALOY IBRAHIMOVNAda OLLABERGANOVA GO'ZALOY IBRAHIMOVNA</v>
      </c>
      <c r="B11" s="349"/>
      <c r="C11" s="349"/>
      <c r="D11" s="349"/>
      <c r="E11" s="349"/>
      <c r="F11" s="349"/>
    </row>
    <row r="12" spans="1:6" x14ac:dyDescent="0.2">
      <c r="A12" s="353" t="s">
        <v>212</v>
      </c>
      <c r="B12" s="353"/>
      <c r="C12" s="353"/>
      <c r="D12" s="353"/>
      <c r="E12" s="353"/>
      <c r="F12" s="353"/>
    </row>
    <row r="13" spans="1:6" x14ac:dyDescent="0.2">
      <c r="A13" s="349" t="str">
        <f>"Uy telefoni raqami: "&amp;malumot!B40&amp;""</f>
        <v>Uy telefoni raqami: 93-586-24-94 KLIENT</v>
      </c>
      <c r="B13" s="349"/>
      <c r="C13" s="349"/>
      <c r="D13" s="349"/>
      <c r="E13" s="349"/>
      <c r="F13" s="349"/>
    </row>
    <row r="14" spans="1:6" x14ac:dyDescent="0.2">
      <c r="A14" s="349" t="str">
        <f>"Uyali telefon raqami: "&amp;malumot!B41&amp;""</f>
        <v>Uyali telefon raqami: 93-068-65-04 OTASI</v>
      </c>
      <c r="B14" s="349"/>
      <c r="C14" s="349"/>
      <c r="D14" s="349"/>
      <c r="E14" s="349"/>
      <c r="F14" s="349"/>
    </row>
    <row r="15" spans="1:6" x14ac:dyDescent="0.2">
      <c r="A15" s="349" t="str">
        <f>"Uyali telefon raqami: "&amp;malumot!B42&amp;""</f>
        <v>Uyali telefon raqami: 77-734-07-90 BEXRUZBEK</v>
      </c>
      <c r="B15" s="349"/>
      <c r="C15" s="349"/>
      <c r="D15" s="349"/>
      <c r="E15" s="349"/>
      <c r="F15" s="349"/>
    </row>
    <row r="16" spans="1:6" hidden="1" x14ac:dyDescent="0.2">
      <c r="A16" s="349" t="str">
        <f>"Uyali telefon raqami: "&amp;malumot!B42&amp;""</f>
        <v>Uyali telefon raqami: 77-734-07-90 BEXRUZBEK</v>
      </c>
      <c r="B16" s="349"/>
      <c r="C16" s="349"/>
      <c r="D16" s="349"/>
      <c r="E16" s="349"/>
      <c r="F16" s="349"/>
    </row>
    <row r="17" spans="1:6" x14ac:dyDescent="0.2">
      <c r="A17" s="349" t="str">
        <f>"Ish telefoni raqami: "&amp;malumot!B43&amp;""</f>
        <v xml:space="preserve">Ish telefoni raqami: </v>
      </c>
      <c r="B17" s="349"/>
      <c r="C17" s="349"/>
      <c r="D17" s="349"/>
      <c r="E17" s="349"/>
      <c r="F17" s="349"/>
    </row>
    <row r="18" spans="1:6" x14ac:dyDescent="0.2">
      <c r="A18" s="353" t="s">
        <v>213</v>
      </c>
      <c r="B18" s="353"/>
      <c r="C18" s="353"/>
      <c r="D18" s="353"/>
      <c r="E18" s="353"/>
      <c r="F18" s="353"/>
    </row>
    <row r="19" spans="1:6" x14ac:dyDescent="0.2">
      <c r="A19" s="349" t="str">
        <f>"Muassasa nomlanishi:"&amp;malumot!B58&amp;""</f>
        <v>Muassasa nomlanishi:OLLABERGANOVA GO'ZALOY IBRAHIMOVNA</v>
      </c>
      <c r="B19" s="349"/>
      <c r="C19" s="349"/>
      <c r="D19" s="349"/>
      <c r="E19" s="349"/>
      <c r="F19" s="349"/>
    </row>
    <row r="20" spans="1:6" x14ac:dyDescent="0.2">
      <c r="A20" s="349" t="str">
        <f>"Ro‘yxatdan o‘tish manzili:"&amp;malumot!B50&amp;""</f>
        <v>Ro‘yxatdan o‘tish manzili:</v>
      </c>
      <c r="B20" s="349"/>
      <c r="C20" s="349"/>
      <c r="D20" s="349"/>
      <c r="E20" s="349"/>
      <c r="F20" s="349"/>
    </row>
    <row r="21" spans="1:6" x14ac:dyDescent="0.2">
      <c r="A21" s="349" t="str">
        <f>"Lavozimi: "&amp;malumot!B59&amp;""</f>
        <v>Lavozimi: OLLABERGANOVA GO'ZALOY IBRAHIMOVNA</v>
      </c>
      <c r="B21" s="349"/>
      <c r="C21" s="349"/>
      <c r="D21" s="349"/>
      <c r="E21" s="349"/>
      <c r="F21" s="349"/>
    </row>
    <row r="22" spans="1:6" x14ac:dyDescent="0.2">
      <c r="A22" s="353" t="s">
        <v>214</v>
      </c>
      <c r="B22" s="350"/>
      <c r="C22" s="350"/>
      <c r="D22" s="350"/>
      <c r="E22" s="350"/>
      <c r="F22" s="350"/>
    </row>
    <row r="23" spans="1:6" s="22" customFormat="1" ht="25.5" x14ac:dyDescent="0.25">
      <c r="A23" s="21" t="s">
        <v>215</v>
      </c>
      <c r="B23" s="21" t="s">
        <v>216</v>
      </c>
      <c r="C23" s="21" t="s">
        <v>217</v>
      </c>
      <c r="D23" s="21" t="s">
        <v>218</v>
      </c>
      <c r="E23" s="21" t="s">
        <v>219</v>
      </c>
      <c r="F23" s="21" t="s">
        <v>220</v>
      </c>
    </row>
    <row r="24" spans="1:6" ht="51" x14ac:dyDescent="0.2">
      <c r="A24" s="23" t="s">
        <v>221</v>
      </c>
      <c r="B24" s="24">
        <f>malumot!B60</f>
        <v>23000000</v>
      </c>
      <c r="C24" s="24">
        <v>0</v>
      </c>
      <c r="D24" s="24">
        <v>0</v>
      </c>
      <c r="E24" s="23" t="s">
        <v>224</v>
      </c>
      <c r="F24" s="24">
        <v>700000</v>
      </c>
    </row>
    <row r="25" spans="1:6" ht="25.5" x14ac:dyDescent="0.2">
      <c r="A25" s="23" t="s">
        <v>222</v>
      </c>
      <c r="B25" s="24">
        <v>0</v>
      </c>
      <c r="C25" s="24">
        <v>0</v>
      </c>
      <c r="D25" s="24">
        <v>0</v>
      </c>
      <c r="E25" s="23" t="s">
        <v>225</v>
      </c>
      <c r="F25" s="24">
        <v>500000</v>
      </c>
    </row>
    <row r="26" spans="1:6" ht="28.5" customHeight="1" x14ac:dyDescent="0.2">
      <c r="A26" s="23" t="s">
        <v>223</v>
      </c>
      <c r="B26" s="24">
        <f>malumot!B61</f>
        <v>0</v>
      </c>
      <c r="C26" s="24">
        <v>0</v>
      </c>
      <c r="D26" s="24">
        <v>0</v>
      </c>
      <c r="E26" s="23" t="s">
        <v>226</v>
      </c>
      <c r="F26" s="24">
        <v>500000</v>
      </c>
    </row>
    <row r="27" spans="1:6" s="27" customFormat="1" x14ac:dyDescent="0.2">
      <c r="A27" s="25" t="s">
        <v>202</v>
      </c>
      <c r="B27" s="26">
        <f>B24+B25+B26</f>
        <v>23000000</v>
      </c>
      <c r="C27" s="26">
        <f t="shared" ref="C27:F27" si="0">SUM(C24:C26)</f>
        <v>0</v>
      </c>
      <c r="D27" s="26">
        <f t="shared" si="0"/>
        <v>0</v>
      </c>
      <c r="E27" s="25"/>
      <c r="F27" s="26">
        <f t="shared" si="0"/>
        <v>1700000</v>
      </c>
    </row>
    <row r="28" spans="1:6" ht="31.5" customHeight="1" x14ac:dyDescent="0.2">
      <c r="A28" s="349" t="str">
        <f>"Men, "&amp;malumot!B5&amp;", ushbu anketada ko‘rsatilgan barcha ma'lumotlar anketa to'ldirilgan sanada  to'g'ri va aniq ekanligini tasdiqlayman."</f>
        <v>Men, OLLABERGANOVA GO'ZALOY IBRAHIMOVNA, ushbu anketada ko‘rsatilgan barcha ma'lumotlar anketa to'ldirilgan sanada  to'g'ri va aniq ekanligini tasdiqlayman.</v>
      </c>
      <c r="B28" s="349"/>
      <c r="C28" s="349"/>
      <c r="D28" s="349"/>
      <c r="E28" s="349"/>
      <c r="F28" s="349"/>
    </row>
    <row r="29" spans="1:6" x14ac:dyDescent="0.2">
      <c r="A29" s="349" t="str">
        <f>"Men,  "&amp;malumot!B5&amp;", quyidagilarni tan olaman va roziman::"</f>
        <v>Men,  OLLABERGANOVA GO'ZALOY IBRAHIMOVNA, quyidagilarni tan olaman va roziman::</v>
      </c>
      <c r="B29" s="349"/>
      <c r="C29" s="349"/>
      <c r="D29" s="349"/>
      <c r="E29" s="349"/>
      <c r="F29" s="349"/>
    </row>
    <row r="30" spans="1:6" ht="45.75" customHeight="1" x14ac:dyDescent="0.2">
      <c r="A30" s="349" t="str">
        <f>"1.  Ushbu anketada ko‘rsatilgan har qanday ma’lumot  "&amp;malumot!B158&amp;",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9"/>
      <c r="C30" s="349"/>
      <c r="D30" s="349"/>
      <c r="E30" s="349"/>
      <c r="F30" s="349"/>
    </row>
    <row r="31" spans="1:6" ht="42.75" customHeight="1" x14ac:dyDescent="0.2">
      <c r="A31" s="349" t="str">
        <f>"2. Mazkur anketaning "&amp;malumot!B158&amp;"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9"/>
      <c r="C31" s="349"/>
      <c r="D31" s="349"/>
      <c r="E31" s="349"/>
      <c r="F31" s="349"/>
    </row>
    <row r="32" spans="1:6" ht="71.25" customHeight="1" x14ac:dyDescent="0.2">
      <c r="A32" s="349" t="s">
        <v>227</v>
      </c>
      <c r="B32" s="349"/>
      <c r="C32" s="349"/>
      <c r="D32" s="349"/>
      <c r="E32" s="349"/>
      <c r="F32" s="349"/>
    </row>
    <row r="33" spans="1:6" x14ac:dyDescent="0.2">
      <c r="A33" s="349"/>
      <c r="B33" s="349"/>
      <c r="C33" s="349"/>
      <c r="D33" s="349"/>
      <c r="E33" s="349"/>
      <c r="F33" s="349"/>
    </row>
    <row r="34" spans="1:6" ht="12.75" customHeight="1" x14ac:dyDescent="0.2">
      <c r="A34" s="350" t="s">
        <v>228</v>
      </c>
      <c r="B34" s="350"/>
      <c r="C34" s="350"/>
      <c r="D34" s="134" t="s">
        <v>152</v>
      </c>
      <c r="E34" s="350" t="s">
        <v>229</v>
      </c>
      <c r="F34" s="350"/>
    </row>
    <row r="35" spans="1:6" ht="25.5" customHeight="1" x14ac:dyDescent="0.2">
      <c r="A35" s="351"/>
      <c r="B35" s="351"/>
      <c r="C35" s="351"/>
      <c r="D35" s="352" t="str">
        <f>malumot!B2</f>
        <v>30.01.2026</v>
      </c>
      <c r="E35" s="351"/>
      <c r="F35" s="351"/>
    </row>
    <row r="36" spans="1:6" ht="25.5" customHeight="1" x14ac:dyDescent="0.2">
      <c r="A36" s="351"/>
      <c r="B36" s="351"/>
      <c r="C36" s="351"/>
      <c r="D36" s="352"/>
      <c r="E36" s="351"/>
      <c r="F36" s="351"/>
    </row>
    <row r="37" spans="1:6" x14ac:dyDescent="0.2">
      <c r="A37" s="349"/>
      <c r="B37" s="349"/>
      <c r="C37" s="349"/>
      <c r="D37" s="349"/>
      <c r="E37" s="349"/>
      <c r="F37" s="349"/>
    </row>
    <row r="38" spans="1:6" x14ac:dyDescent="0.2">
      <c r="A38" s="349"/>
      <c r="B38" s="349"/>
      <c r="C38" s="349"/>
      <c r="D38" s="349"/>
      <c r="E38" s="349"/>
      <c r="F38" s="349"/>
    </row>
    <row r="39" spans="1:6" x14ac:dyDescent="0.2">
      <c r="A39" s="349"/>
      <c r="B39" s="349"/>
      <c r="C39" s="349"/>
      <c r="D39" s="349"/>
      <c r="E39" s="349"/>
      <c r="F39" s="349"/>
    </row>
    <row r="40" spans="1:6" x14ac:dyDescent="0.2">
      <c r="A40" s="349"/>
      <c r="B40" s="349"/>
      <c r="C40" s="349"/>
      <c r="D40" s="349"/>
      <c r="E40" s="349"/>
      <c r="F40" s="349"/>
    </row>
    <row r="41" spans="1:6" x14ac:dyDescent="0.2">
      <c r="A41" s="349"/>
      <c r="B41" s="349"/>
      <c r="C41" s="349"/>
      <c r="D41" s="349"/>
      <c r="E41" s="349"/>
      <c r="F41" s="349"/>
    </row>
    <row r="42" spans="1:6" x14ac:dyDescent="0.2">
      <c r="A42" s="349"/>
      <c r="B42" s="349"/>
      <c r="C42" s="349"/>
      <c r="D42" s="349"/>
      <c r="E42" s="349"/>
      <c r="F42" s="349"/>
    </row>
    <row r="43" spans="1:6" x14ac:dyDescent="0.2">
      <c r="A43" s="349"/>
      <c r="B43" s="349"/>
      <c r="C43" s="349"/>
      <c r="D43" s="349"/>
      <c r="E43" s="349"/>
      <c r="F43" s="349"/>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22">
    <tabColor rgb="FF00B050"/>
  </sheetPr>
  <dimension ref="A3:B11"/>
  <sheetViews>
    <sheetView view="pageBreakPreview" zoomScale="85" zoomScaleNormal="100" zoomScaleSheetLayoutView="85" workbookViewId="0">
      <selection activeCell="A5" sqref="A5:B5"/>
    </sheetView>
  </sheetViews>
  <sheetFormatPr defaultRowHeight="15" x14ac:dyDescent="0.25"/>
  <cols>
    <col min="1" max="1" width="54.42578125" style="12" customWidth="1"/>
    <col min="2" max="2" width="32.28515625" style="12" customWidth="1"/>
  </cols>
  <sheetData>
    <row r="3" spans="1:2" ht="35.25" customHeight="1" x14ac:dyDescent="0.25">
      <c r="A3" s="355" t="s">
        <v>207</v>
      </c>
      <c r="B3" s="355"/>
    </row>
    <row r="4" spans="1:2" ht="92.25" customHeight="1" x14ac:dyDescent="0.25">
      <c r="A4" s="280" t="str">
        <f>"     Men, fuqaro "&amp;malumot!B5&amp;" "&amp;malumot!B157&amp;" bilan "&amp;malumot!B69&amp;" sanasidagi "&amp;malumot!B66&amp;"-sonli shartnomaning garov ta'minoti sifatida taqdim etilayotgan mulk "&amp;malumot!C133&amp;" ko'chmas mulkni qonunga xilof ravishda o‘zlashtirmaslikka, yashirmaslikka, nobud qilmaslikka yoki unga shikast yetkazmaslik majburiyatini olaman."</f>
        <v xml:space="preserve">     Men, fuqaro OLLABERGANOVA GO'ZALOY IBRAHIMOVNA  bilan 30 yanvar 2026 y. sanasidagi №254- XMS-sonli shartnomaning garov ta'minoti sifatida taqdim etilayotgan mulk 7 -xonali  yakka tartibdagi uy-joy ko'chmas mulkni qonunga xilof ravishda o‘zlashtirmaslikka, yashirmaslikka, nobud qilmaslikka yoki unga shikast yetkazmaslik majburiyatini olaman.</v>
      </c>
      <c r="B4" s="280"/>
    </row>
    <row r="5" spans="1:2" ht="56.25" customHeight="1" x14ac:dyDescent="0.25">
      <c r="A5" s="356" t="s">
        <v>208</v>
      </c>
      <c r="B5" s="356"/>
    </row>
    <row r="6" spans="1:2" ht="42.75" customHeight="1" x14ac:dyDescent="0.25"/>
    <row r="7" spans="1:2" x14ac:dyDescent="0.25">
      <c r="A7" s="12" t="str">
        <f>malumot!B5</f>
        <v>OLLABERGANOVA GO'ZALOY IBRAHIMOVNA</v>
      </c>
      <c r="B7" s="124" t="s">
        <v>209</v>
      </c>
    </row>
    <row r="8" spans="1:2" ht="26.25" customHeight="1" x14ac:dyDescent="0.25"/>
    <row r="9" spans="1:2" ht="26.25" customHeight="1" x14ac:dyDescent="0.25"/>
    <row r="10" spans="1:2" ht="26.25" customHeight="1" x14ac:dyDescent="0.25"/>
    <row r="11" spans="1:2" x14ac:dyDescent="0.25">
      <c r="A11" s="12" t="str">
        <f>"sana:   "&amp;TEXT(malumot!B2,"ДД.ММ.ГГГГ")&amp;" y."</f>
        <v>sana:   30.01.2026 y.</v>
      </c>
    </row>
  </sheetData>
  <mergeCells count="3">
    <mergeCell ref="A3:B3"/>
    <mergeCell ref="A4:B4"/>
    <mergeCell ref="A5:B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6">
    <tabColor rgb="FF00B050"/>
  </sheetPr>
  <dimension ref="A1:E78"/>
  <sheetViews>
    <sheetView view="pageBreakPreview" topLeftCell="A12" zoomScaleSheetLayoutView="100" workbookViewId="0">
      <selection activeCell="A22" sqref="A22:D22"/>
    </sheetView>
  </sheetViews>
  <sheetFormatPr defaultColWidth="9.140625" defaultRowHeight="15.75" x14ac:dyDescent="0.25"/>
  <cols>
    <col min="1" max="1" width="20.140625" style="5" customWidth="1"/>
    <col min="2" max="2" width="18.7109375" style="5" customWidth="1"/>
    <col min="3" max="3" width="19.7109375" style="5" customWidth="1"/>
    <col min="4" max="4" width="28.7109375" style="5" customWidth="1"/>
    <col min="5" max="16384" width="9.140625" style="5"/>
  </cols>
  <sheetData>
    <row r="1" spans="1:4" ht="54" customHeight="1" x14ac:dyDescent="0.25">
      <c r="C1" s="358" t="str">
        <f>""&amp;malumot!B158&amp;"ning
"&amp;malumot!A161&amp;""</f>
        <v>«CLEVER MIKROMOLIYA TASHKILOTI» MChJning
Xorazm filiali boshlig'i</v>
      </c>
      <c r="D1" s="358"/>
    </row>
    <row r="2" spans="1:4" x14ac:dyDescent="0.25">
      <c r="C2" s="10"/>
      <c r="D2" s="11" t="str">
        <f>""&amp;malumot!B161&amp;"ga"</f>
        <v>M.Sharipovga</v>
      </c>
    </row>
    <row r="3" spans="1:4" hidden="1" x14ac:dyDescent="0.25"/>
    <row r="4" spans="1:4" x14ac:dyDescent="0.25">
      <c r="A4" s="270" t="str">
        <f>""&amp;malumot!C64&amp;" olish uchun Ariza"</f>
        <v>Mikroqarz olish uchun Ariza</v>
      </c>
      <c r="B4" s="270"/>
      <c r="C4" s="270"/>
      <c r="D4" s="270"/>
    </row>
    <row r="5" spans="1:4" ht="11.25" hidden="1" customHeight="1" x14ac:dyDescent="0.25">
      <c r="A5" s="270"/>
      <c r="B5" s="270"/>
      <c r="C5" s="270"/>
      <c r="D5" s="270"/>
    </row>
    <row r="6" spans="1:4" ht="48.75" customHeight="1" x14ac:dyDescent="0.25">
      <c r="A6" s="329" t="str">
        <f>""&amp;malumot!B28&amp;".-da yashovchi O‘zbekiston Respublikasi fuqarosi "&amp;malumot!B8&amp;"dan. "</f>
        <v xml:space="preserve">XORAZM VILOYATI QO'SHKO'PIR TUMANI XOSIYON QFY XOSIYON MFY SHOLIKOR KO'CHASI 37-UY.-da yashovchi O‘zbekiston Respublikasi fuqarosi ADXAMJONOV SHOXRUX SHORAXM O'G'LIdan. </v>
      </c>
      <c r="B6" s="329"/>
      <c r="C6" s="329"/>
      <c r="D6" s="329"/>
    </row>
    <row r="7" spans="1:4" ht="15.75" customHeight="1" x14ac:dyDescent="0.25">
      <c r="A7" s="357" t="str">
        <f>"Tug'ilgan kuni: "&amp;malumot!B15&amp;""</f>
        <v>Tug'ilgan kuni: 12.07.1990 y</v>
      </c>
      <c r="B7" s="357"/>
      <c r="C7" s="357"/>
      <c r="D7" s="357"/>
    </row>
    <row r="8" spans="1:4" ht="33" customHeight="1" x14ac:dyDescent="0.25">
      <c r="A8" s="357" t="str">
        <f>"Pasport seriyasi: "&amp;malumot!B16&amp;" "&amp;malumot!B20&amp;""</f>
        <v>Pasport seriyasi: AE 2898945 IIV 33212 tomonidan 03.06.2025 yilda berilgan</v>
      </c>
      <c r="B8" s="357"/>
      <c r="C8" s="357"/>
      <c r="D8" s="357"/>
    </row>
    <row r="9" spans="1:4" ht="16.5" customHeight="1" x14ac:dyDescent="0.25">
      <c r="A9" s="357" t="str">
        <f>"Asosiy ish joyi : "&amp;malumot!B58&amp;""</f>
        <v>Asosiy ish joyi : OLLABERGANOVA GO'ZALOY IBRAHIMOVNA</v>
      </c>
      <c r="B9" s="357"/>
      <c r="C9" s="357"/>
      <c r="D9" s="357"/>
    </row>
    <row r="10" spans="1:4" ht="15.75" customHeight="1" x14ac:dyDescent="0.25">
      <c r="A10" s="357" t="str">
        <f>"Lavozimi: "&amp;malumot!B59&amp;""</f>
        <v>Lavozimi: OLLABERGANOVA GO'ZALOY IBRAHIMOVNA</v>
      </c>
      <c r="B10" s="357"/>
      <c r="C10" s="357"/>
      <c r="D10" s="357"/>
    </row>
    <row r="11" spans="1:4" x14ac:dyDescent="0.25">
      <c r="A11" s="357" t="str">
        <f>"O’rtacha oylik daromadi: "&amp;FIXED(malumot!B60,2)&amp;" so'm."</f>
        <v>O’rtacha oylik daromadi: 23 000 000,00 so'm.</v>
      </c>
      <c r="B11" s="357"/>
      <c r="C11" s="357"/>
      <c r="D11" s="357"/>
    </row>
    <row r="12" spans="1:4" x14ac:dyDescent="0.25">
      <c r="A12" s="357" t="str">
        <f>"Menga quyidagi shartlarda "&amp;malumot!B65&amp;" berishingizni so’rayman:"</f>
        <v>Menga quyidagi shartlarda mikroqarz berishingizni so’rayman:</v>
      </c>
      <c r="B12" s="357"/>
      <c r="C12" s="357"/>
      <c r="D12" s="357"/>
    </row>
    <row r="13" spans="1:4" x14ac:dyDescent="0.25">
      <c r="A13" s="357" t="str">
        <f>""&amp;malumot!C64&amp;" summasi: "&amp;FIXED(malumot!B76,2)&amp;" ("&amp;malumot!B77&amp;") so'm."</f>
        <v>Mikroqarz summasi: 100 000 000,00 (yuz million so'm) so'm.</v>
      </c>
      <c r="B13" s="357"/>
      <c r="C13" s="357"/>
      <c r="D13" s="357"/>
    </row>
    <row r="14" spans="1:4" x14ac:dyDescent="0.25">
      <c r="A14" s="357" t="str">
        <f>""&amp;malumot!C64&amp;" muddati: "&amp;malumot!B82&amp;" ("&amp;malumot!B83&amp;") oy."</f>
        <v>Mikroqarz muddati: 36 (O'ttiz olti  ) oy.</v>
      </c>
      <c r="B14" s="357"/>
      <c r="C14" s="357"/>
      <c r="D14" s="357"/>
    </row>
    <row r="15" spans="1:4" ht="17.25" customHeight="1" x14ac:dyDescent="0.25">
      <c r="A15" s="357" t="str">
        <f>""&amp;malumot!C64&amp;"dan foydalanganlik uchun foiz stavkasi: yillik  "&amp;malumot!B86&amp;"% ("&amp;malumot!B87&amp;") foiz"</f>
        <v>Mikroqarzdan foydalanganlik uchun foiz stavkasi: yillik  55% (Ellik besh  ) foiz</v>
      </c>
      <c r="B15" s="357"/>
      <c r="C15" s="357"/>
      <c r="D15" s="357"/>
    </row>
    <row r="16" spans="1:4" x14ac:dyDescent="0.25">
      <c r="A16" s="357" t="str">
        <f>""&amp;malumot!C64&amp;" bo'yicha asosiy qarz va foizlarni to'lash:"</f>
        <v>Mikroqarz bo'yicha asosiy qarz va foizlarni to'lash:</v>
      </c>
      <c r="B16" s="357"/>
      <c r="C16" s="357"/>
      <c r="D16" s="357"/>
    </row>
    <row r="17" spans="1:5" ht="20.25" hidden="1" customHeight="1" x14ac:dyDescent="0.25">
      <c r="A17" s="329" t="str">
        <f>" - "&amp;malumot!B65&amp;" shartnomasi bo'yicha har oy differensial to'lovlari amalga oshiriladi"</f>
        <v xml:space="preserve"> - mikroqarz shartnomasi bo'yicha har oy differensial to'lovlari amalga oshiriladi</v>
      </c>
      <c r="B17" s="329"/>
      <c r="C17" s="329"/>
      <c r="D17" s="329"/>
    </row>
    <row r="18" spans="1:5" ht="33.75" hidden="1" customHeight="1" x14ac:dyDescent="0.25">
      <c r="A18" s="329" t="str">
        <f>" - "&amp;malumot!B65&amp;" shartnomasi bo'yicha har oy annuitet to'lovlari amalga oshiriladi"</f>
        <v xml:space="preserve"> - mikroqarz shartnomasi bo'yicha har oy annuitet to'lovlari amalga oshiriladi</v>
      </c>
      <c r="B18" s="329"/>
      <c r="C18" s="329"/>
      <c r="D18" s="329"/>
    </row>
    <row r="19" spans="1:5" ht="21.75" customHeight="1" x14ac:dyDescent="0.25">
      <c r="A19" s="329" t="str">
        <f>IF(malumot!B78=malumot!C78,kredit_ariza!A17:D17,IF(malumot!B78=malumot!D78,kredit_ariza!A18:D18))</f>
        <v xml:space="preserve"> - mikroqarz shartnomasi bo'yicha har oy annuitet to'lovlari amalga oshiriladi</v>
      </c>
      <c r="B19" s="329"/>
      <c r="C19" s="329"/>
      <c r="D19" s="329"/>
    </row>
    <row r="20" spans="1:5" ht="33.75" hidden="1" customHeight="1" x14ac:dyDescent="0.25">
      <c r="A20" s="357" t="str">
        <f>IF(DAY(malumot!E67)&lt;15,"   ","  Oxirgi yakuniy to'lov "&amp;malumot!B65&amp;" shartnomasi tuzilgan kundan boshlab oxirgi oyning oxirgi kunida amalga oshiriladi")</f>
        <v xml:space="preserve">  Oxirgi yakuniy to'lov mikroqarz shartnomasi tuzilgan kundan boshlab oxirgi oyning oxirgi kunida amalga oshiriladi</v>
      </c>
      <c r="B20" s="357"/>
      <c r="C20" s="357"/>
      <c r="D20" s="357"/>
    </row>
    <row r="21" spans="1:5" x14ac:dyDescent="0.25">
      <c r="A21" s="357" t="str">
        <f>""&amp;malumot!C64&amp;" ta’minoti::"</f>
        <v>Mikroqarz ta’minoti::</v>
      </c>
      <c r="B21" s="357"/>
      <c r="C21" s="357"/>
      <c r="D21" s="357"/>
    </row>
    <row r="22" spans="1:5" ht="79.5" customHeight="1" x14ac:dyDescent="0.25">
      <c r="A22" s="329" t="str">
        <f>"1. "&amp;IF(malumot!B110="Avtotransport",A26,A23)&amp;""</f>
        <v xml:space="preserve">1.  Egalik huquqi OLLABERGANOVA GO'ZALOY IBRAHIMOVNAga tegishli bo'lgan umumiy maydoni - 88.79  va yashash maydoni - 42.17 7 -xonali  yakka tartibdagi uy-joy, XORAZM VILOYATI QO'SHKO'PIR TUMANI XOSIYON QFY XOSIYON MFY SHOLIKOR KO'CHASI 37-UY </v>
      </c>
      <c r="B22" s="329"/>
      <c r="C22" s="329"/>
      <c r="D22" s="329"/>
    </row>
    <row r="23" spans="1:5" ht="79.5" hidden="1" customHeight="1" x14ac:dyDescent="0.25">
      <c r="A23" s="329" t="str">
        <f>IF(malumot!B99=malumot!C99,A25,IF(malumot!B99=malumot!D99,A24,0))</f>
        <v xml:space="preserve"> Egalik huquqi OLLABERGANOVA GO'ZALOY IBRAHIMOVNAga tegishli bo'lgan umumiy maydoni - 88.79  va yashash maydoni - 42.17 7 -xonali  yakka tartibdagi uy-joy, XORAZM VILOYATI QO'SHKO'PIR TUMANI XOSIYON QFY XOSIYON MFY SHOLIKOR KO'CHASI 37-UY </v>
      </c>
      <c r="B23" s="329"/>
      <c r="C23" s="329"/>
      <c r="D23" s="329"/>
    </row>
    <row r="24" spans="1:5" ht="96.75" hidden="1" customHeight="1" x14ac:dyDescent="0.25">
      <c r="A24" s="329" t="str">
        <f>" - Navbatdagi garov (ipoteka) Egalik huquqi asosida  "&amp;malumot!C124&amp;"ga "&amp;malumot!C133&amp;", umumiy maydoni - "&amp;malumot!C137&amp;" va yashash maydoni - "&amp;malumot!C140&amp;", manzili: "&amp;malumot!C130&amp;"."</f>
        <v xml:space="preserve"> - Navbatdagi garov (ipoteka) Egalik huquqi asosida  OLLABERGANOVA GO'ZALOY IBRAHIMOVNAga 7 -xonali  yakka tartibdagi uy-joy, umumiy maydoni - 88.79 va yashash maydoni - 42.17, manzili: XORAZM VILOYATI QO'SHKO'PIR TUMANI XOSIYON QFY XOSIYON MFY SHOLIKOR KO'CHASI 37-UY.</v>
      </c>
      <c r="B24" s="329"/>
      <c r="C24" s="329"/>
      <c r="D24" s="329"/>
      <c r="E24" s="140"/>
    </row>
    <row r="25" spans="1:5" ht="92.25" hidden="1" customHeight="1" x14ac:dyDescent="0.25">
      <c r="A25" s="329" t="str">
        <f>" Egalik huquqi "&amp;malumot!C124&amp;"ga tegishli bo'lgan umumiy maydoni - "&amp;malumot!C137&amp;"  va yashash maydoni - "&amp;malumot!C140&amp;" "&amp;malumot!C133&amp;", "&amp;malumot!C130&amp;" "</f>
        <v xml:space="preserve"> Egalik huquqi OLLABERGANOVA GO'ZALOY IBRAHIMOVNAga tegishli bo'lgan umumiy maydoni - 88.79  va yashash maydoni - 42.17 7 -xonali  yakka tartibdagi uy-joy, XORAZM VILOYATI QO'SHKO'PIR TUMANI XOSIYON QFY XOSIYON MFY SHOLIKOR KO'CHASI 37-UY </v>
      </c>
      <c r="B25" s="329"/>
      <c r="C25" s="329"/>
      <c r="D25" s="329"/>
    </row>
    <row r="26" spans="1:5" ht="78" hidden="1" customHeight="1" x14ac:dyDescent="0.25">
      <c r="A26" s="329" t="str">
        <f>IF(malumot!B99=malumot!C99,kredit_ariza!A28:D28,IF(malumot!B99=malumot!D99,kredit_ariza!A27:D27,0))</f>
        <v xml:space="preserve">  Egalik huquqi OLLABERGANOVA GO'ZALOY IBRAHIMOVNAga tegishli bo'lgan garovga olingan avtomobil markasi   , rangi -  , ishlab chiqarilgan yili - , davlat raqam belgisi , kuzov turi - , kuzov raqami , dvigatel raqami , shassi raqami - </v>
      </c>
      <c r="B26" s="329"/>
      <c r="C26" s="329"/>
      <c r="D26" s="329"/>
    </row>
    <row r="27" spans="1:5" ht="93" hidden="1" customHeight="1" x14ac:dyDescent="0.25">
      <c r="A27" s="329" t="str">
        <f>" Egalik huquqi "&amp;malumot!B124&amp;"ga tegishli bo'lgan "&amp;malumot!B132&amp;", "&amp;malumot!B140&amp;", davlat raqam belgisi "&amp;malumot!B133&amp;", "&amp;malumot!B134&amp;", "&amp;malumot!B137&amp;" avtotransport vositasi "</f>
        <v xml:space="preserve"> Egalik huquqi OLLABERGANOVA GO'ZALOY IBRAHIMOVNAga tegishli bo'lgan , rangi -  , ishlab chiqarilgan yili - , davlat raqam belgisi , kuzov turi - , kuzov raqami , dvigatel raqami , shassi raqami -  avtotransport vositasi </v>
      </c>
      <c r="B27" s="329"/>
      <c r="C27" s="329"/>
      <c r="D27" s="329"/>
    </row>
    <row r="28" spans="1:5" ht="93.75" hidden="1" customHeight="1" x14ac:dyDescent="0.25">
      <c r="A28" s="329" t="str">
        <f>"  Egalik huquqi "&amp;malumot!B124&amp;"ga tegishli bo'lgan garovga olingan avtomobil markasi   "&amp;malumot!B132&amp;", "&amp;malumot!B140&amp;", davlat raqam belgisi "&amp;malumot!B133&amp;", "&amp;malumot!B134&amp;", "&amp;malumot!B137&amp;""</f>
        <v xml:space="preserve">  Egalik huquqi OLLABERGANOVA GO'ZALOY IBRAHIMOVNAga tegishli bo'lgan garovga olingan avtomobil markasi   , rangi -  , ishlab chiqarilgan yili - , davlat raqam belgisi , kuzov turi - , kuzov raqami , dvigatel raqami , shassi raqami - </v>
      </c>
      <c r="B28" s="329"/>
      <c r="C28" s="329"/>
      <c r="D28" s="329"/>
    </row>
    <row r="29" spans="1:5" ht="40.5" customHeight="1" x14ac:dyDescent="0.25">
      <c r="A29" s="267" t="str">
        <f>"2. 	«"&amp;malumot!B154&amp;"» АJ sug‘urta kompaniyasi tomonidan Mikroqarz to'lamaslik xavfini "&amp;FIXED(malumot!B155,2)&amp;"("&amp;malumot!B156&amp;") so ' m miqdoriga sug’urta qilish"</f>
        <v>2. 	«АО "TRUST INSURANCE"» АJ sug‘urta kompaniyasi tomonidan Mikroqarz to'lamaslik xavfini 32 500 000,00(o'ttiz ikki million besh yuz ming so'm) so ' m miqdoriga sug’urta qilish</v>
      </c>
      <c r="B29" s="267"/>
      <c r="C29" s="267"/>
      <c r="D29" s="267"/>
    </row>
    <row r="30" spans="1:5" ht="10.5" hidden="1" customHeight="1" x14ac:dyDescent="0.25">
      <c r="A30" s="357"/>
      <c r="B30" s="357"/>
      <c r="C30" s="357"/>
      <c r="D30" s="357"/>
    </row>
    <row r="31" spans="1:5" ht="53.25" customHeight="1" x14ac:dyDescent="0.25">
      <c r="A31" s="329" t="str">
        <f>"Mazkur ariza bilan "&amp;malumot!B158&amp;"ga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329"/>
      <c r="C31" s="329"/>
      <c r="D31" s="329"/>
    </row>
    <row r="32" spans="1:5" ht="15.75" customHeight="1" x14ac:dyDescent="0.25">
      <c r="A32" s="329" t="s">
        <v>241</v>
      </c>
      <c r="B32" s="329"/>
      <c r="C32" s="329"/>
      <c r="D32" s="329"/>
    </row>
    <row r="33" spans="1:4" x14ac:dyDescent="0.25">
      <c r="A33" s="329" t="s">
        <v>242</v>
      </c>
      <c r="B33" s="329"/>
      <c r="C33" s="329"/>
      <c r="D33" s="329"/>
    </row>
    <row r="34" spans="1:4" x14ac:dyDescent="0.25">
      <c r="A34" s="329" t="s">
        <v>243</v>
      </c>
      <c r="B34" s="329"/>
      <c r="C34" s="329"/>
      <c r="D34" s="329"/>
    </row>
    <row r="35" spans="1:4" x14ac:dyDescent="0.25">
      <c r="A35" s="357" t="str">
        <f>"Ariza berilgan sana: "&amp;TEXT(malumot!B2,"ДД.ММ.ГГГГ")&amp;"y."</f>
        <v>Ariza berilgan sana: 30.01.2026y.</v>
      </c>
      <c r="B35" s="357"/>
      <c r="C35" s="357"/>
      <c r="D35" s="357"/>
    </row>
    <row r="36" spans="1:4" hidden="1" x14ac:dyDescent="0.25">
      <c r="A36" s="357"/>
      <c r="B36" s="357"/>
      <c r="C36" s="357"/>
      <c r="D36" s="357"/>
    </row>
    <row r="37" spans="1:4" ht="45.75" customHeight="1" x14ac:dyDescent="0.25">
      <c r="A37" s="357" t="s">
        <v>244</v>
      </c>
      <c r="B37" s="357"/>
      <c r="C37" s="357"/>
      <c r="D37" s="357"/>
    </row>
    <row r="38" spans="1:4" hidden="1" x14ac:dyDescent="0.25">
      <c r="A38" s="357"/>
      <c r="B38" s="357"/>
      <c r="C38" s="357"/>
      <c r="D38" s="357"/>
    </row>
    <row r="39" spans="1:4" ht="11.25" customHeight="1" x14ac:dyDescent="0.25">
      <c r="A39" s="357"/>
      <c r="B39" s="357"/>
      <c r="C39" s="357"/>
      <c r="D39" s="357"/>
    </row>
    <row r="40" spans="1:4" ht="15.75" customHeight="1" x14ac:dyDescent="0.25">
      <c r="A40" s="326" t="str">
        <f>malumot!B5</f>
        <v>OLLABERGANOVA GO'ZALOY IBRAHIMOVNA</v>
      </c>
      <c r="B40" s="326"/>
      <c r="C40" s="326"/>
      <c r="D40" s="186" t="s">
        <v>384</v>
      </c>
    </row>
    <row r="41" spans="1:4" x14ac:dyDescent="0.25">
      <c r="A41" s="8"/>
      <c r="B41" s="8"/>
      <c r="D41" s="9" t="s">
        <v>321</v>
      </c>
    </row>
    <row r="42" spans="1:4" x14ac:dyDescent="0.25">
      <c r="A42" s="357"/>
      <c r="B42" s="357"/>
      <c r="C42" s="357"/>
      <c r="D42" s="357"/>
    </row>
    <row r="43" spans="1:4" x14ac:dyDescent="0.25">
      <c r="A43" s="10" t="str">
        <f>malumot!A161</f>
        <v>Xorazm filiali boshlig'i</v>
      </c>
      <c r="B43" s="184"/>
      <c r="C43" s="184"/>
      <c r="D43" s="184" t="str">
        <f>malumot!B161</f>
        <v>M.Sharipov</v>
      </c>
    </row>
    <row r="44" spans="1:4" x14ac:dyDescent="0.25">
      <c r="A44" s="140"/>
      <c r="B44" s="140"/>
      <c r="C44" s="140"/>
      <c r="D44" s="140"/>
    </row>
    <row r="45" spans="1:4" x14ac:dyDescent="0.25">
      <c r="A45" s="140"/>
      <c r="B45" s="140"/>
      <c r="C45" s="140"/>
      <c r="D45" s="140"/>
    </row>
    <row r="46" spans="1:4" x14ac:dyDescent="0.25">
      <c r="A46" s="140"/>
      <c r="B46" s="140"/>
      <c r="C46" s="140"/>
      <c r="D46" s="140"/>
    </row>
    <row r="47" spans="1:4" x14ac:dyDescent="0.25">
      <c r="A47" s="357"/>
      <c r="B47" s="357"/>
      <c r="C47" s="357"/>
      <c r="D47" s="357"/>
    </row>
    <row r="48" spans="1:4" x14ac:dyDescent="0.25">
      <c r="A48" s="357"/>
      <c r="B48" s="357"/>
      <c r="C48" s="357"/>
      <c r="D48" s="357"/>
    </row>
    <row r="49" spans="1:4" x14ac:dyDescent="0.25">
      <c r="A49" s="357"/>
      <c r="B49" s="357"/>
      <c r="C49" s="357"/>
      <c r="D49" s="357"/>
    </row>
    <row r="50" spans="1:4" x14ac:dyDescent="0.25">
      <c r="A50" s="357"/>
      <c r="B50" s="357"/>
      <c r="C50" s="357"/>
      <c r="D50" s="357"/>
    </row>
    <row r="51" spans="1:4" x14ac:dyDescent="0.25">
      <c r="A51" s="357"/>
      <c r="B51" s="357"/>
      <c r="C51" s="357"/>
      <c r="D51" s="357"/>
    </row>
    <row r="52" spans="1:4" x14ac:dyDescent="0.25">
      <c r="A52" s="357"/>
      <c r="B52" s="357"/>
      <c r="C52" s="357"/>
      <c r="D52" s="357"/>
    </row>
    <row r="53" spans="1:4" x14ac:dyDescent="0.25">
      <c r="A53" s="357"/>
      <c r="B53" s="357"/>
      <c r="C53" s="357"/>
      <c r="D53" s="357"/>
    </row>
    <row r="54" spans="1:4" x14ac:dyDescent="0.25">
      <c r="A54" s="357"/>
      <c r="B54" s="357"/>
      <c r="C54" s="357"/>
      <c r="D54" s="357"/>
    </row>
    <row r="55" spans="1:4" x14ac:dyDescent="0.25">
      <c r="A55" s="357"/>
      <c r="B55" s="357"/>
      <c r="C55" s="357"/>
      <c r="D55" s="357"/>
    </row>
    <row r="56" spans="1:4" x14ac:dyDescent="0.25">
      <c r="A56" s="357"/>
      <c r="B56" s="357"/>
      <c r="C56" s="357"/>
      <c r="D56" s="357"/>
    </row>
    <row r="57" spans="1:4" x14ac:dyDescent="0.25">
      <c r="A57" s="357"/>
      <c r="B57" s="357"/>
      <c r="C57" s="357"/>
      <c r="D57" s="357"/>
    </row>
    <row r="58" spans="1:4" x14ac:dyDescent="0.25">
      <c r="A58" s="357"/>
      <c r="B58" s="357"/>
      <c r="C58" s="357"/>
      <c r="D58" s="357"/>
    </row>
    <row r="59" spans="1:4" x14ac:dyDescent="0.25">
      <c r="A59" s="357"/>
      <c r="B59" s="357"/>
      <c r="C59" s="357"/>
      <c r="D59" s="357"/>
    </row>
    <row r="60" spans="1:4" x14ac:dyDescent="0.25">
      <c r="A60" s="357"/>
      <c r="B60" s="357"/>
      <c r="C60" s="357"/>
      <c r="D60" s="357"/>
    </row>
    <row r="61" spans="1:4" x14ac:dyDescent="0.25">
      <c r="A61" s="357"/>
      <c r="B61" s="357"/>
      <c r="C61" s="357"/>
      <c r="D61" s="357"/>
    </row>
    <row r="62" spans="1:4" x14ac:dyDescent="0.25">
      <c r="A62" s="357"/>
      <c r="B62" s="357"/>
      <c r="C62" s="357"/>
      <c r="D62" s="357"/>
    </row>
    <row r="63" spans="1:4" x14ac:dyDescent="0.25">
      <c r="A63" s="357"/>
      <c r="B63" s="357"/>
      <c r="C63" s="357"/>
      <c r="D63" s="357"/>
    </row>
    <row r="64" spans="1:4" x14ac:dyDescent="0.25">
      <c r="A64" s="357"/>
      <c r="B64" s="357"/>
      <c r="C64" s="357"/>
      <c r="D64" s="357"/>
    </row>
    <row r="65" spans="1:4" x14ac:dyDescent="0.25">
      <c r="A65" s="357"/>
      <c r="B65" s="357"/>
      <c r="C65" s="357"/>
      <c r="D65" s="357"/>
    </row>
    <row r="66" spans="1:4" x14ac:dyDescent="0.25">
      <c r="A66" s="357"/>
      <c r="B66" s="357"/>
      <c r="C66" s="357"/>
      <c r="D66" s="357"/>
    </row>
    <row r="67" spans="1:4" x14ac:dyDescent="0.25">
      <c r="A67" s="357"/>
      <c r="B67" s="357"/>
      <c r="C67" s="357"/>
      <c r="D67" s="357"/>
    </row>
    <row r="68" spans="1:4" x14ac:dyDescent="0.25">
      <c r="A68" s="357"/>
      <c r="B68" s="357"/>
      <c r="C68" s="357"/>
      <c r="D68" s="357"/>
    </row>
    <row r="69" spans="1:4" x14ac:dyDescent="0.25">
      <c r="A69" s="357"/>
      <c r="B69" s="357"/>
      <c r="C69" s="357"/>
      <c r="D69" s="357"/>
    </row>
    <row r="70" spans="1:4" x14ac:dyDescent="0.25">
      <c r="A70" s="357"/>
      <c r="B70" s="357"/>
      <c r="C70" s="357"/>
      <c r="D70" s="357"/>
    </row>
    <row r="71" spans="1:4" x14ac:dyDescent="0.25">
      <c r="A71" s="357"/>
      <c r="B71" s="357"/>
      <c r="C71" s="357"/>
      <c r="D71" s="357"/>
    </row>
    <row r="72" spans="1:4" x14ac:dyDescent="0.25">
      <c r="A72" s="357"/>
      <c r="B72" s="357"/>
      <c r="C72" s="357"/>
      <c r="D72" s="357"/>
    </row>
    <row r="73" spans="1:4" x14ac:dyDescent="0.25">
      <c r="A73" s="357"/>
      <c r="B73" s="357"/>
      <c r="C73" s="357"/>
      <c r="D73" s="357"/>
    </row>
    <row r="74" spans="1:4" x14ac:dyDescent="0.25">
      <c r="A74" s="357"/>
      <c r="B74" s="357"/>
      <c r="C74" s="357"/>
      <c r="D74" s="357"/>
    </row>
    <row r="75" spans="1:4" x14ac:dyDescent="0.25">
      <c r="A75" s="357"/>
      <c r="B75" s="357"/>
      <c r="C75" s="357"/>
      <c r="D75" s="357"/>
    </row>
    <row r="76" spans="1:4" x14ac:dyDescent="0.25">
      <c r="A76" s="357"/>
      <c r="B76" s="357"/>
      <c r="C76" s="357"/>
      <c r="D76" s="357"/>
    </row>
    <row r="77" spans="1:4" x14ac:dyDescent="0.25">
      <c r="A77" s="357"/>
      <c r="B77" s="357"/>
      <c r="C77" s="357"/>
      <c r="D77" s="357"/>
    </row>
    <row r="78" spans="1:4" x14ac:dyDescent="0.25">
      <c r="A78" s="357"/>
      <c r="B78" s="357"/>
      <c r="C78" s="357"/>
      <c r="D78" s="357"/>
    </row>
  </sheetData>
  <mergeCells count="71">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1:D31"/>
    <mergeCell ref="A32:D32"/>
    <mergeCell ref="A33:D33"/>
    <mergeCell ref="A34:D34"/>
    <mergeCell ref="A28:D28"/>
    <mergeCell ref="A30:D30"/>
    <mergeCell ref="A29:D29"/>
    <mergeCell ref="A35:D35"/>
    <mergeCell ref="A42:D42"/>
    <mergeCell ref="A36:D36"/>
    <mergeCell ref="A37:D37"/>
    <mergeCell ref="A38:D38"/>
    <mergeCell ref="A39:D39"/>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2" customWidth="1"/>
    <col min="2" max="2" width="21.28515625" style="12" customWidth="1"/>
    <col min="3" max="3" width="19.140625" style="12" customWidth="1"/>
    <col min="4" max="5" width="21.28515625" style="12" customWidth="1"/>
    <col min="6" max="16384" width="9.140625" style="12"/>
  </cols>
  <sheetData>
    <row r="2" spans="1:5" x14ac:dyDescent="0.25">
      <c r="A2" s="97" t="s">
        <v>45</v>
      </c>
    </row>
    <row r="3" spans="1:5" x14ac:dyDescent="0.25">
      <c r="A3" s="97" t="s">
        <v>46</v>
      </c>
    </row>
    <row r="6" spans="1:5" ht="20.25" customHeight="1" x14ac:dyDescent="0.25">
      <c r="E6" s="98" t="s">
        <v>33</v>
      </c>
    </row>
    <row r="7" spans="1:5" x14ac:dyDescent="0.25">
      <c r="E7" s="98" t="s">
        <v>47</v>
      </c>
    </row>
    <row r="9" spans="1:5" ht="107.25" customHeight="1" x14ac:dyDescent="0.25">
      <c r="A9" s="360" t="str">
        <f>"          Между ООО «Clever Mikrokredit Tashkiloti» и "&amp;malumot!B5&amp;"  (паспорт: "&amp;malumot!B16&amp;" "&amp;malumot!B20&amp;") заключен договор микрозайма "&amp;malumot!B74&amp;", на сумму "&amp;FIXED(malumot!B76)&amp;" ("&amp;malumot!B77&amp;") сум, сроком на "&amp;malumot!B82&amp;" ("&amp;malumot!B83&amp;") месяцев. В качестве своевременного исполнения обязательств по договору Микрозайма "&amp;malumot!B74&amp;" планирует предоставить нижеследующее "&amp;IF(malumot!B110=malumot!C110,"автотранспортного средство марки "&amp;malumot!B132&amp;" принадлежащее на правах собственности "&amp;malumot!B124&amp;"","недвижимого имущества в виде "&amp;malumot!C133&amp;", общей площадью - "&amp;malumot!C137&amp;" и жилой площадью - "&amp;malumot!C140&amp;", расположенного по адресу: "&amp;malumot!C130&amp;", принадлежащее на правах собственности "&amp;malumot!C124&amp;".")</f>
        <v xml:space="preserve">          Между ООО «Clever Mikrokredit Tashkiloti» и OLLABERGANOVA GO'ZALOY IBRAHIMOVNA  (паспорт: AE 2898945 IIV 33212 tomonidan 03.06.2025 yilda berilgan) заключен договор микрозайма 30 yanvar 2026 y.dan №254- XMS, на сумму 100 000 000,00 (yuz million so'm) сум, сроком на 36 (O'ttiz olti  ) месяцев. В качестве своевременного исполнения обязательств по договору Микрозайма 30 yanvar 2026 y.dan №254- XMS планирует предоставить нижеследующее недвижимого имущества в виде 7 -xonali  yakka tartibdagi uy-joy, общей площадью - 88.79 и жилой площадью - 42.17, расположенного по адресу: XORAZM VILOYATI QO'SHKO'PIR TUMANI XOSIYON QFY XOSIYON MFY SHOLIKOR KO'CHASI 37-UY, принадлежащее на правах собственности OLLABERGANOVA GO'ZALOY IBRAHIMOVNA.</v>
      </c>
      <c r="B9" s="360"/>
      <c r="C9" s="360"/>
      <c r="D9" s="360"/>
      <c r="E9" s="360"/>
    </row>
    <row r="11" spans="1:5" ht="42.75" x14ac:dyDescent="0.25">
      <c r="A11" s="35" t="str">
        <f>buyruq!A17</f>
        <v>Nomi</v>
      </c>
      <c r="B11" s="35" t="str">
        <f>buyruq!B17</f>
        <v>Davlat ro'yxatidan o'tkazilgan yer maydoni</v>
      </c>
      <c r="C11" s="35" t="str">
        <f>buyruq!C17</f>
        <v>Yashash maydoni</v>
      </c>
      <c r="D11" s="35" t="str">
        <f>buyruq!D17</f>
        <v>Foydalanishga topshirilgan sanasi</v>
      </c>
      <c r="E11" s="35" t="str">
        <f>buyruq!E17</f>
        <v>Kelishilgan garov qiymati, so'm</v>
      </c>
    </row>
    <row r="12" spans="1:5" ht="73.5" customHeight="1" x14ac:dyDescent="0.25">
      <c r="A12" s="35" t="str">
        <f>buyruq!A18</f>
        <v>7 -xonali  yakka tartibdagi uy-joy</v>
      </c>
      <c r="B12" s="35" t="str">
        <f>buyruq!B18</f>
        <v>420 kv.m</v>
      </c>
      <c r="C12" s="35" t="str">
        <f>buyruq!C18</f>
        <v>42.17 kv.m</v>
      </c>
      <c r="D12" s="35" t="str">
        <f>buyruq!D18</f>
        <v>26.01.2026</v>
      </c>
      <c r="E12" s="35" t="str">
        <f>buyruq!E18</f>
        <v>105 000 000,00 
(yuz besh million so'm)</v>
      </c>
    </row>
    <row r="13" spans="1:5" x14ac:dyDescent="0.25">
      <c r="A13" s="361" t="str">
        <f>buyruq!A19:E19</f>
        <v>-* ko'chmas mulk egasi: OLLABERGANOVA GO'ZALOY IBRAHIMOVNA</v>
      </c>
      <c r="B13" s="361"/>
      <c r="C13" s="361"/>
      <c r="D13" s="361"/>
      <c r="E13" s="361"/>
    </row>
    <row r="14" spans="1:5" x14ac:dyDescent="0.25">
      <c r="A14" s="361" t="str">
        <f>buyruq!A20:E20</f>
        <v>-* reest raqami: 26.01.2026 yildan №1733212/Y-26001010</v>
      </c>
      <c r="B14" s="361"/>
      <c r="C14" s="361"/>
      <c r="D14" s="361"/>
      <c r="E14" s="361"/>
    </row>
    <row r="15" spans="1:5" x14ac:dyDescent="0.25">
      <c r="A15" s="361" t="str">
        <f>buyruq!A21:E21</f>
        <v>-*  kadastr raqami: №22:09:41:01:02:0317</v>
      </c>
      <c r="B15" s="361"/>
      <c r="C15" s="361"/>
      <c r="D15" s="361"/>
      <c r="E15" s="361"/>
    </row>
    <row r="16" spans="1:5" x14ac:dyDescent="0.25">
      <c r="A16" s="361" t="str">
        <f>buyruq!A22:E22</f>
        <v>-* manzili: XORAZM VILOYATI QO'SHKO'PIR TUMANI XOSIYON QFY XOSIYON MFY SHOLIKOR KO'CHASI 37-UY</v>
      </c>
      <c r="B16" s="361"/>
      <c r="C16" s="361"/>
      <c r="D16" s="361"/>
      <c r="E16" s="361"/>
    </row>
    <row r="17" spans="1:5" ht="3" customHeight="1" x14ac:dyDescent="0.25"/>
    <row r="19" spans="1:5" ht="59.25" hidden="1" customHeight="1" x14ac:dyDescent="0.25">
      <c r="A19" s="35" t="str">
        <f>dalolatnoma!A32</f>
        <v>Наименование</v>
      </c>
      <c r="B19" s="35" t="str">
        <f>dalolatnoma!B32</f>
        <v>Полезная площадь</v>
      </c>
      <c r="C19" s="35" t="str">
        <f>dalolatnoma!C32</f>
        <v>Жилая площадь</v>
      </c>
      <c r="D19" s="35" t="str">
        <f>dalolatnoma!D32</f>
        <v>Общая площадь</v>
      </c>
      <c r="E19" s="35" t="str">
        <f>dalolatnoma!E32</f>
        <v>Согласованная залоговая стоимость, сум</v>
      </c>
    </row>
    <row r="20" spans="1:5" ht="17.25" hidden="1" customHeight="1" x14ac:dyDescent="0.25">
      <c r="A20" s="14" t="e">
        <f>dalolatnoma!A33</f>
        <v>#REF!</v>
      </c>
      <c r="B20" s="14" t="e">
        <f>dalolatnoma!B33</f>
        <v>#REF!</v>
      </c>
      <c r="C20" s="14" t="e">
        <f>dalolatnoma!C33</f>
        <v>#REF!</v>
      </c>
      <c r="D20" s="14" t="e">
        <f>dalolatnoma!D33</f>
        <v>#REF!</v>
      </c>
      <c r="E20" s="318" t="str">
        <f>""&amp;FIXED(malumot!C143,2)&amp;" ("&amp;malumot!C144&amp;")"</f>
        <v>105 000 000,00 (yuz besh million so'm)</v>
      </c>
    </row>
    <row r="21" spans="1:5" ht="17.25" hidden="1" customHeight="1" x14ac:dyDescent="0.25">
      <c r="A21" s="14">
        <f>dalolatnoma!A34</f>
        <v>0</v>
      </c>
      <c r="B21" s="14">
        <f>dalolatnoma!B34</f>
        <v>0</v>
      </c>
      <c r="C21" s="14">
        <f>dalolatnoma!C34</f>
        <v>0</v>
      </c>
      <c r="D21" s="14">
        <f>dalolatnoma!D34</f>
        <v>0</v>
      </c>
      <c r="E21" s="319"/>
    </row>
    <row r="22" spans="1:5" ht="17.25" hidden="1" customHeight="1" x14ac:dyDescent="0.25">
      <c r="A22" s="14" t="e">
        <f>dalolatnoma!A35</f>
        <v>#REF!</v>
      </c>
      <c r="B22" s="14" t="e">
        <f>dalolatnoma!B35</f>
        <v>#REF!</v>
      </c>
      <c r="C22" s="14" t="e">
        <f>dalolatnoma!C35</f>
        <v>#REF!</v>
      </c>
      <c r="D22" s="14" t="e">
        <f>dalolatnoma!D35</f>
        <v>#REF!</v>
      </c>
      <c r="E22" s="319"/>
    </row>
    <row r="23" spans="1:5" ht="17.25" hidden="1" customHeight="1" x14ac:dyDescent="0.25">
      <c r="A23" s="14" t="e">
        <f>dalolatnoma!A36</f>
        <v>#REF!</v>
      </c>
      <c r="B23" s="14" t="e">
        <f>dalolatnoma!B36</f>
        <v>#REF!</v>
      </c>
      <c r="C23" s="14" t="e">
        <f>dalolatnoma!C36</f>
        <v>#REF!</v>
      </c>
      <c r="D23" s="14" t="e">
        <f>dalolatnoma!D36</f>
        <v>#REF!</v>
      </c>
      <c r="E23" s="319"/>
    </row>
    <row r="24" spans="1:5" ht="17.25" hidden="1" customHeight="1" x14ac:dyDescent="0.25">
      <c r="A24" s="14" t="e">
        <f>dalolatnoma!A37</f>
        <v>#REF!</v>
      </c>
      <c r="B24" s="14" t="e">
        <f>dalolatnoma!B37</f>
        <v>#REF!</v>
      </c>
      <c r="C24" s="14" t="e">
        <f>dalolatnoma!C37</f>
        <v>#REF!</v>
      </c>
      <c r="D24" s="14" t="e">
        <f>dalolatnoma!D37</f>
        <v>#REF!</v>
      </c>
      <c r="E24" s="319"/>
    </row>
    <row r="25" spans="1:5" ht="15.75" hidden="1" customHeight="1" x14ac:dyDescent="0.25">
      <c r="A25" s="14" t="e">
        <f>dalolatnoma!A38</f>
        <v>#REF!</v>
      </c>
      <c r="B25" s="14" t="e">
        <f>dalolatnoma!B38</f>
        <v>#REF!</v>
      </c>
      <c r="C25" s="14" t="e">
        <f>dalolatnoma!C38</f>
        <v>#REF!</v>
      </c>
      <c r="D25" s="14" t="e">
        <f>dalolatnoma!D38</f>
        <v>#REF!</v>
      </c>
      <c r="E25" s="319"/>
    </row>
    <row r="26" spans="1:5" ht="17.25" hidden="1" customHeight="1" x14ac:dyDescent="0.25">
      <c r="A26" s="14" t="e">
        <f>dalolatnoma!A39</f>
        <v>#REF!</v>
      </c>
      <c r="B26" s="14" t="e">
        <f>dalolatnoma!B39</f>
        <v>#REF!</v>
      </c>
      <c r="C26" s="14" t="e">
        <f>dalolatnoma!C39</f>
        <v>#REF!</v>
      </c>
      <c r="D26" s="14" t="e">
        <f>dalolatnoma!D39</f>
        <v>#REF!</v>
      </c>
      <c r="E26" s="319"/>
    </row>
    <row r="27" spans="1:5" ht="17.25" hidden="1" customHeight="1" x14ac:dyDescent="0.25">
      <c r="A27" s="14" t="e">
        <f>dalolatnoma!A40</f>
        <v>#REF!</v>
      </c>
      <c r="B27" s="14" t="e">
        <f>dalolatnoma!B40</f>
        <v>#REF!</v>
      </c>
      <c r="C27" s="14" t="e">
        <f>dalolatnoma!C40</f>
        <v>#REF!</v>
      </c>
      <c r="D27" s="14" t="e">
        <f>dalolatnoma!D40</f>
        <v>#REF!</v>
      </c>
      <c r="E27" s="319"/>
    </row>
    <row r="28" spans="1:5" ht="17.25" hidden="1" customHeight="1" x14ac:dyDescent="0.25">
      <c r="A28" s="14" t="e">
        <f>dalolatnoma!A41</f>
        <v>#REF!</v>
      </c>
      <c r="B28" s="14" t="e">
        <f>dalolatnoma!B41</f>
        <v>#REF!</v>
      </c>
      <c r="C28" s="14" t="e">
        <f>dalolatnoma!C41</f>
        <v>#REF!</v>
      </c>
      <c r="D28" s="14" t="e">
        <f>dalolatnoma!D41</f>
        <v>#REF!</v>
      </c>
      <c r="E28" s="319"/>
    </row>
    <row r="29" spans="1:5" ht="17.25" hidden="1" customHeight="1" x14ac:dyDescent="0.25">
      <c r="A29" s="14" t="e">
        <f>dalolatnoma!A42</f>
        <v>#REF!</v>
      </c>
      <c r="B29" s="14" t="e">
        <f>dalolatnoma!B42</f>
        <v>#REF!</v>
      </c>
      <c r="C29" s="14" t="e">
        <f>dalolatnoma!C42</f>
        <v>#REF!</v>
      </c>
      <c r="D29" s="14" t="e">
        <f>dalolatnoma!D42</f>
        <v>#REF!</v>
      </c>
      <c r="E29" s="319"/>
    </row>
    <row r="30" spans="1:5" ht="17.25" hidden="1" customHeight="1" x14ac:dyDescent="0.25">
      <c r="A30" s="14" t="e">
        <f>dalolatnoma!A43</f>
        <v>#REF!</v>
      </c>
      <c r="B30" s="14" t="e">
        <f>dalolatnoma!B43</f>
        <v>#REF!</v>
      </c>
      <c r="C30" s="14" t="e">
        <f>dalolatnoma!C43</f>
        <v>#REF!</v>
      </c>
      <c r="D30" s="14" t="e">
        <f>dalolatnoma!D43</f>
        <v>#REF!</v>
      </c>
      <c r="E30" s="320"/>
    </row>
    <row r="31" spans="1:5" ht="17.25" hidden="1" customHeight="1" x14ac:dyDescent="0.25">
      <c r="A31" s="14" t="e">
        <f>dalolatnoma!A44</f>
        <v>#REF!</v>
      </c>
      <c r="B31" s="14" t="e">
        <f>dalolatnoma!B44</f>
        <v>#REF!</v>
      </c>
      <c r="C31" s="14" t="e">
        <f>dalolatnoma!C44</f>
        <v>#REF!</v>
      </c>
      <c r="D31" s="14" t="e">
        <f>dalolatnoma!D44</f>
        <v>#REF!</v>
      </c>
      <c r="E31" s="14" t="str">
        <f>dalolatnoma!E44</f>
        <v>105 000 000,00</v>
      </c>
    </row>
    <row r="32" spans="1:5" ht="18.75" hidden="1" customHeight="1" x14ac:dyDescent="0.25">
      <c r="A32" s="360" t="e">
        <f>_xlfn.SINGLE(dalolatnoma!#REF!)</f>
        <v>#REF!</v>
      </c>
      <c r="B32" s="360"/>
      <c r="C32" s="360"/>
      <c r="D32" s="360"/>
      <c r="E32" s="360"/>
    </row>
    <row r="33" spans="1:5" ht="24.75" hidden="1" customHeight="1" x14ac:dyDescent="0.25">
      <c r="A33" s="360" t="e">
        <f>_xlfn.SINGLE(dalolatnoma!#REF!)</f>
        <v>#REF!</v>
      </c>
      <c r="B33" s="360"/>
      <c r="C33" s="360"/>
      <c r="D33" s="360"/>
      <c r="E33" s="360"/>
    </row>
    <row r="34" spans="1:5" ht="30.75" hidden="1" customHeight="1" x14ac:dyDescent="0.25">
      <c r="A34" s="360" t="e">
        <f>_xlfn.SINGLE(dalolatnoma!#REF!)</f>
        <v>#REF!</v>
      </c>
      <c r="B34" s="360"/>
      <c r="C34" s="360"/>
      <c r="D34" s="360"/>
      <c r="E34" s="360"/>
    </row>
    <row r="35" spans="1:5" ht="15" hidden="1" customHeight="1" x14ac:dyDescent="0.25">
      <c r="A35" s="360" t="e">
        <f>_xlfn.SINGLE(dalolatnoma!#REF!)</f>
        <v>#REF!</v>
      </c>
      <c r="B35" s="360"/>
      <c r="C35" s="360"/>
      <c r="D35" s="360"/>
      <c r="E35" s="360"/>
    </row>
    <row r="36" spans="1:5" x14ac:dyDescent="0.25">
      <c r="A36" s="18"/>
      <c r="B36" s="18"/>
      <c r="C36" s="18"/>
      <c r="D36" s="18"/>
      <c r="E36" s="18"/>
    </row>
    <row r="37" spans="1:5" s="119" customFormat="1" ht="51" customHeight="1" x14ac:dyDescent="0.25">
      <c r="A37" s="359"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59"/>
      <c r="C37" s="359"/>
      <c r="D37" s="359"/>
      <c r="E37" s="359"/>
    </row>
    <row r="38" spans="1:5" ht="40.5" customHeight="1" x14ac:dyDescent="0.25">
      <c r="A38" s="360" t="str">
        <f>dalolatnoma!A47:E47</f>
        <v>Shu bilan birga, garov predmetining kelishilgan garov qiymati deganda ushbu mulk garov sifatida taqdim etilgan/qabul qilingan qiymati tushuniladi.</v>
      </c>
      <c r="B38" s="360"/>
      <c r="C38" s="360"/>
      <c r="D38" s="360"/>
      <c r="E38" s="360"/>
    </row>
    <row r="39" spans="1:5" ht="39" customHeight="1" x14ac:dyDescent="0.25">
      <c r="A39" s="360"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30 yanvar 2026 y.dan №254- XMS, при сохранении запрета.</v>
      </c>
      <c r="B39" s="360"/>
      <c r="C39" s="360"/>
      <c r="D39" s="360"/>
      <c r="E39" s="360"/>
    </row>
    <row r="40" spans="1:5" x14ac:dyDescent="0.25">
      <c r="A40" s="363"/>
      <c r="B40" s="363"/>
      <c r="C40" s="363"/>
      <c r="D40" s="363"/>
      <c r="E40" s="363"/>
    </row>
    <row r="41" spans="1:5" x14ac:dyDescent="0.25">
      <c r="A41" s="364" t="s">
        <v>34</v>
      </c>
      <c r="B41" s="364"/>
      <c r="C41" s="364"/>
      <c r="D41" s="364"/>
      <c r="E41" s="364"/>
    </row>
    <row r="42" spans="1:5" x14ac:dyDescent="0.25">
      <c r="A42" s="363"/>
      <c r="B42" s="363"/>
      <c r="C42" s="363"/>
      <c r="D42" s="363"/>
      <c r="E42" s="363"/>
    </row>
    <row r="43" spans="1:5" x14ac:dyDescent="0.25">
      <c r="A43" s="364" t="s">
        <v>35</v>
      </c>
      <c r="B43" s="364"/>
      <c r="C43" s="364"/>
      <c r="D43" s="364"/>
      <c r="E43" s="364"/>
    </row>
    <row r="44" spans="1:5" ht="28.5" customHeight="1" x14ac:dyDescent="0.25">
      <c r="A44" s="362" t="s">
        <v>36</v>
      </c>
      <c r="B44" s="362"/>
      <c r="C44" s="362"/>
      <c r="D44" s="362"/>
      <c r="E44" s="99"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6">
    <tabColor rgb="FF00B050"/>
  </sheetPr>
  <dimension ref="A1:I31"/>
  <sheetViews>
    <sheetView view="pageBreakPreview" zoomScaleNormal="100" zoomScaleSheetLayoutView="100" workbookViewId="0">
      <selection activeCell="H31" sqref="H31"/>
    </sheetView>
  </sheetViews>
  <sheetFormatPr defaultColWidth="9.140625" defaultRowHeight="12.75" x14ac:dyDescent="0.2"/>
  <cols>
    <col min="1" max="2" width="11" style="20" customWidth="1"/>
    <col min="3" max="4" width="14.42578125" style="20" customWidth="1"/>
    <col min="5" max="6" width="13.5703125" style="20" customWidth="1"/>
    <col min="7" max="7" width="9.140625" style="20"/>
    <col min="8" max="8" width="19" style="20" bestFit="1" customWidth="1"/>
    <col min="9" max="16384" width="9.140625" style="20"/>
  </cols>
  <sheetData>
    <row r="1" spans="1:9" x14ac:dyDescent="0.2">
      <c r="A1" s="27"/>
      <c r="B1" s="27"/>
      <c r="C1" s="27"/>
      <c r="D1" s="27"/>
      <c r="E1" s="27"/>
      <c r="F1" s="27"/>
      <c r="G1" s="27"/>
      <c r="H1" s="27"/>
      <c r="I1" s="27"/>
    </row>
    <row r="2" spans="1:9" x14ac:dyDescent="0.2">
      <c r="A2" s="370" t="str">
        <f>""&amp;" "&amp;malumot!B74&amp;"-sonli "&amp;" "&amp;malumot!C64&amp;" shartnomasi bo‘yicha
 garovga qo‘yilgan mol-mulkni tekshirish bo’yicha "&amp;malumot!B5&amp;" bilan tuzilgan dalolatnomasi"</f>
        <v xml:space="preserve"> 30 yanvar 2026 y.dan №254- XMS-sonli  Mikroqarz shartnomasi bo‘yicha
 garovga qo‘yilgan mol-mulkni tekshirish bo’yicha OLLABERGANOVA GO'ZALOY IBRAHIMOVNA bilan tuzilgan dalolatnomasi</v>
      </c>
      <c r="B2" s="370"/>
      <c r="C2" s="370"/>
      <c r="D2" s="370"/>
      <c r="E2" s="370"/>
      <c r="F2" s="370"/>
      <c r="G2" s="370"/>
      <c r="H2" s="370"/>
      <c r="I2" s="27"/>
    </row>
    <row r="3" spans="1:9" x14ac:dyDescent="0.2">
      <c r="A3" s="370"/>
      <c r="B3" s="370"/>
      <c r="C3" s="370"/>
      <c r="D3" s="370"/>
      <c r="E3" s="370"/>
      <c r="F3" s="370"/>
      <c r="G3" s="370"/>
      <c r="H3" s="370"/>
      <c r="I3" s="27"/>
    </row>
    <row r="5" spans="1:9" x14ac:dyDescent="0.2">
      <c r="A5" s="20" t="s">
        <v>196</v>
      </c>
      <c r="H5" s="129" t="str">
        <f>TEXT(+malumot!B2+360,"ДД.ММ.ГГГГ")</f>
        <v>25.01.2027</v>
      </c>
    </row>
    <row r="7" spans="1:9" ht="45" customHeight="1" x14ac:dyDescent="0.2">
      <c r="A7" s="372" t="str">
        <f>"      Men, "&amp;malumot!B158&amp;" "&amp;malumot!A161&amp;"i "&amp;malumot!B161&amp;", jismoniy shaxs "&amp;" "&amp;malumot!B5&amp;" "&amp;" "&amp;malumot!B74&amp;"-sonli "&amp;malumot!C64&amp;" shartnomasi bo‘yicha garovga qo‘yilgan mol-mulkni ko‘zdan kechirdim"</f>
        <v xml:space="preserve">      Men, «CLEVER MIKROMOLIYA TASHKILOTI» MChJ Xorazm filiali boshlig'ii M.Sharipov, jismoniy shaxs  OLLABERGANOVA GO'ZALOY IBRAHIMOVNA  30 yanvar 2026 y.dan №254- XMS-sonli Mikroqarz shartnomasi bo‘yicha garovga qo‘yilgan mol-mulkni ko‘zdan kechirdim</v>
      </c>
      <c r="B7" s="372"/>
      <c r="C7" s="372"/>
      <c r="D7" s="372"/>
      <c r="E7" s="372"/>
      <c r="F7" s="372"/>
      <c r="G7" s="372"/>
      <c r="H7" s="372"/>
    </row>
    <row r="8" spans="1:9" ht="19.5" customHeight="1" x14ac:dyDescent="0.2">
      <c r="A8" s="373" t="s">
        <v>265</v>
      </c>
      <c r="B8" s="373"/>
      <c r="C8" s="373"/>
      <c r="D8" s="373"/>
      <c r="E8" s="373"/>
      <c r="F8" s="373"/>
      <c r="G8" s="373"/>
      <c r="H8" s="373"/>
    </row>
    <row r="9" spans="1:9" s="130" customFormat="1" ht="32.25" customHeight="1" x14ac:dyDescent="0.25">
      <c r="A9" s="368" t="str">
        <f>akt_monitoring_2!A9</f>
        <v>Nomi</v>
      </c>
      <c r="B9" s="369"/>
      <c r="C9" s="368" t="str">
        <f>akt_monitoring_2!C9</f>
        <v>Davlat ro'yxatidan o'tkazilgan yer maydoni</v>
      </c>
      <c r="D9" s="369"/>
      <c r="E9" s="368" t="str">
        <f>akt_monitoring_2!E9</f>
        <v>Yashash maydoni</v>
      </c>
      <c r="F9" s="369"/>
      <c r="G9" s="368" t="str">
        <f>akt_monitoring_2!G9</f>
        <v>Umumiy maydoni</v>
      </c>
      <c r="H9" s="369"/>
    </row>
    <row r="10" spans="1:9" s="128" customFormat="1" ht="58.5" customHeight="1" x14ac:dyDescent="0.2">
      <c r="A10" s="366" t="str">
        <f>akt_monitoring_2!A10</f>
        <v>7 -xonali  yakka tartibdagi uy-joy</v>
      </c>
      <c r="B10" s="366"/>
      <c r="C10" s="366" t="str">
        <f>akt_monitoring_2!C10</f>
        <v>420 kv.m</v>
      </c>
      <c r="D10" s="366"/>
      <c r="E10" s="366" t="str">
        <f>akt_monitoring_2!E10</f>
        <v>42.17 kv.m</v>
      </c>
      <c r="F10" s="366"/>
      <c r="G10" s="366" t="str">
        <f>akt_monitoring_2!G10</f>
        <v>88.79 kv.m</v>
      </c>
      <c r="H10" s="366"/>
    </row>
    <row r="11" spans="1:9" ht="19.5" customHeight="1" x14ac:dyDescent="0.2">
      <c r="A11" s="367" t="str">
        <f>dalolatnoma!A22:E22</f>
        <v>-* ko'chmas mulk egasi: OLLABERGANOVA GO'ZALOY IBRAHIMOVNA</v>
      </c>
      <c r="B11" s="367"/>
      <c r="C11" s="367"/>
      <c r="D11" s="367"/>
      <c r="E11" s="367"/>
      <c r="F11" s="367"/>
      <c r="G11" s="367"/>
      <c r="H11" s="367"/>
    </row>
    <row r="12" spans="1:9" ht="19.5" customHeight="1" x14ac:dyDescent="0.2">
      <c r="A12" s="367" t="str">
        <f>dalolatnoma!A23:E23</f>
        <v>-* reest raqami: 26.01.2026 yildan №1733212/Y-26001010</v>
      </c>
      <c r="B12" s="367"/>
      <c r="C12" s="367"/>
      <c r="D12" s="367"/>
      <c r="E12" s="367"/>
      <c r="F12" s="367"/>
      <c r="G12" s="367"/>
      <c r="H12" s="367"/>
    </row>
    <row r="13" spans="1:9" ht="19.5" customHeight="1" x14ac:dyDescent="0.2">
      <c r="A13" s="367" t="str">
        <f>dalolatnoma!A24:E24</f>
        <v>-*  kadastr raqami: №22:09:41:01:02:0317</v>
      </c>
      <c r="B13" s="367"/>
      <c r="C13" s="367"/>
      <c r="D13" s="367"/>
      <c r="E13" s="367"/>
      <c r="F13" s="367"/>
      <c r="G13" s="367"/>
      <c r="H13" s="367"/>
    </row>
    <row r="14" spans="1:9" ht="19.5" customHeight="1" x14ac:dyDescent="0.2">
      <c r="A14" s="367" t="str">
        <f>dalolatnoma!A25:E25</f>
        <v>-* manzili: XORAZM VILOYATI QO'SHKO'PIR TUMANI XOSIYON QFY XOSIYON MFY SHOLIKOR KO'CHASI 37-UY</v>
      </c>
      <c r="B14" s="367"/>
      <c r="C14" s="367"/>
      <c r="D14" s="367"/>
      <c r="E14" s="367"/>
      <c r="F14" s="367"/>
      <c r="G14" s="367"/>
      <c r="H14" s="367"/>
    </row>
    <row r="15" spans="1:9" ht="33.75" customHeight="1" x14ac:dyDescent="0.2">
      <c r="A15" s="371" t="str">
        <f>+"Shu bilan birga, yuqoridagi mulkning kelishilgan garov qiymati "&amp;dalolatnoma!E30</f>
        <v>Shu bilan birga, yuqoridagi mulkning kelishilgan garov qiymati 105 000 000,00 
(yuz besh million so'm)</v>
      </c>
      <c r="B15" s="371"/>
      <c r="C15" s="371"/>
      <c r="D15" s="371"/>
      <c r="E15" s="371"/>
      <c r="F15" s="371"/>
      <c r="G15" s="371"/>
      <c r="H15" s="371"/>
    </row>
    <row r="17" spans="1:8" ht="35.25" customHeight="1" x14ac:dyDescent="0.2">
      <c r="A17" s="365" t="s">
        <v>266</v>
      </c>
      <c r="B17" s="365"/>
      <c r="C17" s="365"/>
      <c r="D17" s="365"/>
      <c r="E17" s="365"/>
      <c r="F17" s="365"/>
      <c r="G17" s="365"/>
      <c r="H17" s="365"/>
    </row>
    <row r="21" spans="1:8" s="27" customFormat="1" x14ac:dyDescent="0.2"/>
    <row r="22" spans="1:8" s="27" customFormat="1" x14ac:dyDescent="0.2">
      <c r="A22" s="185" t="str">
        <f>malumot!A161</f>
        <v>Xorazm filiali boshlig'i</v>
      </c>
      <c r="H22" s="131" t="str">
        <f>malumot!B161</f>
        <v>M.Sharipov</v>
      </c>
    </row>
    <row r="23" spans="1:8" s="27" customFormat="1" x14ac:dyDescent="0.2">
      <c r="H23" s="131"/>
    </row>
    <row r="24" spans="1:8" s="27" customFormat="1" x14ac:dyDescent="0.2"/>
    <row r="25" spans="1:8" s="27" customFormat="1" x14ac:dyDescent="0.2"/>
    <row r="26" spans="1:8" s="27" customFormat="1" x14ac:dyDescent="0.2">
      <c r="H26" s="131"/>
    </row>
    <row r="27" spans="1:8" s="27" customFormat="1" x14ac:dyDescent="0.2">
      <c r="A27" s="27" t="str">
        <f>malumot!A171</f>
        <v>Monitoring bo’limi boshlig’i</v>
      </c>
      <c r="H27" s="27" t="str">
        <f>malumot!B171</f>
        <v>D.Axmedov</v>
      </c>
    </row>
    <row r="28" spans="1:8" s="27" customFormat="1" x14ac:dyDescent="0.2"/>
    <row r="29" spans="1:8" s="27" customFormat="1" x14ac:dyDescent="0.2"/>
    <row r="31" spans="1:8" x14ac:dyDescent="0.2">
      <c r="A31" s="27" t="s">
        <v>268</v>
      </c>
      <c r="H31" s="27" t="str">
        <f>malumot!B7</f>
        <v>OLLABERGANOVA G.I.</v>
      </c>
    </row>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5"/>
  <sheetViews>
    <sheetView view="pageBreakPreview" topLeftCell="A7" zoomScaleNormal="100" zoomScaleSheetLayoutView="100" workbookViewId="0">
      <selection activeCell="A17" sqref="A17:H17"/>
    </sheetView>
  </sheetViews>
  <sheetFormatPr defaultColWidth="9.140625" defaultRowHeight="12.75" x14ac:dyDescent="0.2"/>
  <cols>
    <col min="1" max="2" width="11" style="20" customWidth="1"/>
    <col min="3" max="4" width="14.42578125" style="20" customWidth="1"/>
    <col min="5" max="6" width="13.5703125" style="20" customWidth="1"/>
    <col min="7" max="7" width="9.140625" style="20"/>
    <col min="8" max="8" width="19" style="20" bestFit="1" customWidth="1"/>
    <col min="9" max="9" width="9.140625" style="20" hidden="1" customWidth="1"/>
    <col min="10" max="10" width="9.140625" style="20" customWidth="1"/>
    <col min="11" max="11" width="0.5703125" style="20" customWidth="1"/>
    <col min="12" max="16384" width="9.140625" style="20"/>
  </cols>
  <sheetData>
    <row r="1" spans="1:9" x14ac:dyDescent="0.2">
      <c r="A1" s="27"/>
      <c r="B1" s="27"/>
      <c r="C1" s="27"/>
      <c r="D1" s="27"/>
      <c r="E1" s="27"/>
      <c r="F1" s="27"/>
      <c r="G1" s="27"/>
      <c r="H1" s="27"/>
      <c r="I1" s="27"/>
    </row>
    <row r="2" spans="1:9" x14ac:dyDescent="0.2">
      <c r="A2" s="370" t="str">
        <f>""&amp;" "&amp;malumot!B74&amp;"-sonli "&amp;" "&amp;malumot!C64&amp;" shartnomasi bo‘yicha
 garovga qo‘yilgan mol-mulkni tekshirish bo’yicha "&amp;malumot!B5&amp;" bilan tuzilgan dalolatnomasi"</f>
        <v xml:space="preserve"> 30 yanvar 2026 y.dan №254- XMS-sonli  Mikroqarz shartnomasi bo‘yicha
 garovga qo‘yilgan mol-mulkni tekshirish bo’yicha OLLABERGANOVA GO'ZALOY IBRAHIMOVNA bilan tuzilgan dalolatnomasi</v>
      </c>
      <c r="B2" s="370"/>
      <c r="C2" s="370"/>
      <c r="D2" s="370"/>
      <c r="E2" s="370"/>
      <c r="F2" s="370"/>
      <c r="G2" s="370"/>
      <c r="H2" s="370"/>
      <c r="I2" s="27"/>
    </row>
    <row r="3" spans="1:9" x14ac:dyDescent="0.2">
      <c r="A3" s="370"/>
      <c r="B3" s="370"/>
      <c r="C3" s="370"/>
      <c r="D3" s="370"/>
      <c r="E3" s="370"/>
      <c r="F3" s="370"/>
      <c r="G3" s="370"/>
      <c r="H3" s="370"/>
      <c r="I3" s="27"/>
    </row>
    <row r="5" spans="1:9" x14ac:dyDescent="0.2">
      <c r="A5" s="20" t="s">
        <v>196</v>
      </c>
      <c r="F5" s="141"/>
      <c r="H5" s="129" t="str">
        <f>TEXT(malumot!D2,"ДД.ММ.ГГГГ")</f>
        <v>29.07.2026</v>
      </c>
    </row>
    <row r="7" spans="1:9" ht="45" customHeight="1" x14ac:dyDescent="0.2">
      <c r="A7" s="372" t="str">
        <f>"      Men, “СLEVER MIKROMOLYA TASHKILOTI” "&amp;malumot!A161&amp;"i "&amp;malumot!B161&amp;", jismoniy shaxs "&amp;" "&amp;malumot!B5&amp;" "&amp;" "&amp;malumot!B74&amp;"-sonli "&amp;malumot!B65&amp;" shartnomasi bo‘yicha garovga qo‘yilgan mol-mulkni ko‘zdan kechirdim"</f>
        <v xml:space="preserve">      Men, “СLEVER MIKROMOLYA TASHKILOTI” Xorazm filiali boshlig'ii M.Sharipov, jismoniy shaxs  OLLABERGANOVA GO'ZALOY IBRAHIMOVNA  30 yanvar 2026 y.dan №254- XMS-sonli mikroqarz shartnomasi bo‘yicha garovga qo‘yilgan mol-mulkni ko‘zdan kechirdim</v>
      </c>
      <c r="B7" s="372"/>
      <c r="C7" s="372"/>
      <c r="D7" s="372"/>
      <c r="E7" s="372"/>
      <c r="F7" s="372"/>
      <c r="G7" s="372"/>
      <c r="H7" s="372"/>
    </row>
    <row r="8" spans="1:9" ht="19.5" customHeight="1" x14ac:dyDescent="0.2">
      <c r="A8" s="373" t="s">
        <v>265</v>
      </c>
      <c r="B8" s="373"/>
      <c r="C8" s="373"/>
      <c r="D8" s="373"/>
      <c r="E8" s="373"/>
      <c r="F8" s="373"/>
      <c r="G8" s="373"/>
      <c r="H8" s="373"/>
    </row>
    <row r="9" spans="1:9" s="130" customFormat="1" ht="32.25" customHeight="1" x14ac:dyDescent="0.25">
      <c r="A9" s="368" t="str">
        <f>dalolatnoma!A20</f>
        <v>Nomi</v>
      </c>
      <c r="B9" s="369"/>
      <c r="C9" s="368" t="str">
        <f>dalolatnoma!B20</f>
        <v>Davlat ro'yxatidan o'tkazilgan yer maydoni</v>
      </c>
      <c r="D9" s="369"/>
      <c r="E9" s="368" t="str">
        <f>dalolatnoma!D20</f>
        <v>Yashash maydoni</v>
      </c>
      <c r="F9" s="369"/>
      <c r="G9" s="368" t="str">
        <f>dalolatnoma!E20</f>
        <v>Umumiy maydoni</v>
      </c>
      <c r="H9" s="369"/>
    </row>
    <row r="10" spans="1:9" s="128" customFormat="1" ht="58.5" customHeight="1" x14ac:dyDescent="0.2">
      <c r="A10" s="366" t="str">
        <f>dalolatnoma!A21</f>
        <v>7 -xonali  yakka tartibdagi uy-joy</v>
      </c>
      <c r="B10" s="366"/>
      <c r="C10" s="366" t="str">
        <f>dalolatnoma!B21</f>
        <v>420 kv.m</v>
      </c>
      <c r="D10" s="366"/>
      <c r="E10" s="366" t="str">
        <f>dalolatnoma!D21</f>
        <v>42.17 kv.m</v>
      </c>
      <c r="F10" s="366"/>
      <c r="G10" s="366" t="str">
        <f>dalolatnoma!E21</f>
        <v>88.79 kv.m</v>
      </c>
      <c r="H10" s="366"/>
    </row>
    <row r="11" spans="1:9" ht="19.5" customHeight="1" x14ac:dyDescent="0.2">
      <c r="A11" s="367" t="str">
        <f>dalolatnoma!A22:E22</f>
        <v>-* ko'chmas mulk egasi: OLLABERGANOVA GO'ZALOY IBRAHIMOVNA</v>
      </c>
      <c r="B11" s="367"/>
      <c r="C11" s="367"/>
      <c r="D11" s="367"/>
      <c r="E11" s="367"/>
      <c r="F11" s="367"/>
      <c r="G11" s="367"/>
      <c r="H11" s="367"/>
    </row>
    <row r="12" spans="1:9" ht="19.5" customHeight="1" x14ac:dyDescent="0.2">
      <c r="A12" s="367" t="str">
        <f>dalolatnoma!A23:E23</f>
        <v>-* reest raqami: 26.01.2026 yildan №1733212/Y-26001010</v>
      </c>
      <c r="B12" s="367"/>
      <c r="C12" s="367"/>
      <c r="D12" s="367"/>
      <c r="E12" s="367"/>
      <c r="F12" s="367"/>
      <c r="G12" s="367"/>
      <c r="H12" s="367"/>
    </row>
    <row r="13" spans="1:9" ht="19.5" customHeight="1" x14ac:dyDescent="0.2">
      <c r="A13" s="367" t="str">
        <f>dalolatnoma!A24:E24</f>
        <v>-*  kadastr raqami: №22:09:41:01:02:0317</v>
      </c>
      <c r="B13" s="367"/>
      <c r="C13" s="367"/>
      <c r="D13" s="367"/>
      <c r="E13" s="367"/>
      <c r="F13" s="367"/>
      <c r="G13" s="367"/>
      <c r="H13" s="367"/>
    </row>
    <row r="14" spans="1:9" ht="19.5" customHeight="1" x14ac:dyDescent="0.2">
      <c r="A14" s="367" t="str">
        <f>dalolatnoma!A25:E25</f>
        <v>-* manzili: XORAZM VILOYATI QO'SHKO'PIR TUMANI XOSIYON QFY XOSIYON MFY SHOLIKOR KO'CHASI 37-UY</v>
      </c>
      <c r="B14" s="367"/>
      <c r="C14" s="367"/>
      <c r="D14" s="367"/>
      <c r="E14" s="367"/>
      <c r="F14" s="367"/>
      <c r="G14" s="367"/>
      <c r="H14" s="367"/>
    </row>
    <row r="15" spans="1:9" ht="33.75" customHeight="1" x14ac:dyDescent="0.2">
      <c r="A15" s="371" t="str">
        <f>+"Shu bilan birga, yuqoridagi mulkning kelishilgan garov qiymati "&amp;dalolatnoma!E30</f>
        <v>Shu bilan birga, yuqoridagi mulkning kelishilgan garov qiymati 105 000 000,00 
(yuz besh million so'm)</v>
      </c>
      <c r="B15" s="371"/>
      <c r="C15" s="371"/>
      <c r="D15" s="371"/>
      <c r="E15" s="371"/>
      <c r="F15" s="371"/>
      <c r="G15" s="371"/>
      <c r="H15" s="371"/>
    </row>
    <row r="17" spans="1:8" ht="27" customHeight="1" x14ac:dyDescent="0.2">
      <c r="A17" s="365" t="s">
        <v>266</v>
      </c>
      <c r="B17" s="365"/>
      <c r="C17" s="365"/>
      <c r="D17" s="365"/>
      <c r="E17" s="365"/>
      <c r="F17" s="365"/>
      <c r="G17" s="365"/>
      <c r="H17" s="365"/>
    </row>
    <row r="21" spans="1:8" s="27" customFormat="1" x14ac:dyDescent="0.2"/>
    <row r="22" spans="1:8" s="27" customFormat="1" x14ac:dyDescent="0.2">
      <c r="A22" s="27" t="str">
        <f>malumot!A161</f>
        <v>Xorazm filiali boshlig'i</v>
      </c>
      <c r="H22" s="131" t="str">
        <f>malumot!B161</f>
        <v>M.Sharipov</v>
      </c>
    </row>
    <row r="23" spans="1:8" s="27" customFormat="1" x14ac:dyDescent="0.2">
      <c r="H23" s="131"/>
    </row>
    <row r="24" spans="1:8" s="27" customFormat="1" x14ac:dyDescent="0.2">
      <c r="H24" s="131"/>
    </row>
    <row r="25" spans="1:8" s="27" customFormat="1" x14ac:dyDescent="0.2">
      <c r="H25" s="131"/>
    </row>
    <row r="26" spans="1:8" s="27" customFormat="1" x14ac:dyDescent="0.2">
      <c r="H26" s="131"/>
    </row>
    <row r="27" spans="1:8" s="27" customFormat="1" ht="16.5" customHeight="1" x14ac:dyDescent="0.2">
      <c r="A27" s="27" t="s">
        <v>267</v>
      </c>
      <c r="H27" s="27" t="str">
        <f>malumot!B171</f>
        <v>D.Axmedov</v>
      </c>
    </row>
    <row r="28" spans="1:8" s="27" customFormat="1" ht="16.5" customHeight="1" x14ac:dyDescent="0.2"/>
    <row r="29" spans="1:8" s="27" customFormat="1" ht="16.5" customHeight="1" x14ac:dyDescent="0.2"/>
    <row r="30" spans="1:8" s="27" customFormat="1" x14ac:dyDescent="0.2"/>
    <row r="31" spans="1:8" s="27" customFormat="1" x14ac:dyDescent="0.2">
      <c r="A31" s="27" t="s">
        <v>268</v>
      </c>
      <c r="H31" s="131" t="str">
        <f>malumot!B7</f>
        <v>OLLABERGANOVA G.I.</v>
      </c>
    </row>
    <row r="32" spans="1:8" s="27" customFormat="1" x14ac:dyDescent="0.2"/>
    <row r="33" s="27" customFormat="1" x14ac:dyDescent="0.2"/>
    <row r="34" s="27" customFormat="1" x14ac:dyDescent="0.2"/>
    <row r="35" s="27" customFormat="1" x14ac:dyDescent="0.2"/>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34"/>
  <sheetViews>
    <sheetView view="pageBreakPreview" topLeftCell="A7" zoomScaleNormal="100" zoomScaleSheetLayoutView="100" workbookViewId="0">
      <selection activeCell="A28" sqref="A28:XFD28"/>
    </sheetView>
  </sheetViews>
  <sheetFormatPr defaultColWidth="9.140625" defaultRowHeight="12.75" x14ac:dyDescent="0.2"/>
  <cols>
    <col min="1" max="2" width="11" style="20" customWidth="1"/>
    <col min="3" max="4" width="14.42578125" style="20" customWidth="1"/>
    <col min="5" max="6" width="13.5703125" style="20" customWidth="1"/>
    <col min="7" max="7" width="9.140625" style="20"/>
    <col min="8" max="8" width="19" style="20" bestFit="1" customWidth="1"/>
    <col min="9" max="16384" width="9.140625" style="20"/>
  </cols>
  <sheetData>
    <row r="1" spans="1:9" x14ac:dyDescent="0.2">
      <c r="A1" s="27"/>
      <c r="B1" s="27"/>
      <c r="C1" s="27"/>
      <c r="D1" s="27"/>
      <c r="E1" s="27"/>
      <c r="F1" s="27"/>
      <c r="G1" s="27"/>
      <c r="H1" s="27"/>
      <c r="I1" s="27"/>
    </row>
    <row r="2" spans="1:9" x14ac:dyDescent="0.2">
      <c r="A2" s="370" t="str">
        <f>""&amp;" "&amp;malumot!B74&amp;"-sonli "&amp;" "&amp;malumot!C64&amp;" shartnomasi bo‘yicha
 garovga qo‘yilgan mol-mulkni tekshirish bo’yicha "&amp;malumot!B5&amp;" bilan tuzilgan dalolatnomasi"</f>
        <v xml:space="preserve"> 30 yanvar 2026 y.dan №254- XMS-sonli  Mikroqarz shartnomasi bo‘yicha
 garovga qo‘yilgan mol-mulkni tekshirish bo’yicha OLLABERGANOVA GO'ZALOY IBRAHIMOVNA bilan tuzilgan dalolatnomasi</v>
      </c>
      <c r="B2" s="370"/>
      <c r="C2" s="370"/>
      <c r="D2" s="370"/>
      <c r="E2" s="370"/>
      <c r="F2" s="370"/>
      <c r="G2" s="370"/>
      <c r="H2" s="370"/>
      <c r="I2" s="27"/>
    </row>
    <row r="3" spans="1:9" x14ac:dyDescent="0.2">
      <c r="A3" s="370"/>
      <c r="B3" s="370"/>
      <c r="C3" s="370"/>
      <c r="D3" s="370"/>
      <c r="E3" s="370"/>
      <c r="F3" s="370"/>
      <c r="G3" s="370"/>
      <c r="H3" s="370"/>
      <c r="I3" s="27"/>
    </row>
    <row r="5" spans="1:9" x14ac:dyDescent="0.2">
      <c r="A5" s="20" t="s">
        <v>196</v>
      </c>
      <c r="H5" s="129" t="str">
        <f>TEXT(+malumot!B2+540,"ДД.ММ.ГГГГ")</f>
        <v>24.07.2027</v>
      </c>
    </row>
    <row r="7" spans="1:9" ht="45" customHeight="1" x14ac:dyDescent="0.2">
      <c r="A7" s="372" t="str">
        <f>"      Men, "&amp;malumot!B158&amp;" "&amp;malumot!A161&amp;"i "&amp;malumot!B161&amp;", jismoniy shaxs "&amp;" "&amp;malumot!B5&amp;" "&amp;" "&amp;malumot!B74&amp;"-sonli "&amp;malumot!C64&amp;" shartnomasi bo‘yicha garovga qo‘yilgan mol-mulkni ko‘zdan kechirdim"</f>
        <v xml:space="preserve">      Men, «CLEVER MIKROMOLIYA TASHKILOTI» MChJ Xorazm filiali boshlig'ii M.Sharipov, jismoniy shaxs  OLLABERGANOVA GO'ZALOY IBRAHIMOVNA  30 yanvar 2026 y.dan №254- XMS-sonli Mikroqarz shartnomasi bo‘yicha garovga qo‘yilgan mol-mulkni ko‘zdan kechirdim</v>
      </c>
      <c r="B7" s="372"/>
      <c r="C7" s="372"/>
      <c r="D7" s="372"/>
      <c r="E7" s="372"/>
      <c r="F7" s="372"/>
      <c r="G7" s="372"/>
      <c r="H7" s="372"/>
    </row>
    <row r="8" spans="1:9" ht="19.5" customHeight="1" x14ac:dyDescent="0.2">
      <c r="A8" s="373" t="s">
        <v>265</v>
      </c>
      <c r="B8" s="373"/>
      <c r="C8" s="373"/>
      <c r="D8" s="373"/>
      <c r="E8" s="373"/>
      <c r="F8" s="373"/>
      <c r="G8" s="373"/>
      <c r="H8" s="373"/>
    </row>
    <row r="9" spans="1:9" s="130" customFormat="1" ht="32.25" customHeight="1" x14ac:dyDescent="0.25">
      <c r="A9" s="368" t="str">
        <f>akt_monitoring_2!A9</f>
        <v>Nomi</v>
      </c>
      <c r="B9" s="369"/>
      <c r="C9" s="368" t="str">
        <f>akt_monitoring_2!C9</f>
        <v>Davlat ro'yxatidan o'tkazilgan yer maydoni</v>
      </c>
      <c r="D9" s="369"/>
      <c r="E9" s="368" t="str">
        <f>akt_monitoring_2!E9</f>
        <v>Yashash maydoni</v>
      </c>
      <c r="F9" s="369"/>
      <c r="G9" s="368" t="str">
        <f>akt_monitoring_2!G9</f>
        <v>Umumiy maydoni</v>
      </c>
      <c r="H9" s="369"/>
    </row>
    <row r="10" spans="1:9" s="128" customFormat="1" ht="58.5" customHeight="1" x14ac:dyDescent="0.2">
      <c r="A10" s="374" t="str">
        <f>akt_monitoring_2!A10</f>
        <v>7 -xonali  yakka tartibdagi uy-joy</v>
      </c>
      <c r="B10" s="375"/>
      <c r="C10" s="374" t="str">
        <f>akt_monitoring_2!C10</f>
        <v>420 kv.m</v>
      </c>
      <c r="D10" s="375"/>
      <c r="E10" s="374" t="str">
        <f>akt_monitoring_2!E10</f>
        <v>42.17 kv.m</v>
      </c>
      <c r="F10" s="375"/>
      <c r="G10" s="374" t="str">
        <f>akt_monitoring_2!G10</f>
        <v>88.79 kv.m</v>
      </c>
      <c r="H10" s="375"/>
    </row>
    <row r="11" spans="1:9" ht="19.5" customHeight="1" x14ac:dyDescent="0.2">
      <c r="A11" s="367" t="str">
        <f>dalolatnoma!A22:E22</f>
        <v>-* ko'chmas mulk egasi: OLLABERGANOVA GO'ZALOY IBRAHIMOVNA</v>
      </c>
      <c r="B11" s="367"/>
      <c r="C11" s="367"/>
      <c r="D11" s="367"/>
      <c r="E11" s="367"/>
      <c r="F11" s="367"/>
      <c r="G11" s="367"/>
      <c r="H11" s="367"/>
    </row>
    <row r="12" spans="1:9" ht="19.5" customHeight="1" x14ac:dyDescent="0.2">
      <c r="A12" s="367" t="str">
        <f>dalolatnoma!A23:E23</f>
        <v>-* reest raqami: 26.01.2026 yildan №1733212/Y-26001010</v>
      </c>
      <c r="B12" s="367"/>
      <c r="C12" s="367"/>
      <c r="D12" s="367"/>
      <c r="E12" s="367"/>
      <c r="F12" s="367"/>
      <c r="G12" s="367"/>
      <c r="H12" s="367"/>
    </row>
    <row r="13" spans="1:9" ht="19.5" customHeight="1" x14ac:dyDescent="0.2">
      <c r="A13" s="367" t="str">
        <f>dalolatnoma!A24:E24</f>
        <v>-*  kadastr raqami: №22:09:41:01:02:0317</v>
      </c>
      <c r="B13" s="367"/>
      <c r="C13" s="367"/>
      <c r="D13" s="367"/>
      <c r="E13" s="367"/>
      <c r="F13" s="367"/>
      <c r="G13" s="367"/>
      <c r="H13" s="367"/>
    </row>
    <row r="14" spans="1:9" ht="19.5" customHeight="1" x14ac:dyDescent="0.2">
      <c r="A14" s="367" t="str">
        <f>dalolatnoma!A25:E25</f>
        <v>-* manzili: XORAZM VILOYATI QO'SHKO'PIR TUMANI XOSIYON QFY XOSIYON MFY SHOLIKOR KO'CHASI 37-UY</v>
      </c>
      <c r="B14" s="367"/>
      <c r="C14" s="367"/>
      <c r="D14" s="367"/>
      <c r="E14" s="367"/>
      <c r="F14" s="367"/>
      <c r="G14" s="367"/>
      <c r="H14" s="367"/>
    </row>
    <row r="15" spans="1:9" ht="33.75" customHeight="1" x14ac:dyDescent="0.2">
      <c r="A15" s="371" t="str">
        <f>+"Shu bilan birga, yuqoridagi mulkning kelishilgan garov qiymati "&amp;dalolatnoma!E30</f>
        <v>Shu bilan birga, yuqoridagi mulkning kelishilgan garov qiymati 105 000 000,00 
(yuz besh million so'm)</v>
      </c>
      <c r="B15" s="371"/>
      <c r="C15" s="371"/>
      <c r="D15" s="371"/>
      <c r="E15" s="371"/>
      <c r="F15" s="371"/>
      <c r="G15" s="371"/>
      <c r="H15" s="371"/>
    </row>
    <row r="17" spans="1:8" s="128" customFormat="1" ht="32.25" customHeight="1" x14ac:dyDescent="0.2">
      <c r="A17" s="365" t="s">
        <v>266</v>
      </c>
      <c r="B17" s="365"/>
      <c r="C17" s="365"/>
      <c r="D17" s="365"/>
      <c r="E17" s="365"/>
      <c r="F17" s="365"/>
      <c r="G17" s="365"/>
      <c r="H17" s="365"/>
    </row>
    <row r="21" spans="1:8" s="27" customFormat="1" x14ac:dyDescent="0.2"/>
    <row r="22" spans="1:8" s="27" customFormat="1" x14ac:dyDescent="0.2">
      <c r="A22" s="27" t="str">
        <f>malumot!A161</f>
        <v>Xorazm filiali boshlig'i</v>
      </c>
      <c r="H22" s="131" t="str">
        <f>malumot!B161</f>
        <v>M.Sharipov</v>
      </c>
    </row>
    <row r="23" spans="1:8" s="27" customFormat="1" x14ac:dyDescent="0.2">
      <c r="H23" s="131"/>
    </row>
    <row r="24" spans="1:8" s="27" customFormat="1" x14ac:dyDescent="0.2">
      <c r="H24" s="131"/>
    </row>
    <row r="25" spans="1:8" s="27" customFormat="1" x14ac:dyDescent="0.2">
      <c r="H25" s="131"/>
    </row>
    <row r="26" spans="1:8" s="27" customFormat="1" x14ac:dyDescent="0.2">
      <c r="H26" s="131"/>
    </row>
    <row r="27" spans="1:8" s="27" customFormat="1" ht="16.5" customHeight="1" x14ac:dyDescent="0.2">
      <c r="A27" s="27" t="s">
        <v>267</v>
      </c>
      <c r="H27" s="27" t="str">
        <f>malumot!B171</f>
        <v>D.Axmedov</v>
      </c>
    </row>
    <row r="28" spans="1:8" s="27" customFormat="1" ht="16.5" customHeight="1" x14ac:dyDescent="0.2"/>
    <row r="29" spans="1:8" s="27" customFormat="1" ht="16.5" customHeight="1" x14ac:dyDescent="0.2"/>
    <row r="30" spans="1:8" s="27" customFormat="1" x14ac:dyDescent="0.2"/>
    <row r="31" spans="1:8" s="27" customFormat="1" x14ac:dyDescent="0.2">
      <c r="A31" s="27" t="s">
        <v>268</v>
      </c>
      <c r="H31" s="131" t="str">
        <f>malumot!B7</f>
        <v>OLLABERGANOVA G.I.</v>
      </c>
    </row>
    <row r="32" spans="1:8" s="27" customFormat="1" x14ac:dyDescent="0.2"/>
    <row r="33" s="27" customFormat="1" x14ac:dyDescent="0.2"/>
    <row r="34" s="27"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34"/>
  <sheetViews>
    <sheetView view="pageBreakPreview" topLeftCell="A6" zoomScaleNormal="100" zoomScaleSheetLayoutView="100" workbookViewId="0">
      <selection activeCell="D27" sqref="D27"/>
    </sheetView>
  </sheetViews>
  <sheetFormatPr defaultColWidth="9.140625" defaultRowHeight="12.75" x14ac:dyDescent="0.2"/>
  <cols>
    <col min="1" max="2" width="11" style="20" customWidth="1"/>
    <col min="3" max="4" width="14.42578125" style="20" customWidth="1"/>
    <col min="5" max="6" width="13.5703125" style="20" customWidth="1"/>
    <col min="7" max="7" width="9.140625" style="20"/>
    <col min="8" max="8" width="19" style="20" bestFit="1" customWidth="1"/>
    <col min="9" max="16384" width="9.140625" style="20"/>
  </cols>
  <sheetData>
    <row r="1" spans="1:9" x14ac:dyDescent="0.2">
      <c r="A1" s="27"/>
      <c r="B1" s="27"/>
      <c r="C1" s="27"/>
      <c r="D1" s="27"/>
      <c r="E1" s="27"/>
      <c r="F1" s="27"/>
      <c r="G1" s="27"/>
      <c r="H1" s="27"/>
      <c r="I1" s="27"/>
    </row>
    <row r="2" spans="1:9" x14ac:dyDescent="0.2">
      <c r="A2" s="370" t="str">
        <f>""&amp;" "&amp;malumot!B74&amp;"-sonli "&amp;" "&amp;malumot!C64&amp;" shartnomasi bo‘yicha
 garovga qo‘yilgan mol-mulkni tekshirish bo’yicha "&amp;malumot!B5&amp;" bilan tuzilgan dalolatnomasi"</f>
        <v xml:space="preserve"> 30 yanvar 2026 y.dan №254- XMS-sonli  Mikroqarz shartnomasi bo‘yicha
 garovga qo‘yilgan mol-mulkni tekshirish bo’yicha OLLABERGANOVA GO'ZALOY IBRAHIMOVNA bilan tuzilgan dalolatnomasi</v>
      </c>
      <c r="B2" s="370"/>
      <c r="C2" s="370"/>
      <c r="D2" s="370"/>
      <c r="E2" s="370"/>
      <c r="F2" s="370"/>
      <c r="G2" s="370"/>
      <c r="H2" s="370"/>
      <c r="I2" s="27"/>
    </row>
    <row r="3" spans="1:9" x14ac:dyDescent="0.2">
      <c r="A3" s="370"/>
      <c r="B3" s="370"/>
      <c r="C3" s="370"/>
      <c r="D3" s="370"/>
      <c r="E3" s="370"/>
      <c r="F3" s="370"/>
      <c r="G3" s="370"/>
      <c r="H3" s="370"/>
      <c r="I3" s="27"/>
    </row>
    <row r="5" spans="1:9" x14ac:dyDescent="0.2">
      <c r="A5" s="20" t="s">
        <v>196</v>
      </c>
      <c r="H5" s="129" t="str">
        <f>TEXT(+malumot!B2+720,"ДД.ММ.ГГГГ")</f>
        <v>20.01.2028</v>
      </c>
    </row>
    <row r="7" spans="1:9" ht="45" customHeight="1" x14ac:dyDescent="0.2">
      <c r="A7" s="372" t="str">
        <f>"      Men, "&amp;malumot!B158&amp;" "&amp;malumot!A161&amp;"i "&amp;malumot!B161&amp;", jismoniy shaxs "&amp;" "&amp;malumot!B5&amp;" "&amp;" "&amp;malumot!B74&amp;"-sonli "&amp;malumot!C64&amp;" shartnomasi bo‘yicha garovga qo‘yilgan mol-mulkni ko‘zdan kechirdim"</f>
        <v xml:space="preserve">      Men, «CLEVER MIKROMOLIYA TASHKILOTI» MChJ Xorazm filiali boshlig'ii M.Sharipov, jismoniy shaxs  OLLABERGANOVA GO'ZALOY IBRAHIMOVNA  30 yanvar 2026 y.dan №254- XMS-sonli Mikroqarz shartnomasi bo‘yicha garovga qo‘yilgan mol-mulkni ko‘zdan kechirdim</v>
      </c>
      <c r="B7" s="372"/>
      <c r="C7" s="372"/>
      <c r="D7" s="372"/>
      <c r="E7" s="372"/>
      <c r="F7" s="372"/>
      <c r="G7" s="372"/>
      <c r="H7" s="372"/>
    </row>
    <row r="8" spans="1:9" ht="19.5" customHeight="1" x14ac:dyDescent="0.2">
      <c r="A8" s="373" t="s">
        <v>265</v>
      </c>
      <c r="B8" s="373"/>
      <c r="C8" s="373"/>
      <c r="D8" s="373"/>
      <c r="E8" s="373"/>
      <c r="F8" s="373"/>
      <c r="G8" s="373"/>
      <c r="H8" s="373"/>
    </row>
    <row r="9" spans="1:9" s="130" customFormat="1" ht="32.25" customHeight="1" x14ac:dyDescent="0.25">
      <c r="A9" s="368" t="str">
        <f>akt_monitoring_2!A9</f>
        <v>Nomi</v>
      </c>
      <c r="B9" s="369"/>
      <c r="C9" s="368" t="str">
        <f>akt_monitoring_2!C9</f>
        <v>Davlat ro'yxatidan o'tkazilgan yer maydoni</v>
      </c>
      <c r="D9" s="369"/>
      <c r="E9" s="368" t="str">
        <f>akt_monitoring_2!E9</f>
        <v>Yashash maydoni</v>
      </c>
      <c r="F9" s="369"/>
      <c r="G9" s="368" t="str">
        <f>akt_monitoring_2!G9</f>
        <v>Umumiy maydoni</v>
      </c>
      <c r="H9" s="369"/>
    </row>
    <row r="10" spans="1:9" s="128" customFormat="1" ht="58.5" customHeight="1" x14ac:dyDescent="0.2">
      <c r="A10" s="366" t="str">
        <f>akt_monitoring_2!A10</f>
        <v>7 -xonali  yakka tartibdagi uy-joy</v>
      </c>
      <c r="B10" s="366"/>
      <c r="C10" s="366" t="str">
        <f>akt_monitoring_2!C10</f>
        <v>420 kv.m</v>
      </c>
      <c r="D10" s="366"/>
      <c r="E10" s="366" t="str">
        <f>akt_monitoring_2!E10</f>
        <v>42.17 kv.m</v>
      </c>
      <c r="F10" s="366"/>
      <c r="G10" s="366" t="str">
        <f>akt_monitoring_2!G10</f>
        <v>88.79 kv.m</v>
      </c>
      <c r="H10" s="366"/>
    </row>
    <row r="11" spans="1:9" ht="19.5" customHeight="1" x14ac:dyDescent="0.2">
      <c r="A11" s="367" t="str">
        <f>dalolatnoma!A22:E22</f>
        <v>-* ko'chmas mulk egasi: OLLABERGANOVA GO'ZALOY IBRAHIMOVNA</v>
      </c>
      <c r="B11" s="367"/>
      <c r="C11" s="367"/>
      <c r="D11" s="367"/>
      <c r="E11" s="367"/>
      <c r="F11" s="367"/>
      <c r="G11" s="367"/>
      <c r="H11" s="367"/>
    </row>
    <row r="12" spans="1:9" ht="19.5" customHeight="1" x14ac:dyDescent="0.2">
      <c r="A12" s="367" t="str">
        <f>dalolatnoma!A23:E23</f>
        <v>-* reest raqami: 26.01.2026 yildan №1733212/Y-26001010</v>
      </c>
      <c r="B12" s="367"/>
      <c r="C12" s="367"/>
      <c r="D12" s="367"/>
      <c r="E12" s="367"/>
      <c r="F12" s="367"/>
      <c r="G12" s="367"/>
      <c r="H12" s="367"/>
    </row>
    <row r="13" spans="1:9" ht="19.5" customHeight="1" x14ac:dyDescent="0.2">
      <c r="A13" s="367" t="str">
        <f>dalolatnoma!A24:E24</f>
        <v>-*  kadastr raqami: №22:09:41:01:02:0317</v>
      </c>
      <c r="B13" s="367"/>
      <c r="C13" s="367"/>
      <c r="D13" s="367"/>
      <c r="E13" s="367"/>
      <c r="F13" s="367"/>
      <c r="G13" s="367"/>
      <c r="H13" s="367"/>
    </row>
    <row r="14" spans="1:9" ht="19.5" customHeight="1" x14ac:dyDescent="0.2">
      <c r="A14" s="367" t="str">
        <f>dalolatnoma!A25:E25</f>
        <v>-* manzili: XORAZM VILOYATI QO'SHKO'PIR TUMANI XOSIYON QFY XOSIYON MFY SHOLIKOR KO'CHASI 37-UY</v>
      </c>
      <c r="B14" s="367"/>
      <c r="C14" s="367"/>
      <c r="D14" s="367"/>
      <c r="E14" s="367"/>
      <c r="F14" s="367"/>
      <c r="G14" s="367"/>
      <c r="H14" s="367"/>
    </row>
    <row r="15" spans="1:9" ht="33.75" customHeight="1" x14ac:dyDescent="0.2">
      <c r="A15" s="371" t="str">
        <f>+"Shu bilan birga, yuqoridagi mulkning kelishilgan garov qiymati "&amp;dalolatnoma!E30</f>
        <v>Shu bilan birga, yuqoridagi mulkning kelishilgan garov qiymati 105 000 000,00 
(yuz besh million so'm)</v>
      </c>
      <c r="B15" s="371"/>
      <c r="C15" s="371"/>
      <c r="D15" s="371"/>
      <c r="E15" s="371"/>
      <c r="F15" s="371"/>
      <c r="G15" s="371"/>
      <c r="H15" s="371"/>
    </row>
    <row r="17" spans="1:8" ht="28.5" customHeight="1" x14ac:dyDescent="0.2">
      <c r="A17" s="365" t="s">
        <v>266</v>
      </c>
      <c r="B17" s="365"/>
      <c r="C17" s="365"/>
      <c r="D17" s="365"/>
      <c r="E17" s="365"/>
      <c r="F17" s="365"/>
      <c r="G17" s="365"/>
      <c r="H17" s="365"/>
    </row>
    <row r="21" spans="1:8" s="27" customFormat="1" x14ac:dyDescent="0.2"/>
    <row r="22" spans="1:8" s="27" customFormat="1" x14ac:dyDescent="0.2">
      <c r="A22" s="27" t="str">
        <f>malumot!A161</f>
        <v>Xorazm filiali boshlig'i</v>
      </c>
      <c r="H22" s="131" t="str">
        <f>malumot!B161</f>
        <v>M.Sharipov</v>
      </c>
    </row>
    <row r="23" spans="1:8" s="27" customFormat="1" x14ac:dyDescent="0.2">
      <c r="H23" s="131"/>
    </row>
    <row r="24" spans="1:8" s="27" customFormat="1" x14ac:dyDescent="0.2">
      <c r="H24" s="131"/>
    </row>
    <row r="25" spans="1:8" s="27" customFormat="1" x14ac:dyDescent="0.2">
      <c r="H25" s="131"/>
    </row>
    <row r="26" spans="1:8" s="27" customFormat="1" x14ac:dyDescent="0.2">
      <c r="H26" s="131"/>
    </row>
    <row r="27" spans="1:8" s="27" customFormat="1" ht="16.5" customHeight="1" x14ac:dyDescent="0.2">
      <c r="A27" s="27" t="s">
        <v>267</v>
      </c>
      <c r="H27" s="27" t="str">
        <f>malumot!B171</f>
        <v>D.Axmedov</v>
      </c>
    </row>
    <row r="28" spans="1:8" s="27" customFormat="1" x14ac:dyDescent="0.2"/>
    <row r="29" spans="1:8" s="27" customFormat="1" x14ac:dyDescent="0.2"/>
    <row r="30" spans="1:8" s="27" customFormat="1" x14ac:dyDescent="0.2"/>
    <row r="31" spans="1:8" s="27" customFormat="1" x14ac:dyDescent="0.2">
      <c r="A31" s="27" t="s">
        <v>268</v>
      </c>
      <c r="H31" s="131" t="str">
        <f>malumot!B7</f>
        <v>OLLABERGANOVA G.I.</v>
      </c>
    </row>
    <row r="32" spans="1:8" s="27" customFormat="1" x14ac:dyDescent="0.2"/>
    <row r="33" s="27" customFormat="1" x14ac:dyDescent="0.2"/>
    <row r="34" s="27"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A1:D29"/>
  <sheetViews>
    <sheetView view="pageBreakPreview" zoomScaleNormal="100" zoomScaleSheetLayoutView="100" workbookViewId="0">
      <selection activeCell="B1" sqref="B1:B4"/>
    </sheetView>
  </sheetViews>
  <sheetFormatPr defaultColWidth="16.85546875" defaultRowHeight="15" x14ac:dyDescent="0.25"/>
  <cols>
    <col min="1" max="1" width="16" style="12" customWidth="1"/>
    <col min="2" max="2" width="21.140625" style="12" customWidth="1"/>
    <col min="3" max="3" width="23.85546875" style="12" customWidth="1"/>
    <col min="4" max="4" width="26" style="12" customWidth="1"/>
    <col min="5" max="16384" width="16.85546875" style="12"/>
  </cols>
  <sheetData>
    <row r="1" spans="1:4" x14ac:dyDescent="0.25">
      <c r="B1" s="198" t="s">
        <v>393</v>
      </c>
    </row>
    <row r="2" spans="1:4" x14ac:dyDescent="0.25">
      <c r="B2" s="199" t="s">
        <v>394</v>
      </c>
      <c r="C2" s="195"/>
      <c r="D2" s="195"/>
    </row>
    <row r="3" spans="1:4" x14ac:dyDescent="0.25">
      <c r="B3" s="199" t="s">
        <v>395</v>
      </c>
      <c r="C3" s="195"/>
      <c r="D3" s="195"/>
    </row>
    <row r="4" spans="1:4" x14ac:dyDescent="0.25">
      <c r="B4" s="199" t="s">
        <v>396</v>
      </c>
      <c r="C4" s="195"/>
      <c r="D4" s="195"/>
    </row>
    <row r="6" spans="1:4" x14ac:dyDescent="0.25">
      <c r="A6" s="31" t="str">
        <f>[2]malumot!B109</f>
        <v>05.04.2025 yildagi</v>
      </c>
      <c r="D6" s="33" t="s">
        <v>397</v>
      </c>
    </row>
    <row r="7" spans="1:4" x14ac:dyDescent="0.25">
      <c r="A7" s="12" t="str">
        <f>[2]malumot!B110</f>
        <v>№ 02/04-001</v>
      </c>
      <c r="D7" s="33" t="s">
        <v>398</v>
      </c>
    </row>
    <row r="9" spans="1:4" x14ac:dyDescent="0.25">
      <c r="A9" s="284" t="str">
        <f>"      “CLEVER mikromoliya tashkiloti” MCHJ va " &amp; [2]malumot!B5 &amp; " (pasport: " &amp;[2]malumot!B16 &amp; ", " &amp;[2]malumot!B20 &amp;")" &amp; " o‘rtasida " &amp;[2]malumot!B2 &amp; " yildagi " &amp;[2]malumot!B1 &amp; "-sonli" &amp; [2]notarius!B78 &amp; ", "&amp; [2]malumot!B75 &amp; " (" &amp;[2]malumot!B76 &amp;")" &amp; "miqdorida mikroqarz shartnomasi imzolangan. Mikroqarz shartnomasi bo‘yicha majburiyatlarni o‘z vaqtida bajarish uchun Qarz oluvchi quyidagi mulkni taqdim etdi, xususan:"</f>
        <v xml:space="preserve">      “CLEVER mikromoliya tashkiloti” MCHJ va XAYATOV OTABEK KURBANOVICH (pasport: AB 7858443, BUXORO VILOYATI KOGON TUMAN IIB tomonidan 06.10.2017 yilda berilgan) o‘rtasida 01.04.2025 yildagi № 687-BR-sonli, 26000000 (yigirma olti million so'm)miqdorida mikroqarz shartnomasi imzolangan. Mikroqarz shartnomasi bo‘yicha majburiyatlarni o‘z vaqtida bajarish uchun Qarz oluvchi quyidagi mulkni taqdim etdi, xususan:</v>
      </c>
      <c r="B9" s="284"/>
      <c r="C9" s="284"/>
      <c r="D9" s="284"/>
    </row>
    <row r="11" spans="1:4" ht="28.5" x14ac:dyDescent="0.25">
      <c r="A11" s="35" t="s">
        <v>199</v>
      </c>
      <c r="B11" s="35" t="str">
        <f>IF([2]malumot!B111=[2]malumot!C111,"Kuzov turi  va kuzov raqami*","Foydali maydoni")</f>
        <v>Kuzov turi  va kuzov raqami*</v>
      </c>
      <c r="C11" s="35" t="str">
        <f>IF([2]malumot!B111=[2]malumot!C111,"Dvigatel va shassi raqami*","Yashash maydoni")</f>
        <v>Dvigatel va shassi raqami*</v>
      </c>
      <c r="D11" s="35" t="str">
        <f>IF([2]malumot!B111=[2]malumot!C111,"Ishlab chiqarilgan yili va rangi**","Umumiy maydoni")</f>
        <v>Ishlab chiqarilgan yili va rangi**</v>
      </c>
    </row>
    <row r="12" spans="1:4" ht="60" x14ac:dyDescent="0.25">
      <c r="A12" s="14" t="str">
        <f>IF([2]malumot!B111=[2]malumot!C111,[2]malumot!B133,[2]malumot!C133)</f>
        <v>SPARK</v>
      </c>
      <c r="B12" s="14" t="str">
        <f>IF([2]malumot!B111=[2]malumot!C111,[2]malumot!B135,CONCATENATE([2]malumot!F138," ","kv.m"))</f>
        <v>kuzov turi - YENGIL SEDAN, kuzov raqami XWBMF481EBA580791</v>
      </c>
      <c r="C12" s="14" t="str">
        <f>IF([2]malumot!B111=[2]malumot!C111,[2]malumot!B138,[2]malumot!E141)</f>
        <v>dvigatel raqami B10D1606437KC3, shassi raqami - RAKAMSIZ</v>
      </c>
      <c r="D12" s="14" t="str">
        <f>IF([2]malumot!B111=[2]malumot!C111,[2]malumot!B141,[2]malumot!E138)</f>
        <v>rangi -  OQ BELAYA "KASABLANKA", ishlab chiqarilgan yili - 2011</v>
      </c>
    </row>
    <row r="13" spans="1:4" x14ac:dyDescent="0.25">
      <c r="A13" s="376" t="str">
        <f>"-* "&amp;IF([2]malumot!B111=[2]malumot!C111,"avtotransport "&amp;"egasi: "&amp;[2]malumot!B125&amp;"","ko'chmas mulk"&amp;" egasi: "&amp;[2]malumot!B125&amp;"")</f>
        <v>-* avtotransport egasi: FAYZIYEV JAMSHID KURBONOVICH</v>
      </c>
      <c r="B13" s="376"/>
      <c r="C13" s="376"/>
      <c r="D13" s="376"/>
    </row>
    <row r="14" spans="1:4" x14ac:dyDescent="0.25">
      <c r="A14" s="377" t="str">
        <f>IF([2]malumot!B111=[2]malumot!C111,"-* texnik pasport: "&amp;[2]malumot!B132&amp;"","-* reest raqami: "&amp;[2]malumot!C132&amp;"")</f>
        <v>-* texnik pasport: AAG   4517617  20.08.2024y</v>
      </c>
      <c r="B14" s="377"/>
      <c r="C14" s="377"/>
      <c r="D14" s="377"/>
    </row>
    <row r="15" spans="1:4" x14ac:dyDescent="0.25">
      <c r="A15" s="377" t="str">
        <f>IF([2]malumot!B111=[2]malumot!C111,"-* davlat raqami: "&amp;[2]malumot!B134&amp;"","-* manzili: "&amp;[2]malumot!C131&amp;"")</f>
        <v>-* davlat raqami: 80Y320AB</v>
      </c>
      <c r="B15" s="377"/>
      <c r="C15" s="377"/>
      <c r="D15" s="377"/>
    </row>
    <row r="16" spans="1:4" x14ac:dyDescent="0.25">
      <c r="A16" s="148" t="str">
        <f>"-* garov shartnomasi bo'yicha (reestr № " &amp;[2]malumot!B106&amp; " , " &amp;[2]malumot!B107&amp; " yil)"</f>
        <v>-* garov shartnomasi bo'yicha (reestr № 202502386001856 , 01.04.2025 yil)</v>
      </c>
      <c r="B16" s="38"/>
      <c r="C16" s="38"/>
      <c r="D16" s="38"/>
    </row>
    <row r="17" spans="1:4" x14ac:dyDescent="0.25">
      <c r="A17" s="38"/>
      <c r="B17" s="38"/>
      <c r="C17" s="38"/>
      <c r="D17" s="38"/>
    </row>
    <row r="18" spans="1:4" x14ac:dyDescent="0.25">
      <c r="A18" s="284" t="s">
        <v>399</v>
      </c>
      <c r="B18" s="284"/>
      <c r="C18" s="284"/>
      <c r="D18" s="284"/>
    </row>
    <row r="20" spans="1:4" x14ac:dyDescent="0.25">
      <c r="C20" s="196"/>
    </row>
    <row r="21" spans="1:4" x14ac:dyDescent="0.25">
      <c r="A21" s="197" t="s">
        <v>400</v>
      </c>
    </row>
    <row r="22" spans="1:4" x14ac:dyDescent="0.25">
      <c r="A22" s="197" t="s">
        <v>401</v>
      </c>
      <c r="D22" s="36" t="s">
        <v>385</v>
      </c>
    </row>
    <row r="26" spans="1:4" x14ac:dyDescent="0.25">
      <c r="A26" s="12" t="s">
        <v>402</v>
      </c>
    </row>
    <row r="27" spans="1:4" ht="16.5" customHeight="1" x14ac:dyDescent="0.25">
      <c r="A27" s="12" t="s">
        <v>403</v>
      </c>
    </row>
    <row r="29" spans="1:4" ht="48" customHeight="1" x14ac:dyDescent="0.25">
      <c r="A29" s="284" t="s">
        <v>404</v>
      </c>
      <c r="B29" s="284"/>
      <c r="C29" s="284"/>
      <c r="D29" s="284"/>
    </row>
  </sheetData>
  <mergeCells count="6">
    <mergeCell ref="A29:D29"/>
    <mergeCell ref="A9:D9"/>
    <mergeCell ref="A13:D13"/>
    <mergeCell ref="A14:D14"/>
    <mergeCell ref="A15:D15"/>
    <mergeCell ref="A18:D18"/>
  </mergeCells>
  <printOptions horizontalCentered="1"/>
  <pageMargins left="0.70866141732283472" right="0.70866141732283472" top="0.74803149606299213" bottom="0.74803149606299213" header="0.31496062992125984" footer="0.31496062992125984"/>
  <pageSetup paperSize="9" scale="82"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1">
    <tabColor rgb="FF00B050"/>
  </sheetPr>
  <dimension ref="A2:H33"/>
  <sheetViews>
    <sheetView view="pageBreakPreview" topLeftCell="A4" zoomScaleNormal="100" zoomScaleSheetLayoutView="100" workbookViewId="0">
      <selection activeCell="I16" sqref="I16"/>
    </sheetView>
  </sheetViews>
  <sheetFormatPr defaultColWidth="9.140625" defaultRowHeight="15.75" x14ac:dyDescent="0.25"/>
  <cols>
    <col min="1" max="2" width="17.42578125" style="111" customWidth="1"/>
    <col min="3" max="3" width="29.85546875" style="111" customWidth="1"/>
    <col min="4" max="4" width="18.140625" style="111" customWidth="1"/>
    <col min="5" max="5" width="6.5703125" style="111" customWidth="1"/>
    <col min="6" max="16384" width="9.140625" style="111"/>
  </cols>
  <sheetData>
    <row r="2" spans="1:5" x14ac:dyDescent="0.25">
      <c r="A2" s="378" t="s">
        <v>230</v>
      </c>
      <c r="B2" s="378"/>
      <c r="C2" s="378"/>
      <c r="D2" s="378"/>
      <c r="E2" s="378"/>
    </row>
    <row r="3" spans="1:5" x14ac:dyDescent="0.25">
      <c r="E3" s="110" t="str">
        <f>malumot!B68</f>
        <v>30 yanvar 2026 y.</v>
      </c>
    </row>
    <row r="5" spans="1:5" s="112" customFormat="1" ht="27" customHeight="1" x14ac:dyDescent="0.25">
      <c r="A5" s="382" t="s">
        <v>231</v>
      </c>
      <c r="B5" s="383"/>
      <c r="C5" s="379" t="str">
        <f>malumot!B8</f>
        <v>ADXAMJONOV SHOXRUX SHORAXM O'G'LI</v>
      </c>
      <c r="D5" s="380"/>
      <c r="E5" s="381"/>
    </row>
    <row r="7" spans="1:5" ht="15.75" customHeight="1" x14ac:dyDescent="0.25">
      <c r="A7" s="384" t="s">
        <v>344</v>
      </c>
      <c r="B7" s="385"/>
      <c r="C7" s="386"/>
      <c r="D7" s="113" t="s">
        <v>129</v>
      </c>
      <c r="E7" s="113"/>
    </row>
    <row r="8" spans="1:5" x14ac:dyDescent="0.25">
      <c r="A8" s="387"/>
      <c r="B8" s="388"/>
      <c r="C8" s="389"/>
      <c r="D8" s="113" t="s">
        <v>235</v>
      </c>
      <c r="E8" s="113"/>
    </row>
    <row r="9" spans="1:5" ht="15.75" customHeight="1" x14ac:dyDescent="0.25">
      <c r="A9" s="390" t="s">
        <v>232</v>
      </c>
      <c r="B9" s="390"/>
      <c r="C9" s="390"/>
      <c r="D9" s="113" t="s">
        <v>129</v>
      </c>
      <c r="E9" s="113"/>
    </row>
    <row r="10" spans="1:5" x14ac:dyDescent="0.25">
      <c r="A10" s="390"/>
      <c r="B10" s="390"/>
      <c r="C10" s="390"/>
      <c r="D10" s="113" t="s">
        <v>235</v>
      </c>
      <c r="E10" s="113"/>
    </row>
    <row r="11" spans="1:5" ht="15.75" customHeight="1" x14ac:dyDescent="0.25">
      <c r="A11" s="390" t="s">
        <v>233</v>
      </c>
      <c r="B11" s="390"/>
      <c r="C11" s="390"/>
      <c r="D11" s="113" t="s">
        <v>129</v>
      </c>
      <c r="E11" s="113"/>
    </row>
    <row r="12" spans="1:5" x14ac:dyDescent="0.25">
      <c r="A12" s="390"/>
      <c r="B12" s="390"/>
      <c r="C12" s="390"/>
      <c r="D12" s="113" t="s">
        <v>235</v>
      </c>
      <c r="E12" s="113"/>
    </row>
    <row r="13" spans="1:5" ht="34.5" customHeight="1" x14ac:dyDescent="0.25">
      <c r="A13" s="391" t="s">
        <v>234</v>
      </c>
      <c r="B13" s="391"/>
      <c r="C13" s="391"/>
      <c r="D13" s="391"/>
      <c r="E13" s="391"/>
    </row>
    <row r="14" spans="1:5" ht="16.5" thickBot="1" x14ac:dyDescent="0.3">
      <c r="A14" s="392"/>
      <c r="B14" s="392"/>
      <c r="C14" s="392"/>
      <c r="D14" s="392"/>
      <c r="E14" s="392"/>
    </row>
    <row r="15" spans="1:5" ht="16.5" thickBot="1" x14ac:dyDescent="0.3">
      <c r="A15" s="392"/>
      <c r="B15" s="392"/>
      <c r="C15" s="392"/>
      <c r="D15" s="392"/>
      <c r="E15" s="392"/>
    </row>
    <row r="16" spans="1:5" ht="16.5" thickBot="1" x14ac:dyDescent="0.3">
      <c r="A16" s="392"/>
      <c r="B16" s="392"/>
      <c r="C16" s="392"/>
      <c r="D16" s="392"/>
      <c r="E16" s="392"/>
    </row>
    <row r="18" spans="1:8" ht="18.75" customHeight="1" x14ac:dyDescent="0.25">
      <c r="A18" s="390" t="s">
        <v>236</v>
      </c>
      <c r="B18" s="390"/>
      <c r="C18" s="390"/>
      <c r="D18" s="113" t="s">
        <v>129</v>
      </c>
      <c r="E18" s="113"/>
    </row>
    <row r="19" spans="1:8" ht="18.75" customHeight="1" x14ac:dyDescent="0.25">
      <c r="A19" s="390"/>
      <c r="B19" s="390"/>
      <c r="C19" s="390"/>
      <c r="D19" s="113" t="s">
        <v>235</v>
      </c>
      <c r="E19" s="113"/>
    </row>
    <row r="20" spans="1:8" ht="29.25" customHeight="1" x14ac:dyDescent="0.25">
      <c r="A20" s="390" t="s">
        <v>237</v>
      </c>
      <c r="B20" s="390"/>
      <c r="C20" s="390"/>
      <c r="D20" s="113" t="s">
        <v>129</v>
      </c>
      <c r="E20" s="113"/>
    </row>
    <row r="21" spans="1:8" ht="29.25" customHeight="1" x14ac:dyDescent="0.25">
      <c r="A21" s="390"/>
      <c r="B21" s="390"/>
      <c r="C21" s="390"/>
      <c r="D21" s="113" t="s">
        <v>235</v>
      </c>
      <c r="E21" s="113"/>
    </row>
    <row r="23" spans="1:8" ht="15.75" customHeight="1" x14ac:dyDescent="0.25">
      <c r="A23" s="391" t="s">
        <v>238</v>
      </c>
      <c r="B23" s="391"/>
      <c r="C23" s="391"/>
      <c r="D23" s="391"/>
      <c r="E23" s="391"/>
    </row>
    <row r="24" spans="1:8" ht="16.5" thickBot="1" x14ac:dyDescent="0.3">
      <c r="A24" s="392"/>
      <c r="B24" s="392"/>
      <c r="C24" s="392"/>
      <c r="D24" s="392"/>
      <c r="E24" s="392"/>
    </row>
    <row r="25" spans="1:8" ht="16.5" thickBot="1" x14ac:dyDescent="0.3">
      <c r="A25" s="392"/>
      <c r="B25" s="392"/>
      <c r="C25" s="392"/>
      <c r="D25" s="392"/>
      <c r="E25" s="392"/>
    </row>
    <row r="26" spans="1:8" ht="16.5" thickBot="1" x14ac:dyDescent="0.3">
      <c r="A26" s="392"/>
      <c r="B26" s="392"/>
      <c r="C26" s="392"/>
      <c r="D26" s="392"/>
      <c r="E26" s="392"/>
    </row>
    <row r="28" spans="1:8" ht="78.75" customHeight="1" x14ac:dyDescent="0.25">
      <c r="A28" s="393" t="s">
        <v>239</v>
      </c>
      <c r="B28" s="393"/>
      <c r="C28" s="393"/>
      <c r="D28" s="393"/>
      <c r="E28" s="393"/>
    </row>
    <row r="30" spans="1:8" ht="33" customHeight="1" x14ac:dyDescent="0.25">
      <c r="A30" s="393" t="s">
        <v>240</v>
      </c>
      <c r="B30" s="393"/>
      <c r="C30" s="393"/>
      <c r="D30" s="393"/>
      <c r="E30" s="393"/>
      <c r="F30" s="114"/>
      <c r="G30" s="114"/>
      <c r="H30" s="114"/>
    </row>
    <row r="33" spans="1:5" ht="16.5" thickBot="1" x14ac:dyDescent="0.3">
      <c r="A33" s="115" t="str">
        <f>C5</f>
        <v>ADXAMJONOV SHOXRUX SHORAXM O'G'LI</v>
      </c>
      <c r="D33" s="116"/>
      <c r="E33" s="117"/>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17</vt:i4>
      </vt:variant>
    </vt:vector>
  </HeadingPairs>
  <TitlesOfParts>
    <vt:vector size="40"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garov_ariza</vt:lpstr>
      <vt:lpstr>muqova</vt:lpstr>
      <vt:lpstr>mijoz_anketasi</vt:lpstr>
      <vt:lpstr>majburiyatnoma</vt:lpstr>
      <vt:lpstr>kredit_ariza</vt:lpstr>
      <vt:lpstr>Письмо</vt:lpstr>
      <vt:lpstr>akt_monitoring_1</vt:lpstr>
      <vt:lpstr>akt_monitoring_2</vt:lpstr>
      <vt:lpstr>akt_monitoring_3</vt:lpstr>
      <vt:lpstr>akt_monitoring_4</vt:lpstr>
      <vt:lpstr>notarius</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muqova!Область_печати</vt:lpstr>
      <vt:lpstr>notarius!Область_печати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r.saipova</cp:lastModifiedBy>
  <cp:lastPrinted>2025-07-23T06:19:38Z</cp:lastPrinted>
  <dcterms:created xsi:type="dcterms:W3CDTF">2015-06-05T18:19:34Z</dcterms:created>
  <dcterms:modified xsi:type="dcterms:W3CDTF">2026-01-30T10:07:44Z</dcterms:modified>
</cp:coreProperties>
</file>